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3"/>
  </bookViews>
  <sheets>
    <sheet r:id="rId1" sheetId="1" name="condition"/>
    <sheet r:id="rId2" sheetId="2" name="dictionary"/>
    <sheet r:id="rId3" sheetId="3" name="2023-01-01 to 2023-12-31"/>
    <sheet r:id="rId4" sheetId="4" name="2021-01-11 to 2021-12-31"/>
    <sheet r:id="rId5" sheetId="5" name="2022-10-01 to 2022-12-31"/>
  </sheets>
  <definedNames>
    <definedName name="_xlnm._FilterDatabase" localSheetId="3">='2021-01-11 to 2021-12-31'!$A$2:$AH$702</definedName>
  </definedNames>
  <calcPr fullCalcOnLoad="1"/>
</workbook>
</file>

<file path=xl/sharedStrings.xml><?xml version="1.0" encoding="utf-8"?>
<sst xmlns="http://schemas.openxmlformats.org/spreadsheetml/2006/main" count="9720" uniqueCount="4040">
  <si>
    <t>1 = Yes</t>
  </si>
  <si>
    <t>2 = Yes</t>
  </si>
  <si>
    <t>Bed type</t>
  </si>
  <si>
    <t>Condition 1</t>
  </si>
  <si>
    <t>Condition 2</t>
  </si>
  <si>
    <t>Condition 3</t>
  </si>
  <si>
    <t>Condition 4</t>
  </si>
  <si>
    <t>Condition 5</t>
  </si>
  <si>
    <t>PatientUI</t>
  </si>
  <si>
    <t>Stat</t>
  </si>
  <si>
    <t>TransferredFrom</t>
  </si>
  <si>
    <t>transferredFromHosp</t>
  </si>
  <si>
    <t>firstSiteCode</t>
  </si>
  <si>
    <t>DateOfAdmission</t>
  </si>
  <si>
    <t>TimeOfAdmission</t>
  </si>
  <si>
    <t>DateOfBirth</t>
  </si>
  <si>
    <t>TimeOfBirth</t>
  </si>
  <si>
    <t>Days old on admission</t>
  </si>
  <si>
    <t>Gestational AgeWeeks</t>
  </si>
  <si>
    <t>Gestational AgeDays</t>
  </si>
  <si>
    <t>sex</t>
  </si>
  <si>
    <t>minorCongAnomaly</t>
  </si>
  <si>
    <t>majorCongAnomaly</t>
  </si>
  <si>
    <t>cardiacCongAnomaly</t>
  </si>
  <si>
    <t>neuroCongAnomaly</t>
  </si>
  <si>
    <t>CDH</t>
  </si>
  <si>
    <t>Gastroschisis</t>
  </si>
  <si>
    <t>HIE</t>
  </si>
  <si>
    <t>iNOFirstAdmDay1</t>
  </si>
  <si>
    <t>iNODuringStay</t>
  </si>
  <si>
    <t>HighestRSuppOn1stAdmDay1</t>
  </si>
  <si>
    <t>momAge</t>
  </si>
  <si>
    <t>NumberOfBirths</t>
  </si>
  <si>
    <t>DeliveryType</t>
  </si>
  <si>
    <t>Systemic AntibioticsGiven</t>
  </si>
  <si>
    <t>ROM</t>
  </si>
  <si>
    <t>HypertensionPreclampsia</t>
  </si>
  <si>
    <t>Diabetics</t>
  </si>
  <si>
    <t>Chorio</t>
  </si>
  <si>
    <t>Suspected ChorioOnly</t>
  </si>
  <si>
    <t>PrenatalCare</t>
  </si>
  <si>
    <t>PostalCode</t>
  </si>
  <si>
    <t>Intensive vs Intermediate</t>
  </si>
  <si>
    <t>1st nation</t>
  </si>
  <si>
    <t>Major anomaly AND cardiac OR Neuro</t>
  </si>
  <si>
    <r>
      <t xml:space="preserve"> </t>
    </r>
    <r>
      <rPr>
        <b/>
        <sz val="12"/>
        <color rgb="FF000000"/>
        <rFont val="Aptos Narrow"/>
        <family val="2"/>
      </rPr>
      <t>Major anomaly BUT not condition 2</t>
    </r>
    <r>
      <rPr>
        <sz val="12"/>
        <color rgb="FF000000"/>
        <rFont val="Aptos Narrow"/>
        <family val="2"/>
      </rPr>
      <t xml:space="preserve"> </t>
    </r>
  </si>
  <si>
    <r>
      <t xml:space="preserve"> </t>
    </r>
    <r>
      <rPr>
        <b/>
        <sz val="12"/>
        <color rgb="FF000000"/>
        <rFont val="Aptos Narrow"/>
        <family val="2"/>
      </rPr>
      <t>&lt;26 wks &amp; conditions 1-2-3 "FALSE"</t>
    </r>
    <r>
      <rPr>
        <sz val="12"/>
        <color rgb="FFff0000"/>
        <rFont val="Aptos Narrow (Body)"/>
        <family val="2"/>
      </rPr>
      <t xml:space="preserve"> </t>
    </r>
  </si>
  <si>
    <t>&gt;26 wks. &amp; conditions 1-2-3 "FALSE"</t>
  </si>
  <si>
    <t>03305475</t>
  </si>
  <si>
    <t>CHU De Sherbrooke - Hopital Fleurimont</t>
  </si>
  <si>
    <t>MUHC</t>
  </si>
  <si>
    <t>J0B 2P0</t>
  </si>
  <si>
    <t>01110731</t>
  </si>
  <si>
    <t>Hopital Du Sacre-Coeur De Montreal</t>
  </si>
  <si>
    <t>HSJ</t>
  </si>
  <si>
    <t>H1G 3T2</t>
  </si>
  <si>
    <t>03305473</t>
  </si>
  <si>
    <t>CSSS Haut-Richelieu-Rouville - Hopital Du Haut-Richelieu</t>
  </si>
  <si>
    <t>CPAP</t>
  </si>
  <si>
    <t>J3B 3C2</t>
  </si>
  <si>
    <t>03305474</t>
  </si>
  <si>
    <t>H2S 2G5</t>
  </si>
  <si>
    <t>03305476</t>
  </si>
  <si>
    <t>CSSS De Saint-Jerome - Hopital Regional De Saint-Jerome</t>
  </si>
  <si>
    <t>J5J 2G3</t>
  </si>
  <si>
    <t>03305477</t>
  </si>
  <si>
    <t>CSSS De Dorval-Lachine-Lasalle - Hopital Lasalle</t>
  </si>
  <si>
    <t>H8S 2N1</t>
  </si>
  <si>
    <t>03305479</t>
  </si>
  <si>
    <t>CSSS Du Sud De Lanaudiere - Hopital Pierre-Le Gardeur</t>
  </si>
  <si>
    <t>HFOV_HFJV</t>
  </si>
  <si>
    <t>J5M 0E9</t>
  </si>
  <si>
    <t>01110765</t>
  </si>
  <si>
    <t>CSSS De Rouyn-Noranda - Hopital De Rouyn-Noranda</t>
  </si>
  <si>
    <t>IPPV</t>
  </si>
  <si>
    <t>J9Y 0G8</t>
  </si>
  <si>
    <t>01405652</t>
  </si>
  <si>
    <t>CSSS Jardins-Roussillon - CH Anna-Laberge</t>
  </si>
  <si>
    <t>JGH</t>
  </si>
  <si>
    <t>J0S 1G0</t>
  </si>
  <si>
    <t>03305482</t>
  </si>
  <si>
    <t>CH De Sainte Mary</t>
  </si>
  <si>
    <t>H1L 4G2</t>
  </si>
  <si>
    <t>03305488</t>
  </si>
  <si>
    <t>CSSS De La Vallee-De-L'Or - Hopital Et CLSC De Val-D'Or</t>
  </si>
  <si>
    <t>J0M 1E0</t>
  </si>
  <si>
    <t>03305489</t>
  </si>
  <si>
    <t>J8G 2Y3</t>
  </si>
  <si>
    <t>01110770</t>
  </si>
  <si>
    <t>J0V 2B0</t>
  </si>
  <si>
    <t>03305493</t>
  </si>
  <si>
    <t>H3E 1G5</t>
  </si>
  <si>
    <t>01110772</t>
  </si>
  <si>
    <t>J7K 3K3</t>
  </si>
  <si>
    <t>03305495</t>
  </si>
  <si>
    <t>CSSS De L'Ouest-De-L'Ile - Hopital General Du Lakeshore</t>
  </si>
  <si>
    <t>J0P 1N0</t>
  </si>
  <si>
    <t>01110786</t>
  </si>
  <si>
    <t>H1G 1Y3</t>
  </si>
  <si>
    <t>03305500</t>
  </si>
  <si>
    <t>CSSS Du Lac-Des-Deux-Montagnes - Hopital De Saint-Eustache</t>
  </si>
  <si>
    <t>J7B 1Z6</t>
  </si>
  <si>
    <t>03305501</t>
  </si>
  <si>
    <t>CH Regional De Trois-Rivieres - Pavillon Sainte-Marie</t>
  </si>
  <si>
    <t>G8Y 2L1</t>
  </si>
  <si>
    <t>03305502</t>
  </si>
  <si>
    <t>Oxygen</t>
  </si>
  <si>
    <t>J5C 1L6</t>
  </si>
  <si>
    <t>01110796</t>
  </si>
  <si>
    <t>J7R 3Z5</t>
  </si>
  <si>
    <t>01110814</t>
  </si>
  <si>
    <t>J0J 1K0</t>
  </si>
  <si>
    <t>01405662</t>
  </si>
  <si>
    <t>H9Y 2M1</t>
  </si>
  <si>
    <t>03305510</t>
  </si>
  <si>
    <t>H3L 2J2</t>
  </si>
  <si>
    <t>00300950</t>
  </si>
  <si>
    <t>CSSS Drummond - Hopital Sainte-Croix</t>
  </si>
  <si>
    <t>CHUS</t>
  </si>
  <si>
    <t>J2B 0X5</t>
  </si>
  <si>
    <t>00300951</t>
  </si>
  <si>
    <t>01405664</t>
  </si>
  <si>
    <t>H1N 0B1</t>
  </si>
  <si>
    <t>03305511</t>
  </si>
  <si>
    <t>CSSS De Gatineau - Hopital De Gatineau</t>
  </si>
  <si>
    <t>J8T 3W5</t>
  </si>
  <si>
    <t>03305512</t>
  </si>
  <si>
    <t>J8T 6A2</t>
  </si>
  <si>
    <t>03305513</t>
  </si>
  <si>
    <t>J3B 6C8</t>
  </si>
  <si>
    <t>03305515</t>
  </si>
  <si>
    <t>Others</t>
  </si>
  <si>
    <t>H3Z 1T5</t>
  </si>
  <si>
    <t>03305516</t>
  </si>
  <si>
    <t>J0S 1T0</t>
  </si>
  <si>
    <t>01110829</t>
  </si>
  <si>
    <t>CSSS De Laval - Hopital Cite De La Sante</t>
  </si>
  <si>
    <t>J7R 6Z3</t>
  </si>
  <si>
    <t>03305517</t>
  </si>
  <si>
    <t>CSSS D'Antoine-Labelle - Hopital De Mont-Laurier</t>
  </si>
  <si>
    <t>J0X 2J0</t>
  </si>
  <si>
    <t>01110844</t>
  </si>
  <si>
    <t>LowFlow</t>
  </si>
  <si>
    <t>J0N 1P0</t>
  </si>
  <si>
    <t>00300965</t>
  </si>
  <si>
    <t>CSSS D'Arthabaska-Et-De-L'Erable - Hotel-Dieu-D'Arthabaska</t>
  </si>
  <si>
    <t>G6P 6H8</t>
  </si>
  <si>
    <t>00202895</t>
  </si>
  <si>
    <t>CSSS De La Region De Thetford - Hopital De Thetford Mines</t>
  </si>
  <si>
    <t>CHUQ</t>
  </si>
  <si>
    <t>G6H 1G5</t>
  </si>
  <si>
    <t>00202896</t>
  </si>
  <si>
    <t>01405671</t>
  </si>
  <si>
    <t>Hawkesbury District General Hospital</t>
  </si>
  <si>
    <t>J0P 1P0</t>
  </si>
  <si>
    <t>03305524</t>
  </si>
  <si>
    <t>H1H 0A8</t>
  </si>
  <si>
    <t>03305525</t>
  </si>
  <si>
    <t>J1H 3M1</t>
  </si>
  <si>
    <t>00300969</t>
  </si>
  <si>
    <t>CSSS De La Haute-Yamaska - Hopital De Granby</t>
  </si>
  <si>
    <t>J0L 1T0</t>
  </si>
  <si>
    <t>01110852</t>
  </si>
  <si>
    <t>CSSS Du Nord De Lanaudiere - CH Regional De Lanaudiere</t>
  </si>
  <si>
    <t>NIVent</t>
  </si>
  <si>
    <t>J0K 2N0</t>
  </si>
  <si>
    <t>01405672</t>
  </si>
  <si>
    <t>CSSS Du Suroit - Hopital Du Suroit</t>
  </si>
  <si>
    <t>J6N 2K1</t>
  </si>
  <si>
    <t>01405673</t>
  </si>
  <si>
    <t>Hopital Charles Lemoyne</t>
  </si>
  <si>
    <t>J4Y 0A4</t>
  </si>
  <si>
    <t>03305527</t>
  </si>
  <si>
    <t>J7A 3Y4</t>
  </si>
  <si>
    <t>01110734</t>
  </si>
  <si>
    <t>H7T 1G2</t>
  </si>
  <si>
    <t>03305528</t>
  </si>
  <si>
    <t>H9X 3Y9</t>
  </si>
  <si>
    <t>01110738</t>
  </si>
  <si>
    <t>H2B 2R5</t>
  </si>
  <si>
    <t>03305530</t>
  </si>
  <si>
    <t>J0L 1B0</t>
  </si>
  <si>
    <t>01405677</t>
  </si>
  <si>
    <t>H4A 1G1</t>
  </si>
  <si>
    <t>03305531</t>
  </si>
  <si>
    <t>H8P 2N6</t>
  </si>
  <si>
    <t>01110760</t>
  </si>
  <si>
    <t>03305533</t>
  </si>
  <si>
    <t>H3X 2B5</t>
  </si>
  <si>
    <t>01405678</t>
  </si>
  <si>
    <t>CSSS De L'Energie - Hopital Du Centre-De-La-Maurice</t>
  </si>
  <si>
    <t>G9P 4X5</t>
  </si>
  <si>
    <t>03305534</t>
  </si>
  <si>
    <t>J6Z 2R4</t>
  </si>
  <si>
    <t>03305535</t>
  </si>
  <si>
    <t>Children's Hospital of Eastern Ontario</t>
  </si>
  <si>
    <t>H4V 1P2</t>
  </si>
  <si>
    <t>00300970</t>
  </si>
  <si>
    <t>G6T 1N1</t>
  </si>
  <si>
    <t>01110761</t>
  </si>
  <si>
    <t>G9N 3P7</t>
  </si>
  <si>
    <t>01110802</t>
  </si>
  <si>
    <t>CHU Sainte-Justine</t>
  </si>
  <si>
    <t>J7N 2H7</t>
  </si>
  <si>
    <t>03305538</t>
  </si>
  <si>
    <t>H9G 2M8</t>
  </si>
  <si>
    <t>00300972</t>
  </si>
  <si>
    <t>G6S 1N3</t>
  </si>
  <si>
    <t>01110807</t>
  </si>
  <si>
    <t>01110888</t>
  </si>
  <si>
    <t>J6V 1J8</t>
  </si>
  <si>
    <t>03305539</t>
  </si>
  <si>
    <t>H4N 3B7</t>
  </si>
  <si>
    <t>00300974</t>
  </si>
  <si>
    <t>G6R 0X2</t>
  </si>
  <si>
    <t>03305543</t>
  </si>
  <si>
    <t>J7V 0J6</t>
  </si>
  <si>
    <t>03305549</t>
  </si>
  <si>
    <t>J3L 5R1</t>
  </si>
  <si>
    <t>03400631</t>
  </si>
  <si>
    <t>HMR</t>
  </si>
  <si>
    <t>j0v 1b0</t>
  </si>
  <si>
    <t>01110849</t>
  </si>
  <si>
    <t>J7W 9V5</t>
  </si>
  <si>
    <t>01405689</t>
  </si>
  <si>
    <t>J5C 1C7</t>
  </si>
  <si>
    <t>01110717</t>
  </si>
  <si>
    <t>G9H 0S4</t>
  </si>
  <si>
    <t>03305557</t>
  </si>
  <si>
    <t>H7N 4G5</t>
  </si>
  <si>
    <t>01110879</t>
  </si>
  <si>
    <t>J4B 2Z5</t>
  </si>
  <si>
    <t>01405693</t>
  </si>
  <si>
    <t>J0P 1G0</t>
  </si>
  <si>
    <t>03305561</t>
  </si>
  <si>
    <t>H8P 2R2</t>
  </si>
  <si>
    <t>01110881</t>
  </si>
  <si>
    <t>G8Z 4S8</t>
  </si>
  <si>
    <t>03305562</t>
  </si>
  <si>
    <t>J6Z 1T1</t>
  </si>
  <si>
    <t>01110890</t>
  </si>
  <si>
    <t>H1T 2C9</t>
  </si>
  <si>
    <t>01110892</t>
  </si>
  <si>
    <t>H7M 1E9</t>
  </si>
  <si>
    <t>03305567</t>
  </si>
  <si>
    <t>H2K 2S2</t>
  </si>
  <si>
    <t>00300978</t>
  </si>
  <si>
    <t>J2C 4M3</t>
  </si>
  <si>
    <t>01110894</t>
  </si>
  <si>
    <t>J7C 0J5</t>
  </si>
  <si>
    <t>03305568</t>
  </si>
  <si>
    <t>J4V 2C8</t>
  </si>
  <si>
    <t>01110941</t>
  </si>
  <si>
    <t>01110947</t>
  </si>
  <si>
    <t>J2X 3S8</t>
  </si>
  <si>
    <t>01110954</t>
  </si>
  <si>
    <t>H1Z 3J1</t>
  </si>
  <si>
    <t>03305570</t>
  </si>
  <si>
    <t>H2R 0A8</t>
  </si>
  <si>
    <t>00202919</t>
  </si>
  <si>
    <t>G8T 7X9</t>
  </si>
  <si>
    <t>01110718</t>
  </si>
  <si>
    <t>G0S 1G0</t>
  </si>
  <si>
    <t>01110955</t>
  </si>
  <si>
    <t>CHU De Montreal - Hopital Saint-Luc Du Chum</t>
  </si>
  <si>
    <t>00202920</t>
  </si>
  <si>
    <t>CSSS De Rimouski-Neigette - Hopital Regional De Rimouski</t>
  </si>
  <si>
    <t>G5L 7X6</t>
  </si>
  <si>
    <t>01110957</t>
  </si>
  <si>
    <t>Non-hospital medical facility</t>
  </si>
  <si>
    <t>H1G 6B5</t>
  </si>
  <si>
    <t>03305580</t>
  </si>
  <si>
    <t>J7V 9X6</t>
  </si>
  <si>
    <t>03305581</t>
  </si>
  <si>
    <t>H3X 3V3</t>
  </si>
  <si>
    <t>03305585</t>
  </si>
  <si>
    <t>H7N 4E8</t>
  </si>
  <si>
    <t>01405703</t>
  </si>
  <si>
    <t>J0L 2H0</t>
  </si>
  <si>
    <t>01405705</t>
  </si>
  <si>
    <t>G9B 0R3</t>
  </si>
  <si>
    <t>01405706</t>
  </si>
  <si>
    <t>03305591</t>
  </si>
  <si>
    <t>J0P 1S0</t>
  </si>
  <si>
    <t>01110722</t>
  </si>
  <si>
    <t>CSSS Du Haut-Saint-Maurice</t>
  </si>
  <si>
    <t>G9X 3B6</t>
  </si>
  <si>
    <t>01405707</t>
  </si>
  <si>
    <t>H1Z 3T1</t>
  </si>
  <si>
    <t>03305593</t>
  </si>
  <si>
    <t>J0K 3B0</t>
  </si>
  <si>
    <t>01110728</t>
  </si>
  <si>
    <t>03305595</t>
  </si>
  <si>
    <t>H9A 2W1</t>
  </si>
  <si>
    <t>03305596</t>
  </si>
  <si>
    <t>J6W 3V6</t>
  </si>
  <si>
    <t>00202925</t>
  </si>
  <si>
    <t>CSSS De Riviere-Du-Loup - CH Regional Du Grand-Portage</t>
  </si>
  <si>
    <t>G0C 1E0</t>
  </si>
  <si>
    <t>01110729</t>
  </si>
  <si>
    <t>J5W 3P7</t>
  </si>
  <si>
    <t>03305597</t>
  </si>
  <si>
    <t>H1W 2T3</t>
  </si>
  <si>
    <t>01405715</t>
  </si>
  <si>
    <t>H8N 1P2</t>
  </si>
  <si>
    <t>00300982</t>
  </si>
  <si>
    <t>J2G 4E1</t>
  </si>
  <si>
    <t>01110758</t>
  </si>
  <si>
    <t>CSSS Pierre-De Saurel - Hotel-Dieu De Sorel</t>
  </si>
  <si>
    <t>J3R 3J2</t>
  </si>
  <si>
    <t>03305607</t>
  </si>
  <si>
    <t>H8Z 1X6</t>
  </si>
  <si>
    <t>01110774</t>
  </si>
  <si>
    <t>CSSS Pierre-Boucher - Hopital Pierre-Boucher</t>
  </si>
  <si>
    <t>J3H 3Z8</t>
  </si>
  <si>
    <t>01110775</t>
  </si>
  <si>
    <t>J5Z 3W1</t>
  </si>
  <si>
    <t>03305608</t>
  </si>
  <si>
    <t>H3G 1A3</t>
  </si>
  <si>
    <t>01110776</t>
  </si>
  <si>
    <t>J3P 4H1</t>
  </si>
  <si>
    <t>03305610</t>
  </si>
  <si>
    <t>H8N 1V6</t>
  </si>
  <si>
    <t>03400727</t>
  </si>
  <si>
    <t>H8N 2T4</t>
  </si>
  <si>
    <t>00300984</t>
  </si>
  <si>
    <t>J0E 1Z0</t>
  </si>
  <si>
    <t>01110783</t>
  </si>
  <si>
    <t>H2E 1G5</t>
  </si>
  <si>
    <t>03305612</t>
  </si>
  <si>
    <t>G8T 5C3</t>
  </si>
  <si>
    <t>03305613</t>
  </si>
  <si>
    <t>J6R 2L1</t>
  </si>
  <si>
    <t>00300986</t>
  </si>
  <si>
    <t>J2B 5o2</t>
  </si>
  <si>
    <t>03305618</t>
  </si>
  <si>
    <t>H7C 1G4</t>
  </si>
  <si>
    <t>03305619</t>
  </si>
  <si>
    <t>H4E 4E6</t>
  </si>
  <si>
    <t>03305626</t>
  </si>
  <si>
    <t>J3P 1C3</t>
  </si>
  <si>
    <t>03305627</t>
  </si>
  <si>
    <t>J2W 0C8</t>
  </si>
  <si>
    <t>03305631</t>
  </si>
  <si>
    <t>J6Z 4S3</t>
  </si>
  <si>
    <t>01110864</t>
  </si>
  <si>
    <t>J3B 6S3</t>
  </si>
  <si>
    <t>01110865</t>
  </si>
  <si>
    <t>J7Y 0J7</t>
  </si>
  <si>
    <t>01405744</t>
  </si>
  <si>
    <t>H7R 3X8</t>
  </si>
  <si>
    <t>03305635</t>
  </si>
  <si>
    <t>H4L 3P8</t>
  </si>
  <si>
    <t>01110866</t>
  </si>
  <si>
    <t>Hopital Maisonneuve-Rosemont (Tertiary)</t>
  </si>
  <si>
    <t>H1Z 3Z4</t>
  </si>
  <si>
    <t>03305636</t>
  </si>
  <si>
    <t>J8Y 4C7</t>
  </si>
  <si>
    <t>03400645</t>
  </si>
  <si>
    <t>J3V 1S7</t>
  </si>
  <si>
    <t>01110868</t>
  </si>
  <si>
    <t>J7Z 0G7</t>
  </si>
  <si>
    <t>01405822</t>
  </si>
  <si>
    <t>J2B 5R2</t>
  </si>
  <si>
    <t>03305637</t>
  </si>
  <si>
    <t>H4M 1A1</t>
  </si>
  <si>
    <t>03305638</t>
  </si>
  <si>
    <t>Centre De Sante Tulattavik De L'Ungava</t>
  </si>
  <si>
    <t>J0M 1G0</t>
  </si>
  <si>
    <t>01110871</t>
  </si>
  <si>
    <t>J4G 1Z4</t>
  </si>
  <si>
    <t>03305639</t>
  </si>
  <si>
    <t>J6Y 1N3</t>
  </si>
  <si>
    <t>01405750</t>
  </si>
  <si>
    <t>H3K 2H8</t>
  </si>
  <si>
    <t>00300991</t>
  </si>
  <si>
    <t>CSSS Richelieu-Yamaska - Hopital Honore-Mercier</t>
  </si>
  <si>
    <t>J0H 1A0</t>
  </si>
  <si>
    <t>01110858</t>
  </si>
  <si>
    <t>J0P 1B0</t>
  </si>
  <si>
    <t>01110950</t>
  </si>
  <si>
    <t>Hopital Maisonneuve-Rosemont</t>
  </si>
  <si>
    <t>H1S 1T6</t>
  </si>
  <si>
    <t>03305643</t>
  </si>
  <si>
    <t>H1G 5E4</t>
  </si>
  <si>
    <t>03305644</t>
  </si>
  <si>
    <t>J2A 0N5</t>
  </si>
  <si>
    <t>03305645</t>
  </si>
  <si>
    <t>J0J 1L0</t>
  </si>
  <si>
    <t>01110877</t>
  </si>
  <si>
    <t>03305646</t>
  </si>
  <si>
    <t>01110891</t>
  </si>
  <si>
    <t>J3L 5E8</t>
  </si>
  <si>
    <t>03305647</t>
  </si>
  <si>
    <t>H3L 3K5</t>
  </si>
  <si>
    <t>03400659</t>
  </si>
  <si>
    <t>01110907</t>
  </si>
  <si>
    <t>H4G 1B4</t>
  </si>
  <si>
    <t>03305648</t>
  </si>
  <si>
    <t>J4L 2M6</t>
  </si>
  <si>
    <t>03305650</t>
  </si>
  <si>
    <t>H7K 3J3</t>
  </si>
  <si>
    <t>01110903</t>
  </si>
  <si>
    <t>J7V 9M7</t>
  </si>
  <si>
    <t>03305655</t>
  </si>
  <si>
    <t>H8S 1R4</t>
  </si>
  <si>
    <t>03305656</t>
  </si>
  <si>
    <t>J4L 2G6</t>
  </si>
  <si>
    <t>00202944</t>
  </si>
  <si>
    <t>CHUQ - Pavillon Saint-Francois D'Assise</t>
  </si>
  <si>
    <t>H1L 1H1</t>
  </si>
  <si>
    <t>01110904</t>
  </si>
  <si>
    <t>J0L 1P0</t>
  </si>
  <si>
    <t>01110906</t>
  </si>
  <si>
    <t>H1G 3S1</t>
  </si>
  <si>
    <t>01110910</t>
  </si>
  <si>
    <t>J7V 4H7</t>
  </si>
  <si>
    <t>03305660</t>
  </si>
  <si>
    <t>J5L 2G1</t>
  </si>
  <si>
    <t>01110911</t>
  </si>
  <si>
    <t>H1H 1G9</t>
  </si>
  <si>
    <t>01110912</t>
  </si>
  <si>
    <t>H7A 4E3</t>
  </si>
  <si>
    <t>01405762</t>
  </si>
  <si>
    <t>H1M 2R5</t>
  </si>
  <si>
    <t>01405763</t>
  </si>
  <si>
    <t>H7T 1M4</t>
  </si>
  <si>
    <t>01405764</t>
  </si>
  <si>
    <t>J7J 0S2</t>
  </si>
  <si>
    <t>01405765</t>
  </si>
  <si>
    <t>03400648</t>
  </si>
  <si>
    <t>H8N 2G3</t>
  </si>
  <si>
    <t>03305666</t>
  </si>
  <si>
    <t>CHU De Montreal - Hopital Notre-Dame Du Chum</t>
  </si>
  <si>
    <t>H2J 2R6</t>
  </si>
  <si>
    <t>03305667</t>
  </si>
  <si>
    <t>H7V 3R9</t>
  </si>
  <si>
    <t>01110914</t>
  </si>
  <si>
    <t>CSSS Des Sommets - Hopital Laurentien</t>
  </si>
  <si>
    <t>J0T 1M0</t>
  </si>
  <si>
    <t>01405770</t>
  </si>
  <si>
    <t>J6W 5W5</t>
  </si>
  <si>
    <t>03305669</t>
  </si>
  <si>
    <t>H7H 2R5</t>
  </si>
  <si>
    <t>03305671</t>
  </si>
  <si>
    <t>J5J 0M6</t>
  </si>
  <si>
    <t>03305672</t>
  </si>
  <si>
    <t>H8G 3G6</t>
  </si>
  <si>
    <t>01110932</t>
  </si>
  <si>
    <t>J3X 2H9</t>
  </si>
  <si>
    <t>01405777</t>
  </si>
  <si>
    <t>03305674</t>
  </si>
  <si>
    <t>J4W 2P9</t>
  </si>
  <si>
    <t>03305675</t>
  </si>
  <si>
    <t>J7W 7C8</t>
  </si>
  <si>
    <t>03305676</t>
  </si>
  <si>
    <t>J7C 1S8</t>
  </si>
  <si>
    <t>03305681</t>
  </si>
  <si>
    <t>J3B 1J1</t>
  </si>
  <si>
    <t>03305683</t>
  </si>
  <si>
    <t>H1J 1Y5</t>
  </si>
  <si>
    <t>03305684</t>
  </si>
  <si>
    <t>J7C 2T7</t>
  </si>
  <si>
    <t>01111010</t>
  </si>
  <si>
    <t>J2W 2X1</t>
  </si>
  <si>
    <t>03305685</t>
  </si>
  <si>
    <t>J3P 1H2</t>
  </si>
  <si>
    <t>00301000</t>
  </si>
  <si>
    <t>J2H 3A6</t>
  </si>
  <si>
    <t>03305687</t>
  </si>
  <si>
    <t>J5A 2H1</t>
  </si>
  <si>
    <t>03305688</t>
  </si>
  <si>
    <t>J4L 2R5</t>
  </si>
  <si>
    <t>03305689</t>
  </si>
  <si>
    <t>H7N 6E6</t>
  </si>
  <si>
    <t>03305692</t>
  </si>
  <si>
    <t>H2B 2S3</t>
  </si>
  <si>
    <t>03305693</t>
  </si>
  <si>
    <t>H8Y 2T8</t>
  </si>
  <si>
    <t>03305697</t>
  </si>
  <si>
    <t>J4L 4C8</t>
  </si>
  <si>
    <t>01111033</t>
  </si>
  <si>
    <t>J0B 1X0</t>
  </si>
  <si>
    <t>01405786</t>
  </si>
  <si>
    <t>US Hospital</t>
  </si>
  <si>
    <t>H4R 3J6</t>
  </si>
  <si>
    <t>03305698</t>
  </si>
  <si>
    <t>J7P 1X7</t>
  </si>
  <si>
    <t>01110930</t>
  </si>
  <si>
    <t>J5W 0E9</t>
  </si>
  <si>
    <t>01405787</t>
  </si>
  <si>
    <t>J7T 2X7</t>
  </si>
  <si>
    <t>01405789</t>
  </si>
  <si>
    <t>H4H 1W5</t>
  </si>
  <si>
    <t>01405790</t>
  </si>
  <si>
    <t>03305699</t>
  </si>
  <si>
    <t>H2T 2E5</t>
  </si>
  <si>
    <t>03305702</t>
  </si>
  <si>
    <t>J0M 1R0</t>
  </si>
  <si>
    <t>01110935</t>
  </si>
  <si>
    <t>J7C 5J7</t>
  </si>
  <si>
    <t>03305706</t>
  </si>
  <si>
    <t>H8T 2V1</t>
  </si>
  <si>
    <t>00202962</t>
  </si>
  <si>
    <t>CSSS De Chicoutimi - Hopital De Chicoutimi</t>
  </si>
  <si>
    <t>G7S 2H5</t>
  </si>
  <si>
    <t>01110964</t>
  </si>
  <si>
    <t>H7W 2S1</t>
  </si>
  <si>
    <t>03305710</t>
  </si>
  <si>
    <t>J7K 3N7</t>
  </si>
  <si>
    <t>01110966</t>
  </si>
  <si>
    <t>03305712</t>
  </si>
  <si>
    <t>J9L 0J6</t>
  </si>
  <si>
    <t>03305713</t>
  </si>
  <si>
    <t>J0G 1A0</t>
  </si>
  <si>
    <t>01405797</t>
  </si>
  <si>
    <t>H7G 4M1</t>
  </si>
  <si>
    <t>01110997</t>
  </si>
  <si>
    <t>CSSS Les Eskers De L'Abitibi - CH Hotel-Dieu D'Amos</t>
  </si>
  <si>
    <t>J0Y 1X0</t>
  </si>
  <si>
    <t>03305715</t>
  </si>
  <si>
    <t>J7R 3N9</t>
  </si>
  <si>
    <t>03305716</t>
  </si>
  <si>
    <t>H1H 2P1</t>
  </si>
  <si>
    <t>00300953</t>
  </si>
  <si>
    <t>CSSS La Pommeraie - Hopital Brome-Missisquoi-Perkins</t>
  </si>
  <si>
    <t>J0J 1C0</t>
  </si>
  <si>
    <t>00300954</t>
  </si>
  <si>
    <t>01110999</t>
  </si>
  <si>
    <t>J7R 7K7</t>
  </si>
  <si>
    <t>03305719</t>
  </si>
  <si>
    <t>H1G 3L5</t>
  </si>
  <si>
    <t>03400666</t>
  </si>
  <si>
    <t>J6K 0B7</t>
  </si>
  <si>
    <t>01111002</t>
  </si>
  <si>
    <t>J4R 2L6</t>
  </si>
  <si>
    <t>01405802</t>
  </si>
  <si>
    <t>Non-medical facility</t>
  </si>
  <si>
    <t>H3M 3G3</t>
  </si>
  <si>
    <t>03305723</t>
  </si>
  <si>
    <t>H1H 3S4</t>
  </si>
  <si>
    <t>01111007</t>
  </si>
  <si>
    <t>H8Y 2Y8</t>
  </si>
  <si>
    <t>01110942</t>
  </si>
  <si>
    <t>J3B 1C1</t>
  </si>
  <si>
    <t>01111009</t>
  </si>
  <si>
    <t>H7W 0C5</t>
  </si>
  <si>
    <t>03305729</t>
  </si>
  <si>
    <t>H8N 2E6</t>
  </si>
  <si>
    <t>03305730</t>
  </si>
  <si>
    <t>J3E 1A3</t>
  </si>
  <si>
    <t>01111079</t>
  </si>
  <si>
    <t>03305731</t>
  </si>
  <si>
    <t>H4N 0C1</t>
  </si>
  <si>
    <t>03305732</t>
  </si>
  <si>
    <t>J5R 6S4</t>
  </si>
  <si>
    <t>00202968</t>
  </si>
  <si>
    <t>CSSS De La Baie-Des-Chaleurs - Hopital De Maria</t>
  </si>
  <si>
    <t>G0C 2R0</t>
  </si>
  <si>
    <t>00202969</t>
  </si>
  <si>
    <t>00301010</t>
  </si>
  <si>
    <t>J2G 7S6</t>
  </si>
  <si>
    <t>03305734</t>
  </si>
  <si>
    <t>J0M 1J0</t>
  </si>
  <si>
    <t>03305735</t>
  </si>
  <si>
    <t>03305737</t>
  </si>
  <si>
    <t>J0L 2K0</t>
  </si>
  <si>
    <t>01111125</t>
  </si>
  <si>
    <t>H2R 2R8</t>
  </si>
  <si>
    <t>03305738</t>
  </si>
  <si>
    <t>H4W 1P6</t>
  </si>
  <si>
    <t>03400654</t>
  </si>
  <si>
    <t>J6A 7A2</t>
  </si>
  <si>
    <t>03305740</t>
  </si>
  <si>
    <t>J4Y 1R8</t>
  </si>
  <si>
    <t>03305741</t>
  </si>
  <si>
    <t>J0L 2L0</t>
  </si>
  <si>
    <t>01111131</t>
  </si>
  <si>
    <t>J0P 1Y0</t>
  </si>
  <si>
    <t>01111132</t>
  </si>
  <si>
    <t>J0R 1Y6</t>
  </si>
  <si>
    <t>01111133</t>
  </si>
  <si>
    <t>03305742</t>
  </si>
  <si>
    <t>H1G 1S2</t>
  </si>
  <si>
    <t>03305743</t>
  </si>
  <si>
    <t>03400662</t>
  </si>
  <si>
    <t>J3B 2X8</t>
  </si>
  <si>
    <t>03400668</t>
  </si>
  <si>
    <t>J2X 5T1</t>
  </si>
  <si>
    <t>01111152</t>
  </si>
  <si>
    <t>G9C 0G2</t>
  </si>
  <si>
    <t>03305752</t>
  </si>
  <si>
    <t>J3G 6T2</t>
  </si>
  <si>
    <t>01111153</t>
  </si>
  <si>
    <t>03305754</t>
  </si>
  <si>
    <t>03305755</t>
  </si>
  <si>
    <t>H8P 1W7</t>
  </si>
  <si>
    <t>01111154</t>
  </si>
  <si>
    <t>J9A 2R9</t>
  </si>
  <si>
    <t>01111157</t>
  </si>
  <si>
    <t>HighFlow</t>
  </si>
  <si>
    <t>J4B 5W9</t>
  </si>
  <si>
    <t>03305756</t>
  </si>
  <si>
    <t>H3K 2N9</t>
  </si>
  <si>
    <t>01111162</t>
  </si>
  <si>
    <t>H1S 2Y5</t>
  </si>
  <si>
    <t>01111164</t>
  </si>
  <si>
    <t>J7B 1N3</t>
  </si>
  <si>
    <t>01111165</t>
  </si>
  <si>
    <t>J3N 1L1</t>
  </si>
  <si>
    <t>01110992</t>
  </si>
  <si>
    <t>H3M 2X6</t>
  </si>
  <si>
    <t>03305766</t>
  </si>
  <si>
    <t>Hopital Chisasibi - Conseil Cri De La SSS De La Baie James</t>
  </si>
  <si>
    <t>01111003</t>
  </si>
  <si>
    <t>H9S 3H9</t>
  </si>
  <si>
    <t>01111043</t>
  </si>
  <si>
    <t>J0C 1M0</t>
  </si>
  <si>
    <t>03305769</t>
  </si>
  <si>
    <t>03305773</t>
  </si>
  <si>
    <t>H1Y 1R4</t>
  </si>
  <si>
    <t>01111006</t>
  </si>
  <si>
    <t>H7R 4P7</t>
  </si>
  <si>
    <t>03305775</t>
  </si>
  <si>
    <t>H4H 2G9</t>
  </si>
  <si>
    <t>03305776</t>
  </si>
  <si>
    <t>Centre De Sante Inuulitsivik</t>
  </si>
  <si>
    <t>J1P 1P0</t>
  </si>
  <si>
    <t>03305777</t>
  </si>
  <si>
    <t>H4W 2T8</t>
  </si>
  <si>
    <t>01111016</t>
  </si>
  <si>
    <t>J3X 1A1</t>
  </si>
  <si>
    <t>01111019</t>
  </si>
  <si>
    <t>G6B 1X4</t>
  </si>
  <si>
    <t>01111022</t>
  </si>
  <si>
    <t>J4Z 2T3</t>
  </si>
  <si>
    <t>01111023</t>
  </si>
  <si>
    <t>J1N 4H5</t>
  </si>
  <si>
    <t>03305780</t>
  </si>
  <si>
    <t>H2N 1W6</t>
  </si>
  <si>
    <t>01111026</t>
  </si>
  <si>
    <t>J7L 3S1</t>
  </si>
  <si>
    <t>03305781</t>
  </si>
  <si>
    <t>H3R 3A9</t>
  </si>
  <si>
    <t>03305784</t>
  </si>
  <si>
    <t>H1E 1M1</t>
  </si>
  <si>
    <t>01405849</t>
  </si>
  <si>
    <t>J8B 2M4</t>
  </si>
  <si>
    <t>01405850</t>
  </si>
  <si>
    <t>J0K 1T0</t>
  </si>
  <si>
    <t>03305785</t>
  </si>
  <si>
    <t>03305788</t>
  </si>
  <si>
    <t>J4X 1X1</t>
  </si>
  <si>
    <t>01405851</t>
  </si>
  <si>
    <t>H1S 1M4</t>
  </si>
  <si>
    <t>01111047</t>
  </si>
  <si>
    <t>H9B 1Y4</t>
  </si>
  <si>
    <t>01111048</t>
  </si>
  <si>
    <t>H4J 2G6</t>
  </si>
  <si>
    <t>01405853</t>
  </si>
  <si>
    <t>J7V 4V8</t>
  </si>
  <si>
    <t>03305792</t>
  </si>
  <si>
    <t>J3L 6G2</t>
  </si>
  <si>
    <t>01111063</t>
  </si>
  <si>
    <t>H7K 1M7</t>
  </si>
  <si>
    <t>03305793</t>
  </si>
  <si>
    <t>H2S 2B5</t>
  </si>
  <si>
    <t>03305799</t>
  </si>
  <si>
    <t>H1E 7G9</t>
  </si>
  <si>
    <t>03400664</t>
  </si>
  <si>
    <t>J9Y 0E6</t>
  </si>
  <si>
    <t>01111103</t>
  </si>
  <si>
    <t>H2N 1V1</t>
  </si>
  <si>
    <t>01408864</t>
  </si>
  <si>
    <t>Jewish General Hospital - L'Hopital General Juif Sir Mortimer B. Davis</t>
  </si>
  <si>
    <t>H2M 1V3</t>
  </si>
  <si>
    <t>03305803</t>
  </si>
  <si>
    <t>J6K 3G7</t>
  </si>
  <si>
    <t>01111075</t>
  </si>
  <si>
    <t>J7Y 3V6</t>
  </si>
  <si>
    <t>01111076</t>
  </si>
  <si>
    <t>J5N 3C5</t>
  </si>
  <si>
    <t>01111094</t>
  </si>
  <si>
    <t>J4L 1J2</t>
  </si>
  <si>
    <t>03305805</t>
  </si>
  <si>
    <t>J5L 2S2</t>
  </si>
  <si>
    <t>01111095</t>
  </si>
  <si>
    <t>J7L 1J1</t>
  </si>
  <si>
    <t>03305809</t>
  </si>
  <si>
    <t>J5T 2V8</t>
  </si>
  <si>
    <t>03305814</t>
  </si>
  <si>
    <t>J3P 0P3</t>
  </si>
  <si>
    <t>03305816</t>
  </si>
  <si>
    <t>H7K 2S5</t>
  </si>
  <si>
    <t>01111099</t>
  </si>
  <si>
    <t>J6T 3C3</t>
  </si>
  <si>
    <t>01111100</t>
  </si>
  <si>
    <t>G6L 0H8</t>
  </si>
  <si>
    <t>00202982</t>
  </si>
  <si>
    <t>CSSS De Charlevoix - Hopital De La Malbaie</t>
  </si>
  <si>
    <t>01111105</t>
  </si>
  <si>
    <t>J7Z 3N9</t>
  </si>
  <si>
    <t>03305820</t>
  </si>
  <si>
    <t>H9H 3P3</t>
  </si>
  <si>
    <t>01111107</t>
  </si>
  <si>
    <t>J0K 3L0</t>
  </si>
  <si>
    <t>03305821</t>
  </si>
  <si>
    <t>H8Z 1C2</t>
  </si>
  <si>
    <t>01111109</t>
  </si>
  <si>
    <t>J5M 2W6</t>
  </si>
  <si>
    <t>03305825</t>
  </si>
  <si>
    <t>J7X 1J4</t>
  </si>
  <si>
    <t>01111120</t>
  </si>
  <si>
    <t>J0V 1B0</t>
  </si>
  <si>
    <t>03305826</t>
  </si>
  <si>
    <t>J6S 1V7</t>
  </si>
  <si>
    <t>03305827</t>
  </si>
  <si>
    <t>J7T 3C1</t>
  </si>
  <si>
    <t>03305833</t>
  </si>
  <si>
    <t>J9T 3X8</t>
  </si>
  <si>
    <t>01111088</t>
  </si>
  <si>
    <t>H2A 2B9</t>
  </si>
  <si>
    <t>01111087</t>
  </si>
  <si>
    <t>J0N 1M0</t>
  </si>
  <si>
    <t>01111089</t>
  </si>
  <si>
    <t>H3L 3L4</t>
  </si>
  <si>
    <t>03305837</t>
  </si>
  <si>
    <t>J0N 1G0</t>
  </si>
  <si>
    <t>03305839</t>
  </si>
  <si>
    <t>J3N 1L6</t>
  </si>
  <si>
    <t>03305840</t>
  </si>
  <si>
    <t>H4C 2Y4</t>
  </si>
  <si>
    <t>01111113</t>
  </si>
  <si>
    <t>J0K 3H0</t>
  </si>
  <si>
    <t>01405888</t>
  </si>
  <si>
    <t>H1H 2S1</t>
  </si>
  <si>
    <t>03305841</t>
  </si>
  <si>
    <t>J2C 0N5</t>
  </si>
  <si>
    <t>01111161</t>
  </si>
  <si>
    <t>H7N 0E7</t>
  </si>
  <si>
    <t>01405891</t>
  </si>
  <si>
    <t>J5X 2Z9</t>
  </si>
  <si>
    <t>03305844</t>
  </si>
  <si>
    <t>H1S 2N4</t>
  </si>
  <si>
    <t>01405894</t>
  </si>
  <si>
    <t>03305845</t>
  </si>
  <si>
    <t>CSSS De La Baie-James - Centre De Sante De Chibougamau</t>
  </si>
  <si>
    <t>G0W 1C0</t>
  </si>
  <si>
    <t>01110945</t>
  </si>
  <si>
    <t>H7P 4Y9</t>
  </si>
  <si>
    <t>01111171</t>
  </si>
  <si>
    <t>J5N 0R2</t>
  </si>
  <si>
    <t>01405896</t>
  </si>
  <si>
    <t>03305851</t>
  </si>
  <si>
    <t>J6T 2M5</t>
  </si>
  <si>
    <t>03305857</t>
  </si>
  <si>
    <t>J0W 1K0</t>
  </si>
  <si>
    <t>01110944</t>
  </si>
  <si>
    <t>J8L 3X4</t>
  </si>
  <si>
    <t>03305853</t>
  </si>
  <si>
    <t>J2Y 1A4</t>
  </si>
  <si>
    <t>03305858</t>
  </si>
  <si>
    <t>J7T 0K6</t>
  </si>
  <si>
    <t>00202990</t>
  </si>
  <si>
    <t>CSSS Domaine-Du-Roy -Hopital, CLSC, Centre D'Hebg. De Roberval</t>
  </si>
  <si>
    <t>G0W 3B0</t>
  </si>
  <si>
    <t>01111176</t>
  </si>
  <si>
    <t>H3E 1C1</t>
  </si>
  <si>
    <t>01111190</t>
  </si>
  <si>
    <t>J7E 1A5</t>
  </si>
  <si>
    <t>01111199</t>
  </si>
  <si>
    <t>03305866</t>
  </si>
  <si>
    <t>H7N 0E8</t>
  </si>
  <si>
    <t>03305867</t>
  </si>
  <si>
    <t>J8A 1W3</t>
  </si>
  <si>
    <t>03305868</t>
  </si>
  <si>
    <t>J9P 0B9</t>
  </si>
  <si>
    <t>01111214</t>
  </si>
  <si>
    <t>J7R 7H6</t>
  </si>
  <si>
    <t>01111221</t>
  </si>
  <si>
    <t>H7A 3J3</t>
  </si>
  <si>
    <t>01111223</t>
  </si>
  <si>
    <t>H7N 2T1</t>
  </si>
  <si>
    <t>03400674</t>
  </si>
  <si>
    <t>J6N 1G6</t>
  </si>
  <si>
    <t>01111222</t>
  </si>
  <si>
    <t>J6X 4M3</t>
  </si>
  <si>
    <t>01405900</t>
  </si>
  <si>
    <t>H2M 1T5</t>
  </si>
  <si>
    <t>00301027</t>
  </si>
  <si>
    <t>G9T 4J7</t>
  </si>
  <si>
    <t>03305875</t>
  </si>
  <si>
    <t>H1K 1B3</t>
  </si>
  <si>
    <t>01111238</t>
  </si>
  <si>
    <t>H0M 1A0</t>
  </si>
  <si>
    <t>01405906</t>
  </si>
  <si>
    <t>H7C 1Z5</t>
  </si>
  <si>
    <t>01111261</t>
  </si>
  <si>
    <t>03305881</t>
  </si>
  <si>
    <t>J4B 0C7</t>
  </si>
  <si>
    <t>03305882</t>
  </si>
  <si>
    <t>H1W 1W2</t>
  </si>
  <si>
    <t>03305883</t>
  </si>
  <si>
    <t>J0J 1V0</t>
  </si>
  <si>
    <t>00301031</t>
  </si>
  <si>
    <t>J2L 1H3</t>
  </si>
  <si>
    <t>00301033</t>
  </si>
  <si>
    <t>J0S 1V0</t>
  </si>
  <si>
    <t>01111268</t>
  </si>
  <si>
    <t>J7N 0S9</t>
  </si>
  <si>
    <t>01110946</t>
  </si>
  <si>
    <t>H7T 0C3</t>
  </si>
  <si>
    <t>01111182</t>
  </si>
  <si>
    <t>J7P 1M5</t>
  </si>
  <si>
    <t>01111269</t>
  </si>
  <si>
    <t>J5M 0G9</t>
  </si>
  <si>
    <t>01111270</t>
  </si>
  <si>
    <t>J9J 0L2</t>
  </si>
  <si>
    <t>03305886</t>
  </si>
  <si>
    <t>J7W 5A6</t>
  </si>
  <si>
    <t>03305887</t>
  </si>
  <si>
    <t>J0G 1J0</t>
  </si>
  <si>
    <t>01111280</t>
  </si>
  <si>
    <t>H7N 4Z7</t>
  </si>
  <si>
    <t>01405911</t>
  </si>
  <si>
    <t>J7X 0C1</t>
  </si>
  <si>
    <t>03305888</t>
  </si>
  <si>
    <t>J8A 0G9</t>
  </si>
  <si>
    <t>00202997</t>
  </si>
  <si>
    <t>J2B 1C1</t>
  </si>
  <si>
    <t>01405901</t>
  </si>
  <si>
    <t>H1R 2L8</t>
  </si>
  <si>
    <t>01111290</t>
  </si>
  <si>
    <t>J4V 1L7</t>
  </si>
  <si>
    <t>03305892</t>
  </si>
  <si>
    <t>J0T 2L0</t>
  </si>
  <si>
    <t>01111292</t>
  </si>
  <si>
    <t>J0K 1B0</t>
  </si>
  <si>
    <t>01111303</t>
  </si>
  <si>
    <t>J7K 3C2</t>
  </si>
  <si>
    <t>01111315</t>
  </si>
  <si>
    <t>H1W 0C2</t>
  </si>
  <si>
    <t>01405916</t>
  </si>
  <si>
    <t>H1G 4M8</t>
  </si>
  <si>
    <t>03305895</t>
  </si>
  <si>
    <t>H4E 3X8</t>
  </si>
  <si>
    <t>01111319</t>
  </si>
  <si>
    <t>J6V 1A3</t>
  </si>
  <si>
    <t>01111320</t>
  </si>
  <si>
    <t>J7K 0W1</t>
  </si>
  <si>
    <t>01111183</t>
  </si>
  <si>
    <t>01111337</t>
  </si>
  <si>
    <t>J0W 1G0</t>
  </si>
  <si>
    <t>03305900</t>
  </si>
  <si>
    <t>J0H 1G0</t>
  </si>
  <si>
    <t>01111314</t>
  </si>
  <si>
    <t>03305903</t>
  </si>
  <si>
    <t>H9R 3T8</t>
  </si>
  <si>
    <t>01111141</t>
  </si>
  <si>
    <t>J2R 2G3</t>
  </si>
  <si>
    <t>01111143</t>
  </si>
  <si>
    <t>J6A 2S7</t>
  </si>
  <si>
    <t>03305906</t>
  </si>
  <si>
    <t>H9X 4A6</t>
  </si>
  <si>
    <t>03305909</t>
  </si>
  <si>
    <t>H4W 2G9</t>
  </si>
  <si>
    <t>01111146</t>
  </si>
  <si>
    <t>G9N 4H7</t>
  </si>
  <si>
    <t>03305910</t>
  </si>
  <si>
    <t>H8Y 2Y6</t>
  </si>
  <si>
    <t>03305912</t>
  </si>
  <si>
    <t>H8N 3G6</t>
  </si>
  <si>
    <t>01111148</t>
  </si>
  <si>
    <t>J0L 1M0</t>
  </si>
  <si>
    <t>01111158</t>
  </si>
  <si>
    <t>J9X 4E3</t>
  </si>
  <si>
    <t>01111159</t>
  </si>
  <si>
    <t>J0K 1M0</t>
  </si>
  <si>
    <t>01111160</t>
  </si>
  <si>
    <t>J2X 5M2</t>
  </si>
  <si>
    <t>01111163</t>
  </si>
  <si>
    <t>J4T 1A8</t>
  </si>
  <si>
    <t>03305917</t>
  </si>
  <si>
    <t>J0M 1P0</t>
  </si>
  <si>
    <t>03305920</t>
  </si>
  <si>
    <t>H3X 2H5</t>
  </si>
  <si>
    <t>01111172</t>
  </si>
  <si>
    <t>H7P 5W4</t>
  </si>
  <si>
    <t>03305921</t>
  </si>
  <si>
    <t>J3G 6M3</t>
  </si>
  <si>
    <t>01111180</t>
  </si>
  <si>
    <t>j3h 4t7</t>
  </si>
  <si>
    <t>03305923</t>
  </si>
  <si>
    <t>03305926</t>
  </si>
  <si>
    <t>H2S 0B6</t>
  </si>
  <si>
    <t>01111189</t>
  </si>
  <si>
    <t>J5M 2K9</t>
  </si>
  <si>
    <t>01111193</t>
  </si>
  <si>
    <t>J7Y 1W8</t>
  </si>
  <si>
    <t>01111194</t>
  </si>
  <si>
    <t>J4M 1M5</t>
  </si>
  <si>
    <t>03305929</t>
  </si>
  <si>
    <t>J2J 1T3</t>
  </si>
  <si>
    <t>01111196</t>
  </si>
  <si>
    <t>J7N 3C9</t>
  </si>
  <si>
    <t>01111200</t>
  </si>
  <si>
    <t>H2G 2Y7</t>
  </si>
  <si>
    <t>01111201</t>
  </si>
  <si>
    <t>J7Z 1C7</t>
  </si>
  <si>
    <t>01405953</t>
  </si>
  <si>
    <t>CH Regional De Trois-Rivieres - Pavillon Saint-Joseph</t>
  </si>
  <si>
    <t>G0X 1H0</t>
  </si>
  <si>
    <t>03305936</t>
  </si>
  <si>
    <t>H7T 2A4</t>
  </si>
  <si>
    <t>01111205</t>
  </si>
  <si>
    <t>J6S 2G9</t>
  </si>
  <si>
    <t>01111208</t>
  </si>
  <si>
    <t>CSSS Du Rocher-Perce - Hopital De Chandler</t>
  </si>
  <si>
    <t>G0C 1Z0</t>
  </si>
  <si>
    <t>03305937</t>
  </si>
  <si>
    <t>J3M 1P2</t>
  </si>
  <si>
    <t>03400705</t>
  </si>
  <si>
    <t>J0K 2Z0</t>
  </si>
  <si>
    <t>03305941</t>
  </si>
  <si>
    <t>J4J 4M1</t>
  </si>
  <si>
    <t>03305944</t>
  </si>
  <si>
    <t>J0T 2R0</t>
  </si>
  <si>
    <t>03400685</t>
  </si>
  <si>
    <t>G7S 1S6</t>
  </si>
  <si>
    <t>01111210</t>
  </si>
  <si>
    <t>G8Y 4P4</t>
  </si>
  <si>
    <t>01111224</t>
  </si>
  <si>
    <t>J4H 2V9</t>
  </si>
  <si>
    <t>01111225</t>
  </si>
  <si>
    <t>J4J 4X6</t>
  </si>
  <si>
    <t>03305945</t>
  </si>
  <si>
    <t>H2P 1P1</t>
  </si>
  <si>
    <t>03305946</t>
  </si>
  <si>
    <t>H8R 3S6</t>
  </si>
  <si>
    <t>03305949</t>
  </si>
  <si>
    <t>J2Y 1L5</t>
  </si>
  <si>
    <t>03305952</t>
  </si>
  <si>
    <t>03305957</t>
  </si>
  <si>
    <t>J6N 1N3</t>
  </si>
  <si>
    <t>01111229</t>
  </si>
  <si>
    <t>G8Y 2X8</t>
  </si>
  <si>
    <t>01111230</t>
  </si>
  <si>
    <t>J0N 1E0</t>
  </si>
  <si>
    <t>01111237</t>
  </si>
  <si>
    <t>H3C 0R6</t>
  </si>
  <si>
    <t>01111241</t>
  </si>
  <si>
    <t>J2X 4K6</t>
  </si>
  <si>
    <t>03305963</t>
  </si>
  <si>
    <t>J2X 4Y7</t>
  </si>
  <si>
    <t>00203015</t>
  </si>
  <si>
    <t>CSSS De Beauce - Hopital De Saint-Georges</t>
  </si>
  <si>
    <t>G0M 1Y0</t>
  </si>
  <si>
    <t>01111244</t>
  </si>
  <si>
    <t>J6K 3J8</t>
  </si>
  <si>
    <t>03305966</t>
  </si>
  <si>
    <t>J2X 5S1</t>
  </si>
  <si>
    <t>01405955</t>
  </si>
  <si>
    <t>J3Z 4M3</t>
  </si>
  <si>
    <t>03305967</t>
  </si>
  <si>
    <t>J4Z 3K4</t>
  </si>
  <si>
    <t>03305970</t>
  </si>
  <si>
    <t>H1W 2T5</t>
  </si>
  <si>
    <t>03305971</t>
  </si>
  <si>
    <t>Unknown</t>
  </si>
  <si>
    <t>03305974</t>
  </si>
  <si>
    <t>G8T 8J7</t>
  </si>
  <si>
    <t>03305977</t>
  </si>
  <si>
    <t>J4B 3H5</t>
  </si>
  <si>
    <t>03400677</t>
  </si>
  <si>
    <t>J0K 1N0</t>
  </si>
  <si>
    <t>01111262</t>
  </si>
  <si>
    <t>G9T 2V4</t>
  </si>
  <si>
    <t>01111263</t>
  </si>
  <si>
    <t>N2M 1E6</t>
  </si>
  <si>
    <t>01111271</t>
  </si>
  <si>
    <t>J0K 3E0</t>
  </si>
  <si>
    <t>01111272</t>
  </si>
  <si>
    <t>J7R 7K4</t>
  </si>
  <si>
    <t>01111275</t>
  </si>
  <si>
    <t>H1G 5H5</t>
  </si>
  <si>
    <t>01111281</t>
  </si>
  <si>
    <t>J3P 1P7</t>
  </si>
  <si>
    <t>01111300</t>
  </si>
  <si>
    <t>J7L 0A9</t>
  </si>
  <si>
    <t>03305988</t>
  </si>
  <si>
    <t>H7V 1V5</t>
  </si>
  <si>
    <t>03305989</t>
  </si>
  <si>
    <t>Centre Universitaire De Sante McGill - L'Hopital De Montreal Pour Enfants</t>
  </si>
  <si>
    <t>03305990</t>
  </si>
  <si>
    <t>J7V 8P5</t>
  </si>
  <si>
    <t>03305991</t>
  </si>
  <si>
    <t>H2H 1K8</t>
  </si>
  <si>
    <t>00301045</t>
  </si>
  <si>
    <t>G6P 9A2</t>
  </si>
  <si>
    <t>01111301</t>
  </si>
  <si>
    <t>H7M 4B4</t>
  </si>
  <si>
    <t>01111427</t>
  </si>
  <si>
    <t>J3H 3L6</t>
  </si>
  <si>
    <t>03305996</t>
  </si>
  <si>
    <t>J3L 4B4</t>
  </si>
  <si>
    <t>00301044</t>
  </si>
  <si>
    <t>J1N 2Y2</t>
  </si>
  <si>
    <t>01111306</t>
  </si>
  <si>
    <t>J0T 1V0</t>
  </si>
  <si>
    <t>01111307</t>
  </si>
  <si>
    <t>H4E 3B8</t>
  </si>
  <si>
    <t>01111309</t>
  </si>
  <si>
    <t>J8R 2P6</t>
  </si>
  <si>
    <t>01405965</t>
  </si>
  <si>
    <t>J0M 1N0</t>
  </si>
  <si>
    <t>01111334</t>
  </si>
  <si>
    <t>J3B 2P9</t>
  </si>
  <si>
    <t>01111341</t>
  </si>
  <si>
    <t>J7Y 1Z8</t>
  </si>
  <si>
    <t>03306004</t>
  </si>
  <si>
    <t>J7Z 3V4</t>
  </si>
  <si>
    <t>03306005</t>
  </si>
  <si>
    <t>J0Y 3C0</t>
  </si>
  <si>
    <t>00301046</t>
  </si>
  <si>
    <t>G6P 9N5</t>
  </si>
  <si>
    <t>01405969</t>
  </si>
  <si>
    <t>J5M 0E4</t>
  </si>
  <si>
    <t>01111358</t>
  </si>
  <si>
    <t>J9X 3W3</t>
  </si>
  <si>
    <t>01111359</t>
  </si>
  <si>
    <t>J0L 1N0</t>
  </si>
  <si>
    <t>01111360</t>
  </si>
  <si>
    <t>J7N 1X8</t>
  </si>
  <si>
    <t>03306013</t>
  </si>
  <si>
    <t>H9W 1S5</t>
  </si>
  <si>
    <t>01111184</t>
  </si>
  <si>
    <t>H1H 1M2</t>
  </si>
  <si>
    <t>01111377</t>
  </si>
  <si>
    <t>H7E 1G7</t>
  </si>
  <si>
    <t>03306014</t>
  </si>
  <si>
    <t>H8R 2A7</t>
  </si>
  <si>
    <t>03306015</t>
  </si>
  <si>
    <t>H4K 1A7</t>
  </si>
  <si>
    <t>00301048</t>
  </si>
  <si>
    <t>J2N 3E2</t>
  </si>
  <si>
    <t>01111378</t>
  </si>
  <si>
    <t>J5X 2R1</t>
  </si>
  <si>
    <t>03306016</t>
  </si>
  <si>
    <t>01405979</t>
  </si>
  <si>
    <t>G9B 2R4</t>
  </si>
  <si>
    <t>01405980</t>
  </si>
  <si>
    <t>03306019</t>
  </si>
  <si>
    <t>J0R 1T0</t>
  </si>
  <si>
    <t>03306020</t>
  </si>
  <si>
    <t>H1S 2B8</t>
  </si>
  <si>
    <t>03400695</t>
  </si>
  <si>
    <t>H4R 0E9</t>
  </si>
  <si>
    <t>00301052</t>
  </si>
  <si>
    <t>CSSS Du Haut-Saint-Laurent - Hopital Barrie Memorial</t>
  </si>
  <si>
    <t>J2B 0H6</t>
  </si>
  <si>
    <t>01111417</t>
  </si>
  <si>
    <t>J4L 2R3</t>
  </si>
  <si>
    <t>03306023</t>
  </si>
  <si>
    <t>H4L 0A3</t>
  </si>
  <si>
    <t>01111421</t>
  </si>
  <si>
    <t>03306024</t>
  </si>
  <si>
    <t>J6X 3C5</t>
  </si>
  <si>
    <t>01111455</t>
  </si>
  <si>
    <t>H1H 1K1</t>
  </si>
  <si>
    <t>03306026</t>
  </si>
  <si>
    <t>J3R 2Z9</t>
  </si>
  <si>
    <t>00203281</t>
  </si>
  <si>
    <t>03306028</t>
  </si>
  <si>
    <t>H7G 3A9</t>
  </si>
  <si>
    <t>01111476</t>
  </si>
  <si>
    <t>J4G 1K6</t>
  </si>
  <si>
    <t>03306029</t>
  </si>
  <si>
    <t>H4A 3J1</t>
  </si>
  <si>
    <t>03306030</t>
  </si>
  <si>
    <t>J6S 4C4</t>
  </si>
  <si>
    <t>03306031</t>
  </si>
  <si>
    <t>J7T 1A4</t>
  </si>
  <si>
    <t>03306032</t>
  </si>
  <si>
    <t>J3L 2R7</t>
  </si>
  <si>
    <t>00203037</t>
  </si>
  <si>
    <t>Hotel-Dieu De Levis</t>
  </si>
  <si>
    <t>G0N 1R0</t>
  </si>
  <si>
    <t>03306037</t>
  </si>
  <si>
    <t>H7N 2Z8</t>
  </si>
  <si>
    <t>01111323</t>
  </si>
  <si>
    <t>H7X 0E2</t>
  </si>
  <si>
    <t>03306038</t>
  </si>
  <si>
    <t>03306041</t>
  </si>
  <si>
    <t>J5W 0G7</t>
  </si>
  <si>
    <t>01111325</t>
  </si>
  <si>
    <t>J5M 2R2</t>
  </si>
  <si>
    <t>01111326</t>
  </si>
  <si>
    <t>J2K 2X9</t>
  </si>
  <si>
    <t>03306042</t>
  </si>
  <si>
    <t>J7C 1P4</t>
  </si>
  <si>
    <t>01111327</t>
  </si>
  <si>
    <t>J0K 3K0</t>
  </si>
  <si>
    <t>03306045</t>
  </si>
  <si>
    <t>J7A 4W2</t>
  </si>
  <si>
    <t>03306046</t>
  </si>
  <si>
    <t>H8N 1J2</t>
  </si>
  <si>
    <t>01111372</t>
  </si>
  <si>
    <t>01111373</t>
  </si>
  <si>
    <t>H1L 4K1</t>
  </si>
  <si>
    <t>03306053</t>
  </si>
  <si>
    <t>J6T 2Z6</t>
  </si>
  <si>
    <t>03306056</t>
  </si>
  <si>
    <t>J6E 7C1</t>
  </si>
  <si>
    <t>03306055</t>
  </si>
  <si>
    <t>H8Y 2B2</t>
  </si>
  <si>
    <t>03306063</t>
  </si>
  <si>
    <t>J2P 2P2</t>
  </si>
  <si>
    <t>01111382</t>
  </si>
  <si>
    <t>J6E 6Y8</t>
  </si>
  <si>
    <t>03306064</t>
  </si>
  <si>
    <t>J1H 4C7</t>
  </si>
  <si>
    <t>01111383</t>
  </si>
  <si>
    <t>H1L 4P8</t>
  </si>
  <si>
    <t>03306065</t>
  </si>
  <si>
    <t>J7W 0V8</t>
  </si>
  <si>
    <t>01111384</t>
  </si>
  <si>
    <t>J5Z 4Y5</t>
  </si>
  <si>
    <t>01111403</t>
  </si>
  <si>
    <t>J7M 1H6</t>
  </si>
  <si>
    <t>01111404</t>
  </si>
  <si>
    <t>03306067</t>
  </si>
  <si>
    <t>J0C 1K0</t>
  </si>
  <si>
    <t>00301061</t>
  </si>
  <si>
    <t>CSSS Du Granit</t>
  </si>
  <si>
    <t>G0Y 1E0</t>
  </si>
  <si>
    <t>03306069</t>
  </si>
  <si>
    <t>03306070</t>
  </si>
  <si>
    <t>H4H 2M5</t>
  </si>
  <si>
    <t>03306071</t>
  </si>
  <si>
    <t>J0K 2B0</t>
  </si>
  <si>
    <t>03400696</t>
  </si>
  <si>
    <t>g0c 1j0</t>
  </si>
  <si>
    <t>03400697</t>
  </si>
  <si>
    <t>01111434</t>
  </si>
  <si>
    <t>J3G 3E1</t>
  </si>
  <si>
    <t>01111443</t>
  </si>
  <si>
    <t>J5Y 1C9</t>
  </si>
  <si>
    <t>01111348</t>
  </si>
  <si>
    <t>J3M 1B1</t>
  </si>
  <si>
    <t>01111446</t>
  </si>
  <si>
    <t>H3N 2B6</t>
  </si>
  <si>
    <t>01111447</t>
  </si>
  <si>
    <t>J2T 5J7</t>
  </si>
  <si>
    <t>03306077</t>
  </si>
  <si>
    <t>J3A 1A5</t>
  </si>
  <si>
    <t>03306078</t>
  </si>
  <si>
    <t>J5L 2C6</t>
  </si>
  <si>
    <t>03306079</t>
  </si>
  <si>
    <t>J5R 6V7</t>
  </si>
  <si>
    <t>01111448</t>
  </si>
  <si>
    <t>H7K 1B5</t>
  </si>
  <si>
    <t>03306080</t>
  </si>
  <si>
    <t>H4T 1E3</t>
  </si>
  <si>
    <t>03306081</t>
  </si>
  <si>
    <t>H7P 2N7</t>
  </si>
  <si>
    <t>03306082</t>
  </si>
  <si>
    <t>J3V 1H5</t>
  </si>
  <si>
    <t>03306084</t>
  </si>
  <si>
    <t>CSSS De La Vallee-De-La-Gatineau - Hopital De Maniwaki</t>
  </si>
  <si>
    <t>J9P 5C3</t>
  </si>
  <si>
    <t>03306087</t>
  </si>
  <si>
    <t>01111512</t>
  </si>
  <si>
    <t>G8Z 2T7</t>
  </si>
  <si>
    <t>01111513</t>
  </si>
  <si>
    <t>J7M 2L1</t>
  </si>
  <si>
    <t>01111514</t>
  </si>
  <si>
    <t>J0S 1H0</t>
  </si>
  <si>
    <t>03306088</t>
  </si>
  <si>
    <t>H2S 2R8</t>
  </si>
  <si>
    <t>03306089</t>
  </si>
  <si>
    <t>H9A 3J3</t>
  </si>
  <si>
    <t>03306090</t>
  </si>
  <si>
    <t>H9H 1V2</t>
  </si>
  <si>
    <t>01111523</t>
  </si>
  <si>
    <t>H7G 4S9</t>
  </si>
  <si>
    <t>03400698</t>
  </si>
  <si>
    <t>H8N 1G3</t>
  </si>
  <si>
    <t>01111528</t>
  </si>
  <si>
    <t>J4T 1S6</t>
  </si>
  <si>
    <t>03306094</t>
  </si>
  <si>
    <t>H8Y 2B7</t>
  </si>
  <si>
    <t>00301063</t>
  </si>
  <si>
    <t>G7x 7V6</t>
  </si>
  <si>
    <t>01111556</t>
  </si>
  <si>
    <t>03306096</t>
  </si>
  <si>
    <t>H7W 3J5</t>
  </si>
  <si>
    <t>03306097</t>
  </si>
  <si>
    <t>J7C 4T5</t>
  </si>
  <si>
    <t>03306099</t>
  </si>
  <si>
    <t>H8R 1M7</t>
  </si>
  <si>
    <t>03306101</t>
  </si>
  <si>
    <t>J2B 8A8</t>
  </si>
  <si>
    <t>00301004</t>
  </si>
  <si>
    <t>G9A 2P1</t>
  </si>
  <si>
    <t>01111580</t>
  </si>
  <si>
    <t>H2G 2N1</t>
  </si>
  <si>
    <t>03306105</t>
  </si>
  <si>
    <t>H1G 3Y6</t>
  </si>
  <si>
    <t>03306106</t>
  </si>
  <si>
    <t>H9C 1Y7</t>
  </si>
  <si>
    <t>03306107</t>
  </si>
  <si>
    <t>H1G 1J9</t>
  </si>
  <si>
    <t>03306108</t>
  </si>
  <si>
    <t>H7G 1L8</t>
  </si>
  <si>
    <t>03306110</t>
  </si>
  <si>
    <t>H2A 3L1</t>
  </si>
  <si>
    <t>03400714</t>
  </si>
  <si>
    <t>03306112</t>
  </si>
  <si>
    <t>H7T 2S1</t>
  </si>
  <si>
    <t>03306113</t>
  </si>
  <si>
    <t>H9B 1C5</t>
  </si>
  <si>
    <t>03306114</t>
  </si>
  <si>
    <t>J8X 2S6</t>
  </si>
  <si>
    <t>03306116</t>
  </si>
  <si>
    <t>J3L 2G3</t>
  </si>
  <si>
    <t>01111349</t>
  </si>
  <si>
    <t>J0E 2K0</t>
  </si>
  <si>
    <t>03306117</t>
  </si>
  <si>
    <t>J4J 1G4</t>
  </si>
  <si>
    <t>00301064</t>
  </si>
  <si>
    <t>G6P 4T9</t>
  </si>
  <si>
    <t>01111364</t>
  </si>
  <si>
    <t>H1G 5N6</t>
  </si>
  <si>
    <t>01406025</t>
  </si>
  <si>
    <t>H7A 0H6</t>
  </si>
  <si>
    <t>01406026</t>
  </si>
  <si>
    <t>J6Z 1Y7</t>
  </si>
  <si>
    <t>01406027</t>
  </si>
  <si>
    <t>03400700</t>
  </si>
  <si>
    <t>01111388</t>
  </si>
  <si>
    <t>J0R 1R2</t>
  </si>
  <si>
    <t>03306120</t>
  </si>
  <si>
    <t>J0T 1J0</t>
  </si>
  <si>
    <t>00301066</t>
  </si>
  <si>
    <t>03306122</t>
  </si>
  <si>
    <t>H1L 4S4</t>
  </si>
  <si>
    <t>01111396</t>
  </si>
  <si>
    <t>H1T 1R4</t>
  </si>
  <si>
    <t>01111553</t>
  </si>
  <si>
    <t>J0K 1E0</t>
  </si>
  <si>
    <t>01112000</t>
  </si>
  <si>
    <t>J4T 2C4</t>
  </si>
  <si>
    <t>03400707</t>
  </si>
  <si>
    <t>01111397</t>
  </si>
  <si>
    <t>H1M 2P1</t>
  </si>
  <si>
    <t>03306124</t>
  </si>
  <si>
    <t>J5B 1Z4</t>
  </si>
  <si>
    <t>03306127</t>
  </si>
  <si>
    <t>J7C 3S6</t>
  </si>
  <si>
    <t>01111413</t>
  </si>
  <si>
    <t>J6S 5W2</t>
  </si>
  <si>
    <t>03400701</t>
  </si>
  <si>
    <t>H2J 3P6</t>
  </si>
  <si>
    <t>01111425</t>
  </si>
  <si>
    <t>J6Z 2K8</t>
  </si>
  <si>
    <t>03306133</t>
  </si>
  <si>
    <t>H2R 2G5</t>
  </si>
  <si>
    <t>01111374</t>
  </si>
  <si>
    <t>J4L 1H3</t>
  </si>
  <si>
    <t>01111429</t>
  </si>
  <si>
    <t>03306134</t>
  </si>
  <si>
    <t>J3Y 8L8</t>
  </si>
  <si>
    <t>01111437</t>
  </si>
  <si>
    <t>H2J 3S6</t>
  </si>
  <si>
    <t>01111438</t>
  </si>
  <si>
    <t>J7R 5V4</t>
  </si>
  <si>
    <t>01111439</t>
  </si>
  <si>
    <t>J7M 0K3</t>
  </si>
  <si>
    <t>03306142</t>
  </si>
  <si>
    <t>J7G 2Y9</t>
  </si>
  <si>
    <t>01111440</t>
  </si>
  <si>
    <t>01111441</t>
  </si>
  <si>
    <t>H7G 2Z1</t>
  </si>
  <si>
    <t>01406039</t>
  </si>
  <si>
    <t>H3T 1T5</t>
  </si>
  <si>
    <t>01406047</t>
  </si>
  <si>
    <t>J6S 5P2</t>
  </si>
  <si>
    <t>01111469</t>
  </si>
  <si>
    <t>J3L 4N5</t>
  </si>
  <si>
    <t>01406038</t>
  </si>
  <si>
    <t>H9B 1M9</t>
  </si>
  <si>
    <t>03306153</t>
  </si>
  <si>
    <t>J6T 3X9</t>
  </si>
  <si>
    <t>01111470</t>
  </si>
  <si>
    <t>G9T 0B5</t>
  </si>
  <si>
    <t>00301080</t>
  </si>
  <si>
    <t>J9P 5P1</t>
  </si>
  <si>
    <t>01111473</t>
  </si>
  <si>
    <t>J7N 3E1</t>
  </si>
  <si>
    <t>03306155</t>
  </si>
  <si>
    <t>H1S 2N6</t>
  </si>
  <si>
    <t>01111489</t>
  </si>
  <si>
    <t>J1K 3R9</t>
  </si>
  <si>
    <t>03306161</t>
  </si>
  <si>
    <t>G0C 1W0</t>
  </si>
  <si>
    <t>03306166</t>
  </si>
  <si>
    <t>H9R 5A7</t>
  </si>
  <si>
    <t>03306168</t>
  </si>
  <si>
    <t>J0G 1H0</t>
  </si>
  <si>
    <t>03306170</t>
  </si>
  <si>
    <t>H1X 3P7</t>
  </si>
  <si>
    <t>01111535</t>
  </si>
  <si>
    <t>J3E 3C3</t>
  </si>
  <si>
    <t>01111540</t>
  </si>
  <si>
    <t>J7T 0C3</t>
  </si>
  <si>
    <t>01406056</t>
  </si>
  <si>
    <t>H7T 2V8</t>
  </si>
  <si>
    <t>03306171</t>
  </si>
  <si>
    <t>J8B 1J4</t>
  </si>
  <si>
    <t>03306173</t>
  </si>
  <si>
    <t>J0P 1Z0</t>
  </si>
  <si>
    <t>01111538</t>
  </si>
  <si>
    <t>J5W 2L6</t>
  </si>
  <si>
    <t>03306174</t>
  </si>
  <si>
    <t>01111480</t>
  </si>
  <si>
    <t>H7R 4W1</t>
  </si>
  <si>
    <t>01111821</t>
  </si>
  <si>
    <t>J0K 2R0</t>
  </si>
  <si>
    <t>01406060</t>
  </si>
  <si>
    <t>J4L 4C7</t>
  </si>
  <si>
    <t>01111483</t>
  </si>
  <si>
    <t>03306177</t>
  </si>
  <si>
    <t>J0M 1M0</t>
  </si>
  <si>
    <t>01111488</t>
  </si>
  <si>
    <t>J0N 1H0</t>
  </si>
  <si>
    <t>01111490</t>
  </si>
  <si>
    <t>J0K 1S0</t>
  </si>
  <si>
    <t>03306179</t>
  </si>
  <si>
    <t>01111492</t>
  </si>
  <si>
    <t>J6E 5S1</t>
  </si>
  <si>
    <t>03306182</t>
  </si>
  <si>
    <t>H9C 1L9</t>
  </si>
  <si>
    <t>01111507</t>
  </si>
  <si>
    <t>J8T 3B5</t>
  </si>
  <si>
    <t>01406067</t>
  </si>
  <si>
    <t>H3S 1M2</t>
  </si>
  <si>
    <t>00203086</t>
  </si>
  <si>
    <t>G5V 3K9</t>
  </si>
  <si>
    <t>00203087</t>
  </si>
  <si>
    <t>01111521</t>
  </si>
  <si>
    <t>J3Y 0R5</t>
  </si>
  <si>
    <t>03306187</t>
  </si>
  <si>
    <t>J5Y 0A5</t>
  </si>
  <si>
    <t>03306188</t>
  </si>
  <si>
    <t>J0K 2M0</t>
  </si>
  <si>
    <t>03306189</t>
  </si>
  <si>
    <t>J5R 0H1</t>
  </si>
  <si>
    <t>03400708</t>
  </si>
  <si>
    <t>J9P 0C1</t>
  </si>
  <si>
    <t>01111525</t>
  </si>
  <si>
    <t>J3Y 0S6</t>
  </si>
  <si>
    <t>03306190</t>
  </si>
  <si>
    <t>H4J 1L1</t>
  </si>
  <si>
    <t>03306191</t>
  </si>
  <si>
    <t>H4N 3B5</t>
  </si>
  <si>
    <t>03306195</t>
  </si>
  <si>
    <t>H1B 3N7</t>
  </si>
  <si>
    <t>03400706</t>
  </si>
  <si>
    <t>J0K 2T0</t>
  </si>
  <si>
    <t>03306197</t>
  </si>
  <si>
    <t>J5W 0C6</t>
  </si>
  <si>
    <t>03306198</t>
  </si>
  <si>
    <t>J5Y 3M2</t>
  </si>
  <si>
    <t>01111541</t>
  </si>
  <si>
    <t>J7R 7H3</t>
  </si>
  <si>
    <t>01111542</t>
  </si>
  <si>
    <t>J7C 0L4</t>
  </si>
  <si>
    <t>03306199</t>
  </si>
  <si>
    <t>H1G 6E6</t>
  </si>
  <si>
    <t>01111549</t>
  </si>
  <si>
    <t>G9H 1V1</t>
  </si>
  <si>
    <t>03306204</t>
  </si>
  <si>
    <t>H8N 2K5</t>
  </si>
  <si>
    <t>01111565</t>
  </si>
  <si>
    <t>J5J 1X2</t>
  </si>
  <si>
    <t>03306205</t>
  </si>
  <si>
    <t>H1K 2E5</t>
  </si>
  <si>
    <t>01111568</t>
  </si>
  <si>
    <t>G9A 3J6</t>
  </si>
  <si>
    <t>03306209</t>
  </si>
  <si>
    <t>J0Y 1G0</t>
  </si>
  <si>
    <t>01111571</t>
  </si>
  <si>
    <t>J0G 1T0</t>
  </si>
  <si>
    <t>03306210</t>
  </si>
  <si>
    <t>H4V 2J2</t>
  </si>
  <si>
    <t>00301074</t>
  </si>
  <si>
    <t>J4B 8W3</t>
  </si>
  <si>
    <t>01111574</t>
  </si>
  <si>
    <t>J3P 6A7</t>
  </si>
  <si>
    <t>00203091</t>
  </si>
  <si>
    <t>Campbellton Regional Hospital</t>
  </si>
  <si>
    <t>00203092</t>
  </si>
  <si>
    <t>01111566</t>
  </si>
  <si>
    <t>G9B 1W7</t>
  </si>
  <si>
    <t>01111577</t>
  </si>
  <si>
    <t>H3M 2J9</t>
  </si>
  <si>
    <t>01111578</t>
  </si>
  <si>
    <t>00301075</t>
  </si>
  <si>
    <t>J3R 1J4</t>
  </si>
  <si>
    <t>01111579</t>
  </si>
  <si>
    <t>J4H 2W5</t>
  </si>
  <si>
    <t>03306213</t>
  </si>
  <si>
    <t>G0X 2Y0</t>
  </si>
  <si>
    <t>01111583</t>
  </si>
  <si>
    <t>H4M 2M1</t>
  </si>
  <si>
    <t>03400713</t>
  </si>
  <si>
    <t>J4L 4P9</t>
  </si>
  <si>
    <t>03306217</t>
  </si>
  <si>
    <t>J4T 2P7</t>
  </si>
  <si>
    <t>03306218</t>
  </si>
  <si>
    <t>H7A 2J3</t>
  </si>
  <si>
    <t>03306219</t>
  </si>
  <si>
    <t>J7P 3P6</t>
  </si>
  <si>
    <t>01111594</t>
  </si>
  <si>
    <t>J5X 3K3</t>
  </si>
  <si>
    <t>01111596</t>
  </si>
  <si>
    <t>H1W 2P8</t>
  </si>
  <si>
    <t>03306220</t>
  </si>
  <si>
    <t>H4L 3N9</t>
  </si>
  <si>
    <t>00301076</t>
  </si>
  <si>
    <t>G6L 2M5</t>
  </si>
  <si>
    <t>01406092</t>
  </si>
  <si>
    <t>J7V 0C1</t>
  </si>
  <si>
    <t>Hypertension Preclampsia</t>
  </si>
  <si>
    <r>
      <t/>
    </r>
    <r>
      <rPr>
        <b/>
        <sz val="12"/>
        <color rgb="FF000000"/>
        <rFont val="Aptos Narrow"/>
        <family val="2"/>
      </rPr>
      <t>Major anomaly AND cardiac OR Neuro</t>
    </r>
    <r>
      <rPr>
        <sz val="12"/>
        <color rgb="FF000000"/>
        <rFont val="Aptos Narrow"/>
        <family val="2"/>
      </rPr>
      <t xml:space="preserve"> </t>
    </r>
  </si>
  <si>
    <r>
      <t xml:space="preserve"> </t>
    </r>
    <r>
      <rPr>
        <b/>
        <sz val="12"/>
        <color rgb="FF000000"/>
        <rFont val="Aptos Narrow"/>
        <family val="2"/>
      </rPr>
      <t>&lt;26 wks &amp; conditions 1-2-3 "FALSE"</t>
    </r>
  </si>
  <si>
    <r>
      <t/>
    </r>
    <r>
      <rPr>
        <b/>
        <sz val="12"/>
        <color rgb="FF000000"/>
        <rFont val="Aptos Narrow"/>
        <family val="2"/>
      </rPr>
      <t>&gt;26 wks. &amp; conditions 1-2-3 "FALSE"</t>
    </r>
    <r>
      <rPr>
        <sz val="12"/>
        <color rgb="FF000000"/>
        <rFont val="Aptos Narrow"/>
        <family val="2"/>
      </rPr>
      <t xml:space="preserve"> </t>
    </r>
  </si>
  <si>
    <t>01109917</t>
  </si>
  <si>
    <t>J4W 1V9</t>
  </si>
  <si>
    <t>00202620</t>
  </si>
  <si>
    <t>CSSS De Montmagny-L'Islet - Hopital De Montmagny</t>
  </si>
  <si>
    <t>G5V 3A4</t>
  </si>
  <si>
    <t>01109921</t>
  </si>
  <si>
    <t>H7N 3A6</t>
  </si>
  <si>
    <t>03304695</t>
  </si>
  <si>
    <t>J7Z 1T4</t>
  </si>
  <si>
    <t>03304697</t>
  </si>
  <si>
    <t>H7V 3A2</t>
  </si>
  <si>
    <t>03304698</t>
  </si>
  <si>
    <t>J5R 1N5</t>
  </si>
  <si>
    <t>01109943</t>
  </si>
  <si>
    <t>J0R 1H0</t>
  </si>
  <si>
    <t>03304700</t>
  </si>
  <si>
    <t>J8A 1W6</t>
  </si>
  <si>
    <t>03304701</t>
  </si>
  <si>
    <t>H1P 3E2</t>
  </si>
  <si>
    <t>03304703</t>
  </si>
  <si>
    <t>J5R 3X5</t>
  </si>
  <si>
    <t>03304717</t>
  </si>
  <si>
    <t>H1Y 1S9</t>
  </si>
  <si>
    <t>03304704</t>
  </si>
  <si>
    <t>J3E 1G8</t>
  </si>
  <si>
    <t>01405152</t>
  </si>
  <si>
    <t>H4M 0A4</t>
  </si>
  <si>
    <t>01109948</t>
  </si>
  <si>
    <t>J3B 5Z2</t>
  </si>
  <si>
    <t>03304708</t>
  </si>
  <si>
    <t>H7V 3S1</t>
  </si>
  <si>
    <t>03304718</t>
  </si>
  <si>
    <t>J6X 2R2</t>
  </si>
  <si>
    <t>01405157</t>
  </si>
  <si>
    <t>H1M 2K6</t>
  </si>
  <si>
    <t>03304713</t>
  </si>
  <si>
    <t>J3R 5M5</t>
  </si>
  <si>
    <t>01109949</t>
  </si>
  <si>
    <t>G0X 2R0</t>
  </si>
  <si>
    <t>01405161</t>
  </si>
  <si>
    <t>H7G 4B1</t>
  </si>
  <si>
    <t>03304714</t>
  </si>
  <si>
    <t>H4W 0B8</t>
  </si>
  <si>
    <t>00202641</t>
  </si>
  <si>
    <t>G0R 4A0</t>
  </si>
  <si>
    <t>01109964</t>
  </si>
  <si>
    <t>J6X 0A6</t>
  </si>
  <si>
    <t>01109965</t>
  </si>
  <si>
    <t>G8T 7B2</t>
  </si>
  <si>
    <t>01405162</t>
  </si>
  <si>
    <t>H2M 1J9</t>
  </si>
  <si>
    <t>01405163</t>
  </si>
  <si>
    <t>03304723</t>
  </si>
  <si>
    <t>J6E 2H2</t>
  </si>
  <si>
    <t>01109854</t>
  </si>
  <si>
    <t>01109970</t>
  </si>
  <si>
    <t>J5B 1P6</t>
  </si>
  <si>
    <t>01405165</t>
  </si>
  <si>
    <t>H7L 1Z3</t>
  </si>
  <si>
    <t>03304727</t>
  </si>
  <si>
    <t>H2M 1N1</t>
  </si>
  <si>
    <t>01109851</t>
  </si>
  <si>
    <t>J0P 1T0</t>
  </si>
  <si>
    <t>03304729</t>
  </si>
  <si>
    <t>H3H 1P3</t>
  </si>
  <si>
    <t>03304730</t>
  </si>
  <si>
    <t>J9E 1P9</t>
  </si>
  <si>
    <t>00202644</t>
  </si>
  <si>
    <t>G9N 2Z3</t>
  </si>
  <si>
    <t>03304731</t>
  </si>
  <si>
    <t>J6N 1E6</t>
  </si>
  <si>
    <t>01109837</t>
  </si>
  <si>
    <t>H1N 3C5</t>
  </si>
  <si>
    <t>03304733</t>
  </si>
  <si>
    <t>H1L 2N7</t>
  </si>
  <si>
    <t>03304734</t>
  </si>
  <si>
    <t>J2X 1T9</t>
  </si>
  <si>
    <t>01405170</t>
  </si>
  <si>
    <t>J7J 0B8</t>
  </si>
  <si>
    <t>01109859</t>
  </si>
  <si>
    <t>J5M 2J1</t>
  </si>
  <si>
    <t>00300849</t>
  </si>
  <si>
    <t>J2J 1S6</t>
  </si>
  <si>
    <t>03400551</t>
  </si>
  <si>
    <t>H4J 2G4</t>
  </si>
  <si>
    <t>00202614</t>
  </si>
  <si>
    <t>01109872</t>
  </si>
  <si>
    <t>03304748</t>
  </si>
  <si>
    <t>H9H 1X6</t>
  </si>
  <si>
    <t>00202647</t>
  </si>
  <si>
    <t>G0V 1L0</t>
  </si>
  <si>
    <t>01109873</t>
  </si>
  <si>
    <t>H7W 4J2</t>
  </si>
  <si>
    <t>01405175</t>
  </si>
  <si>
    <t>H4W 1X2</t>
  </si>
  <si>
    <t>01109874</t>
  </si>
  <si>
    <t>J9E 1S3</t>
  </si>
  <si>
    <t>01109876</t>
  </si>
  <si>
    <t>J3A 1N3</t>
  </si>
  <si>
    <t>03304752</t>
  </si>
  <si>
    <t>J0B 1B0</t>
  </si>
  <si>
    <t>00202654</t>
  </si>
  <si>
    <t>G0C 2Z0</t>
  </si>
  <si>
    <t>01405183</t>
  </si>
  <si>
    <t>J6R 2K8</t>
  </si>
  <si>
    <t>01405185</t>
  </si>
  <si>
    <t>H1M 3J5</t>
  </si>
  <si>
    <t>03304757</t>
  </si>
  <si>
    <t>03304758</t>
  </si>
  <si>
    <t>H2P 2J5</t>
  </si>
  <si>
    <t>01109882</t>
  </si>
  <si>
    <t>01405187</t>
  </si>
  <si>
    <t>J8E 2K4</t>
  </si>
  <si>
    <t>01109889</t>
  </si>
  <si>
    <t>01405189</t>
  </si>
  <si>
    <t>01405190</t>
  </si>
  <si>
    <t>03304761</t>
  </si>
  <si>
    <t>H1X 2G6</t>
  </si>
  <si>
    <t>03304763</t>
  </si>
  <si>
    <t>H8R 2R1</t>
  </si>
  <si>
    <t>01109894</t>
  </si>
  <si>
    <t>J7C 5B5</t>
  </si>
  <si>
    <t>01109897</t>
  </si>
  <si>
    <t>H1T 3R2</t>
  </si>
  <si>
    <t>03304765</t>
  </si>
  <si>
    <t>J2X 1J6</t>
  </si>
  <si>
    <t>03304766</t>
  </si>
  <si>
    <t>H4G 1K7</t>
  </si>
  <si>
    <t>00202658</t>
  </si>
  <si>
    <t>G1V 2T7</t>
  </si>
  <si>
    <t>01109907</t>
  </si>
  <si>
    <t>01109910</t>
  </si>
  <si>
    <t>J4H 1V1</t>
  </si>
  <si>
    <t>01109911</t>
  </si>
  <si>
    <t>H7L 6C1</t>
  </si>
  <si>
    <t>01109915</t>
  </si>
  <si>
    <t>J3B 2S9</t>
  </si>
  <si>
    <t>03304771</t>
  </si>
  <si>
    <t>H1S 1A1</t>
  </si>
  <si>
    <t>03304773</t>
  </si>
  <si>
    <t>J3M 1E2</t>
  </si>
  <si>
    <t>03304775</t>
  </si>
  <si>
    <t>H4G 1M4</t>
  </si>
  <si>
    <t>00202660</t>
  </si>
  <si>
    <t>03304778</t>
  </si>
  <si>
    <t>H8Y 1Y6</t>
  </si>
  <si>
    <t>03304780</t>
  </si>
  <si>
    <t>J0K 1W0</t>
  </si>
  <si>
    <t>03304783</t>
  </si>
  <si>
    <t>J9L 0J3</t>
  </si>
  <si>
    <t>03304784</t>
  </si>
  <si>
    <t>G6P 2S1</t>
  </si>
  <si>
    <t>00300855</t>
  </si>
  <si>
    <t>J3B 1S7</t>
  </si>
  <si>
    <t>00300856</t>
  </si>
  <si>
    <t>01109956</t>
  </si>
  <si>
    <t>H7W 2E5</t>
  </si>
  <si>
    <t>01109957</t>
  </si>
  <si>
    <t>01109958</t>
  </si>
  <si>
    <t>J6Y 1G1</t>
  </si>
  <si>
    <t>03304786</t>
  </si>
  <si>
    <t>J4T 1A6</t>
  </si>
  <si>
    <t>03304788</t>
  </si>
  <si>
    <t>03304792</t>
  </si>
  <si>
    <t>03304793</t>
  </si>
  <si>
    <t>03304794</t>
  </si>
  <si>
    <t>J7V 5Z4</t>
  </si>
  <si>
    <t>00202669</t>
  </si>
  <si>
    <t>G1H 4E8</t>
  </si>
  <si>
    <t>01405223</t>
  </si>
  <si>
    <t>J3J 1C6</t>
  </si>
  <si>
    <t>03304796</t>
  </si>
  <si>
    <t>H1C 1J7</t>
  </si>
  <si>
    <t>03304797</t>
  </si>
  <si>
    <t>J3Y 2C9</t>
  </si>
  <si>
    <t>01110024</t>
  </si>
  <si>
    <t>00202670</t>
  </si>
  <si>
    <t>G0C 1J0</t>
  </si>
  <si>
    <t>03304800</t>
  </si>
  <si>
    <t>G9X 4P2</t>
  </si>
  <si>
    <t>03304802</t>
  </si>
  <si>
    <t>J7V 8N2</t>
  </si>
  <si>
    <t>03304804</t>
  </si>
  <si>
    <t>J2X 1M6</t>
  </si>
  <si>
    <t>03400529</t>
  </si>
  <si>
    <t>03304806</t>
  </si>
  <si>
    <t>J0T 1T0</t>
  </si>
  <si>
    <t>01405232</t>
  </si>
  <si>
    <t>J0H 1V0</t>
  </si>
  <si>
    <t>00202683</t>
  </si>
  <si>
    <t>G8P 2L4</t>
  </si>
  <si>
    <t>01109971</t>
  </si>
  <si>
    <t>H7V 2W7</t>
  </si>
  <si>
    <t>01405237</t>
  </si>
  <si>
    <t>J0T 2B0</t>
  </si>
  <si>
    <t>01110084</t>
  </si>
  <si>
    <t>J6J 1R2</t>
  </si>
  <si>
    <t>01110105</t>
  </si>
  <si>
    <t>J5M 0G8</t>
  </si>
  <si>
    <t>00202704</t>
  </si>
  <si>
    <t>G8H 2A9</t>
  </si>
  <si>
    <t>01110104</t>
  </si>
  <si>
    <t>G8T 7P1</t>
  </si>
  <si>
    <t>03304818</t>
  </si>
  <si>
    <t>H8N 1Y3</t>
  </si>
  <si>
    <t>01405240</t>
  </si>
  <si>
    <t>G3L 3L0</t>
  </si>
  <si>
    <t>03304819</t>
  </si>
  <si>
    <t>J6Y 0L3</t>
  </si>
  <si>
    <t>03304820</t>
  </si>
  <si>
    <t>03304821</t>
  </si>
  <si>
    <t>J0Y 3M0</t>
  </si>
  <si>
    <t>01405242</t>
  </si>
  <si>
    <t>J4H 3H7</t>
  </si>
  <si>
    <t>03304823</t>
  </si>
  <si>
    <t>J4K 4X2</t>
  </si>
  <si>
    <t>03304824</t>
  </si>
  <si>
    <t>J2W 2P1</t>
  </si>
  <si>
    <t>03304825</t>
  </si>
  <si>
    <t>H1E 2G2</t>
  </si>
  <si>
    <t>01110142</t>
  </si>
  <si>
    <t>J0Z 1P0</t>
  </si>
  <si>
    <t>03304829</t>
  </si>
  <si>
    <t>H3N 2T2</t>
  </si>
  <si>
    <t>03304830</t>
  </si>
  <si>
    <t>H1L 4B8</t>
  </si>
  <si>
    <t>03304833</t>
  </si>
  <si>
    <t>J8C 3N2</t>
  </si>
  <si>
    <t>03304835</t>
  </si>
  <si>
    <t>J6X 4P3</t>
  </si>
  <si>
    <t>03400517</t>
  </si>
  <si>
    <t>H8Z 1A1</t>
  </si>
  <si>
    <t>03304838</t>
  </si>
  <si>
    <t>H9E 0A4</t>
  </si>
  <si>
    <t>03304839</t>
  </si>
  <si>
    <t>01110145</t>
  </si>
  <si>
    <t>J7N 1J3</t>
  </si>
  <si>
    <t>01110146</t>
  </si>
  <si>
    <t>J5L 0G2</t>
  </si>
  <si>
    <t>01110147</t>
  </si>
  <si>
    <t>J5J 0G9</t>
  </si>
  <si>
    <t>01110149</t>
  </si>
  <si>
    <t>J4Z 2V8</t>
  </si>
  <si>
    <t>00300860</t>
  </si>
  <si>
    <t>01110157</t>
  </si>
  <si>
    <t>J7T 0A2</t>
  </si>
  <si>
    <t>03304842</t>
  </si>
  <si>
    <t>H1J 2C2</t>
  </si>
  <si>
    <t>03304847</t>
  </si>
  <si>
    <t>H1B 2P5</t>
  </si>
  <si>
    <t>03304849</t>
  </si>
  <si>
    <t>H9S 5V4</t>
  </si>
  <si>
    <t>03304850</t>
  </si>
  <si>
    <t>H7W 5N8</t>
  </si>
  <si>
    <t>01109959</t>
  </si>
  <si>
    <t>J2S 2S3</t>
  </si>
  <si>
    <t>01110167</t>
  </si>
  <si>
    <t>J5Z 3G1</t>
  </si>
  <si>
    <t>01110169</t>
  </si>
  <si>
    <t>G9T 1A8</t>
  </si>
  <si>
    <t>01110173</t>
  </si>
  <si>
    <t>H7X 4E1</t>
  </si>
  <si>
    <t>01110174</t>
  </si>
  <si>
    <t>00202675</t>
  </si>
  <si>
    <t>01110175</t>
  </si>
  <si>
    <t>J6S 2B9</t>
  </si>
  <si>
    <t>01110179</t>
  </si>
  <si>
    <t>G8Z 2A6</t>
  </si>
  <si>
    <t>01110180</t>
  </si>
  <si>
    <t>H7E 5J9</t>
  </si>
  <si>
    <t>01110182</t>
  </si>
  <si>
    <t>J7G 1N3</t>
  </si>
  <si>
    <t>03304860</t>
  </si>
  <si>
    <t>03304861</t>
  </si>
  <si>
    <t>J4Z 0B1</t>
  </si>
  <si>
    <t>03304862</t>
  </si>
  <si>
    <t>J6S 5W7</t>
  </si>
  <si>
    <t>03304864</t>
  </si>
  <si>
    <t>J7H 2G1</t>
  </si>
  <si>
    <t>03304865</t>
  </si>
  <si>
    <t>H7N 5J9</t>
  </si>
  <si>
    <t>01110010</t>
  </si>
  <si>
    <t>J3Y 3P7</t>
  </si>
  <si>
    <t>01110011</t>
  </si>
  <si>
    <t>H7A 1H7</t>
  </si>
  <si>
    <t>00202824</t>
  </si>
  <si>
    <t>CSSS De Sept-Iles - Hopital Et Centre D'Hebergement De Sept-Iles</t>
  </si>
  <si>
    <t>G4R 4k2</t>
  </si>
  <si>
    <t>03304869</t>
  </si>
  <si>
    <t>H1G 5V4</t>
  </si>
  <si>
    <t>03304870</t>
  </si>
  <si>
    <t>H4M 2Y1</t>
  </si>
  <si>
    <t>00202825</t>
  </si>
  <si>
    <t>G1K 1N3</t>
  </si>
  <si>
    <t>03304872</t>
  </si>
  <si>
    <t>H9J 2A6</t>
  </si>
  <si>
    <t>03304873</t>
  </si>
  <si>
    <t>J0M 1K0</t>
  </si>
  <si>
    <t>01405269</t>
  </si>
  <si>
    <t>J2X 4K5</t>
  </si>
  <si>
    <t>03304875</t>
  </si>
  <si>
    <t>J7N 0R8</t>
  </si>
  <si>
    <t>01110020</t>
  </si>
  <si>
    <t>H2G 2P5</t>
  </si>
  <si>
    <t>01110022</t>
  </si>
  <si>
    <t>G9B 1A3</t>
  </si>
  <si>
    <t>03304877</t>
  </si>
  <si>
    <t>K1V 2A1</t>
  </si>
  <si>
    <t>03304878</t>
  </si>
  <si>
    <t>J7V 3V5</t>
  </si>
  <si>
    <t>03304879</t>
  </si>
  <si>
    <t>01110029</t>
  </si>
  <si>
    <t>J2W 1E7</t>
  </si>
  <si>
    <t>03400530</t>
  </si>
  <si>
    <t>H1Z 3M5</t>
  </si>
  <si>
    <t>01110031</t>
  </si>
  <si>
    <t>03304880</t>
  </si>
  <si>
    <t>J3P 3T6</t>
  </si>
  <si>
    <t>00202831</t>
  </si>
  <si>
    <t>G1C 0J2</t>
  </si>
  <si>
    <t>03304882</t>
  </si>
  <si>
    <t>J7V 0M7</t>
  </si>
  <si>
    <t>03304883</t>
  </si>
  <si>
    <t>J9P 5B6</t>
  </si>
  <si>
    <t>01405274</t>
  </si>
  <si>
    <t>01405277</t>
  </si>
  <si>
    <t>J7N 2M8</t>
  </si>
  <si>
    <t>03304888</t>
  </si>
  <si>
    <t>J9J 0X9</t>
  </si>
  <si>
    <t>01110027</t>
  </si>
  <si>
    <t>01110047</t>
  </si>
  <si>
    <t>J6K 2A5</t>
  </si>
  <si>
    <t>00300866</t>
  </si>
  <si>
    <t>J0E 1A0</t>
  </si>
  <si>
    <t>03304891</t>
  </si>
  <si>
    <t>J3B 0K2</t>
  </si>
  <si>
    <t>01110050</t>
  </si>
  <si>
    <t>J0L 1C0</t>
  </si>
  <si>
    <t>01405288</t>
  </si>
  <si>
    <t>J7X 1A1</t>
  </si>
  <si>
    <t>03304895</t>
  </si>
  <si>
    <t>J3B 2X4</t>
  </si>
  <si>
    <t>01110052</t>
  </si>
  <si>
    <t>J3G 5H5</t>
  </si>
  <si>
    <t>03304897</t>
  </si>
  <si>
    <t>H2R 2K6</t>
  </si>
  <si>
    <t>03304898</t>
  </si>
  <si>
    <t>H9P 2C7</t>
  </si>
  <si>
    <t>00202845</t>
  </si>
  <si>
    <t>G7B 1P1</t>
  </si>
  <si>
    <t>01110026</t>
  </si>
  <si>
    <t>J7Z 5L8</t>
  </si>
  <si>
    <t>01110063</t>
  </si>
  <si>
    <t>03304901</t>
  </si>
  <si>
    <t>H1W 1W4</t>
  </si>
  <si>
    <t>01110069</t>
  </si>
  <si>
    <t>01110071</t>
  </si>
  <si>
    <t>H7M 5N4</t>
  </si>
  <si>
    <t>03304904</t>
  </si>
  <si>
    <t>J5K 2C1</t>
  </si>
  <si>
    <t>00202847</t>
  </si>
  <si>
    <t>G0L 2Y0</t>
  </si>
  <si>
    <t>00202848</t>
  </si>
  <si>
    <t>00300867</t>
  </si>
  <si>
    <t>G9A 1J7</t>
  </si>
  <si>
    <t>01110095</t>
  </si>
  <si>
    <t>H7M 1E8</t>
  </si>
  <si>
    <t>01110097</t>
  </si>
  <si>
    <t>J8P 1H9</t>
  </si>
  <si>
    <t>03304910</t>
  </si>
  <si>
    <t>H1G 1M5</t>
  </si>
  <si>
    <t>03304911</t>
  </si>
  <si>
    <t>J3L 0M5</t>
  </si>
  <si>
    <t>00300869</t>
  </si>
  <si>
    <t>J2G 5P2</t>
  </si>
  <si>
    <t>00300870</t>
  </si>
  <si>
    <t>01110099</t>
  </si>
  <si>
    <t>G8Z 1P1</t>
  </si>
  <si>
    <t>03304913</t>
  </si>
  <si>
    <t>H8S 1E2</t>
  </si>
  <si>
    <t>03304914</t>
  </si>
  <si>
    <t>J2L 5L8</t>
  </si>
  <si>
    <t>01110101</t>
  </si>
  <si>
    <t>01405303</t>
  </si>
  <si>
    <t>H1Z 3K9</t>
  </si>
  <si>
    <t>01405304</t>
  </si>
  <si>
    <t>01110126</t>
  </si>
  <si>
    <t>J4K 4T8</t>
  </si>
  <si>
    <t>03400552</t>
  </si>
  <si>
    <t>H7C 2T7</t>
  </si>
  <si>
    <t>01110129</t>
  </si>
  <si>
    <t>J4V 2R5</t>
  </si>
  <si>
    <t>01110131</t>
  </si>
  <si>
    <t>J3P 8B5</t>
  </si>
  <si>
    <t>01110133</t>
  </si>
  <si>
    <t>H3C 1Y8</t>
  </si>
  <si>
    <t>03304919</t>
  </si>
  <si>
    <t>03304921</t>
  </si>
  <si>
    <t>H4G 1R5</t>
  </si>
  <si>
    <t>03304924</t>
  </si>
  <si>
    <t>H8Z 1V9</t>
  </si>
  <si>
    <t>03304927</t>
  </si>
  <si>
    <t>H2K 4J8</t>
  </si>
  <si>
    <t>01110209</t>
  </si>
  <si>
    <t>J9Z 1R2</t>
  </si>
  <si>
    <t>01405311</t>
  </si>
  <si>
    <t>J7C 2K8</t>
  </si>
  <si>
    <t>01110156</t>
  </si>
  <si>
    <t>H1Y 2L6</t>
  </si>
  <si>
    <t>01405313</t>
  </si>
  <si>
    <t>J0T 2T0</t>
  </si>
  <si>
    <t>03304930</t>
  </si>
  <si>
    <t>H7K 3N6</t>
  </si>
  <si>
    <t>03304934</t>
  </si>
  <si>
    <t>J9P 6L8</t>
  </si>
  <si>
    <t>01110159</t>
  </si>
  <si>
    <t>H9C 1Z2</t>
  </si>
  <si>
    <t>03304936</t>
  </si>
  <si>
    <t>H8N 1G1</t>
  </si>
  <si>
    <t>03304938</t>
  </si>
  <si>
    <t>J3E 2G8</t>
  </si>
  <si>
    <t>03304939</t>
  </si>
  <si>
    <t>00202867</t>
  </si>
  <si>
    <t>G0W 1H0</t>
  </si>
  <si>
    <t>01405319</t>
  </si>
  <si>
    <t>H1Z 1X6</t>
  </si>
  <si>
    <t>03304942</t>
  </si>
  <si>
    <t>03304943</t>
  </si>
  <si>
    <t>J7V 1E3</t>
  </si>
  <si>
    <t>01109995</t>
  </si>
  <si>
    <t>H1H 3P2</t>
  </si>
  <si>
    <t>00202868</t>
  </si>
  <si>
    <t>G1M 2R2</t>
  </si>
  <si>
    <t>03304944</t>
  </si>
  <si>
    <t>J0Z 3J0</t>
  </si>
  <si>
    <t>03304945</t>
  </si>
  <si>
    <t>03400531</t>
  </si>
  <si>
    <t>CSSS Des Collines - CH Gatineau Memorial</t>
  </si>
  <si>
    <t>J9H 0H7</t>
  </si>
  <si>
    <t>01110003</t>
  </si>
  <si>
    <t>01405332</t>
  </si>
  <si>
    <t>J3R 5G6</t>
  </si>
  <si>
    <t>01405333</t>
  </si>
  <si>
    <t>H7G 4R3</t>
  </si>
  <si>
    <t>01110017</t>
  </si>
  <si>
    <t>J5V 1Y5</t>
  </si>
  <si>
    <t>03304949</t>
  </si>
  <si>
    <t>H3M 1J9</t>
  </si>
  <si>
    <t>03304950</t>
  </si>
  <si>
    <t>J7N 0V9</t>
  </si>
  <si>
    <t>01110040</t>
  </si>
  <si>
    <t>H2V 2K1</t>
  </si>
  <si>
    <t>03304951</t>
  </si>
  <si>
    <t>J6W 3R3</t>
  </si>
  <si>
    <t>03304952</t>
  </si>
  <si>
    <t>H8S 3K9</t>
  </si>
  <si>
    <t>01110043</t>
  </si>
  <si>
    <t>01110056</t>
  </si>
  <si>
    <t>J5T 1R5</t>
  </si>
  <si>
    <t>03304955</t>
  </si>
  <si>
    <t>J7T 0H2</t>
  </si>
  <si>
    <t>03304957</t>
  </si>
  <si>
    <t>J0K 1K0</t>
  </si>
  <si>
    <t>01110058</t>
  </si>
  <si>
    <t>J0K 1A0</t>
  </si>
  <si>
    <t>03304964</t>
  </si>
  <si>
    <t>H4C 2N7</t>
  </si>
  <si>
    <t>01405344</t>
  </si>
  <si>
    <t>H4E 3L1</t>
  </si>
  <si>
    <t>03304968</t>
  </si>
  <si>
    <t>H2B 1T3</t>
  </si>
  <si>
    <t>01110672</t>
  </si>
  <si>
    <t>G9T 2C3</t>
  </si>
  <si>
    <t>03304969</t>
  </si>
  <si>
    <t>J1E 4C2</t>
  </si>
  <si>
    <t>00202879</t>
  </si>
  <si>
    <t>G3G 2G1</t>
  </si>
  <si>
    <t>01405349</t>
  </si>
  <si>
    <t>J7W 5B7</t>
  </si>
  <si>
    <t>03304973</t>
  </si>
  <si>
    <t>G8P 1R8</t>
  </si>
  <si>
    <t>03304975</t>
  </si>
  <si>
    <t>J7C 2H8</t>
  </si>
  <si>
    <t>01110076</t>
  </si>
  <si>
    <t>J2G 6S2</t>
  </si>
  <si>
    <t>01110077</t>
  </si>
  <si>
    <t>J9T 4J9</t>
  </si>
  <si>
    <t>03304976</t>
  </si>
  <si>
    <t>J0L 2J0</t>
  </si>
  <si>
    <t>01110193</t>
  </si>
  <si>
    <t>J9X 6W3</t>
  </si>
  <si>
    <t>01110108</t>
  </si>
  <si>
    <t>J7C 5W1</t>
  </si>
  <si>
    <t>03304982</t>
  </si>
  <si>
    <t>J7G 2L1</t>
  </si>
  <si>
    <t>01110110</t>
  </si>
  <si>
    <t>H7N 6J3</t>
  </si>
  <si>
    <t>01110120</t>
  </si>
  <si>
    <t>J7M 2A1</t>
  </si>
  <si>
    <t>03304987</t>
  </si>
  <si>
    <t>J7L 2X8</t>
  </si>
  <si>
    <t>03304988</t>
  </si>
  <si>
    <t>H1E 0A9</t>
  </si>
  <si>
    <t>03304993</t>
  </si>
  <si>
    <t>03304995</t>
  </si>
  <si>
    <t>J0A 1L0</t>
  </si>
  <si>
    <t>03304996</t>
  </si>
  <si>
    <t>J3L 2R6</t>
  </si>
  <si>
    <t>03305003</t>
  </si>
  <si>
    <t>J7Z 6L2</t>
  </si>
  <si>
    <t>01110280</t>
  </si>
  <si>
    <t>H2C 1T5</t>
  </si>
  <si>
    <t>03305004</t>
  </si>
  <si>
    <t>J4T 1V6</t>
  </si>
  <si>
    <t>03305005</t>
  </si>
  <si>
    <t>J3M 0B8</t>
  </si>
  <si>
    <t>00300884</t>
  </si>
  <si>
    <t>01405376</t>
  </si>
  <si>
    <t>01405377</t>
  </si>
  <si>
    <t>J7Z 6V5</t>
  </si>
  <si>
    <t>03305009</t>
  </si>
  <si>
    <t>03305011</t>
  </si>
  <si>
    <t>J3B 2V7</t>
  </si>
  <si>
    <t>03400527</t>
  </si>
  <si>
    <t>H7T 0A6</t>
  </si>
  <si>
    <t>01110028</t>
  </si>
  <si>
    <t>H7W 1E7</t>
  </si>
  <si>
    <t>01110306</t>
  </si>
  <si>
    <t>J3Y 4T1</t>
  </si>
  <si>
    <t>01110307</t>
  </si>
  <si>
    <t>J7R 6Z6</t>
  </si>
  <si>
    <t>01110313</t>
  </si>
  <si>
    <t>H9R 4X7</t>
  </si>
  <si>
    <t>03305013</t>
  </si>
  <si>
    <t>J5N 2G3</t>
  </si>
  <si>
    <t>03305014</t>
  </si>
  <si>
    <t>J1H 5V3</t>
  </si>
  <si>
    <t>01110335</t>
  </si>
  <si>
    <t>J2W 2C1</t>
  </si>
  <si>
    <t>00202711</t>
  </si>
  <si>
    <t>CSSS De La Matapedia - Hopital D'Amqui</t>
  </si>
  <si>
    <t>G0J 3J0</t>
  </si>
  <si>
    <t>01405385</t>
  </si>
  <si>
    <t>J7Z 2M8</t>
  </si>
  <si>
    <t>03305018</t>
  </si>
  <si>
    <t>H8Z 3H1</t>
  </si>
  <si>
    <t>03305019</t>
  </si>
  <si>
    <t>03305020</t>
  </si>
  <si>
    <t>H8S 1C6</t>
  </si>
  <si>
    <t>01110365</t>
  </si>
  <si>
    <t>H7R 5M8</t>
  </si>
  <si>
    <t>03305021</t>
  </si>
  <si>
    <t>J0L 2G0</t>
  </si>
  <si>
    <t>00202912</t>
  </si>
  <si>
    <t>G6G 5B8</t>
  </si>
  <si>
    <t>01405392</t>
  </si>
  <si>
    <t>03305024</t>
  </si>
  <si>
    <t>J8N 4A4</t>
  </si>
  <si>
    <t>03305025</t>
  </si>
  <si>
    <t>H1K 2M3</t>
  </si>
  <si>
    <t>01110386</t>
  </si>
  <si>
    <t>J3E 3M4</t>
  </si>
  <si>
    <t>01405383</t>
  </si>
  <si>
    <t>J5L 2B8</t>
  </si>
  <si>
    <t>03305029</t>
  </si>
  <si>
    <t>H4A 2P5</t>
  </si>
  <si>
    <t>03305030</t>
  </si>
  <si>
    <t>H7V 1W3</t>
  </si>
  <si>
    <t>01110401</t>
  </si>
  <si>
    <t>03305031</t>
  </si>
  <si>
    <t>J6S 5Z9</t>
  </si>
  <si>
    <t>03305034</t>
  </si>
  <si>
    <t>J2X 0B5</t>
  </si>
  <si>
    <t>03305036</t>
  </si>
  <si>
    <t>01110195</t>
  </si>
  <si>
    <t>J5W 3Y6</t>
  </si>
  <si>
    <t>03305038</t>
  </si>
  <si>
    <t>J3B 1L2</t>
  </si>
  <si>
    <t>01110422</t>
  </si>
  <si>
    <t>J7V 6Z6</t>
  </si>
  <si>
    <t>03305039</t>
  </si>
  <si>
    <t>03305040</t>
  </si>
  <si>
    <t>J3Y 1V9</t>
  </si>
  <si>
    <t>03305041</t>
  </si>
  <si>
    <t>G8T 1B7</t>
  </si>
  <si>
    <t>03305042</t>
  </si>
  <si>
    <t>J4K 3Z1</t>
  </si>
  <si>
    <t>01110421</t>
  </si>
  <si>
    <t>J8V 1X8</t>
  </si>
  <si>
    <t>03305043</t>
  </si>
  <si>
    <t>J6J 4M4</t>
  </si>
  <si>
    <t>03400544</t>
  </si>
  <si>
    <t>03400545</t>
  </si>
  <si>
    <t>01405381</t>
  </si>
  <si>
    <t>H4G 2W6</t>
  </si>
  <si>
    <t>01110437</t>
  </si>
  <si>
    <t>J0H 1N0</t>
  </si>
  <si>
    <t>01110438</t>
  </si>
  <si>
    <t>J7N 2W5</t>
  </si>
  <si>
    <t>01405382</t>
  </si>
  <si>
    <t>H3K 2L8</t>
  </si>
  <si>
    <t>00300888</t>
  </si>
  <si>
    <t>J0L 2B0</t>
  </si>
  <si>
    <t>03305050</t>
  </si>
  <si>
    <t>G9B 6T1</t>
  </si>
  <si>
    <t>03305052</t>
  </si>
  <si>
    <t>J5M 0J7</t>
  </si>
  <si>
    <t>03305053</t>
  </si>
  <si>
    <t>J7V 1T4</t>
  </si>
  <si>
    <t>01405389</t>
  </si>
  <si>
    <t>H1W 2S8</t>
  </si>
  <si>
    <t>03305055</t>
  </si>
  <si>
    <t>H9G 1M8</t>
  </si>
  <si>
    <t>01110462</t>
  </si>
  <si>
    <t>J7V 1X5</t>
  </si>
  <si>
    <t>01110463</t>
  </si>
  <si>
    <t>01110465</t>
  </si>
  <si>
    <t>J9P 5S5</t>
  </si>
  <si>
    <t>01110464</t>
  </si>
  <si>
    <t>J6J 1T2</t>
  </si>
  <si>
    <t>01405409</t>
  </si>
  <si>
    <t>H7M 2T3</t>
  </si>
  <si>
    <t>01110210</t>
  </si>
  <si>
    <t>H4H 2M4</t>
  </si>
  <si>
    <t>03305060</t>
  </si>
  <si>
    <t>G9W 5B9</t>
  </si>
  <si>
    <t>03305061</t>
  </si>
  <si>
    <t>H1Z 3C1</t>
  </si>
  <si>
    <t>03305063</t>
  </si>
  <si>
    <t>J7M 2C1</t>
  </si>
  <si>
    <t>01110213</t>
  </si>
  <si>
    <t>J2X 5H7</t>
  </si>
  <si>
    <t>01110214</t>
  </si>
  <si>
    <t>H1Z 3A6</t>
  </si>
  <si>
    <t>01405412</t>
  </si>
  <si>
    <t>03305065</t>
  </si>
  <si>
    <t>H3L 2K4</t>
  </si>
  <si>
    <t>01110218</t>
  </si>
  <si>
    <t>J9X 4W1</t>
  </si>
  <si>
    <t>01110219</t>
  </si>
  <si>
    <t>J3G 5Z5</t>
  </si>
  <si>
    <t>01110220</t>
  </si>
  <si>
    <t>G9H 0J2</t>
  </si>
  <si>
    <t>03305070</t>
  </si>
  <si>
    <t>H8P 3B3</t>
  </si>
  <si>
    <t>03305073</t>
  </si>
  <si>
    <t>J7E 1K4</t>
  </si>
  <si>
    <t>03305074</t>
  </si>
  <si>
    <t>03305075</t>
  </si>
  <si>
    <t>J0M 1Y0</t>
  </si>
  <si>
    <t>01110228</t>
  </si>
  <si>
    <t>J4Z 1E3</t>
  </si>
  <si>
    <t>01110229</t>
  </si>
  <si>
    <t>03305078</t>
  </si>
  <si>
    <t>01110200</t>
  </si>
  <si>
    <t>J3M 1L1</t>
  </si>
  <si>
    <t>01110233</t>
  </si>
  <si>
    <t>H4N 3N1</t>
  </si>
  <si>
    <t>03305080</t>
  </si>
  <si>
    <t>H7N 5V5</t>
  </si>
  <si>
    <t>03305081</t>
  </si>
  <si>
    <t>J6Z 3T8</t>
  </si>
  <si>
    <t>01110236</t>
  </si>
  <si>
    <t>J5X 2Y1</t>
  </si>
  <si>
    <t>03305084</t>
  </si>
  <si>
    <t>H1E 6N5</t>
  </si>
  <si>
    <t>03305085</t>
  </si>
  <si>
    <t>H2C 1N3</t>
  </si>
  <si>
    <t>01110257</t>
  </si>
  <si>
    <t>J0T 1J3</t>
  </si>
  <si>
    <t>03305088</t>
  </si>
  <si>
    <t>J7T 2M3</t>
  </si>
  <si>
    <t>00202740</t>
  </si>
  <si>
    <t>G7G 2Z4</t>
  </si>
  <si>
    <t>00202741</t>
  </si>
  <si>
    <t>03305090</t>
  </si>
  <si>
    <t>01110308</t>
  </si>
  <si>
    <t>H1G 2J2</t>
  </si>
  <si>
    <t>03305091</t>
  </si>
  <si>
    <t>H4C 2N3</t>
  </si>
  <si>
    <t>03305092</t>
  </si>
  <si>
    <t>H1N 2Z4</t>
  </si>
  <si>
    <t>03400567</t>
  </si>
  <si>
    <t>J7Z 2C7</t>
  </si>
  <si>
    <t>01405434</t>
  </si>
  <si>
    <t>J6X 0B6</t>
  </si>
  <si>
    <t>03305095</t>
  </si>
  <si>
    <t>J3M 1C9</t>
  </si>
  <si>
    <t>03305096</t>
  </si>
  <si>
    <t>K6A 1L6</t>
  </si>
  <si>
    <t>01110310</t>
  </si>
  <si>
    <t>03305098</t>
  </si>
  <si>
    <t>J5L 0C6</t>
  </si>
  <si>
    <t>00202745</t>
  </si>
  <si>
    <t>G1B 0A8</t>
  </si>
  <si>
    <t>01405435</t>
  </si>
  <si>
    <t>H4L 3G6</t>
  </si>
  <si>
    <t>01405436</t>
  </si>
  <si>
    <t>03305099</t>
  </si>
  <si>
    <t>J5A 2P8</t>
  </si>
  <si>
    <t>03305100</t>
  </si>
  <si>
    <t>03305101</t>
  </si>
  <si>
    <t>H1Y 2L3</t>
  </si>
  <si>
    <t>03305102</t>
  </si>
  <si>
    <t>G9T 5A5</t>
  </si>
  <si>
    <t>01110319</t>
  </si>
  <si>
    <t>J0P 1H0</t>
  </si>
  <si>
    <t>03305108</t>
  </si>
  <si>
    <t>J6K 5E7</t>
  </si>
  <si>
    <t>03305110</t>
  </si>
  <si>
    <t>J5R 0P6</t>
  </si>
  <si>
    <t>01405441</t>
  </si>
  <si>
    <t>H4G 1X7</t>
  </si>
  <si>
    <t>03305111</t>
  </si>
  <si>
    <t>03305112</t>
  </si>
  <si>
    <t>H2J 4B3</t>
  </si>
  <si>
    <t>03305113</t>
  </si>
  <si>
    <t>H1Z 1C5</t>
  </si>
  <si>
    <t>03305114</t>
  </si>
  <si>
    <t>H9S 1W7</t>
  </si>
  <si>
    <t>01405446</t>
  </si>
  <si>
    <t>H3S 1T1</t>
  </si>
  <si>
    <t>03305118</t>
  </si>
  <si>
    <t>H8R 2S4</t>
  </si>
  <si>
    <t>00202747</t>
  </si>
  <si>
    <t>G1V 1C1</t>
  </si>
  <si>
    <t>01110357</t>
  </si>
  <si>
    <t>03305123</t>
  </si>
  <si>
    <t>J6E 1T4</t>
  </si>
  <si>
    <t>03305130</t>
  </si>
  <si>
    <t>J2S 5B3</t>
  </si>
  <si>
    <t>03305131</t>
  </si>
  <si>
    <t>J5Z 4V6</t>
  </si>
  <si>
    <t>01110382</t>
  </si>
  <si>
    <t>03305132</t>
  </si>
  <si>
    <t>H7N 1K2</t>
  </si>
  <si>
    <t>03305134</t>
  </si>
  <si>
    <t>J7V 0G4</t>
  </si>
  <si>
    <t>01405453</t>
  </si>
  <si>
    <t>J6N 1J2</t>
  </si>
  <si>
    <t>03305139</t>
  </si>
  <si>
    <t>01110240</t>
  </si>
  <si>
    <t>J6R 1H7</t>
  </si>
  <si>
    <t>01405454</t>
  </si>
  <si>
    <t>03305140</t>
  </si>
  <si>
    <t>H8P 2L9</t>
  </si>
  <si>
    <t>03305141</t>
  </si>
  <si>
    <t>J5W 1H9</t>
  </si>
  <si>
    <t>01405456</t>
  </si>
  <si>
    <t>H4W 2N1</t>
  </si>
  <si>
    <t>03305143</t>
  </si>
  <si>
    <t>J6S 6T5</t>
  </si>
  <si>
    <t>03305147</t>
  </si>
  <si>
    <t>J3L 6N6</t>
  </si>
  <si>
    <t>03400560</t>
  </si>
  <si>
    <t>J6E 5C8</t>
  </si>
  <si>
    <t>03400561</t>
  </si>
  <si>
    <t>01405460</t>
  </si>
  <si>
    <t>J7V 8R4</t>
  </si>
  <si>
    <t>01405462</t>
  </si>
  <si>
    <t>H2N 1X6</t>
  </si>
  <si>
    <t>01110250</t>
  </si>
  <si>
    <t>J6R 0C3</t>
  </si>
  <si>
    <t>03305149</t>
  </si>
  <si>
    <t>H7J 1A4</t>
  </si>
  <si>
    <t>03400564</t>
  </si>
  <si>
    <t>J6S 0E1</t>
  </si>
  <si>
    <t>03305151</t>
  </si>
  <si>
    <t>H7R 4N7</t>
  </si>
  <si>
    <t>00202754</t>
  </si>
  <si>
    <t>G1K 8E7</t>
  </si>
  <si>
    <t>03305152</t>
  </si>
  <si>
    <t>J7Z 2J1</t>
  </si>
  <si>
    <t>01110270</t>
  </si>
  <si>
    <t>03305153</t>
  </si>
  <si>
    <t>J8P 4E2</t>
  </si>
  <si>
    <t>00202755</t>
  </si>
  <si>
    <t>J2S 6K9</t>
  </si>
  <si>
    <t>01110272</t>
  </si>
  <si>
    <t>H1S 1Y5</t>
  </si>
  <si>
    <t>01405467</t>
  </si>
  <si>
    <t>J2T 1H9</t>
  </si>
  <si>
    <t>01405468</t>
  </si>
  <si>
    <t>H1H 3G5</t>
  </si>
  <si>
    <t>03305155</t>
  </si>
  <si>
    <t>01110273</t>
  </si>
  <si>
    <t>H2C 3B9</t>
  </si>
  <si>
    <t>03305158</t>
  </si>
  <si>
    <t>J5W 0H9</t>
  </si>
  <si>
    <t>03305159</t>
  </si>
  <si>
    <t>J0L 2N0</t>
  </si>
  <si>
    <t>01110295</t>
  </si>
  <si>
    <t>03305160</t>
  </si>
  <si>
    <t>J2S 5S9</t>
  </si>
  <si>
    <t>03305162</t>
  </si>
  <si>
    <t>J6T 4Y6</t>
  </si>
  <si>
    <t>00300909</t>
  </si>
  <si>
    <t>G9N 4C3</t>
  </si>
  <si>
    <t>01110297</t>
  </si>
  <si>
    <t>J8E 3H7</t>
  </si>
  <si>
    <t>01405475</t>
  </si>
  <si>
    <t>H4J 2M4</t>
  </si>
  <si>
    <t>03305164</t>
  </si>
  <si>
    <t>03305165</t>
  </si>
  <si>
    <t>H4B 3B2</t>
  </si>
  <si>
    <t>03305167</t>
  </si>
  <si>
    <t>J0Y 2S0</t>
  </si>
  <si>
    <t>01405479</t>
  </si>
  <si>
    <t>J4K 4S8</t>
  </si>
  <si>
    <t>03400587</t>
  </si>
  <si>
    <t>H8R 1G7</t>
  </si>
  <si>
    <t>01110303</t>
  </si>
  <si>
    <t>01110304</t>
  </si>
  <si>
    <t>J6V 1A8</t>
  </si>
  <si>
    <t>01405482</t>
  </si>
  <si>
    <t>G9P 5A7</t>
  </si>
  <si>
    <t>01405483</t>
  </si>
  <si>
    <t>03305172</t>
  </si>
  <si>
    <t>00202761</t>
  </si>
  <si>
    <t>G0Y 1R0</t>
  </si>
  <si>
    <t>01405490</t>
  </si>
  <si>
    <t>J4X 1V3</t>
  </si>
  <si>
    <t>03305174</t>
  </si>
  <si>
    <t>G8Y 3Z1</t>
  </si>
  <si>
    <t>01110327</t>
  </si>
  <si>
    <t>H1Z 1M2</t>
  </si>
  <si>
    <t>01405489</t>
  </si>
  <si>
    <t>03305175</t>
  </si>
  <si>
    <t>J7V 0B1</t>
  </si>
  <si>
    <t>03305176</t>
  </si>
  <si>
    <t>G0X 2V0</t>
  </si>
  <si>
    <t>01110349</t>
  </si>
  <si>
    <t>J0K 2L0</t>
  </si>
  <si>
    <t>01110350</t>
  </si>
  <si>
    <t>J4L 2Z5</t>
  </si>
  <si>
    <t>03305177</t>
  </si>
  <si>
    <t>H2V 3B6</t>
  </si>
  <si>
    <t>03305178</t>
  </si>
  <si>
    <t>J4J 2Y3</t>
  </si>
  <si>
    <t>03305183</t>
  </si>
  <si>
    <t>J3V 2C4</t>
  </si>
  <si>
    <t>03305188</t>
  </si>
  <si>
    <t>J6J 5Z5</t>
  </si>
  <si>
    <t>03305189</t>
  </si>
  <si>
    <t>H7C 1H1</t>
  </si>
  <si>
    <t>01110201</t>
  </si>
  <si>
    <t>J0J 1W0</t>
  </si>
  <si>
    <t>01405496</t>
  </si>
  <si>
    <t>J7V 4Z3</t>
  </si>
  <si>
    <t>03305192</t>
  </si>
  <si>
    <t>J0T 1K0</t>
  </si>
  <si>
    <t>01110395</t>
  </si>
  <si>
    <t>J3Y 3J5</t>
  </si>
  <si>
    <t>01110632</t>
  </si>
  <si>
    <t>J6S 3A1</t>
  </si>
  <si>
    <t>01405497</t>
  </si>
  <si>
    <t>J2N 2X5</t>
  </si>
  <si>
    <t>00202768</t>
  </si>
  <si>
    <t>G0R 2V0</t>
  </si>
  <si>
    <t>00202769</t>
  </si>
  <si>
    <t>J0Z 1Y0</t>
  </si>
  <si>
    <t>00202770</t>
  </si>
  <si>
    <t>01405503</t>
  </si>
  <si>
    <t>J7W 0C5</t>
  </si>
  <si>
    <t>01405504</t>
  </si>
  <si>
    <t>J5M 2G1</t>
  </si>
  <si>
    <t>03305198</t>
  </si>
  <si>
    <t>03305199</t>
  </si>
  <si>
    <t>H2E 3B4</t>
  </si>
  <si>
    <t>01405508</t>
  </si>
  <si>
    <t>J6E 0Y2</t>
  </si>
  <si>
    <t>03305206</t>
  </si>
  <si>
    <t>J5R 2G4</t>
  </si>
  <si>
    <t>01405514</t>
  </si>
  <si>
    <t>H2E 2A5</t>
  </si>
  <si>
    <t>03305210</t>
  </si>
  <si>
    <t>03305211</t>
  </si>
  <si>
    <t>H9X 3Z4</t>
  </si>
  <si>
    <t>01110428</t>
  </si>
  <si>
    <t>H7A 2Y2</t>
  </si>
  <si>
    <t>03305212</t>
  </si>
  <si>
    <t>03305214</t>
  </si>
  <si>
    <t>01110634</t>
  </si>
  <si>
    <t>H7W 1K7</t>
  </si>
  <si>
    <t>01110443</t>
  </si>
  <si>
    <t>H4J 2K7</t>
  </si>
  <si>
    <t>01110444</t>
  </si>
  <si>
    <t>J7R 7A5</t>
  </si>
  <si>
    <t>01110446</t>
  </si>
  <si>
    <t>H7V 1C3</t>
  </si>
  <si>
    <t>01405517</t>
  </si>
  <si>
    <t>J0J 1G0</t>
  </si>
  <si>
    <t>03305219</t>
  </si>
  <si>
    <t>J3M 1N9</t>
  </si>
  <si>
    <t>03305220</t>
  </si>
  <si>
    <t>J4J 2X6</t>
  </si>
  <si>
    <t>01405518</t>
  </si>
  <si>
    <t>G4R 0C8</t>
  </si>
  <si>
    <t>00300916</t>
  </si>
  <si>
    <t>J2N 2M4</t>
  </si>
  <si>
    <t>01110455</t>
  </si>
  <si>
    <t>H1L 3Z3</t>
  </si>
  <si>
    <t>03305223</t>
  </si>
  <si>
    <t>J5L 1Z8</t>
  </si>
  <si>
    <t>01110458</t>
  </si>
  <si>
    <t>J7L 3R9</t>
  </si>
  <si>
    <t>01110564</t>
  </si>
  <si>
    <t>J0G 1S0</t>
  </si>
  <si>
    <t>03305225</t>
  </si>
  <si>
    <t>J0S 1K0</t>
  </si>
  <si>
    <t>03305228</t>
  </si>
  <si>
    <t>J0R 1R4</t>
  </si>
  <si>
    <t>01110478</t>
  </si>
  <si>
    <t>H4J 1J7</t>
  </si>
  <si>
    <t>01110502</t>
  </si>
  <si>
    <t>H7C 1V2</t>
  </si>
  <si>
    <t>03305229</t>
  </si>
  <si>
    <t>H3S 1L4</t>
  </si>
  <si>
    <t>01110504</t>
  </si>
  <si>
    <t>J3E 2E7</t>
  </si>
  <si>
    <t>01110506</t>
  </si>
  <si>
    <t>J2X 1A2</t>
  </si>
  <si>
    <t>03305233</t>
  </si>
  <si>
    <t>H2S 3H3</t>
  </si>
  <si>
    <t>03305236</t>
  </si>
  <si>
    <t>H8S 2T8</t>
  </si>
  <si>
    <t>03305237</t>
  </si>
  <si>
    <t>H2V 4E5</t>
  </si>
  <si>
    <t>03305242</t>
  </si>
  <si>
    <t>H8P 1L8</t>
  </si>
  <si>
    <t>03305243</t>
  </si>
  <si>
    <t>H1P 2X2</t>
  </si>
  <si>
    <t>01110574</t>
  </si>
  <si>
    <t>H8Y 1Z4</t>
  </si>
  <si>
    <t>01110637</t>
  </si>
  <si>
    <t>CHUQ - CHU Laval</t>
  </si>
  <si>
    <t>G4Z 3A1</t>
  </si>
  <si>
    <t>01110593</t>
  </si>
  <si>
    <t>J7J 0J4</t>
  </si>
  <si>
    <t>03305245</t>
  </si>
  <si>
    <t>J7L 2P7</t>
  </si>
  <si>
    <t>01110600</t>
  </si>
  <si>
    <t>01405532</t>
  </si>
  <si>
    <t>H2G 2Z6</t>
  </si>
  <si>
    <t>03305250</t>
  </si>
  <si>
    <t>J0A 1M0</t>
  </si>
  <si>
    <t>03305251</t>
  </si>
  <si>
    <t>J4X 1W4</t>
  </si>
  <si>
    <t>03400578</t>
  </si>
  <si>
    <t>J8H 2R3</t>
  </si>
  <si>
    <t>01110623</t>
  </si>
  <si>
    <t>J7K 2N1</t>
  </si>
  <si>
    <t>01405534</t>
  </si>
  <si>
    <t>H2M 1P9</t>
  </si>
  <si>
    <t>03305252</t>
  </si>
  <si>
    <t>J2W 2N5</t>
  </si>
  <si>
    <t>01110474</t>
  </si>
  <si>
    <t>H4J 2J1</t>
  </si>
  <si>
    <t>01110480</t>
  </si>
  <si>
    <t>H8N 1W7</t>
  </si>
  <si>
    <t>01110481</t>
  </si>
  <si>
    <t>H1Y 3E4</t>
  </si>
  <si>
    <t>01405535</t>
  </si>
  <si>
    <t>H2R 2A2</t>
  </si>
  <si>
    <t>01110483</t>
  </si>
  <si>
    <t>H7N 5H7</t>
  </si>
  <si>
    <t>01110484</t>
  </si>
  <si>
    <t>J6T 2C6</t>
  </si>
  <si>
    <t>03305260</t>
  </si>
  <si>
    <t>J4M 1H7</t>
  </si>
  <si>
    <t>01110485</t>
  </si>
  <si>
    <t>J0K 1Z0</t>
  </si>
  <si>
    <t>01405538</t>
  </si>
  <si>
    <t>J7R 6N8</t>
  </si>
  <si>
    <t>01110489</t>
  </si>
  <si>
    <t>01405542</t>
  </si>
  <si>
    <t>J6J 3T5</t>
  </si>
  <si>
    <t>03305265</t>
  </si>
  <si>
    <t>H2A 3B9</t>
  </si>
  <si>
    <t>01110496</t>
  </si>
  <si>
    <t>03305266</t>
  </si>
  <si>
    <t>J7Z 0A1</t>
  </si>
  <si>
    <t>03305267</t>
  </si>
  <si>
    <t>J7T 1G7</t>
  </si>
  <si>
    <t>03305268</t>
  </si>
  <si>
    <t>J5A 2A1</t>
  </si>
  <si>
    <t>03305270</t>
  </si>
  <si>
    <t>J6R 2R8</t>
  </si>
  <si>
    <t>01110497</t>
  </si>
  <si>
    <t>J3P 3J8</t>
  </si>
  <si>
    <t>03305272</t>
  </si>
  <si>
    <t>H2T 1G5</t>
  </si>
  <si>
    <t>03305273</t>
  </si>
  <si>
    <t>H1K 2X2</t>
  </si>
  <si>
    <t>03305274</t>
  </si>
  <si>
    <t>J7V 0W1</t>
  </si>
  <si>
    <t>03305276</t>
  </si>
  <si>
    <t>H1B 4X2</t>
  </si>
  <si>
    <t>01110508</t>
  </si>
  <si>
    <t>J2B 4P7</t>
  </si>
  <si>
    <t>03305288</t>
  </si>
  <si>
    <t>J3H 5S5</t>
  </si>
  <si>
    <t>03305283</t>
  </si>
  <si>
    <t>J7L 2P5</t>
  </si>
  <si>
    <t>01110510</t>
  </si>
  <si>
    <t>J9M 0E4</t>
  </si>
  <si>
    <t>01405551</t>
  </si>
  <si>
    <t>H8Y 3H1</t>
  </si>
  <si>
    <t>01405552</t>
  </si>
  <si>
    <t>03305284</t>
  </si>
  <si>
    <t>H1W 3E6</t>
  </si>
  <si>
    <t>03305285</t>
  </si>
  <si>
    <t>J3Y 4L7</t>
  </si>
  <si>
    <t>01110512</t>
  </si>
  <si>
    <t>H2Y 3A2</t>
  </si>
  <si>
    <t>03305290</t>
  </si>
  <si>
    <t>H3H 1T6</t>
  </si>
  <si>
    <t>00202794</t>
  </si>
  <si>
    <t>G7X 9X3</t>
  </si>
  <si>
    <t>00202795</t>
  </si>
  <si>
    <t>01405553</t>
  </si>
  <si>
    <t>J7C 5H7</t>
  </si>
  <si>
    <t>03305292</t>
  </si>
  <si>
    <t>03305294</t>
  </si>
  <si>
    <t>03305296</t>
  </si>
  <si>
    <t>H7E 2Z4</t>
  </si>
  <si>
    <t>00202796</t>
  </si>
  <si>
    <t>J0Z 2S0</t>
  </si>
  <si>
    <t>03305298</t>
  </si>
  <si>
    <t>J2X 0C7</t>
  </si>
  <si>
    <t>03305304</t>
  </si>
  <si>
    <t>J5N 3G2</t>
  </si>
  <si>
    <t>01110537</t>
  </si>
  <si>
    <t>J5N 0W5</t>
  </si>
  <si>
    <t>03305306</t>
  </si>
  <si>
    <t>J3R 4X4</t>
  </si>
  <si>
    <t>03305307</t>
  </si>
  <si>
    <t>J2X 5S6</t>
  </si>
  <si>
    <t>03305310</t>
  </si>
  <si>
    <t>03305314</t>
  </si>
  <si>
    <t>H7W 3X3</t>
  </si>
  <si>
    <t>03305315</t>
  </si>
  <si>
    <t>00202800</t>
  </si>
  <si>
    <t>G1C 2S8</t>
  </si>
  <si>
    <t>01405554</t>
  </si>
  <si>
    <t>H3S 1J5</t>
  </si>
  <si>
    <t>03305319</t>
  </si>
  <si>
    <t>Centre Universitaire De Sante McGill - McGill University Health Care Center (GLEN)</t>
  </si>
  <si>
    <t>J0M 1S0</t>
  </si>
  <si>
    <t>01110583</t>
  </si>
  <si>
    <t>J7G 1N4</t>
  </si>
  <si>
    <t>03305321</t>
  </si>
  <si>
    <t>J4Z 3W1</t>
  </si>
  <si>
    <t>03305322</t>
  </si>
  <si>
    <t>J6W 5H2</t>
  </si>
  <si>
    <t>03400605</t>
  </si>
  <si>
    <t>J5A 2T2</t>
  </si>
  <si>
    <t>03305323</t>
  </si>
  <si>
    <t>CSSS De Gatineau - Hopital De Hull</t>
  </si>
  <si>
    <t>J8Z 1J9</t>
  </si>
  <si>
    <t>01405575</t>
  </si>
  <si>
    <t>H9G 1W3</t>
  </si>
  <si>
    <t>03305325</t>
  </si>
  <si>
    <t>J7V 0H9</t>
  </si>
  <si>
    <t>03305327</t>
  </si>
  <si>
    <t>H8N 1W3</t>
  </si>
  <si>
    <t>03305328</t>
  </si>
  <si>
    <t>H2B 2V9</t>
  </si>
  <si>
    <t>03305331</t>
  </si>
  <si>
    <t>J5Y 2A1</t>
  </si>
  <si>
    <t>01110618</t>
  </si>
  <si>
    <t>01405576</t>
  </si>
  <si>
    <t>J5L 2K7</t>
  </si>
  <si>
    <t>03305332</t>
  </si>
  <si>
    <t>J6T 6B1</t>
  </si>
  <si>
    <t>03305334</t>
  </si>
  <si>
    <t>J8V 2P8</t>
  </si>
  <si>
    <t>03305335</t>
  </si>
  <si>
    <t>03305337</t>
  </si>
  <si>
    <t>J6W 2V8</t>
  </si>
  <si>
    <t>03305338</t>
  </si>
  <si>
    <t>J0G 1K0</t>
  </si>
  <si>
    <t>01110493</t>
  </si>
  <si>
    <t>J3L 1M3</t>
  </si>
  <si>
    <t>01405579</t>
  </si>
  <si>
    <t>J7L 1H5</t>
  </si>
  <si>
    <t>03305341</t>
  </si>
  <si>
    <t>J4N 1C6</t>
  </si>
  <si>
    <t>03305342</t>
  </si>
  <si>
    <t>J7T 0G6</t>
  </si>
  <si>
    <t>03305343</t>
  </si>
  <si>
    <t>H8S 1E7</t>
  </si>
  <si>
    <t>03305344</t>
  </si>
  <si>
    <t>J0K 1C0</t>
  </si>
  <si>
    <t>03305346</t>
  </si>
  <si>
    <t>J6R 1B7</t>
  </si>
  <si>
    <t>03305349</t>
  </si>
  <si>
    <t>03305350</t>
  </si>
  <si>
    <t>H7M 3A5</t>
  </si>
  <si>
    <t>03305352</t>
  </si>
  <si>
    <t>J0S 1W0</t>
  </si>
  <si>
    <t>03305353</t>
  </si>
  <si>
    <t>H1T 1B9</t>
  </si>
  <si>
    <t>00300930</t>
  </si>
  <si>
    <t>G6L 2Y4</t>
  </si>
  <si>
    <t>01110517</t>
  </si>
  <si>
    <t>03305354</t>
  </si>
  <si>
    <t>J0R 1A0</t>
  </si>
  <si>
    <t>03305355</t>
  </si>
  <si>
    <t>J0J 1Z0</t>
  </si>
  <si>
    <t>03305356</t>
  </si>
  <si>
    <t>J7B 1J1</t>
  </si>
  <si>
    <t>03305357</t>
  </si>
  <si>
    <t>J8Y 4H5</t>
  </si>
  <si>
    <t>03400598</t>
  </si>
  <si>
    <t>J9X 3A8</t>
  </si>
  <si>
    <t>03400599</t>
  </si>
  <si>
    <t>01405585</t>
  </si>
  <si>
    <t>J6K 0C5</t>
  </si>
  <si>
    <t>03305361</t>
  </si>
  <si>
    <t>J3E 2G5</t>
  </si>
  <si>
    <t>03305363</t>
  </si>
  <si>
    <t>H8Y 1Y5</t>
  </si>
  <si>
    <t>03305364</t>
  </si>
  <si>
    <t>03305365</t>
  </si>
  <si>
    <t>H2B 2J9</t>
  </si>
  <si>
    <t>01110550</t>
  </si>
  <si>
    <t>J3L 1L7</t>
  </si>
  <si>
    <t>03305369</t>
  </si>
  <si>
    <t>H7G 2T6</t>
  </si>
  <si>
    <t>03305370</t>
  </si>
  <si>
    <t>J0J 1J0</t>
  </si>
  <si>
    <t>03305371</t>
  </si>
  <si>
    <t>H3X 2N8</t>
  </si>
  <si>
    <t>03305372</t>
  </si>
  <si>
    <t>J4N 1B1</t>
  </si>
  <si>
    <t>03305373</t>
  </si>
  <si>
    <t>H2M 1T4</t>
  </si>
  <si>
    <t>01110551</t>
  </si>
  <si>
    <t>J7J 2L4</t>
  </si>
  <si>
    <t>01110552</t>
  </si>
  <si>
    <t>G9H 1N4</t>
  </si>
  <si>
    <t>01110557</t>
  </si>
  <si>
    <t>G0X 3R0</t>
  </si>
  <si>
    <t>01405593</t>
  </si>
  <si>
    <t>H1C 0C5</t>
  </si>
  <si>
    <t>01110559</t>
  </si>
  <si>
    <t>J7N 1T7</t>
  </si>
  <si>
    <t>03305377</t>
  </si>
  <si>
    <t>H9R 0G1</t>
  </si>
  <si>
    <t>03305378</t>
  </si>
  <si>
    <t>J5Y 3P2</t>
  </si>
  <si>
    <t>01110565</t>
  </si>
  <si>
    <t>J7L 2W7</t>
  </si>
  <si>
    <t>01110571</t>
  </si>
  <si>
    <t>H1B 3K4</t>
  </si>
  <si>
    <t>01405596</t>
  </si>
  <si>
    <t>J0V 1K0</t>
  </si>
  <si>
    <t>03305384</t>
  </si>
  <si>
    <t>J3G 6H5</t>
  </si>
  <si>
    <t>03305385</t>
  </si>
  <si>
    <t>J3B 6L2</t>
  </si>
  <si>
    <t>03305386</t>
  </si>
  <si>
    <t>J0Y 1V0</t>
  </si>
  <si>
    <t>01110570</t>
  </si>
  <si>
    <t>G9X 3E5</t>
  </si>
  <si>
    <t>01405597</t>
  </si>
  <si>
    <t>J5J 2Y3</t>
  </si>
  <si>
    <t>01110577</t>
  </si>
  <si>
    <t>H2M 1B4</t>
  </si>
  <si>
    <t>01110627</t>
  </si>
  <si>
    <t>J9L 3G6</t>
  </si>
  <si>
    <t>03305390</t>
  </si>
  <si>
    <t>H8B 1R1</t>
  </si>
  <si>
    <t>01110596</t>
  </si>
  <si>
    <t>J3L 1E0</t>
  </si>
  <si>
    <t>01405600</t>
  </si>
  <si>
    <t>J0L 2M0</t>
  </si>
  <si>
    <t>01405601</t>
  </si>
  <si>
    <t>G9N 1W5</t>
  </si>
  <si>
    <t>01110598</t>
  </si>
  <si>
    <t>J5R 1R7</t>
  </si>
  <si>
    <t>01110599</t>
  </si>
  <si>
    <t>J6N 1X8</t>
  </si>
  <si>
    <t>01110601</t>
  </si>
  <si>
    <t>J7E 2H8</t>
  </si>
  <si>
    <t>03400606</t>
  </si>
  <si>
    <t>H7A 3L2</t>
  </si>
  <si>
    <t>03305397</t>
  </si>
  <si>
    <t>H7W 1B2</t>
  </si>
  <si>
    <t>03305399</t>
  </si>
  <si>
    <t>J4L 4A8</t>
  </si>
  <si>
    <t>03305400</t>
  </si>
  <si>
    <t>J7M 0A7</t>
  </si>
  <si>
    <t>03400591</t>
  </si>
  <si>
    <t>J6W 5E6</t>
  </si>
  <si>
    <t>03305402</t>
  </si>
  <si>
    <t>J0T 2P0</t>
  </si>
  <si>
    <t>01110609</t>
  </si>
  <si>
    <t>J4R 2C6</t>
  </si>
  <si>
    <t>03305405</t>
  </si>
  <si>
    <t>H7W 1V6</t>
  </si>
  <si>
    <t>01405609</t>
  </si>
  <si>
    <t>03305406</t>
  </si>
  <si>
    <t>J4R 2L4</t>
  </si>
  <si>
    <t>03305408</t>
  </si>
  <si>
    <t>03305409</t>
  </si>
  <si>
    <t>J6Y 1B9</t>
  </si>
  <si>
    <t>01110643</t>
  </si>
  <si>
    <t>01110644</t>
  </si>
  <si>
    <t>J0R 1K0</t>
  </si>
  <si>
    <t>03400593</t>
  </si>
  <si>
    <t>J9J 1K8</t>
  </si>
  <si>
    <t>03400596</t>
  </si>
  <si>
    <t>H9H 1L9</t>
  </si>
  <si>
    <t>03400597</t>
  </si>
  <si>
    <t>03305419</t>
  </si>
  <si>
    <t>H1A 4J5</t>
  </si>
  <si>
    <t>01110648</t>
  </si>
  <si>
    <t>H2X 2Z2</t>
  </si>
  <si>
    <t>01110655</t>
  </si>
  <si>
    <t>03305423</t>
  </si>
  <si>
    <t>03305424</t>
  </si>
  <si>
    <t>H9H 4T4</t>
  </si>
  <si>
    <t>03305426</t>
  </si>
  <si>
    <t>H9G 1E4</t>
  </si>
  <si>
    <t>00202821</t>
  </si>
  <si>
    <t>G9T 2L5</t>
  </si>
  <si>
    <t>01110661</t>
  </si>
  <si>
    <t>03305433</t>
  </si>
  <si>
    <t>H8N 1K2</t>
  </si>
  <si>
    <t>03400590</t>
  </si>
  <si>
    <t>J5Y 0H6</t>
  </si>
  <si>
    <t>01110682</t>
  </si>
  <si>
    <t>01110695</t>
  </si>
  <si>
    <t>H1W 3K6</t>
  </si>
  <si>
    <t>01405681</t>
  </si>
  <si>
    <t>03305435</t>
  </si>
  <si>
    <t>J6E 0G6</t>
  </si>
  <si>
    <t>01110700</t>
  </si>
  <si>
    <t>J4W 1W6</t>
  </si>
  <si>
    <t>03305438</t>
  </si>
  <si>
    <t>H1G 3A4</t>
  </si>
  <si>
    <t>03305440</t>
  </si>
  <si>
    <t>J9E 3A8</t>
  </si>
  <si>
    <t>03305441</t>
  </si>
  <si>
    <t>H2X 3P3</t>
  </si>
  <si>
    <t>03305443</t>
  </si>
  <si>
    <t>J5B 2B5</t>
  </si>
  <si>
    <t>03305445</t>
  </si>
  <si>
    <t>J0Y 1Z0</t>
  </si>
  <si>
    <t>01405623</t>
  </si>
  <si>
    <t>H4N 1N9</t>
  </si>
  <si>
    <t>03305449</t>
  </si>
  <si>
    <t>01110662</t>
  </si>
  <si>
    <t>J0K 2P0</t>
  </si>
  <si>
    <t>01110665</t>
  </si>
  <si>
    <t>J7Z 0E5</t>
  </si>
  <si>
    <t>03305450</t>
  </si>
  <si>
    <t>J6Y 1H7</t>
  </si>
  <si>
    <t>01405630</t>
  </si>
  <si>
    <t>J7A 3V6</t>
  </si>
  <si>
    <t>03305451</t>
  </si>
  <si>
    <t>J7N 1V5</t>
  </si>
  <si>
    <t>01110668</t>
  </si>
  <si>
    <t>H1X 1J4</t>
  </si>
  <si>
    <t>01110674</t>
  </si>
  <si>
    <t>J0C 1G0</t>
  </si>
  <si>
    <t>01405632</t>
  </si>
  <si>
    <t>J8S 0C3</t>
  </si>
  <si>
    <t>03400621</t>
  </si>
  <si>
    <t>J5B 1C3</t>
  </si>
  <si>
    <t>01111869</t>
  </si>
  <si>
    <t>H1E 5Z1</t>
  </si>
  <si>
    <t>03305457</t>
  </si>
  <si>
    <t>H2E 2B5</t>
  </si>
  <si>
    <t>00300944</t>
  </si>
  <si>
    <t>G6P 8C7</t>
  </si>
  <si>
    <t>03305459</t>
  </si>
  <si>
    <t>J0H 0L4</t>
  </si>
  <si>
    <t>03305460</t>
  </si>
  <si>
    <t>H2E 2K8</t>
  </si>
  <si>
    <t>00300945</t>
  </si>
  <si>
    <t>J0A 1E0</t>
  </si>
  <si>
    <t>01110679</t>
  </si>
  <si>
    <t>J5R 6A9</t>
  </si>
  <si>
    <t>03305461</t>
  </si>
  <si>
    <t>J7N 0T8</t>
  </si>
  <si>
    <t>03305463</t>
  </si>
  <si>
    <t>H9H 4S8</t>
  </si>
  <si>
    <t>03305465</t>
  </si>
  <si>
    <t>J4G 1H6</t>
  </si>
  <si>
    <t>01405641</t>
  </si>
  <si>
    <t>H8Y 2Y5</t>
  </si>
  <si>
    <t>01405642</t>
  </si>
  <si>
    <t>J5N 3E1</t>
  </si>
  <si>
    <t>03305466</t>
  </si>
  <si>
    <t>H4V 3A4</t>
  </si>
  <si>
    <t>03305467</t>
  </si>
  <si>
    <t>J2Y 1E2</t>
  </si>
  <si>
    <t>03305468</t>
  </si>
  <si>
    <t>GestationalAgeWeeks</t>
  </si>
  <si>
    <t>SuspectedChorioOnly</t>
  </si>
  <si>
    <t>01111597</t>
  </si>
  <si>
    <t>H7G 2P7</t>
  </si>
  <si>
    <t>03306221</t>
  </si>
  <si>
    <t>03306222</t>
  </si>
  <si>
    <t>00301098</t>
  </si>
  <si>
    <t>J3M 1A7</t>
  </si>
  <si>
    <t>01406096</t>
  </si>
  <si>
    <t>H7V 2P2</t>
  </si>
  <si>
    <t>00203103</t>
  </si>
  <si>
    <t>G3E 1E9</t>
  </si>
  <si>
    <t>00301100</t>
  </si>
  <si>
    <t>J0J 1E0</t>
  </si>
  <si>
    <t>03306225</t>
  </si>
  <si>
    <t>J7M 1G8</t>
  </si>
  <si>
    <t>00203107</t>
  </si>
  <si>
    <t>CSSS De Lac-Saint-Jean-Est - Hopital D'Alma</t>
  </si>
  <si>
    <t>G0W 2L0</t>
  </si>
  <si>
    <t>01111602</t>
  </si>
  <si>
    <t>J5L 0K4</t>
  </si>
  <si>
    <t>01111604</t>
  </si>
  <si>
    <t>G9X 2E8</t>
  </si>
  <si>
    <t>03306227</t>
  </si>
  <si>
    <t>H1Z 2R4</t>
  </si>
  <si>
    <t>03306229</t>
  </si>
  <si>
    <t>J5Z 1T6</t>
  </si>
  <si>
    <t>01111619</t>
  </si>
  <si>
    <t>J6E 0H4</t>
  </si>
  <si>
    <t>01111620</t>
  </si>
  <si>
    <t>J5B 2J3</t>
  </si>
  <si>
    <t>03306230</t>
  </si>
  <si>
    <t>03306231</t>
  </si>
  <si>
    <t>J6S 4C6</t>
  </si>
  <si>
    <t>01111621</t>
  </si>
  <si>
    <t>j6k 1b1</t>
  </si>
  <si>
    <t>01111622</t>
  </si>
  <si>
    <t>01111624</t>
  </si>
  <si>
    <t>01111633</t>
  </si>
  <si>
    <t>J6J 5X6</t>
  </si>
  <si>
    <t>03306232</t>
  </si>
  <si>
    <t>H4J 1P1</t>
  </si>
  <si>
    <t>01111653</t>
  </si>
  <si>
    <t>H7C 1E3</t>
  </si>
  <si>
    <t>01111671</t>
  </si>
  <si>
    <t>G9A 1M7</t>
  </si>
  <si>
    <t>01111692</t>
  </si>
  <si>
    <t>J5K 2J2</t>
  </si>
  <si>
    <t>01111695</t>
  </si>
  <si>
    <t>J3Y 1Z9</t>
  </si>
  <si>
    <t>03400719</t>
  </si>
  <si>
    <t>00203110</t>
  </si>
  <si>
    <t>G0M 1Z0</t>
  </si>
  <si>
    <t>03306241</t>
  </si>
  <si>
    <t>J9Y 6X6</t>
  </si>
  <si>
    <t>03306242</t>
  </si>
  <si>
    <t>H4N 1L2</t>
  </si>
  <si>
    <t>01111711</t>
  </si>
  <si>
    <t>G7H 4N7</t>
  </si>
  <si>
    <t>03306244</t>
  </si>
  <si>
    <t>J0K 3M0</t>
  </si>
  <si>
    <t>03306246</t>
  </si>
  <si>
    <t>J9P 4N7</t>
  </si>
  <si>
    <t>03400720</t>
  </si>
  <si>
    <t>01111715</t>
  </si>
  <si>
    <t>G9P 0H6</t>
  </si>
  <si>
    <t>01111720</t>
  </si>
  <si>
    <t>J6W 1W8</t>
  </si>
  <si>
    <t>00301105</t>
  </si>
  <si>
    <t>J2C 7R6</t>
  </si>
  <si>
    <t>01111721</t>
  </si>
  <si>
    <t>H7M 6E6</t>
  </si>
  <si>
    <t>03306249</t>
  </si>
  <si>
    <t>H8Z 2H6</t>
  </si>
  <si>
    <t>03306251</t>
  </si>
  <si>
    <t>03306253</t>
  </si>
  <si>
    <t>J9P 2V3</t>
  </si>
  <si>
    <t>01111745</t>
  </si>
  <si>
    <t>H7V 3M4</t>
  </si>
  <si>
    <t>03306254</t>
  </si>
  <si>
    <t>J5M 0J9</t>
  </si>
  <si>
    <t>01111660</t>
  </si>
  <si>
    <t>J7C 0T4</t>
  </si>
  <si>
    <t>01111746</t>
  </si>
  <si>
    <t>J6S 3S1</t>
  </si>
  <si>
    <t>03306258</t>
  </si>
  <si>
    <t>J3G 5A5</t>
  </si>
  <si>
    <t>01111753</t>
  </si>
  <si>
    <t>J3B 1L4</t>
  </si>
  <si>
    <t>03306261</t>
  </si>
  <si>
    <t>H9B 2L4</t>
  </si>
  <si>
    <t>01111776</t>
  </si>
  <si>
    <t>J0T 2E0</t>
  </si>
  <si>
    <t>03306262</t>
  </si>
  <si>
    <t>G8T 6C1</t>
  </si>
  <si>
    <t>01111658</t>
  </si>
  <si>
    <t>H1S 1V2</t>
  </si>
  <si>
    <t>01111782</t>
  </si>
  <si>
    <t>H7P 2K7</t>
  </si>
  <si>
    <t>01111783</t>
  </si>
  <si>
    <t>H4N 3G7</t>
  </si>
  <si>
    <t>00203129</t>
  </si>
  <si>
    <t>G1M 3E8</t>
  </si>
  <si>
    <t>01111784</t>
  </si>
  <si>
    <t>03306267</t>
  </si>
  <si>
    <t>J5K 2M8</t>
  </si>
  <si>
    <t>01111608</t>
  </si>
  <si>
    <t>01111609</t>
  </si>
  <si>
    <t>H2E 2C6</t>
  </si>
  <si>
    <t>01406134</t>
  </si>
  <si>
    <t>H2E 2H8</t>
  </si>
  <si>
    <t>03306270</t>
  </si>
  <si>
    <t>J7V 4S6</t>
  </si>
  <si>
    <t>01111610</t>
  </si>
  <si>
    <t>H1G 1Y8</t>
  </si>
  <si>
    <t>03306271</t>
  </si>
  <si>
    <t>J6R 0K6</t>
  </si>
  <si>
    <t>01111616</t>
  </si>
  <si>
    <t>01111626</t>
  </si>
  <si>
    <t>J6E 1E5</t>
  </si>
  <si>
    <t>01111628</t>
  </si>
  <si>
    <t>J7R 0A7</t>
  </si>
  <si>
    <t>01406138</t>
  </si>
  <si>
    <t>H3N 2H7</t>
  </si>
  <si>
    <t>03306274</t>
  </si>
  <si>
    <t>H3S 1S5</t>
  </si>
  <si>
    <t>00301224</t>
  </si>
  <si>
    <t>J2L 0B4</t>
  </si>
  <si>
    <t>01111630</t>
  </si>
  <si>
    <t>J6S 5J5</t>
  </si>
  <si>
    <t>03306275</t>
  </si>
  <si>
    <t>J7V 0N4</t>
  </si>
  <si>
    <t>03306276</t>
  </si>
  <si>
    <t>03306277</t>
  </si>
  <si>
    <t>H9X 1N6</t>
  </si>
  <si>
    <t>01111651</t>
  </si>
  <si>
    <t>J7V 7B2</t>
  </si>
  <si>
    <t>03306284</t>
  </si>
  <si>
    <t>H1E 5C7</t>
  </si>
  <si>
    <t>01111665</t>
  </si>
  <si>
    <t>J4L 2V9</t>
  </si>
  <si>
    <t>01111667</t>
  </si>
  <si>
    <t>J6W 5L2</t>
  </si>
  <si>
    <t>01111673</t>
  </si>
  <si>
    <t>H8N 1C2</t>
  </si>
  <si>
    <t>01111675</t>
  </si>
  <si>
    <t>H7R 3X9</t>
  </si>
  <si>
    <t>03306287</t>
  </si>
  <si>
    <t>H4J 2M2</t>
  </si>
  <si>
    <t>01111688</t>
  </si>
  <si>
    <t>03306288</t>
  </si>
  <si>
    <t>H1H 3T7</t>
  </si>
  <si>
    <t>00203123</t>
  </si>
  <si>
    <t>G6P 3J4</t>
  </si>
  <si>
    <t>01111708</t>
  </si>
  <si>
    <t>J3E 0E8</t>
  </si>
  <si>
    <t>03306290</t>
  </si>
  <si>
    <t>J5R 3R4</t>
  </si>
  <si>
    <t>03400739</t>
  </si>
  <si>
    <t>H1L 5B2</t>
  </si>
  <si>
    <t>01111709</t>
  </si>
  <si>
    <t>J4X 4E7</t>
  </si>
  <si>
    <t>01111716</t>
  </si>
  <si>
    <t>H7K 0C2</t>
  </si>
  <si>
    <t>01406152</t>
  </si>
  <si>
    <t>J6T 2B3</t>
  </si>
  <si>
    <t>03400737</t>
  </si>
  <si>
    <t>j0k 1z0</t>
  </si>
  <si>
    <t>03306294</t>
  </si>
  <si>
    <t>H4C 0B1</t>
  </si>
  <si>
    <t>01111727</t>
  </si>
  <si>
    <t>J4K 4R9</t>
  </si>
  <si>
    <t>03306296</t>
  </si>
  <si>
    <t>J4G 2N6</t>
  </si>
  <si>
    <t>01111729</t>
  </si>
  <si>
    <t>H7N 3S9</t>
  </si>
  <si>
    <t>01111733</t>
  </si>
  <si>
    <t>H1B 2X5</t>
  </si>
  <si>
    <t>01111748</t>
  </si>
  <si>
    <t>03306297</t>
  </si>
  <si>
    <t>01111749</t>
  </si>
  <si>
    <t>H1G 4J6</t>
  </si>
  <si>
    <t>00203130</t>
  </si>
  <si>
    <t>G0L 1E0</t>
  </si>
  <si>
    <t>01111756</t>
  </si>
  <si>
    <t>J2J 0M6</t>
  </si>
  <si>
    <t>03306302</t>
  </si>
  <si>
    <t>H2H 2H6</t>
  </si>
  <si>
    <t>01111762</t>
  </si>
  <si>
    <t>G8T 7X4</t>
  </si>
  <si>
    <t>01111766</t>
  </si>
  <si>
    <t>H7G 3B5</t>
  </si>
  <si>
    <t>01406188</t>
  </si>
  <si>
    <t>J6S 0M7</t>
  </si>
  <si>
    <t>01111767</t>
  </si>
  <si>
    <t>H4N 1C4</t>
  </si>
  <si>
    <t>03306309</t>
  </si>
  <si>
    <t>J0H 1R0</t>
  </si>
  <si>
    <t>01111769</t>
  </si>
  <si>
    <t>03306313</t>
  </si>
  <si>
    <t>H3R 2L9</t>
  </si>
  <si>
    <t>01111777</t>
  </si>
  <si>
    <t>J7E 2S4</t>
  </si>
  <si>
    <t>03306315</t>
  </si>
  <si>
    <t>J5Z 1v3</t>
  </si>
  <si>
    <t>01111674</t>
  </si>
  <si>
    <t>H7H 3E7</t>
  </si>
  <si>
    <t>01111689</t>
  </si>
  <si>
    <t>03306318</t>
  </si>
  <si>
    <t>H4L 3R1</t>
  </si>
  <si>
    <t>03306319</t>
  </si>
  <si>
    <t>H1H 4V3</t>
  </si>
  <si>
    <t>03306320</t>
  </si>
  <si>
    <t>J0L 1W0</t>
  </si>
  <si>
    <t>03306321</t>
  </si>
  <si>
    <t>J9X 1H6</t>
  </si>
  <si>
    <t>03306322</t>
  </si>
  <si>
    <t>H1H 2J1</t>
  </si>
  <si>
    <t>03306323</t>
  </si>
  <si>
    <t>H3L 1S8</t>
  </si>
  <si>
    <t>03306324</t>
  </si>
  <si>
    <t>H8S 1R3</t>
  </si>
  <si>
    <t>01111705</t>
  </si>
  <si>
    <t>J3L 7C4</t>
  </si>
  <si>
    <t>01406167</t>
  </si>
  <si>
    <t>J3H 0E9</t>
  </si>
  <si>
    <t>03306325</t>
  </si>
  <si>
    <t>J2J 0R3</t>
  </si>
  <si>
    <t>03306326</t>
  </si>
  <si>
    <t>03306328</t>
  </si>
  <si>
    <t>H3E 1B5</t>
  </si>
  <si>
    <t>00301226</t>
  </si>
  <si>
    <t>01111913</t>
  </si>
  <si>
    <t>J4K 4L5</t>
  </si>
  <si>
    <t>03306332</t>
  </si>
  <si>
    <t>H9A 1B8</t>
  </si>
  <si>
    <t>01406172</t>
  </si>
  <si>
    <t>H7W 2A1</t>
  </si>
  <si>
    <t>03306334</t>
  </si>
  <si>
    <t>H4M 0A1</t>
  </si>
  <si>
    <t>01111735</t>
  </si>
  <si>
    <t>J2W 2E7</t>
  </si>
  <si>
    <t>01111736</t>
  </si>
  <si>
    <t>H3L 2X4</t>
  </si>
  <si>
    <t>01111738</t>
  </si>
  <si>
    <t>J3L 7B9</t>
  </si>
  <si>
    <t>01406174</t>
  </si>
  <si>
    <t>J6E 3V9</t>
  </si>
  <si>
    <t>01406175</t>
  </si>
  <si>
    <t>J7K 3N3</t>
  </si>
  <si>
    <t>03306342</t>
  </si>
  <si>
    <t>Cornwall Community Hospital</t>
  </si>
  <si>
    <t>K6G 5C2</t>
  </si>
  <si>
    <t>01111747</t>
  </si>
  <si>
    <t>H3M 1K9</t>
  </si>
  <si>
    <t>01111750</t>
  </si>
  <si>
    <t>G9N 5V1</t>
  </si>
  <si>
    <t>01111757</t>
  </si>
  <si>
    <t>J7Z 2J7</t>
  </si>
  <si>
    <t>01111761</t>
  </si>
  <si>
    <t>H1P 3E6</t>
  </si>
  <si>
    <t>01111765</t>
  </si>
  <si>
    <t>H7G 2L5</t>
  </si>
  <si>
    <t>01111779</t>
  </si>
  <si>
    <t>J6A 5T4</t>
  </si>
  <si>
    <t>01406190</t>
  </si>
  <si>
    <t>G8T 9N6</t>
  </si>
  <si>
    <t>03306345</t>
  </si>
  <si>
    <t>J5L 1V1</t>
  </si>
  <si>
    <t>01111780</t>
  </si>
  <si>
    <t>H4J 2C2</t>
  </si>
  <si>
    <t>03306347</t>
  </si>
  <si>
    <t>J0M 1H0</t>
  </si>
  <si>
    <t>00203141</t>
  </si>
  <si>
    <t>G1H 4N1</t>
  </si>
  <si>
    <t>03306348</t>
  </si>
  <si>
    <t>03306349</t>
  </si>
  <si>
    <t>J7B 1T8</t>
  </si>
  <si>
    <t>00203142</t>
  </si>
  <si>
    <t>G6W 2P8</t>
  </si>
  <si>
    <t>01111792</t>
  </si>
  <si>
    <t>J6R 2R7</t>
  </si>
  <si>
    <t>01111793</t>
  </si>
  <si>
    <t>J6Z 1Z4</t>
  </si>
  <si>
    <t>03306354</t>
  </si>
  <si>
    <t>03306356</t>
  </si>
  <si>
    <t>G0X 2J0</t>
  </si>
  <si>
    <t>01406183</t>
  </si>
  <si>
    <t>J7Z 2Y7</t>
  </si>
  <si>
    <t>01406184</t>
  </si>
  <si>
    <t>03306358</t>
  </si>
  <si>
    <t>H4E 1K6</t>
  </si>
  <si>
    <t>01111811</t>
  </si>
  <si>
    <t>J7V 6J6</t>
  </si>
  <si>
    <t>03306362</t>
  </si>
  <si>
    <t>03306363</t>
  </si>
  <si>
    <t>H3S 2E5</t>
  </si>
  <si>
    <t>01111816</t>
  </si>
  <si>
    <t>J4G 1H9</t>
  </si>
  <si>
    <t>03306364</t>
  </si>
  <si>
    <t>J7J 1H7</t>
  </si>
  <si>
    <t>03306365</t>
  </si>
  <si>
    <t>H8Z 3C2</t>
  </si>
  <si>
    <t>01111795</t>
  </si>
  <si>
    <t>H2K 1J7</t>
  </si>
  <si>
    <t>03306366</t>
  </si>
  <si>
    <t>03306367</t>
  </si>
  <si>
    <t>J5R 5T8</t>
  </si>
  <si>
    <t>00301124</t>
  </si>
  <si>
    <t>J2H 4R9</t>
  </si>
  <si>
    <t>03306373</t>
  </si>
  <si>
    <t>G0A 2M0</t>
  </si>
  <si>
    <t>03306376</t>
  </si>
  <si>
    <t>J6S 0N5</t>
  </si>
  <si>
    <t>03306377</t>
  </si>
  <si>
    <t>H7P 3A2</t>
  </si>
  <si>
    <t>03306378</t>
  </si>
  <si>
    <t>G9N 2G7</t>
  </si>
  <si>
    <t>01111865</t>
  </si>
  <si>
    <t>J7Y 5K6</t>
  </si>
  <si>
    <t>00301223</t>
  </si>
  <si>
    <t>J0H 2E0</t>
  </si>
  <si>
    <t>00203158</t>
  </si>
  <si>
    <t>G1M 2T3</t>
  </si>
  <si>
    <t>03306384</t>
  </si>
  <si>
    <t>J3R 3Z2</t>
  </si>
  <si>
    <t>03306387</t>
  </si>
  <si>
    <t>J4L 2S1</t>
  </si>
  <si>
    <t>03306388</t>
  </si>
  <si>
    <t>01406215</t>
  </si>
  <si>
    <t>H1E 4M4</t>
  </si>
  <si>
    <t>03306390</t>
  </si>
  <si>
    <t>J9P 2Y2</t>
  </si>
  <si>
    <t>00301126</t>
  </si>
  <si>
    <t>G6L 1P3</t>
  </si>
  <si>
    <t>00203159</t>
  </si>
  <si>
    <t>01111813</t>
  </si>
  <si>
    <t>H4L 3P9</t>
  </si>
  <si>
    <t>00203240</t>
  </si>
  <si>
    <t>G7G 0E2</t>
  </si>
  <si>
    <t>01111824</t>
  </si>
  <si>
    <t>H2S 2M1</t>
  </si>
  <si>
    <t>01111825</t>
  </si>
  <si>
    <t>J6X 2K7</t>
  </si>
  <si>
    <t>03400738</t>
  </si>
  <si>
    <t>J9T 2X5</t>
  </si>
  <si>
    <t>01111831</t>
  </si>
  <si>
    <t>J7M 1L7</t>
  </si>
  <si>
    <t>03306396</t>
  </si>
  <si>
    <t>J5Y 1T1</t>
  </si>
  <si>
    <t>00203162</t>
  </si>
  <si>
    <t>G0A 3K0</t>
  </si>
  <si>
    <t>01111833</t>
  </si>
  <si>
    <t>G9T 2Y2</t>
  </si>
  <si>
    <t>01111837</t>
  </si>
  <si>
    <t>J1H 4L7</t>
  </si>
  <si>
    <t>03306398</t>
  </si>
  <si>
    <t>01111872</t>
  </si>
  <si>
    <t>J7Y 5L4</t>
  </si>
  <si>
    <t>03306401</t>
  </si>
  <si>
    <t>J7N 1R8</t>
  </si>
  <si>
    <t>01111854</t>
  </si>
  <si>
    <t>H4R 1T7</t>
  </si>
  <si>
    <t>01111878</t>
  </si>
  <si>
    <t>H7M 2R6</t>
  </si>
  <si>
    <t>01406224</t>
  </si>
  <si>
    <t>J4J 1G5</t>
  </si>
  <si>
    <t>03306403</t>
  </si>
  <si>
    <t>H4G 3A5</t>
  </si>
  <si>
    <t>03306404</t>
  </si>
  <si>
    <t>01111876</t>
  </si>
  <si>
    <t>H1G 2T4</t>
  </si>
  <si>
    <t>01111927</t>
  </si>
  <si>
    <t>J2X 1S8</t>
  </si>
  <si>
    <t>03306405</t>
  </si>
  <si>
    <t>03306408</t>
  </si>
  <si>
    <t>H8R 2P7</t>
  </si>
  <si>
    <t>01111929</t>
  </si>
  <si>
    <t>H3M 2P8</t>
  </si>
  <si>
    <t>03306413</t>
  </si>
  <si>
    <t>J2X 1K1</t>
  </si>
  <si>
    <t>03306415</t>
  </si>
  <si>
    <t>H7Y 0B2</t>
  </si>
  <si>
    <t>03306416</t>
  </si>
  <si>
    <t>H8T 1J5</t>
  </si>
  <si>
    <t>01111944</t>
  </si>
  <si>
    <t>J0T 2G0</t>
  </si>
  <si>
    <t>01406231</t>
  </si>
  <si>
    <t>J5X 3K9</t>
  </si>
  <si>
    <t>03306419</t>
  </si>
  <si>
    <t>H4L 1E2</t>
  </si>
  <si>
    <t>01111946</t>
  </si>
  <si>
    <t>J0S 1P0</t>
  </si>
  <si>
    <t>01111950</t>
  </si>
  <si>
    <t>H7N 1N1</t>
  </si>
  <si>
    <t>01406233</t>
  </si>
  <si>
    <t>H7T 1K8</t>
  </si>
  <si>
    <t>03306423</t>
  </si>
  <si>
    <t>J7T 0A3</t>
  </si>
  <si>
    <t>01111951</t>
  </si>
  <si>
    <t>G8Y 4Z4</t>
  </si>
  <si>
    <t>01111952</t>
  </si>
  <si>
    <t>01111953</t>
  </si>
  <si>
    <t>J5Z 4N9</t>
  </si>
  <si>
    <t>01111955</t>
  </si>
  <si>
    <t>J7Y 4M3</t>
  </si>
  <si>
    <t>03306425</t>
  </si>
  <si>
    <t>G6P 6B1</t>
  </si>
  <si>
    <t>03306427</t>
  </si>
  <si>
    <t>H8R 2M8</t>
  </si>
  <si>
    <t>00203185</t>
  </si>
  <si>
    <t>G6Z 1X1</t>
  </si>
  <si>
    <t>01111962</t>
  </si>
  <si>
    <t>J2W 1E8</t>
  </si>
  <si>
    <t>03306429</t>
  </si>
  <si>
    <t>H3S 1H5</t>
  </si>
  <si>
    <t>03400745</t>
  </si>
  <si>
    <t>J4Y 1V4</t>
  </si>
  <si>
    <t>03306431</t>
  </si>
  <si>
    <t>J5W 2Y1</t>
  </si>
  <si>
    <t>00301138</t>
  </si>
  <si>
    <t>J2S 7X2</t>
  </si>
  <si>
    <t>01111975</t>
  </si>
  <si>
    <t>J0G 1P0</t>
  </si>
  <si>
    <t>01406240</t>
  </si>
  <si>
    <t>J4B 8L5</t>
  </si>
  <si>
    <t>01111977</t>
  </si>
  <si>
    <t>J4J 5M2</t>
  </si>
  <si>
    <t>03306446</t>
  </si>
  <si>
    <t>H2V 3Y6</t>
  </si>
  <si>
    <t>03306447</t>
  </si>
  <si>
    <t>J5J 1T3</t>
  </si>
  <si>
    <t>03400813</t>
  </si>
  <si>
    <t>J4T 1T4</t>
  </si>
  <si>
    <t>01406245</t>
  </si>
  <si>
    <t>H9H 2C9</t>
  </si>
  <si>
    <t>01406248</t>
  </si>
  <si>
    <t>01111858</t>
  </si>
  <si>
    <t>J4L 2L3</t>
  </si>
  <si>
    <t>01111859</t>
  </si>
  <si>
    <t>H7G 1G1</t>
  </si>
  <si>
    <t>01406351</t>
  </si>
  <si>
    <t>H2Z 1W8</t>
  </si>
  <si>
    <t>01406250</t>
  </si>
  <si>
    <t>H2S 2P5</t>
  </si>
  <si>
    <t>03306459</t>
  </si>
  <si>
    <t>H3X 1V4</t>
  </si>
  <si>
    <t>01406254</t>
  </si>
  <si>
    <t>J6N 0N5</t>
  </si>
  <si>
    <t>03306460</t>
  </si>
  <si>
    <t>J4M 2K4</t>
  </si>
  <si>
    <t>00301141</t>
  </si>
  <si>
    <t>01111880</t>
  </si>
  <si>
    <t>01111881</t>
  </si>
  <si>
    <t>H7C 2N1</t>
  </si>
  <si>
    <t>03306463</t>
  </si>
  <si>
    <t>H7R 4Z9</t>
  </si>
  <si>
    <t>03306466</t>
  </si>
  <si>
    <t>H9R 3V2</t>
  </si>
  <si>
    <t>03306469</t>
  </si>
  <si>
    <t>J7Z 0G2</t>
  </si>
  <si>
    <t>03306470</t>
  </si>
  <si>
    <t>H7V 3X8</t>
  </si>
  <si>
    <t>03306473</t>
  </si>
  <si>
    <t>J6E 5J5</t>
  </si>
  <si>
    <t>01111893</t>
  </si>
  <si>
    <t>H7T 1M8</t>
  </si>
  <si>
    <t>03306475</t>
  </si>
  <si>
    <t>J4Z 3G4</t>
  </si>
  <si>
    <t>01111894</t>
  </si>
  <si>
    <t>G8W 2E8</t>
  </si>
  <si>
    <t>01111896</t>
  </si>
  <si>
    <t>J3Y 0H1</t>
  </si>
  <si>
    <t>01406265</t>
  </si>
  <si>
    <t>01111899</t>
  </si>
  <si>
    <t>J6R 2M6</t>
  </si>
  <si>
    <t>01111900</t>
  </si>
  <si>
    <t>J3P 3L3</t>
  </si>
  <si>
    <t>01111907</t>
  </si>
  <si>
    <t>J4K 4R6</t>
  </si>
  <si>
    <t>03306482</t>
  </si>
  <si>
    <t>J8T 5G7</t>
  </si>
  <si>
    <t>00203235</t>
  </si>
  <si>
    <t>G1P 1G1</t>
  </si>
  <si>
    <t>01111917</t>
  </si>
  <si>
    <t>01111918</t>
  </si>
  <si>
    <t>J0T 1L0</t>
  </si>
  <si>
    <t>01111920</t>
  </si>
  <si>
    <t>01111797</t>
  </si>
  <si>
    <t>J0J 2K0</t>
  </si>
  <si>
    <t>01111921</t>
  </si>
  <si>
    <t>01111963</t>
  </si>
  <si>
    <t>J5J 2M8</t>
  </si>
  <si>
    <t>01111964</t>
  </si>
  <si>
    <t>H7H 2W9</t>
  </si>
  <si>
    <t>00301145</t>
  </si>
  <si>
    <t>J0C 1L0</t>
  </si>
  <si>
    <t>01111798</t>
  </si>
  <si>
    <t>01111945</t>
  </si>
  <si>
    <t>J3Y 0M6</t>
  </si>
  <si>
    <t>01111939</t>
  </si>
  <si>
    <t>J6R 0K8</t>
  </si>
  <si>
    <t>03306495</t>
  </si>
  <si>
    <t>J6N 2Y3</t>
  </si>
  <si>
    <t>01111938</t>
  </si>
  <si>
    <t>J6N 0A4</t>
  </si>
  <si>
    <t>03306497</t>
  </si>
  <si>
    <t>H4N 2C7</t>
  </si>
  <si>
    <t>01111902</t>
  </si>
  <si>
    <t>J3G 6T8</t>
  </si>
  <si>
    <t>01111936</t>
  </si>
  <si>
    <t>H7N 1G1</t>
  </si>
  <si>
    <t>01111890</t>
  </si>
  <si>
    <t>J2N 2P1</t>
  </si>
  <si>
    <t>03306499</t>
  </si>
  <si>
    <t>J6A 6Z4</t>
  </si>
  <si>
    <t>01111882</t>
  </si>
  <si>
    <t>J4H 3R6</t>
  </si>
  <si>
    <t>01111888</t>
  </si>
  <si>
    <t>H7Y 2E1</t>
  </si>
  <si>
    <t>01111889</t>
  </si>
  <si>
    <t>J6J 4H5</t>
  </si>
  <si>
    <t>03306501</t>
  </si>
  <si>
    <t>H9X 1J5</t>
  </si>
  <si>
    <t>01112231</t>
  </si>
  <si>
    <t>Institut De Cardiologie De Montreal</t>
  </si>
  <si>
    <t>00203187</t>
  </si>
  <si>
    <t>G5L 2E2</t>
  </si>
  <si>
    <t>00203188</t>
  </si>
  <si>
    <t>G7J 1J9</t>
  </si>
  <si>
    <t>01111983</t>
  </si>
  <si>
    <t>J8C 3M6</t>
  </si>
  <si>
    <t>03306507</t>
  </si>
  <si>
    <t>H2M 2G8</t>
  </si>
  <si>
    <t>00301150</t>
  </si>
  <si>
    <t>J0A 1H0</t>
  </si>
  <si>
    <t>01406295</t>
  </si>
  <si>
    <t>J7Z 0J5</t>
  </si>
  <si>
    <t>03306509</t>
  </si>
  <si>
    <t>J2W 3A8</t>
  </si>
  <si>
    <t>03306510</t>
  </si>
  <si>
    <t>J5R 0H3</t>
  </si>
  <si>
    <t>01112029</t>
  </si>
  <si>
    <t>J0T 2N0</t>
  </si>
  <si>
    <t>01112030</t>
  </si>
  <si>
    <t>03306513</t>
  </si>
  <si>
    <t>J6A 1N3</t>
  </si>
  <si>
    <t>01112035</t>
  </si>
  <si>
    <t>J3B 6H4</t>
  </si>
  <si>
    <t>01112036</t>
  </si>
  <si>
    <t>J6X 0A8</t>
  </si>
  <si>
    <t>03306517</t>
  </si>
  <si>
    <t>J0S 1R0</t>
  </si>
  <si>
    <t>03306518</t>
  </si>
  <si>
    <t>J3Y 6G3</t>
  </si>
  <si>
    <t>03306519</t>
  </si>
  <si>
    <t>J7T 1K9</t>
  </si>
  <si>
    <t>03306520</t>
  </si>
  <si>
    <t>J5M 2K4</t>
  </si>
  <si>
    <t>01406300</t>
  </si>
  <si>
    <t>H3M 2S7</t>
  </si>
  <si>
    <t>03306523</t>
  </si>
  <si>
    <t>H4N 3E7</t>
  </si>
  <si>
    <t>03306525</t>
  </si>
  <si>
    <t>J4L 1N3</t>
  </si>
  <si>
    <t>03306528</t>
  </si>
  <si>
    <t>H3J 2X8</t>
  </si>
  <si>
    <t>01406291</t>
  </si>
  <si>
    <t>H9R 1K1</t>
  </si>
  <si>
    <t>01406305</t>
  </si>
  <si>
    <t>03306532</t>
  </si>
  <si>
    <t>J2Y 1C2</t>
  </si>
  <si>
    <t>03306533</t>
  </si>
  <si>
    <t>H7L 2W3</t>
  </si>
  <si>
    <t>03400778</t>
  </si>
  <si>
    <t>J6E 9J1</t>
  </si>
  <si>
    <t>03306535</t>
  </si>
  <si>
    <t>H2S 2B4</t>
  </si>
  <si>
    <t>03306536</t>
  </si>
  <si>
    <t>J7V 0K2</t>
  </si>
  <si>
    <t>01112095</t>
  </si>
  <si>
    <t>H1G 1G6</t>
  </si>
  <si>
    <t>01112116</t>
  </si>
  <si>
    <t>J5Y 2R4</t>
  </si>
  <si>
    <t>01406311</t>
  </si>
  <si>
    <t>H1K 4V5</t>
  </si>
  <si>
    <t>03306542</t>
  </si>
  <si>
    <t>03306543</t>
  </si>
  <si>
    <t>J4M 0B1</t>
  </si>
  <si>
    <t>01406312</t>
  </si>
  <si>
    <t>J7V 8P2</t>
  </si>
  <si>
    <t>01406314</t>
  </si>
  <si>
    <t>H7S 0A4</t>
  </si>
  <si>
    <t>03306544</t>
  </si>
  <si>
    <t>J5Z 4W3</t>
  </si>
  <si>
    <t>00301155</t>
  </si>
  <si>
    <t>J2G 7L7</t>
  </si>
  <si>
    <t>03306547</t>
  </si>
  <si>
    <t>H3W 0B2</t>
  </si>
  <si>
    <t>03306548</t>
  </si>
  <si>
    <t>J7N 2P5</t>
  </si>
  <si>
    <t>00301210</t>
  </si>
  <si>
    <t>J0G 1V0</t>
  </si>
  <si>
    <t>00203197</t>
  </si>
  <si>
    <t>CSSS De Manicouagan - Hopital Le Royer</t>
  </si>
  <si>
    <t>H1H 4T5</t>
  </si>
  <si>
    <t>03306555</t>
  </si>
  <si>
    <t>H7N 0E3</t>
  </si>
  <si>
    <t>01112090</t>
  </si>
  <si>
    <t>G9T 1T1</t>
  </si>
  <si>
    <t>01112086</t>
  </si>
  <si>
    <t>J9Y 1H7</t>
  </si>
  <si>
    <t>01112074</t>
  </si>
  <si>
    <t>J3X 0E3</t>
  </si>
  <si>
    <t>03306558</t>
  </si>
  <si>
    <t>01406320</t>
  </si>
  <si>
    <t>H1J 1M9</t>
  </si>
  <si>
    <t>03306559</t>
  </si>
  <si>
    <t>H8N 2H6</t>
  </si>
  <si>
    <t>01111985</t>
  </si>
  <si>
    <t>H1S 1Y9</t>
  </si>
  <si>
    <t>03306561</t>
  </si>
  <si>
    <t>03306562</t>
  </si>
  <si>
    <t>H8S 1K8</t>
  </si>
  <si>
    <t>03306563</t>
  </si>
  <si>
    <t>03306564</t>
  </si>
  <si>
    <t>01111994</t>
  </si>
  <si>
    <t>J6A 6A2</t>
  </si>
  <si>
    <t>03306567</t>
  </si>
  <si>
    <t>H7X 3J2</t>
  </si>
  <si>
    <t>03400774</t>
  </si>
  <si>
    <t>03306572</t>
  </si>
  <si>
    <t>03400765</t>
  </si>
  <si>
    <t>H1V 2S8</t>
  </si>
  <si>
    <t>01112003</t>
  </si>
  <si>
    <t>03306573</t>
  </si>
  <si>
    <t>J5M 3E7</t>
  </si>
  <si>
    <t>03306574</t>
  </si>
  <si>
    <t>H3H 1P1</t>
  </si>
  <si>
    <t>00301168</t>
  </si>
  <si>
    <t>G0L 2L0</t>
  </si>
  <si>
    <t>01112011</t>
  </si>
  <si>
    <t>01112013</t>
  </si>
  <si>
    <t>01112161</t>
  </si>
  <si>
    <t>03306578</t>
  </si>
  <si>
    <t>J9P 6R6</t>
  </si>
  <si>
    <t>01112020</t>
  </si>
  <si>
    <t>J4T 2V1</t>
  </si>
  <si>
    <t>01112021</t>
  </si>
  <si>
    <t>J7K 0V9</t>
  </si>
  <si>
    <t>00203206</t>
  </si>
  <si>
    <t>G8P 2K7</t>
  </si>
  <si>
    <t>01112026</t>
  </si>
  <si>
    <t>H7Y 2H3</t>
  </si>
  <si>
    <t>01406332</t>
  </si>
  <si>
    <t>03306579</t>
  </si>
  <si>
    <t>H7K 2V5</t>
  </si>
  <si>
    <t>03306583</t>
  </si>
  <si>
    <t>J4H 2R7</t>
  </si>
  <si>
    <t>01112043</t>
  </si>
  <si>
    <t>03306585</t>
  </si>
  <si>
    <t>01112044</t>
  </si>
  <si>
    <t>H1A 2C4</t>
  </si>
  <si>
    <t>03306587</t>
  </si>
  <si>
    <t>01112048</t>
  </si>
  <si>
    <t>H2J 3S3</t>
  </si>
  <si>
    <t>03306589</t>
  </si>
  <si>
    <t>J6S 3H3</t>
  </si>
  <si>
    <t>03306591</t>
  </si>
  <si>
    <t>J0S 1L0</t>
  </si>
  <si>
    <t>00301156</t>
  </si>
  <si>
    <t>J2C 4W4</t>
  </si>
  <si>
    <t>03306593</t>
  </si>
  <si>
    <t>J0K 2S0</t>
  </si>
  <si>
    <t>01112050</t>
  </si>
  <si>
    <t>H1G 3R4</t>
  </si>
  <si>
    <t>03306596</t>
  </si>
  <si>
    <t>J7V 2S1</t>
  </si>
  <si>
    <t>00203236</t>
  </si>
  <si>
    <t>G7K 0B4</t>
  </si>
  <si>
    <t>01112059</t>
  </si>
  <si>
    <t>J6X 0C6</t>
  </si>
  <si>
    <t>01112064</t>
  </si>
  <si>
    <t>H3E 1G1</t>
  </si>
  <si>
    <t>03400762</t>
  </si>
  <si>
    <t>J5K 1V8</t>
  </si>
  <si>
    <t>03400763</t>
  </si>
  <si>
    <t>01112080</t>
  </si>
  <si>
    <t>J0K 2K0</t>
  </si>
  <si>
    <t>01112083</t>
  </si>
  <si>
    <t>J3Y 8S2</t>
  </si>
  <si>
    <t>03306604</t>
  </si>
  <si>
    <t>H8N 1P7</t>
  </si>
  <si>
    <t>03306605</t>
  </si>
  <si>
    <t>H4N 1G2</t>
  </si>
  <si>
    <t>03306606</t>
  </si>
  <si>
    <t>H1N 1V2</t>
  </si>
  <si>
    <t>01112097</t>
  </si>
  <si>
    <t>J8C 2L3</t>
  </si>
  <si>
    <t>03306610</t>
  </si>
  <si>
    <t>H3J 0B7</t>
  </si>
  <si>
    <t>03306611</t>
  </si>
  <si>
    <t>H3L 1L3</t>
  </si>
  <si>
    <t>03306613</t>
  </si>
  <si>
    <t>H7W 2C8</t>
  </si>
  <si>
    <t>03306614</t>
  </si>
  <si>
    <t>J4K 2A5</t>
  </si>
  <si>
    <t>00301163</t>
  </si>
  <si>
    <t>J2C 6H2</t>
  </si>
  <si>
    <t>03306617</t>
  </si>
  <si>
    <t>J3Y 9G6</t>
  </si>
  <si>
    <t>03306618</t>
  </si>
  <si>
    <t>H7R 4W9</t>
  </si>
  <si>
    <t>03306620</t>
  </si>
  <si>
    <t>H9H 3E6</t>
  </si>
  <si>
    <t>01406347</t>
  </si>
  <si>
    <t>03306622</t>
  </si>
  <si>
    <t>H1R 2P7</t>
  </si>
  <si>
    <t>03306623</t>
  </si>
  <si>
    <t>03306627</t>
  </si>
  <si>
    <t>J5W 1P2</t>
  </si>
  <si>
    <t>01406348</t>
  </si>
  <si>
    <t>J1Y 5W9</t>
  </si>
  <si>
    <t>03306629</t>
  </si>
  <si>
    <t>J2T 4A5</t>
  </si>
  <si>
    <t>03306632</t>
  </si>
  <si>
    <t>H7X 4H7</t>
  </si>
  <si>
    <t>01112129</t>
  </si>
  <si>
    <t>J0W 1J0</t>
  </si>
  <si>
    <t>01406350</t>
  </si>
  <si>
    <t>J7N 0P9</t>
  </si>
  <si>
    <t>03306633</t>
  </si>
  <si>
    <t>H7N 0B5</t>
  </si>
  <si>
    <t>03306634</t>
  </si>
  <si>
    <t>G5M 1L5</t>
  </si>
  <si>
    <t>03306635</t>
  </si>
  <si>
    <t>H2H 2P3</t>
  </si>
  <si>
    <t>01112134</t>
  </si>
  <si>
    <t>H4C 3A2</t>
  </si>
  <si>
    <t>03306638</t>
  </si>
  <si>
    <t>H1X 3J3</t>
  </si>
  <si>
    <t>00203218</t>
  </si>
  <si>
    <t>G0F 2G0</t>
  </si>
  <si>
    <t>01112136</t>
  </si>
  <si>
    <t>G8Y 3B8</t>
  </si>
  <si>
    <t>01112138</t>
  </si>
  <si>
    <t>J5V 1A7</t>
  </si>
  <si>
    <t>03306639</t>
  </si>
  <si>
    <t>J5A 2K1</t>
  </si>
  <si>
    <t>03306640</t>
  </si>
  <si>
    <t>J6J 5X3</t>
  </si>
  <si>
    <t>01406355</t>
  </si>
  <si>
    <t>J6J 1X3</t>
  </si>
  <si>
    <t>01406356</t>
  </si>
  <si>
    <t>03306642</t>
  </si>
  <si>
    <t>03306644</t>
  </si>
  <si>
    <t>J3L 5V3</t>
  </si>
  <si>
    <t>03306645</t>
  </si>
  <si>
    <t>H3J 1H6</t>
  </si>
  <si>
    <t>03306646</t>
  </si>
  <si>
    <t>H8P 3S5</t>
  </si>
  <si>
    <t>01406557</t>
  </si>
  <si>
    <t>H1H 4G5</t>
  </si>
  <si>
    <t>03306649</t>
  </si>
  <si>
    <t>H1N 2R2</t>
  </si>
  <si>
    <t>01112142</t>
  </si>
  <si>
    <t>01112143</t>
  </si>
  <si>
    <t>03306650</t>
  </si>
  <si>
    <t>H2G 3G7</t>
  </si>
  <si>
    <t>03306651</t>
  </si>
  <si>
    <t>03306653</t>
  </si>
  <si>
    <t>H7W 2S3</t>
  </si>
  <si>
    <t>03306654</t>
  </si>
  <si>
    <t>J4Y 0H6</t>
  </si>
  <si>
    <t>03306655</t>
  </si>
  <si>
    <t>03306661</t>
  </si>
  <si>
    <t>H8N 1K9</t>
  </si>
  <si>
    <t>01112170</t>
  </si>
  <si>
    <t>J3G 2Y1</t>
  </si>
  <si>
    <t>01406372</t>
  </si>
  <si>
    <t>H7N 0G6</t>
  </si>
  <si>
    <t>03306663</t>
  </si>
  <si>
    <t>H9S 4Y6</t>
  </si>
  <si>
    <t>03306664</t>
  </si>
  <si>
    <t>01112172</t>
  </si>
  <si>
    <t>J8H 3P2</t>
  </si>
  <si>
    <t>01112173</t>
  </si>
  <si>
    <t>J7R 6P1</t>
  </si>
  <si>
    <t>03306668</t>
  </si>
  <si>
    <t>01112174</t>
  </si>
  <si>
    <t>J7J 1C9</t>
  </si>
  <si>
    <t>03306671</t>
  </si>
  <si>
    <t>J7C 0L9</t>
  </si>
  <si>
    <t>03306674</t>
  </si>
  <si>
    <t>H7M 0A4</t>
  </si>
  <si>
    <t>01112521</t>
  </si>
  <si>
    <t>P6C 5J7</t>
  </si>
  <si>
    <t>01406377</t>
  </si>
  <si>
    <t>03400781</t>
  </si>
  <si>
    <t>G8W 0H1</t>
  </si>
  <si>
    <t>00301176</t>
  </si>
  <si>
    <t>03306683</t>
  </si>
  <si>
    <t>J3R 4T3</t>
  </si>
  <si>
    <t>01112193</t>
  </si>
  <si>
    <t>H2Y 0A6</t>
  </si>
  <si>
    <t>01112194</t>
  </si>
  <si>
    <t>03306685</t>
  </si>
  <si>
    <t>H7C 1G5</t>
  </si>
  <si>
    <t>03306686</t>
  </si>
  <si>
    <t>J6X 3H5</t>
  </si>
  <si>
    <t>01112498</t>
  </si>
  <si>
    <t>J4Z 1J2</t>
  </si>
  <si>
    <t>03306687</t>
  </si>
  <si>
    <t>H1K 2M5</t>
  </si>
  <si>
    <t>03306688</t>
  </si>
  <si>
    <t>03306689</t>
  </si>
  <si>
    <t>H9J 1A5</t>
  </si>
  <si>
    <t>01112202</t>
  </si>
  <si>
    <t>J5J 0H2</t>
  </si>
  <si>
    <t>03306691</t>
  </si>
  <si>
    <t>01112204</t>
  </si>
  <si>
    <t>03306694</t>
  </si>
  <si>
    <t>03306695</t>
  </si>
  <si>
    <t>01112205</t>
  </si>
  <si>
    <t>H1V 1C5</t>
  </si>
  <si>
    <t>01112206</t>
  </si>
  <si>
    <t>J3Y 8V5</t>
  </si>
  <si>
    <t>01112207</t>
  </si>
  <si>
    <t>G9P 4K3</t>
  </si>
  <si>
    <t>01112208</t>
  </si>
  <si>
    <t>01112209</t>
  </si>
  <si>
    <t>J5Z 1V4</t>
  </si>
  <si>
    <t>01112220</t>
  </si>
  <si>
    <t>J2W 0H6</t>
  </si>
  <si>
    <t>03306698</t>
  </si>
  <si>
    <t>J2X 2M3</t>
  </si>
  <si>
    <t>03306699</t>
  </si>
  <si>
    <t>J3P 3W1</t>
  </si>
  <si>
    <t>01112222</t>
  </si>
  <si>
    <t>J8H 4E6</t>
  </si>
  <si>
    <t>01112223</t>
  </si>
  <si>
    <t>J3N 1A8</t>
  </si>
  <si>
    <t>01406406</t>
  </si>
  <si>
    <t>H7N 5C7</t>
  </si>
  <si>
    <t>03306700</t>
  </si>
  <si>
    <t>H4Z 3E9</t>
  </si>
  <si>
    <t>01112226</t>
  </si>
  <si>
    <t>03306701</t>
  </si>
  <si>
    <t>J7V 0K1</t>
  </si>
  <si>
    <t>01112246</t>
  </si>
  <si>
    <t>J0H 1J0</t>
  </si>
  <si>
    <t>01112247</t>
  </si>
  <si>
    <t>H1S 2W1</t>
  </si>
  <si>
    <t>03306703</t>
  </si>
  <si>
    <t>H9B 1K4</t>
  </si>
  <si>
    <t>03306704</t>
  </si>
  <si>
    <t>J3L 1K2</t>
  </si>
  <si>
    <t>01112249</t>
  </si>
  <si>
    <t>H1M 2K8</t>
  </si>
  <si>
    <t>01112250</t>
  </si>
  <si>
    <t>J0B 2T0</t>
  </si>
  <si>
    <t>01112254</t>
  </si>
  <si>
    <t>J7E 3B9</t>
  </si>
  <si>
    <t>00203243</t>
  </si>
  <si>
    <t>G0R 1S0</t>
  </si>
  <si>
    <t>03306707</t>
  </si>
  <si>
    <t>H1K 0J7</t>
  </si>
  <si>
    <t>03400780</t>
  </si>
  <si>
    <t>H1G 2L3</t>
  </si>
  <si>
    <t>01112278</t>
  </si>
  <si>
    <t>J3R 4T1</t>
  </si>
  <si>
    <t>03306710</t>
  </si>
  <si>
    <t>03306711</t>
  </si>
  <si>
    <t>H7N 4V7</t>
  </si>
  <si>
    <t>03306712</t>
  </si>
  <si>
    <t>03306713</t>
  </si>
  <si>
    <t>J4G 1T2</t>
  </si>
  <si>
    <t>03306715</t>
  </si>
  <si>
    <t>03306716</t>
  </si>
  <si>
    <t>H8S 1K9</t>
  </si>
  <si>
    <t>01112164</t>
  </si>
  <si>
    <t>G0W 2H0</t>
  </si>
  <si>
    <t>03306719</t>
  </si>
  <si>
    <t>H7W 4Z2</t>
  </si>
  <si>
    <t>01112168</t>
  </si>
  <si>
    <t>E3Y 1B2</t>
  </si>
  <si>
    <t>03306722</t>
  </si>
  <si>
    <t>H9H 4B7</t>
  </si>
  <si>
    <t>03306724</t>
  </si>
  <si>
    <t>H4E 2W2</t>
  </si>
  <si>
    <t>00203245</t>
  </si>
  <si>
    <t>G5N 1P7</t>
  </si>
  <si>
    <t>01112198</t>
  </si>
  <si>
    <t>J6S 4B5</t>
  </si>
  <si>
    <t>01112200</t>
  </si>
  <si>
    <t>H1W 2E6</t>
  </si>
  <si>
    <t>01406412</t>
  </si>
  <si>
    <t>03306727</t>
  </si>
  <si>
    <t>J3M 1P1</t>
  </si>
  <si>
    <t>03400791</t>
  </si>
  <si>
    <t>03400792</t>
  </si>
  <si>
    <t>00301178</t>
  </si>
  <si>
    <t>01112201</t>
  </si>
  <si>
    <t>J2G 5G1</t>
  </si>
  <si>
    <t>03306728</t>
  </si>
  <si>
    <t>H4E 2R1</t>
  </si>
  <si>
    <t>03306729</t>
  </si>
  <si>
    <t>01112214</t>
  </si>
  <si>
    <t>H7A 3C3</t>
  </si>
  <si>
    <t>03306731</t>
  </si>
  <si>
    <t>H1M 3H4</t>
  </si>
  <si>
    <t>03306733</t>
  </si>
  <si>
    <t>00301214</t>
  </si>
  <si>
    <t>J0E 1X0</t>
  </si>
  <si>
    <t>01112182</t>
  </si>
  <si>
    <t>J5L 1K4</t>
  </si>
  <si>
    <t>01406407</t>
  </si>
  <si>
    <t>H1Y 2C9</t>
  </si>
  <si>
    <t>03306734</t>
  </si>
  <si>
    <t>J3Y 0K4</t>
  </si>
  <si>
    <t>03306735</t>
  </si>
  <si>
    <t>H7R 1L7</t>
  </si>
  <si>
    <t>01112230</t>
  </si>
  <si>
    <t>J6W 6H5</t>
  </si>
  <si>
    <t>01112531</t>
  </si>
  <si>
    <t>J5R 6M5</t>
  </si>
  <si>
    <t>03306742</t>
  </si>
  <si>
    <t>H8N 1Y7</t>
  </si>
  <si>
    <t>01112237</t>
  </si>
  <si>
    <t>03306750</t>
  </si>
  <si>
    <t>H9H 4Y3</t>
  </si>
  <si>
    <t>01112240</t>
  </si>
  <si>
    <t>03306755</t>
  </si>
  <si>
    <t>H8R 2Z6</t>
  </si>
  <si>
    <t>00203248</t>
  </si>
  <si>
    <t>G0C 0H7</t>
  </si>
  <si>
    <t>01112256</t>
  </si>
  <si>
    <t>H8P 2K7</t>
  </si>
  <si>
    <t>03306758</t>
  </si>
  <si>
    <t>J7W 0C3</t>
  </si>
  <si>
    <t>03306760</t>
  </si>
  <si>
    <t>J3G 2Z6</t>
  </si>
  <si>
    <t>01112183</t>
  </si>
  <si>
    <t>H8N 1P1</t>
  </si>
  <si>
    <t>03306765</t>
  </si>
  <si>
    <t>J2S 1B7</t>
  </si>
  <si>
    <t>01112263</t>
  </si>
  <si>
    <t>J7Z 5H1</t>
  </si>
  <si>
    <t>01112271</t>
  </si>
  <si>
    <t>H3C 1K3</t>
  </si>
  <si>
    <t>01112272</t>
  </si>
  <si>
    <t>J9Y 1H1</t>
  </si>
  <si>
    <t>03306772</t>
  </si>
  <si>
    <t>J9X 6W2</t>
  </si>
  <si>
    <t>03306775</t>
  </si>
  <si>
    <t>H8N 1V5</t>
  </si>
  <si>
    <t>03400787</t>
  </si>
  <si>
    <t>01112291</t>
  </si>
  <si>
    <t>J6E 8S1</t>
  </si>
  <si>
    <t>03306776</t>
  </si>
  <si>
    <t>01112294</t>
  </si>
  <si>
    <t>J4Y 0L4</t>
  </si>
  <si>
    <t>01112295</t>
  </si>
  <si>
    <t>H1A 2T4</t>
  </si>
  <si>
    <t>03306779</t>
  </si>
  <si>
    <t>J6J 0B1</t>
  </si>
  <si>
    <t>03306783</t>
  </si>
  <si>
    <t>H3X 2G2</t>
  </si>
  <si>
    <t>03306784</t>
  </si>
  <si>
    <t>J7W 4G6</t>
  </si>
  <si>
    <t>03306786</t>
  </si>
  <si>
    <t>H3C 0T9</t>
  </si>
  <si>
    <t>00203253</t>
  </si>
  <si>
    <t>G8Y 5P2</t>
  </si>
  <si>
    <t>00203254</t>
  </si>
  <si>
    <t>01112255</t>
  </si>
  <si>
    <t>J5R 6P7</t>
  </si>
  <si>
    <t>01112259</t>
  </si>
  <si>
    <t>h4J 2W6</t>
  </si>
  <si>
    <t>01112395</t>
  </si>
  <si>
    <t>J4H 3R5</t>
  </si>
  <si>
    <t>01112265</t>
  </si>
  <si>
    <t>03306793</t>
  </si>
  <si>
    <t>03306794</t>
  </si>
  <si>
    <t>H3L 0A8</t>
  </si>
  <si>
    <t>01112281</t>
  </si>
  <si>
    <t>J7M 1X7</t>
  </si>
  <si>
    <t>01112283</t>
  </si>
  <si>
    <t>H4E 0A5</t>
  </si>
  <si>
    <t>00203274</t>
  </si>
  <si>
    <t>01112285</t>
  </si>
  <si>
    <t>01112318</t>
  </si>
  <si>
    <t>CSSS Du Coeur-De-L'Ile - Hopital Jean-Talon</t>
  </si>
  <si>
    <t>H4L 1E4</t>
  </si>
  <si>
    <t>01112319</t>
  </si>
  <si>
    <t>H4L 2X4</t>
  </si>
  <si>
    <t>01112320</t>
  </si>
  <si>
    <t>J2S 2E5</t>
  </si>
  <si>
    <t>01112327</t>
  </si>
  <si>
    <t>J7Z 2B9</t>
  </si>
  <si>
    <t>03306800</t>
  </si>
  <si>
    <t>03306801</t>
  </si>
  <si>
    <t>H3E 1K9</t>
  </si>
  <si>
    <t>01112329</t>
  </si>
  <si>
    <t>H1G 2J3</t>
  </si>
  <si>
    <t>01112385</t>
  </si>
  <si>
    <t>J5M 1H1</t>
  </si>
  <si>
    <t>01112388</t>
  </si>
  <si>
    <t>J0H 1S0</t>
  </si>
  <si>
    <t>01112389</t>
  </si>
  <si>
    <t>H1M 1E9</t>
  </si>
  <si>
    <t>03306809</t>
  </si>
  <si>
    <t>H7P 3P2</t>
  </si>
  <si>
    <t>01112373</t>
  </si>
  <si>
    <t>H7C 1L7</t>
  </si>
  <si>
    <t>01112372</t>
  </si>
  <si>
    <t>H1G 4K3</t>
  </si>
  <si>
    <t>03306813</t>
  </si>
  <si>
    <t>J7J 1C4</t>
  </si>
  <si>
    <t>03306815</t>
  </si>
  <si>
    <t>J2W 2L6</t>
  </si>
  <si>
    <t>00203266</t>
  </si>
  <si>
    <t>G7X 3X3</t>
  </si>
  <si>
    <t>00203282</t>
  </si>
  <si>
    <t>G6C 0E5</t>
  </si>
  <si>
    <t>01112356</t>
  </si>
  <si>
    <t>J3G 0L3</t>
  </si>
  <si>
    <t>03306817</t>
  </si>
  <si>
    <t>J3M 1B4</t>
  </si>
  <si>
    <t>03306818</t>
  </si>
  <si>
    <t>J3Y 1E9</t>
  </si>
  <si>
    <t>01112353</t>
  </si>
  <si>
    <t>J3M 1A5</t>
  </si>
  <si>
    <t>01112354</t>
  </si>
  <si>
    <t>H2A 2G7</t>
  </si>
  <si>
    <t>03400790</t>
  </si>
  <si>
    <t>H1V 2C1</t>
  </si>
  <si>
    <t>01112352</t>
  </si>
  <si>
    <t>H1G 5Z3</t>
  </si>
  <si>
    <t>03306821</t>
  </si>
  <si>
    <t>J3G 2C9</t>
  </si>
  <si>
    <t>03306823</t>
  </si>
  <si>
    <t>01112350</t>
  </si>
  <si>
    <t>H2L 3C5</t>
  </si>
  <si>
    <t>01112333</t>
  </si>
  <si>
    <t>H1K 3V2</t>
  </si>
  <si>
    <t>00203268</t>
  </si>
  <si>
    <t>G9B 7G4</t>
  </si>
  <si>
    <t>01112332</t>
  </si>
  <si>
    <t>J5T 1H1</t>
  </si>
  <si>
    <t>01406462</t>
  </si>
  <si>
    <t>01406463</t>
  </si>
  <si>
    <t>03306827</t>
  </si>
  <si>
    <t>H8R 2H1</t>
  </si>
  <si>
    <t>03306829</t>
  </si>
  <si>
    <t>J3M 0E7</t>
  </si>
  <si>
    <t>03306831</t>
  </si>
  <si>
    <t>J6K 5G9</t>
  </si>
  <si>
    <t>01112311</t>
  </si>
  <si>
    <t>H2J 1L9</t>
  </si>
  <si>
    <t>01112314</t>
  </si>
  <si>
    <t>H1K 2M2</t>
  </si>
  <si>
    <t>03306834</t>
  </si>
  <si>
    <t>J6X 4H5</t>
  </si>
  <si>
    <t>03306836</t>
  </si>
  <si>
    <t>H3K 1H9</t>
  </si>
  <si>
    <t>03400789</t>
  </si>
  <si>
    <t>J0J 1B0</t>
  </si>
  <si>
    <t>01112347</t>
  </si>
  <si>
    <t>J4N 0H1</t>
  </si>
  <si>
    <t>01406468</t>
  </si>
  <si>
    <t>H3N 1Z5</t>
  </si>
  <si>
    <t>03306837</t>
  </si>
  <si>
    <t>J2W 2C4</t>
  </si>
  <si>
    <t>03306838</t>
  </si>
  <si>
    <t>H4G 2V4</t>
  </si>
  <si>
    <t>03400806</t>
  </si>
  <si>
    <t>H7W 3G5</t>
  </si>
  <si>
    <t>01112302</t>
  </si>
  <si>
    <t>J6N 2G9</t>
  </si>
  <si>
    <t>03306839</t>
  </si>
  <si>
    <t>01406471</t>
  </si>
  <si>
    <t>J5R 0S2</t>
  </si>
  <si>
    <t>01112299</t>
  </si>
  <si>
    <t>01112300</t>
  </si>
  <si>
    <t>J8C 3H6</t>
  </si>
  <si>
    <t>01112297</t>
  </si>
  <si>
    <t>J4J 3G2</t>
  </si>
  <si>
    <t>01112298</t>
  </si>
  <si>
    <t>H4L 3N3</t>
  </si>
  <si>
    <t>01406472</t>
  </si>
  <si>
    <t>H7N 5H3</t>
  </si>
  <si>
    <t>03306843</t>
  </si>
  <si>
    <t>H9R 4H4</t>
  </si>
  <si>
    <t>01112363</t>
  </si>
  <si>
    <t>J0H 1P0</t>
  </si>
  <si>
    <t>01112365</t>
  </si>
  <si>
    <t>H1H 2W2</t>
  </si>
  <si>
    <t>01112367</t>
  </si>
  <si>
    <t>J6N 0T9</t>
  </si>
  <si>
    <t>01406480</t>
  </si>
  <si>
    <t>H3N 1K1</t>
  </si>
  <si>
    <t>01112398</t>
  </si>
  <si>
    <t>J7Y 1G2</t>
  </si>
  <si>
    <t>03306851</t>
  </si>
  <si>
    <t>J3Z 1B7</t>
  </si>
  <si>
    <t>03306852</t>
  </si>
  <si>
    <t>H8N 3A2</t>
  </si>
  <si>
    <t>00301203</t>
  </si>
  <si>
    <t>J2C 8V3</t>
  </si>
  <si>
    <t>01112399</t>
  </si>
  <si>
    <t>J8H 3W7</t>
  </si>
  <si>
    <t>01112400</t>
  </si>
  <si>
    <t>H7M 3R9</t>
  </si>
  <si>
    <t>03400807</t>
  </si>
  <si>
    <t>J4L 2K8</t>
  </si>
  <si>
    <t>01112407</t>
  </si>
  <si>
    <t>H3L 0B1</t>
  </si>
  <si>
    <t>01112409</t>
  </si>
  <si>
    <t>H1N 2R9</t>
  </si>
  <si>
    <t>01112427</t>
  </si>
  <si>
    <t>H1S 1M2</t>
  </si>
  <si>
    <t>01406489</t>
  </si>
  <si>
    <t>J6Y 1B2</t>
  </si>
  <si>
    <t>03306858</t>
  </si>
  <si>
    <t>03306859</t>
  </si>
  <si>
    <t>H7W 1Y9</t>
  </si>
  <si>
    <t>01406490</t>
  </si>
  <si>
    <t>J2A 0B9</t>
  </si>
  <si>
    <t>03306861</t>
  </si>
  <si>
    <t>J7T 3E4</t>
  </si>
  <si>
    <t>01112432</t>
  </si>
  <si>
    <t>H7E 1E8</t>
  </si>
  <si>
    <t>03306866</t>
  </si>
  <si>
    <t>H7N 5C3</t>
  </si>
  <si>
    <t>01112447</t>
  </si>
  <si>
    <t>J3G 6T3</t>
  </si>
  <si>
    <t>01112448</t>
  </si>
  <si>
    <t>H7Y 1Z7</t>
  </si>
  <si>
    <t>01406493</t>
  </si>
  <si>
    <t>J5B 1Y4</t>
  </si>
  <si>
    <t>00301199</t>
  </si>
  <si>
    <t>G8Y 7B1</t>
  </si>
  <si>
    <t>01406494</t>
  </si>
  <si>
    <t>J7A 0A4</t>
  </si>
  <si>
    <t>03306868</t>
  </si>
  <si>
    <t>J7C 0E8</t>
  </si>
  <si>
    <t>01112442</t>
  </si>
  <si>
    <t>J6Y 2A3</t>
  </si>
  <si>
    <t>01112443</t>
  </si>
  <si>
    <t>03306869</t>
  </si>
  <si>
    <t>H1L 5B7</t>
  </si>
  <si>
    <t>01112439</t>
  </si>
  <si>
    <t>J6K 4Z9</t>
  </si>
  <si>
    <t>03306870</t>
  </si>
  <si>
    <t>H1W 3T4</t>
  </si>
  <si>
    <t>03306871</t>
  </si>
  <si>
    <t>J7P 2B9</t>
  </si>
  <si>
    <t>01112433</t>
  </si>
  <si>
    <t>01112434</t>
  </si>
  <si>
    <t>J3B 2R4</t>
  </si>
  <si>
    <t>01112436</t>
  </si>
  <si>
    <t>J8A 1Z8</t>
  </si>
  <si>
    <t>01406502</t>
  </si>
  <si>
    <t>H4W 1P1</t>
  </si>
  <si>
    <t>01112438</t>
  </si>
  <si>
    <t>J3E 2C9</t>
  </si>
  <si>
    <t>03306876</t>
  </si>
  <si>
    <t>01112422</t>
  </si>
  <si>
    <t>G8N 2N8</t>
  </si>
  <si>
    <t>01112423</t>
  </si>
  <si>
    <t>03306878</t>
  </si>
  <si>
    <t>H1G 4S9</t>
  </si>
  <si>
    <t>01112419</t>
  </si>
  <si>
    <t>J4B 0C8</t>
  </si>
  <si>
    <t>01112420</t>
  </si>
  <si>
    <t>J5N 0C4</t>
  </si>
  <si>
    <t>01112421</t>
  </si>
  <si>
    <t>H1Z 2R3</t>
  </si>
  <si>
    <t>01112681</t>
  </si>
  <si>
    <t>J6W 1K4</t>
  </si>
  <si>
    <t>01112414</t>
  </si>
  <si>
    <t>01112406</t>
  </si>
  <si>
    <t>J5B 2H7</t>
  </si>
  <si>
    <t>03306891</t>
  </si>
  <si>
    <t>03306892</t>
  </si>
  <si>
    <t>H3L 2H2</t>
  </si>
  <si>
    <t>03400810</t>
  </si>
  <si>
    <t>J7M 0J7</t>
  </si>
  <si>
    <t>01112452</t>
  </si>
  <si>
    <t>J8C 1V1</t>
  </si>
  <si>
    <t>01112453</t>
  </si>
  <si>
    <t>01406517</t>
  </si>
  <si>
    <t>H8R 1P7</t>
  </si>
  <si>
    <t>03306896</t>
  </si>
  <si>
    <t>H8T 2B8</t>
  </si>
  <si>
    <t>00301194</t>
  </si>
  <si>
    <t>J2B 6M9</t>
  </si>
  <si>
    <t>01112469</t>
  </si>
  <si>
    <t>J3G 0G8</t>
  </si>
  <si>
    <t>01112470</t>
  </si>
  <si>
    <t>J7M 2G3</t>
  </si>
  <si>
    <t>01112472</t>
  </si>
  <si>
    <t>J5N 1W9</t>
  </si>
  <si>
    <t>03306899</t>
  </si>
  <si>
    <t>H2L 0H5</t>
  </si>
  <si>
    <t>03306900</t>
  </si>
  <si>
    <t>J6T 4Y2</t>
  </si>
  <si>
    <t>01112476</t>
  </si>
  <si>
    <t>J3W 1H1</t>
  </si>
  <si>
    <t>01112477</t>
  </si>
  <si>
    <t>J5Z 2Y3</t>
  </si>
  <si>
    <t>03306905</t>
  </si>
  <si>
    <t>01112479</t>
  </si>
  <si>
    <t>01112491</t>
  </si>
  <si>
    <t>J4T 1C7</t>
  </si>
  <si>
    <t>01112616</t>
  </si>
  <si>
    <t>03306908</t>
  </si>
  <si>
    <t>03306911</t>
  </si>
  <si>
    <t>J6W 6C8</t>
  </si>
  <si>
    <t>01112500</t>
  </si>
  <si>
    <t>J6S 0L7</t>
  </si>
  <si>
    <t>01112617</t>
  </si>
  <si>
    <t>03306912</t>
  </si>
  <si>
    <t>H1P 1C9</t>
  </si>
  <si>
    <t>03306913</t>
  </si>
  <si>
    <t>J7K 3V2</t>
  </si>
  <si>
    <t>01112618</t>
  </si>
  <si>
    <t>H4N 1K8</t>
  </si>
  <si>
    <t>03306917</t>
  </si>
  <si>
    <t>H3S 1G3</t>
  </si>
  <si>
    <t>01112506</t>
  </si>
  <si>
    <t>J0L 2A0</t>
  </si>
  <si>
    <t>03306920</t>
  </si>
  <si>
    <t>00203298</t>
  </si>
  <si>
    <t>G8K 2R2</t>
  </si>
  <si>
    <t>03306921</t>
  </si>
  <si>
    <t>H4V 2V6</t>
  </si>
  <si>
    <t>01112508</t>
  </si>
  <si>
    <t>J3E 2V3</t>
  </si>
  <si>
    <t>00203302</t>
  </si>
  <si>
    <t>G7X 6M5</t>
  </si>
  <si>
    <t>00301190</t>
  </si>
  <si>
    <t>J2A 2L4</t>
  </si>
  <si>
    <t>01112497</t>
  </si>
  <si>
    <t>H2S 2K3</t>
  </si>
  <si>
    <t>01112490</t>
  </si>
  <si>
    <t>H7E 3J6</t>
  </si>
  <si>
    <t>01112495</t>
  </si>
  <si>
    <t>J5Y 0J1</t>
  </si>
  <si>
    <t>01112486</t>
  </si>
  <si>
    <t>H3C 0K3</t>
  </si>
  <si>
    <t>01112487</t>
  </si>
  <si>
    <t>01112513</t>
  </si>
  <si>
    <t>J4T 3N5</t>
  </si>
  <si>
    <t>01112482</t>
  </si>
  <si>
    <t>J4N 1M4</t>
  </si>
  <si>
    <t>03306927</t>
  </si>
  <si>
    <t>H4A 2T3</t>
  </si>
  <si>
    <t>01112463</t>
  </si>
  <si>
    <t>J4J 4N4</t>
  </si>
  <si>
    <t>03306931</t>
  </si>
  <si>
    <t>H2R 2H3</t>
  </si>
  <si>
    <t>03306932</t>
  </si>
  <si>
    <t>H1X 1J3</t>
  </si>
  <si>
    <t>code</t>
  </si>
  <si>
    <t>desc</t>
  </si>
  <si>
    <t>Inborn</t>
  </si>
  <si>
    <t>Outborn</t>
  </si>
  <si>
    <t>MstHospitals.HospitalId</t>
  </si>
  <si>
    <t>Male</t>
  </si>
  <si>
    <t>Female</t>
  </si>
  <si>
    <t>Ambiguous</t>
  </si>
  <si>
    <t>Yes</t>
  </si>
  <si>
    <t>MstDiagnosisCongenitalType.CAType = 1</t>
  </si>
  <si>
    <t>MstDiagnosisCongenitalType.CAType = 2</t>
  </si>
  <si>
    <t>MstDiagnosisCongenitalType.System = 'Cardiac Chambers And Circulation'</t>
  </si>
  <si>
    <t>MstDiagnosisCongenitalType.System = 'Nervous System'</t>
  </si>
  <si>
    <t>MstDiagnosisCongenitalType.ICD10Text = 'Congenital Diaphragmatic Hernia'</t>
  </si>
  <si>
    <t>MstDiagnosisCongenitalType.ICD10Text = 'Gastroschisis'</t>
  </si>
  <si>
    <t>NO on Day1 of first admission</t>
  </si>
  <si>
    <t>NO during stay</t>
  </si>
  <si>
    <t>Highest support on Day1 of first admission</t>
  </si>
  <si>
    <t>Vaginal</t>
  </si>
  <si>
    <t>Cesarean</t>
  </si>
  <si>
    <t>SystemicAntibioticsGiven</t>
  </si>
  <si>
    <t>No</t>
  </si>
  <si>
    <t>&lt; 24 Hours</t>
  </si>
  <si>
    <t>24 Hours to 1 Week</t>
  </si>
  <si>
    <t>&gt; 1 Week</t>
  </si>
  <si>
    <t>Not Done</t>
  </si>
  <si>
    <t>None</t>
  </si>
  <si>
    <t>Some</t>
  </si>
  <si>
    <t>note</t>
  </si>
  <si>
    <t>listed per patient</t>
  </si>
  <si>
    <t>quebec site data only</t>
  </si>
  <si>
    <t xml:space="preserve">asphyxia </t>
  </si>
  <si>
    <t>requested field: use of iNO on admission</t>
  </si>
  <si>
    <t>included two fields:
iNOFirstAdmDay1-Y/N based on day1 of first admission record
iNODuringStay - Y/N based on all admissions</t>
  </si>
  <si>
    <t xml:space="preserve">requested field: highest repiratory support </t>
  </si>
  <si>
    <t>resp. support on day1 of first admission record</t>
  </si>
  <si>
    <t>each tab is based on first DOA range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</si>
</sst>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h:mm:ss Am/Pm"/>
    <numFmt numFmtId="165" formatCode="h:mm:ss tt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Aptos Narrow"/>
      <family val="2"/>
    </font>
    <font>
      <b/>
      <sz val="11"/>
      <color rgb="FF000000"/>
      <name val="Calibri"/>
      <family val="2"/>
    </font>
    <font>
      <sz val="10"/>
      <color rgb="FF000000"/>
      <name val="Arial"/>
      <family val="2"/>
    </font>
    <font>
      <sz val="12"/>
      <color rgb="FF000000"/>
      <name val="Aptos Narrow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10"/>
      <color rgb="FF3b3b3b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96dcf8"/>
      </patternFill>
    </fill>
    <fill>
      <patternFill patternType="solid">
        <fgColor rgb="FFb4e5a2"/>
      </patternFill>
    </fill>
    <fill>
      <patternFill patternType="solid">
        <fgColor rgb="FFf2cfee"/>
      </patternFill>
    </fill>
    <fill>
      <patternFill patternType="solid">
        <fgColor rgb="FFcaeefb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00000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89">
    <xf xfId="0" numFmtId="0" borderId="0" fontId="0" fillId="0"/>
    <xf xfId="0" numFmtId="4" applyNumberFormat="1" borderId="1" applyBorder="1" fontId="1" applyFont="1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0" borderId="0" fontId="0" fillId="0" applyAlignment="1">
      <alignment horizontal="left"/>
    </xf>
    <xf xfId="0" numFmtId="0" borderId="1" applyBorder="1" fontId="1" applyFont="1" fillId="0" applyAlignment="1">
      <alignment horizontal="right"/>
    </xf>
    <xf xfId="0" numFmtId="14" applyNumberFormat="1" borderId="1" applyBorder="1" fontId="1" applyFont="1" fillId="0" applyAlignment="1">
      <alignment horizontal="right"/>
    </xf>
    <xf xfId="0" numFmtId="164" applyNumberFormat="1" borderId="1" applyBorder="1" fontId="1" applyFont="1" fillId="0" applyAlignment="1">
      <alignment horizontal="right"/>
    </xf>
    <xf xfId="0" numFmtId="1" applyNumberFormat="1" borderId="1" applyBorder="1" fontId="1" applyFont="1" fillId="0" applyAlignment="1">
      <alignment horizontal="right"/>
    </xf>
    <xf xfId="0" numFmtId="3" applyNumberFormat="1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left" wrapText="1"/>
    </xf>
    <xf xfId="0" numFmtId="0" borderId="1" applyBorder="1" fontId="2" applyFont="1" fillId="0" applyAlignment="1">
      <alignment horizontal="left"/>
    </xf>
    <xf xfId="0" numFmtId="0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center" wrapText="1"/>
    </xf>
    <xf xfId="0" numFmtId="0" borderId="0" fontId="0" fillId="0" applyAlignment="1">
      <alignment wrapText="1"/>
    </xf>
    <xf xfId="0" numFmtId="2" applyNumberFormat="1" borderId="2" applyBorder="1" fontId="2" applyFont="1" fillId="2" applyFill="1" applyAlignment="1">
      <alignment horizontal="center" wrapText="1"/>
    </xf>
    <xf xfId="0" numFmtId="3" applyNumberFormat="1" borderId="2" applyBorder="1" fontId="2" applyFont="1" fillId="2" applyFill="1" applyAlignment="1">
      <alignment horizontal="center" wrapText="1"/>
    </xf>
    <xf xfId="0" numFmtId="0" borderId="2" applyBorder="1" fontId="2" applyFont="1" fillId="2" applyFill="1" applyAlignment="1">
      <alignment horizontal="center" wrapText="1"/>
    </xf>
    <xf xfId="0" numFmtId="0" borderId="2" applyBorder="1" fontId="2" applyFont="1" fillId="2" applyFill="1" applyAlignment="1">
      <alignment horizontal="right" wrapText="1"/>
    </xf>
    <xf xfId="0" numFmtId="14" applyNumberFormat="1" borderId="2" applyBorder="1" fontId="2" applyFont="1" fillId="2" applyFill="1" applyAlignment="1">
      <alignment horizontal="center" wrapText="1"/>
    </xf>
    <xf xfId="0" numFmtId="165" applyNumberFormat="1" borderId="2" applyBorder="1" fontId="2" applyFont="1" fillId="2" applyFill="1" applyAlignment="1">
      <alignment horizontal="center" wrapText="1"/>
    </xf>
    <xf xfId="0" numFmtId="1" applyNumberFormat="1" borderId="2" applyBorder="1" fontId="4" applyFont="1" fillId="2" applyFill="1" applyAlignment="1">
      <alignment horizontal="center" wrapText="1"/>
    </xf>
    <xf xfId="0" numFmtId="3" applyNumberFormat="1" borderId="2" applyBorder="1" fontId="2" applyFont="1" fillId="3" applyFill="1" applyAlignment="1">
      <alignment horizontal="center" wrapText="1"/>
    </xf>
    <xf xfId="0" numFmtId="0" borderId="2" applyBorder="1" fontId="2" applyFont="1" fillId="3" applyFill="1" applyAlignment="1">
      <alignment horizontal="center" wrapText="1"/>
    </xf>
    <xf xfId="0" numFmtId="3" applyNumberFormat="1" borderId="2" applyBorder="1" fontId="2" applyFont="1" fillId="4" applyFill="1" applyAlignment="1">
      <alignment horizontal="center" wrapText="1"/>
    </xf>
    <xf xfId="0" numFmtId="0" borderId="2" applyBorder="1" fontId="2" applyFont="1" fillId="4" applyFill="1" applyAlignment="1">
      <alignment horizontal="center" wrapText="1"/>
    </xf>
    <xf xfId="0" numFmtId="0" borderId="1" applyBorder="1" fontId="4" applyFont="1" fillId="0" applyAlignment="1">
      <alignment horizontal="center" wrapText="1"/>
    </xf>
    <xf xfId="0" numFmtId="0" borderId="1" applyBorder="1" fontId="2" applyFont="1" fillId="0" applyAlignment="1">
      <alignment horizontal="center" wrapText="1"/>
    </xf>
    <xf xfId="0" numFmtId="49" applyNumberFormat="1" borderId="3" applyBorder="1" fontId="2" applyFont="1" fillId="0" applyAlignment="1">
      <alignment horizontal="left"/>
    </xf>
    <xf xfId="0" numFmtId="3" applyNumberFormat="1" borderId="3" applyBorder="1" fontId="2" applyFont="1" fillId="0" applyAlignment="1">
      <alignment horizontal="right"/>
    </xf>
    <xf xfId="0" numFmtId="0" borderId="3" applyBorder="1" fontId="2" applyFont="1" fillId="0" applyAlignment="1">
      <alignment horizontal="left"/>
    </xf>
    <xf xfId="0" numFmtId="0" borderId="3" applyBorder="1" fontId="2" applyFont="1" fillId="0" applyAlignment="1">
      <alignment horizontal="right"/>
    </xf>
    <xf xfId="0" numFmtId="14" applyNumberFormat="1" borderId="3" applyBorder="1" fontId="2" applyFont="1" fillId="0" applyAlignment="1">
      <alignment horizontal="right"/>
    </xf>
    <xf xfId="0" numFmtId="164" applyNumberFormat="1" borderId="3" applyBorder="1" fontId="2" applyFont="1" fillId="0" applyAlignment="1">
      <alignment horizontal="right"/>
    </xf>
    <xf xfId="0" numFmtId="1" applyNumberFormat="1" borderId="3" applyBorder="1" fontId="2" applyFont="1" fillId="0" applyAlignment="1">
      <alignment horizontal="right"/>
    </xf>
    <xf xfId="0" numFmtId="3" applyNumberFormat="1" borderId="1" applyBorder="1" fontId="5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0" borderId="1" applyBorder="1" fontId="2" applyFont="1" fillId="0" applyAlignment="1">
      <alignment horizontal="left"/>
    </xf>
    <xf xfId="0" numFmtId="0" borderId="1" applyBorder="1" fontId="1" applyFont="1" fillId="0" applyAlignment="1">
      <alignment horizontal="left" wrapText="1"/>
    </xf>
    <xf xfId="0" numFmtId="3" applyNumberFormat="1" borderId="3" applyBorder="1" fontId="5" applyFont="1" fillId="0" applyAlignment="1">
      <alignment horizontal="left"/>
    </xf>
    <xf xfId="0" numFmtId="164" applyNumberFormat="1" borderId="3" applyBorder="1" fontId="5" applyFont="1" fillId="0" applyAlignment="1">
      <alignment horizontal="left"/>
    </xf>
    <xf xfId="0" numFmtId="164" applyNumberFormat="1" borderId="1" applyBorder="1" fontId="2" applyFont="1" fillId="0" applyAlignment="1">
      <alignment horizontal="right"/>
    </xf>
    <xf xfId="0" numFmtId="2" applyNumberFormat="1" borderId="3" applyBorder="1" fontId="2" applyFont="1" fillId="0" applyAlignment="1">
      <alignment horizontal="left"/>
    </xf>
    <xf xfId="0" numFmtId="0" borderId="1" applyBorder="1" fontId="1" applyFont="1" fillId="0" applyAlignment="1">
      <alignment horizontal="left" wrapText="1"/>
    </xf>
    <xf xfId="0" numFmtId="2" applyNumberFormat="1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left"/>
    </xf>
    <xf xfId="0" numFmtId="0" borderId="0" fontId="0" fillId="0" applyAlignment="1">
      <alignment horizontal="right"/>
    </xf>
    <xf xfId="0" numFmtId="1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1" applyNumberFormat="1" borderId="0" fontId="0" fillId="0" applyAlignment="1">
      <alignment horizontal="righ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general" wrapText="1"/>
    </xf>
    <xf xfId="0" numFmtId="49" applyNumberFormat="1" borderId="2" applyBorder="1" fontId="2" applyFont="1" fillId="2" applyFill="1" applyAlignment="1">
      <alignment horizontal="center" wrapText="1"/>
    </xf>
    <xf xfId="0" numFmtId="0" borderId="1" applyBorder="1" fontId="6" applyFont="1" fillId="0" applyAlignment="1">
      <alignment horizontal="center" wrapText="1"/>
    </xf>
    <xf xfId="0" numFmtId="49" applyNumberFormat="1" borderId="0" fontId="0" fillId="0" applyAlignment="1">
      <alignment horizontal="left"/>
    </xf>
    <xf xfId="0" numFmtId="0" borderId="2" applyBorder="1" fontId="4" applyFont="1" fillId="2" applyFill="1" applyAlignment="1">
      <alignment horizontal="center" wrapText="1"/>
    </xf>
    <xf xfId="0" numFmtId="0" borderId="1" applyBorder="1" fontId="5" applyFont="1" fillId="0" applyAlignment="1">
      <alignment horizontal="left"/>
    </xf>
    <xf xfId="0" numFmtId="0" borderId="0" fontId="0" fillId="0" applyAlignment="1">
      <alignment horizontal="general"/>
    </xf>
    <xf xfId="0" numFmtId="14" applyNumberFormat="1" borderId="1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7" applyFont="1" fillId="0" applyAlignment="1">
      <alignment horizontal="center"/>
    </xf>
    <xf xfId="0" numFmtId="0" borderId="1" applyBorder="1" fontId="7" applyFont="1" fillId="0" applyAlignment="1">
      <alignment horizontal="left"/>
    </xf>
    <xf xfId="0" numFmtId="0" borderId="4" applyBorder="1" fontId="8" applyFont="1" fillId="2" applyFill="1" applyAlignment="1">
      <alignment horizontal="center"/>
    </xf>
    <xf xfId="0" numFmtId="3" applyNumberFormat="1" borderId="5" applyBorder="1" fontId="8" applyFont="1" fillId="0" applyAlignment="1">
      <alignment horizontal="center" wrapText="1"/>
    </xf>
    <xf xfId="0" numFmtId="0" borderId="6" applyBorder="1" fontId="8" applyFont="1" fillId="0" applyAlignment="1">
      <alignment horizontal="left" wrapText="1"/>
    </xf>
    <xf xfId="0" numFmtId="0" borderId="7" applyBorder="1" fontId="8" applyFont="1" fillId="0" applyAlignment="1">
      <alignment horizontal="left"/>
    </xf>
    <xf xfId="0" numFmtId="3" applyNumberFormat="1" borderId="8" applyBorder="1" fontId="8" applyFont="1" fillId="0" applyAlignment="1">
      <alignment horizontal="center" wrapText="1"/>
    </xf>
    <xf xfId="0" numFmtId="0" borderId="8" applyBorder="1" fontId="8" applyFont="1" fillId="0" applyAlignment="1">
      <alignment horizontal="left" wrapText="1"/>
    </xf>
    <xf xfId="0" numFmtId="3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left"/>
    </xf>
    <xf xfId="0" numFmtId="3" applyNumberFormat="1" borderId="9" applyBorder="1" fontId="8" applyFont="1" fillId="0" applyAlignment="1">
      <alignment horizontal="center"/>
    </xf>
    <xf xfId="0" numFmtId="0" borderId="10" applyBorder="1" fontId="8" applyFont="1" fillId="0" applyAlignment="1">
      <alignment horizontal="left"/>
    </xf>
    <xf xfId="0" numFmtId="3" applyNumberFormat="1" borderId="11" applyBorder="1" fontId="8" applyFont="1" fillId="0" applyAlignment="1">
      <alignment horizontal="center"/>
    </xf>
    <xf xfId="0" numFmtId="0" borderId="12" applyBorder="1" fontId="8" applyFont="1" fillId="0" applyAlignment="1">
      <alignment horizontal="left"/>
    </xf>
    <xf xfId="0" numFmtId="0" borderId="13" applyBorder="1" fontId="8" applyFont="1" fillId="0" applyAlignment="1">
      <alignment horizontal="left"/>
    </xf>
    <xf xfId="0" numFmtId="3" applyNumberFormat="1" borderId="3" applyBorder="1" fontId="8" applyFont="1" fillId="0" applyAlignment="1">
      <alignment horizontal="center" wrapText="1"/>
    </xf>
    <xf xfId="0" numFmtId="0" borderId="3" applyBorder="1" fontId="8" applyFont="1" fillId="0" applyAlignment="1">
      <alignment horizontal="left" wrapText="1"/>
    </xf>
    <xf xfId="0" numFmtId="3" applyNumberFormat="1" borderId="1" applyBorder="1" fontId="8" applyFont="1" fillId="0" applyAlignment="1">
      <alignment horizontal="center" wrapText="1"/>
    </xf>
    <xf xfId="0" numFmtId="0" borderId="1" applyBorder="1" fontId="8" applyFont="1" fillId="0" applyAlignment="1">
      <alignment horizontal="left" wrapText="1"/>
    </xf>
    <xf xfId="0" numFmtId="0" borderId="4" applyBorder="1" fontId="8" applyFont="1" fillId="3" applyFill="1" applyAlignment="1">
      <alignment horizontal="center"/>
    </xf>
    <xf xfId="0" numFmtId="0" borderId="13" applyBorder="1" fontId="8" applyFont="1" fillId="0" applyAlignment="1">
      <alignment horizontal="center"/>
    </xf>
    <xf xfId="0" numFmtId="3" applyNumberFormat="1" borderId="1" applyBorder="1" fontId="9" applyFont="1" fillId="0" applyAlignment="1">
      <alignment horizontal="center"/>
    </xf>
    <xf xfId="0" numFmtId="0" borderId="14" applyBorder="1" fontId="8" applyFont="1" fillId="0" applyAlignment="1">
      <alignment horizontal="left"/>
    </xf>
    <xf xfId="0" numFmtId="3" applyNumberFormat="1" borderId="11" applyBorder="1" fontId="9" applyFont="1" fillId="0" applyAlignment="1">
      <alignment horizontal="center"/>
    </xf>
    <xf xfId="0" numFmtId="0" borderId="4" applyBorder="1" fontId="8" applyFont="1" fillId="4" applyFill="1" applyAlignment="1">
      <alignment horizontal="center"/>
    </xf>
    <xf xfId="0" numFmtId="3" applyNumberFormat="1" borderId="0" fontId="0" fillId="0" applyAlignment="1">
      <alignment horizontal="center"/>
    </xf>
    <xf xfId="0" numFmtId="0" borderId="15" applyBorder="1" fontId="4" applyFont="1" fillId="5" applyFill="1" applyAlignment="1">
      <alignment horizontal="left"/>
    </xf>
    <xf xfId="0" numFmtId="0" borderId="0" fontId="0" fillId="0" applyAlignment="1">
      <alignment horizontal="general"/>
    </xf>
    <xf xfId="0" numFmtId="0" borderId="1" applyBorder="1" fontId="2" applyFont="1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sharedStrings.xml" Type="http://schemas.openxmlformats.org/officeDocument/2006/relationships/sharedStrings" Id="rId6"/><Relationship Target="styles.xml" Type="http://schemas.openxmlformats.org/officeDocument/2006/relationships/styles" Id="rId7"/><Relationship Target="theme/theme1.xml" Type="http://schemas.openxmlformats.org/officeDocument/2006/relationships/theme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7"/>
  <sheetViews>
    <sheetView workbookViewId="0"/>
  </sheetViews>
  <sheetFormatPr defaultRowHeight="15" x14ac:dyDescent="0.25"/>
  <cols>
    <col min="1" max="1" style="45" width="34.14785714285715" customWidth="1" bestFit="1"/>
    <col min="2" max="2" style="59" width="45.005" customWidth="1" bestFit="1"/>
  </cols>
  <sheetData>
    <row x14ac:dyDescent="0.25" r="1" customHeight="1" ht="17.25">
      <c r="A1" s="86" t="s">
        <v>4031</v>
      </c>
      <c r="B1" s="86"/>
    </row>
    <row x14ac:dyDescent="0.25" r="2" customHeight="1" ht="17.25">
      <c r="A2" s="10" t="s">
        <v>4032</v>
      </c>
      <c r="B2" s="87"/>
    </row>
    <row x14ac:dyDescent="0.25" r="3" customHeight="1" ht="17.25">
      <c r="A3" s="10" t="s">
        <v>4033</v>
      </c>
      <c r="B3" s="87"/>
    </row>
    <row x14ac:dyDescent="0.25" r="4" customHeight="1" ht="17.25">
      <c r="A4" s="10" t="s">
        <v>4034</v>
      </c>
      <c r="B4" s="10" t="s">
        <v>27</v>
      </c>
    </row>
    <row x14ac:dyDescent="0.25" r="5" customHeight="1" ht="17.25">
      <c r="A5" s="10" t="s">
        <v>4035</v>
      </c>
      <c r="B5" s="88" t="s">
        <v>4036</v>
      </c>
    </row>
    <row x14ac:dyDescent="0.25" r="6" customHeight="1" ht="17.25">
      <c r="A6" s="10" t="s">
        <v>4037</v>
      </c>
      <c r="B6" s="10" t="s">
        <v>4038</v>
      </c>
    </row>
    <row x14ac:dyDescent="0.25" r="7" customHeight="1" ht="17.25">
      <c r="A7" s="10" t="s">
        <v>4039</v>
      </c>
      <c r="B7" s="87"/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86"/>
  <sheetViews>
    <sheetView workbookViewId="0"/>
  </sheetViews>
  <sheetFormatPr defaultRowHeight="15" x14ac:dyDescent="0.25"/>
  <cols>
    <col min="1" max="1" style="45" width="50.14785714285715" customWidth="1" bestFit="1"/>
    <col min="2" max="2" style="85" width="9.719285714285713" customWidth="1" bestFit="1"/>
    <col min="3" max="3" style="45" width="21.005" customWidth="1" bestFit="1"/>
  </cols>
  <sheetData>
    <row x14ac:dyDescent="0.25" r="1" customHeight="1" ht="17.25">
      <c r="A1" s="3"/>
      <c r="B1" s="60" t="s">
        <v>4003</v>
      </c>
      <c r="C1" s="61" t="s">
        <v>4004</v>
      </c>
    </row>
    <row x14ac:dyDescent="0.25" r="2" customHeight="1" ht="17.25">
      <c r="A2" s="62" t="s">
        <v>9</v>
      </c>
      <c r="B2" s="63">
        <v>1</v>
      </c>
      <c r="C2" s="64" t="s">
        <v>4005</v>
      </c>
    </row>
    <row x14ac:dyDescent="0.25" r="3" customHeight="1" ht="17.25">
      <c r="A3" s="65"/>
      <c r="B3" s="66">
        <v>2</v>
      </c>
      <c r="C3" s="67" t="s">
        <v>4006</v>
      </c>
    </row>
    <row x14ac:dyDescent="0.25" r="4" customHeight="1" ht="17.25">
      <c r="A4" s="3"/>
      <c r="B4" s="68"/>
      <c r="C4" s="69"/>
    </row>
    <row x14ac:dyDescent="0.25" r="5" customHeight="1" ht="17.25">
      <c r="A5" s="62" t="s">
        <v>10</v>
      </c>
      <c r="B5" s="70"/>
      <c r="C5" s="71"/>
    </row>
    <row x14ac:dyDescent="0.25" r="6" customHeight="1" ht="17.25">
      <c r="A6" s="65" t="s">
        <v>4007</v>
      </c>
      <c r="B6" s="72"/>
      <c r="C6" s="73"/>
    </row>
    <row x14ac:dyDescent="0.25" r="7" customHeight="1" ht="17.25">
      <c r="A7" s="3"/>
      <c r="B7" s="68"/>
      <c r="C7" s="69"/>
    </row>
    <row x14ac:dyDescent="0.25" r="8" customHeight="1" ht="17.25">
      <c r="A8" s="62" t="s">
        <v>20</v>
      </c>
      <c r="B8" s="63">
        <v>1</v>
      </c>
      <c r="C8" s="64" t="s">
        <v>4008</v>
      </c>
    </row>
    <row x14ac:dyDescent="0.25" r="9" customHeight="1" ht="17.25">
      <c r="A9" s="74"/>
      <c r="B9" s="75">
        <v>2</v>
      </c>
      <c r="C9" s="76" t="s">
        <v>4009</v>
      </c>
    </row>
    <row x14ac:dyDescent="0.25" r="10" customHeight="1" ht="18">
      <c r="A10" s="74"/>
      <c r="B10" s="75">
        <v>3</v>
      </c>
      <c r="C10" s="76" t="s">
        <v>4010</v>
      </c>
    </row>
    <row x14ac:dyDescent="0.25" r="11" customHeight="1" ht="17.25">
      <c r="A11" s="65"/>
      <c r="B11" s="66">
        <v>4</v>
      </c>
      <c r="C11" s="67" t="s">
        <v>968</v>
      </c>
    </row>
    <row x14ac:dyDescent="0.25" r="12" customHeight="1" ht="17.25" customFormat="1" s="13">
      <c r="A12" s="42"/>
      <c r="B12" s="77"/>
      <c r="C12" s="78"/>
    </row>
    <row x14ac:dyDescent="0.25" r="13" customHeight="1" ht="17.25">
      <c r="A13" s="79" t="s">
        <v>21</v>
      </c>
      <c r="B13" s="70">
        <v>1</v>
      </c>
      <c r="C13" s="71" t="s">
        <v>4011</v>
      </c>
    </row>
    <row x14ac:dyDescent="0.25" r="14" customHeight="1" ht="17.25">
      <c r="A14" s="65" t="s">
        <v>4012</v>
      </c>
      <c r="B14" s="72"/>
      <c r="C14" s="73"/>
    </row>
    <row x14ac:dyDescent="0.25" r="15" customHeight="1" ht="17.25">
      <c r="A15" s="3"/>
      <c r="B15" s="68"/>
      <c r="C15" s="69"/>
    </row>
    <row x14ac:dyDescent="0.25" r="16" customHeight="1" ht="17.25">
      <c r="A16" s="79" t="s">
        <v>22</v>
      </c>
      <c r="B16" s="70">
        <v>2</v>
      </c>
      <c r="C16" s="71" t="s">
        <v>4011</v>
      </c>
    </row>
    <row x14ac:dyDescent="0.25" r="17" customHeight="1" ht="17.25">
      <c r="A17" s="65" t="s">
        <v>4013</v>
      </c>
      <c r="B17" s="72"/>
      <c r="C17" s="73"/>
    </row>
    <row x14ac:dyDescent="0.25" r="18" customHeight="1" ht="17.25">
      <c r="A18" s="3"/>
      <c r="B18" s="68"/>
      <c r="C18" s="69"/>
    </row>
    <row x14ac:dyDescent="0.25" r="19" customHeight="1" ht="17.25">
      <c r="A19" s="79" t="s">
        <v>23</v>
      </c>
      <c r="B19" s="70">
        <v>1</v>
      </c>
      <c r="C19" s="71" t="s">
        <v>4011</v>
      </c>
    </row>
    <row x14ac:dyDescent="0.25" r="20" customHeight="1" ht="17.25">
      <c r="A20" s="65" t="s">
        <v>4014</v>
      </c>
      <c r="B20" s="72"/>
      <c r="C20" s="73"/>
    </row>
    <row x14ac:dyDescent="0.25" r="21" customHeight="1" ht="17.25">
      <c r="A21" s="3"/>
      <c r="B21" s="68"/>
      <c r="C21" s="69"/>
    </row>
    <row x14ac:dyDescent="0.25" r="22" customHeight="1" ht="17.25">
      <c r="A22" s="3"/>
      <c r="B22" s="68"/>
      <c r="C22" s="69"/>
    </row>
    <row x14ac:dyDescent="0.25" r="23" customHeight="1" ht="17.25">
      <c r="A23" s="79" t="s">
        <v>24</v>
      </c>
      <c r="B23" s="70">
        <v>1</v>
      </c>
      <c r="C23" s="71" t="s">
        <v>4011</v>
      </c>
    </row>
    <row x14ac:dyDescent="0.25" r="24" customHeight="1" ht="17.25">
      <c r="A24" s="65" t="s">
        <v>4015</v>
      </c>
      <c r="B24" s="72"/>
      <c r="C24" s="73"/>
    </row>
    <row x14ac:dyDescent="0.25" r="25" customHeight="1" ht="17.25">
      <c r="A25" s="3"/>
      <c r="B25" s="68"/>
      <c r="C25" s="69"/>
    </row>
    <row x14ac:dyDescent="0.25" r="26" customHeight="1" ht="17.25">
      <c r="A26" s="3"/>
      <c r="B26" s="68"/>
      <c r="C26" s="69"/>
    </row>
    <row x14ac:dyDescent="0.25" r="27" customHeight="1" ht="17.25">
      <c r="A27" s="79" t="s">
        <v>25</v>
      </c>
      <c r="B27" s="70">
        <v>1</v>
      </c>
      <c r="C27" s="71" t="s">
        <v>4011</v>
      </c>
    </row>
    <row x14ac:dyDescent="0.25" r="28" customHeight="1" ht="17.25">
      <c r="A28" s="65" t="s">
        <v>4016</v>
      </c>
      <c r="B28" s="72"/>
      <c r="C28" s="73"/>
    </row>
    <row x14ac:dyDescent="0.25" r="29" customHeight="1" ht="17.25">
      <c r="A29" s="3"/>
      <c r="B29" s="68"/>
      <c r="C29" s="69"/>
    </row>
    <row x14ac:dyDescent="0.25" r="30" customHeight="1" ht="17.25">
      <c r="A30" s="3"/>
      <c r="B30" s="68"/>
      <c r="C30" s="69"/>
    </row>
    <row x14ac:dyDescent="0.25" r="31" customHeight="1" ht="17.25">
      <c r="A31" s="79" t="s">
        <v>26</v>
      </c>
      <c r="B31" s="70">
        <v>1</v>
      </c>
      <c r="C31" s="71" t="s">
        <v>4011</v>
      </c>
    </row>
    <row x14ac:dyDescent="0.25" r="32" customHeight="1" ht="17.25">
      <c r="A32" s="65" t="s">
        <v>4017</v>
      </c>
      <c r="B32" s="72"/>
      <c r="C32" s="73"/>
    </row>
    <row x14ac:dyDescent="0.25" r="33" customHeight="1" ht="17.25">
      <c r="A33" s="3"/>
      <c r="B33" s="68"/>
      <c r="C33" s="69"/>
    </row>
    <row x14ac:dyDescent="0.25" r="34" customHeight="1" ht="17.25">
      <c r="A34" s="79" t="s">
        <v>27</v>
      </c>
      <c r="B34" s="70">
        <v>1</v>
      </c>
      <c r="C34" s="71" t="s">
        <v>4011</v>
      </c>
    </row>
    <row x14ac:dyDescent="0.25" r="35" customHeight="1" ht="17.25">
      <c r="A35" s="65"/>
      <c r="B35" s="72"/>
      <c r="C35" s="73"/>
    </row>
    <row x14ac:dyDescent="0.25" r="36" customHeight="1" ht="17.25">
      <c r="A36" s="3"/>
      <c r="B36" s="68"/>
      <c r="C36" s="69"/>
    </row>
    <row x14ac:dyDescent="0.25" r="37" customHeight="1" ht="17.25">
      <c r="A37" s="79" t="s">
        <v>28</v>
      </c>
      <c r="B37" s="70">
        <v>1</v>
      </c>
      <c r="C37" s="71" t="s">
        <v>4011</v>
      </c>
    </row>
    <row x14ac:dyDescent="0.25" r="38" customHeight="1" ht="17.25">
      <c r="A38" s="65" t="s">
        <v>4018</v>
      </c>
      <c r="B38" s="72"/>
      <c r="C38" s="73"/>
    </row>
    <row x14ac:dyDescent="0.25" r="39" customHeight="1" ht="17.25">
      <c r="A39" s="3"/>
      <c r="B39" s="68"/>
      <c r="C39" s="69"/>
    </row>
    <row x14ac:dyDescent="0.25" r="40" customHeight="1" ht="17.25">
      <c r="A40" s="3"/>
      <c r="B40" s="68"/>
      <c r="C40" s="69"/>
    </row>
    <row x14ac:dyDescent="0.25" r="41" customHeight="1" ht="17.25">
      <c r="A41" s="79" t="s">
        <v>29</v>
      </c>
      <c r="B41" s="70">
        <v>1</v>
      </c>
      <c r="C41" s="71" t="s">
        <v>4011</v>
      </c>
    </row>
    <row x14ac:dyDescent="0.25" r="42" customHeight="1" ht="17.25">
      <c r="A42" s="65" t="s">
        <v>4019</v>
      </c>
      <c r="B42" s="72"/>
      <c r="C42" s="73"/>
    </row>
    <row x14ac:dyDescent="0.25" r="43" customHeight="1" ht="17.25">
      <c r="A43" s="3"/>
      <c r="B43" s="68"/>
      <c r="C43" s="69"/>
    </row>
    <row x14ac:dyDescent="0.25" r="44" customHeight="1" ht="17.25">
      <c r="A44" s="3"/>
      <c r="B44" s="68"/>
      <c r="C44" s="69"/>
    </row>
    <row x14ac:dyDescent="0.25" r="45" customHeight="1" ht="17.25">
      <c r="A45" s="79" t="s">
        <v>30</v>
      </c>
      <c r="B45" s="70" t="s">
        <v>70</v>
      </c>
      <c r="C45" s="71"/>
    </row>
    <row x14ac:dyDescent="0.25" r="46" customHeight="1" ht="17.25">
      <c r="A46" s="80" t="s">
        <v>4020</v>
      </c>
      <c r="B46" s="81" t="s">
        <v>74</v>
      </c>
      <c r="C46" s="82"/>
    </row>
    <row x14ac:dyDescent="0.25" r="47" customHeight="1" ht="17.25">
      <c r="A47" s="80"/>
      <c r="B47" s="81" t="s">
        <v>164</v>
      </c>
      <c r="C47" s="82"/>
    </row>
    <row x14ac:dyDescent="0.25" r="48" customHeight="1" ht="17.25">
      <c r="A48" s="80"/>
      <c r="B48" s="81" t="s">
        <v>58</v>
      </c>
      <c r="C48" s="82"/>
    </row>
    <row x14ac:dyDescent="0.25" r="49" customHeight="1" ht="17.25">
      <c r="A49" s="74"/>
      <c r="B49" s="81" t="s">
        <v>600</v>
      </c>
      <c r="C49" s="82"/>
    </row>
    <row x14ac:dyDescent="0.25" r="50" customHeight="1" ht="17.25">
      <c r="A50" s="74"/>
      <c r="B50" s="81" t="s">
        <v>106</v>
      </c>
      <c r="C50" s="82"/>
    </row>
    <row x14ac:dyDescent="0.25" r="51" customHeight="1" ht="17.25">
      <c r="A51" s="65"/>
      <c r="B51" s="83" t="s">
        <v>142</v>
      </c>
      <c r="C51" s="73"/>
    </row>
    <row x14ac:dyDescent="0.25" r="52" customHeight="1" ht="17.25">
      <c r="A52" s="3"/>
      <c r="B52" s="81"/>
      <c r="C52" s="69"/>
    </row>
    <row x14ac:dyDescent="0.25" r="53" customHeight="1" ht="17.25">
      <c r="A53" s="84" t="s">
        <v>33</v>
      </c>
      <c r="B53" s="63">
        <v>1</v>
      </c>
      <c r="C53" s="64" t="s">
        <v>4021</v>
      </c>
    </row>
    <row x14ac:dyDescent="0.25" r="54" customHeight="1" ht="17.25">
      <c r="A54" s="74"/>
      <c r="B54" s="75">
        <v>2</v>
      </c>
      <c r="C54" s="76" t="s">
        <v>4022</v>
      </c>
    </row>
    <row x14ac:dyDescent="0.25" r="55" customHeight="1" ht="17.25">
      <c r="A55" s="65"/>
      <c r="B55" s="66">
        <v>3</v>
      </c>
      <c r="C55" s="67" t="s">
        <v>968</v>
      </c>
    </row>
    <row x14ac:dyDescent="0.25" r="56" customHeight="1" ht="17.25">
      <c r="A56" s="3"/>
      <c r="B56" s="68"/>
      <c r="C56" s="69"/>
    </row>
    <row x14ac:dyDescent="0.25" r="57" customHeight="1" ht="17.25">
      <c r="A57" s="84" t="s">
        <v>4023</v>
      </c>
      <c r="B57" s="63">
        <v>1</v>
      </c>
      <c r="C57" s="64" t="s">
        <v>4011</v>
      </c>
    </row>
    <row x14ac:dyDescent="0.25" r="58" customHeight="1" ht="17.25">
      <c r="A58" s="74"/>
      <c r="B58" s="75">
        <v>2</v>
      </c>
      <c r="C58" s="76" t="s">
        <v>4024</v>
      </c>
    </row>
    <row x14ac:dyDescent="0.25" r="59" customHeight="1" ht="17.25">
      <c r="A59" s="65"/>
      <c r="B59" s="66">
        <v>3</v>
      </c>
      <c r="C59" s="67" t="s">
        <v>968</v>
      </c>
    </row>
    <row x14ac:dyDescent="0.25" r="60" customHeight="1" ht="17.25">
      <c r="A60" s="3"/>
      <c r="B60" s="68"/>
      <c r="C60" s="69"/>
    </row>
    <row x14ac:dyDescent="0.25" r="61" customHeight="1" ht="17.25">
      <c r="A61" s="84" t="s">
        <v>35</v>
      </c>
      <c r="B61" s="63">
        <v>1</v>
      </c>
      <c r="C61" s="64" t="s">
        <v>4025</v>
      </c>
    </row>
    <row x14ac:dyDescent="0.25" r="62" customHeight="1" ht="17.25">
      <c r="A62" s="74"/>
      <c r="B62" s="75">
        <v>2</v>
      </c>
      <c r="C62" s="76" t="s">
        <v>4026</v>
      </c>
    </row>
    <row x14ac:dyDescent="0.25" r="63" customHeight="1" ht="17.25">
      <c r="A63" s="74"/>
      <c r="B63" s="75">
        <v>3</v>
      </c>
      <c r="C63" s="76" t="s">
        <v>4027</v>
      </c>
    </row>
    <row x14ac:dyDescent="0.25" r="64" customHeight="1" ht="17.25">
      <c r="A64" s="65"/>
      <c r="B64" s="66">
        <v>4</v>
      </c>
      <c r="C64" s="67" t="s">
        <v>968</v>
      </c>
    </row>
    <row x14ac:dyDescent="0.25" r="65" customHeight="1" ht="17.25">
      <c r="A65" s="3"/>
      <c r="B65" s="68"/>
      <c r="C65" s="69"/>
    </row>
    <row x14ac:dyDescent="0.25" r="66" customHeight="1" ht="17.25">
      <c r="A66" s="3"/>
      <c r="B66" s="68"/>
      <c r="C66" s="69"/>
    </row>
    <row x14ac:dyDescent="0.25" r="67" customHeight="1" ht="17.25">
      <c r="A67" s="84" t="s">
        <v>36</v>
      </c>
      <c r="B67" s="63">
        <v>1</v>
      </c>
      <c r="C67" s="64" t="s">
        <v>4011</v>
      </c>
    </row>
    <row x14ac:dyDescent="0.25" r="68" customHeight="1" ht="17.25">
      <c r="A68" s="74"/>
      <c r="B68" s="75">
        <v>2</v>
      </c>
      <c r="C68" s="76" t="s">
        <v>4024</v>
      </c>
    </row>
    <row x14ac:dyDescent="0.25" r="69" customHeight="1" ht="17.25">
      <c r="A69" s="65"/>
      <c r="B69" s="66">
        <v>3</v>
      </c>
      <c r="C69" s="67" t="s">
        <v>968</v>
      </c>
    </row>
    <row x14ac:dyDescent="0.25" r="70" customHeight="1" ht="17.25">
      <c r="A70" s="3"/>
      <c r="B70" s="68"/>
      <c r="C70" s="69"/>
    </row>
    <row x14ac:dyDescent="0.25" r="71" customHeight="1" ht="17.25">
      <c r="A71" s="84" t="s">
        <v>37</v>
      </c>
      <c r="B71" s="63">
        <v>1</v>
      </c>
      <c r="C71" s="64" t="s">
        <v>4011</v>
      </c>
    </row>
    <row x14ac:dyDescent="0.25" r="72" customHeight="1" ht="17.25">
      <c r="A72" s="74"/>
      <c r="B72" s="75">
        <v>2</v>
      </c>
      <c r="C72" s="76" t="s">
        <v>4024</v>
      </c>
    </row>
    <row x14ac:dyDescent="0.25" r="73" customHeight="1" ht="17.25">
      <c r="A73" s="65"/>
      <c r="B73" s="66">
        <v>3</v>
      </c>
      <c r="C73" s="67" t="s">
        <v>968</v>
      </c>
    </row>
    <row x14ac:dyDescent="0.25" r="74" customHeight="1" ht="17.25">
      <c r="A74" s="3"/>
      <c r="B74" s="68"/>
      <c r="C74" s="69"/>
    </row>
    <row x14ac:dyDescent="0.25" r="75" customHeight="1" ht="17.25">
      <c r="A75" s="84" t="s">
        <v>38</v>
      </c>
      <c r="B75" s="63">
        <v>1</v>
      </c>
      <c r="C75" s="64" t="s">
        <v>4011</v>
      </c>
    </row>
    <row x14ac:dyDescent="0.25" r="76" customHeight="1" ht="17.25">
      <c r="A76" s="74"/>
      <c r="B76" s="75">
        <v>2</v>
      </c>
      <c r="C76" s="76" t="s">
        <v>4024</v>
      </c>
    </row>
    <row x14ac:dyDescent="0.25" r="77" customHeight="1" ht="17.25">
      <c r="A77" s="74"/>
      <c r="B77" s="75">
        <v>3</v>
      </c>
      <c r="C77" s="76" t="s">
        <v>4028</v>
      </c>
    </row>
    <row x14ac:dyDescent="0.25" r="78" customHeight="1" ht="17.25">
      <c r="A78" s="65"/>
      <c r="B78" s="66">
        <v>4</v>
      </c>
      <c r="C78" s="67" t="s">
        <v>968</v>
      </c>
    </row>
    <row x14ac:dyDescent="0.25" r="79" customHeight="1" ht="17.25">
      <c r="A79" s="3"/>
      <c r="B79" s="68"/>
      <c r="C79" s="69"/>
    </row>
    <row x14ac:dyDescent="0.25" r="80" customHeight="1" ht="17.25">
      <c r="A80" s="84" t="s">
        <v>2739</v>
      </c>
      <c r="B80" s="63">
        <v>1</v>
      </c>
      <c r="C80" s="64" t="s">
        <v>4011</v>
      </c>
    </row>
    <row x14ac:dyDescent="0.25" r="81" customHeight="1" ht="17.25">
      <c r="A81" s="74"/>
      <c r="B81" s="75">
        <v>2</v>
      </c>
      <c r="C81" s="76" t="s">
        <v>4024</v>
      </c>
    </row>
    <row x14ac:dyDescent="0.25" r="82" customHeight="1" ht="17.25">
      <c r="A82" s="65"/>
      <c r="B82" s="66">
        <v>3</v>
      </c>
      <c r="C82" s="67" t="s">
        <v>968</v>
      </c>
    </row>
    <row x14ac:dyDescent="0.25" r="83" customHeight="1" ht="17.25">
      <c r="A83" s="3"/>
      <c r="B83" s="68"/>
      <c r="C83" s="69"/>
    </row>
    <row x14ac:dyDescent="0.25" r="84" customHeight="1" ht="17.25">
      <c r="A84" s="84" t="s">
        <v>40</v>
      </c>
      <c r="B84" s="63">
        <v>1</v>
      </c>
      <c r="C84" s="64" t="s">
        <v>4029</v>
      </c>
    </row>
    <row x14ac:dyDescent="0.25" r="85" customHeight="1" ht="17.25">
      <c r="A85" s="74"/>
      <c r="B85" s="75">
        <v>2</v>
      </c>
      <c r="C85" s="76" t="s">
        <v>4030</v>
      </c>
    </row>
    <row x14ac:dyDescent="0.25" r="86" customHeight="1" ht="17.25">
      <c r="A86" s="65"/>
      <c r="B86" s="66">
        <v>3</v>
      </c>
      <c r="C86" s="67" t="s">
        <v>968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N688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43" width="12.43357142857143" customWidth="1" bestFit="1"/>
    <col min="2" max="2" style="44" width="12.43357142857143" customWidth="1" bestFit="1"/>
    <col min="3" max="3" style="44" width="14.147857142857141" customWidth="1" bestFit="1"/>
    <col min="4" max="4" style="45" width="28.005" customWidth="1" bestFit="1"/>
    <col min="5" max="5" style="46" width="11.576428571428572" customWidth="1" bestFit="1"/>
    <col min="6" max="6" style="47" width="14.147857142857141" customWidth="1" bestFit="1"/>
    <col min="7" max="7" style="48" width="14.576428571428572" customWidth="1" bestFit="1"/>
    <col min="8" max="8" style="47" width="10.147857142857141" customWidth="1" bestFit="1"/>
    <col min="9" max="9" style="48" width="11.005" customWidth="1" bestFit="1"/>
    <col min="10" max="10" style="46" width="11.005" customWidth="1" bestFit="1"/>
    <col min="11" max="11" style="44" width="9.719285714285713" customWidth="1" bestFit="1"/>
    <col min="12" max="12" style="44" width="11.576428571428572" customWidth="1" bestFit="1"/>
    <col min="13" max="13" style="44" width="12.43357142857143" customWidth="1" bestFit="1"/>
    <col min="14" max="14" style="50" width="16.14785714285714" customWidth="1" bestFit="1"/>
    <col min="15" max="15" style="50" width="16.576428571428572" customWidth="1" bestFit="1"/>
    <col min="16" max="16" style="50" width="17.290714285714284" customWidth="1" bestFit="1"/>
    <col min="17" max="17" style="50" width="16.576428571428572" customWidth="1" bestFit="1"/>
    <col min="18" max="18" style="50" width="5.2907142857142855" customWidth="1" bestFit="1"/>
    <col min="19" max="19" style="45" width="10.719285714285713" customWidth="1" bestFit="1"/>
    <col min="20" max="20" style="50" width="5.2907142857142855" customWidth="1" bestFit="1"/>
    <col min="21" max="21" style="50" width="14.719285714285713" customWidth="1" bestFit="1"/>
    <col min="22" max="22" style="50" width="12.290714285714287" customWidth="1" bestFit="1"/>
    <col min="23" max="23" style="45" width="25.005" customWidth="1" bestFit="1"/>
    <col min="24" max="24" style="44" width="12.43357142857143" customWidth="1" bestFit="1"/>
    <col min="25" max="25" style="44" width="12.43357142857143" customWidth="1" bestFit="1"/>
    <col min="26" max="26" style="44" width="11.005" customWidth="1" bestFit="1"/>
    <col min="27" max="27" style="44" width="13.576428571428572" customWidth="1" bestFit="1"/>
    <col min="28" max="28" style="44" width="12.43357142857143" customWidth="1" bestFit="1"/>
    <col min="29" max="29" style="44" width="11.576428571428572" customWidth="1" bestFit="1"/>
    <col min="30" max="30" style="44" width="12.43357142857143" customWidth="1" bestFit="1"/>
    <col min="31" max="31" style="44" width="12.43357142857143" customWidth="1" bestFit="1"/>
    <col min="32" max="32" style="44" width="18.14785714285714" customWidth="1" bestFit="1"/>
    <col min="33" max="33" style="44" width="11.290714285714287" customWidth="1" bestFit="1"/>
    <col min="34" max="34" style="45" width="11.005" customWidth="1" bestFit="1"/>
    <col min="35" max="35" style="45" width="14.147857142857141" customWidth="1" bestFit="1"/>
    <col min="36" max="36" style="59" width="14.719285714285713" customWidth="1" bestFit="1"/>
    <col min="37" max="37" style="59" width="20.14785714285714" customWidth="1" bestFit="1"/>
    <col min="38" max="38" style="59" width="24.862142857142857" customWidth="1" bestFit="1"/>
    <col min="39" max="39" style="59" width="29.005" customWidth="1" bestFit="1"/>
    <col min="40" max="40" style="59" width="34.29071428571429" customWidth="1" bestFit="1"/>
  </cols>
  <sheetData>
    <row x14ac:dyDescent="0.25" r="1" customHeight="1" ht="17.25">
      <c r="A1" s="14" t="s">
        <v>8</v>
      </c>
      <c r="B1" s="15" t="s">
        <v>9</v>
      </c>
      <c r="C1" s="15" t="s">
        <v>10</v>
      </c>
      <c r="D1" s="16" t="s">
        <v>11</v>
      </c>
      <c r="E1" s="17" t="s">
        <v>12</v>
      </c>
      <c r="F1" s="18" t="s">
        <v>13</v>
      </c>
      <c r="G1" s="19" t="s">
        <v>14</v>
      </c>
      <c r="H1" s="18" t="s">
        <v>15</v>
      </c>
      <c r="I1" s="19" t="s">
        <v>16</v>
      </c>
      <c r="J1" s="55" t="s">
        <v>17</v>
      </c>
      <c r="K1" s="15" t="s">
        <v>2738</v>
      </c>
      <c r="L1" s="15" t="s">
        <v>19</v>
      </c>
      <c r="M1" s="15" t="s">
        <v>20</v>
      </c>
      <c r="N1" s="21" t="s">
        <v>21</v>
      </c>
      <c r="O1" s="21" t="s">
        <v>22</v>
      </c>
      <c r="P1" s="21" t="s">
        <v>23</v>
      </c>
      <c r="Q1" s="21" t="s">
        <v>24</v>
      </c>
      <c r="R1" s="21" t="s">
        <v>25</v>
      </c>
      <c r="S1" s="22" t="s">
        <v>26</v>
      </c>
      <c r="T1" s="21" t="s">
        <v>27</v>
      </c>
      <c r="U1" s="21" t="s">
        <v>28</v>
      </c>
      <c r="V1" s="21" t="s">
        <v>29</v>
      </c>
      <c r="W1" s="22" t="s">
        <v>30</v>
      </c>
      <c r="X1" s="23" t="s">
        <v>31</v>
      </c>
      <c r="Y1" s="23" t="s">
        <v>32</v>
      </c>
      <c r="Z1" s="23" t="s">
        <v>33</v>
      </c>
      <c r="AA1" s="23" t="s">
        <v>34</v>
      </c>
      <c r="AB1" s="23" t="s">
        <v>35</v>
      </c>
      <c r="AC1" s="23" t="s">
        <v>36</v>
      </c>
      <c r="AD1" s="23" t="s">
        <v>37</v>
      </c>
      <c r="AE1" s="23" t="s">
        <v>38</v>
      </c>
      <c r="AF1" s="23" t="s">
        <v>2739</v>
      </c>
      <c r="AG1" s="23" t="s">
        <v>40</v>
      </c>
      <c r="AH1" s="24" t="s">
        <v>41</v>
      </c>
      <c r="AI1" s="11" t="s">
        <v>2</v>
      </c>
      <c r="AJ1" s="11" t="s">
        <v>3</v>
      </c>
      <c r="AK1" s="11" t="s">
        <v>4</v>
      </c>
      <c r="AL1" s="11" t="s">
        <v>5</v>
      </c>
      <c r="AM1" s="11" t="s">
        <v>6</v>
      </c>
      <c r="AN1" s="11" t="s">
        <v>7</v>
      </c>
    </row>
    <row x14ac:dyDescent="0.25" r="2" customHeight="1" ht="20.25">
      <c r="A2" s="41" t="s">
        <v>2740</v>
      </c>
      <c r="B2" s="28">
        <v>2</v>
      </c>
      <c r="C2" s="28">
        <v>779</v>
      </c>
      <c r="D2" s="29" t="s">
        <v>136</v>
      </c>
      <c r="E2" s="30" t="s">
        <v>54</v>
      </c>
      <c r="F2" s="31">
        <v>44927</v>
      </c>
      <c r="G2" s="32">
        <v>4.517361111111111</v>
      </c>
      <c r="H2" s="31">
        <v>44925</v>
      </c>
      <c r="I2" s="32">
        <v>4.18125</v>
      </c>
      <c r="J2" s="33">
        <f>F2-H2</f>
      </c>
      <c r="K2" s="28">
        <v>40</v>
      </c>
      <c r="L2" s="28">
        <v>2</v>
      </c>
      <c r="M2" s="28">
        <v>1</v>
      </c>
      <c r="N2" s="28">
        <v>1</v>
      </c>
      <c r="O2" s="35">
        <v>2</v>
      </c>
      <c r="P2" s="35">
        <v>1</v>
      </c>
      <c r="Q2" s="34"/>
      <c r="R2" s="34"/>
      <c r="S2" s="56"/>
      <c r="T2" s="34"/>
      <c r="U2" s="34"/>
      <c r="V2" s="34"/>
      <c r="W2" s="29" t="s">
        <v>600</v>
      </c>
      <c r="X2" s="28">
        <v>30</v>
      </c>
      <c r="Y2" s="28">
        <v>1</v>
      </c>
      <c r="Z2" s="28">
        <v>2</v>
      </c>
      <c r="AA2" s="28">
        <v>2</v>
      </c>
      <c r="AB2" s="28">
        <v>1</v>
      </c>
      <c r="AC2" s="28">
        <v>2</v>
      </c>
      <c r="AD2" s="28">
        <v>2</v>
      </c>
      <c r="AE2" s="28">
        <v>4</v>
      </c>
      <c r="AF2" s="28">
        <v>1</v>
      </c>
      <c r="AG2" s="28">
        <v>2</v>
      </c>
      <c r="AH2" s="29" t="s">
        <v>2741</v>
      </c>
      <c r="AI2" s="36">
        <f>IF(OR(AND(K2&lt;32, J2&lt;2), O2=1, P2=1, Q2=1, R2=1, S2=1, T2=1, U2=1, AND(W2&lt;&gt;"", W2&lt;&gt;"Oxygen", W2&lt;&gt;"LowFlow")), "Intensive", "Intermediate")</f>
      </c>
      <c r="AJ2" s="57">
        <f>IF(OR(LEFT(AH2, 1)="X", LEFT(AH2, 1)="Y", LEFT(AH2, 3)="J0M"), "CUSM", "No Match")</f>
      </c>
      <c r="AK2" s="57">
        <f>IF(AND(OR(O2=3, P2=1, Q2=1, T2=1), AJ2="no Match"), "CUSM, CHU SJ, CHUQ", "")</f>
      </c>
      <c r="AL2" s="57">
        <f>IF(AND(O2=2, ISBLANK(P2), ISBLANK(Q2), ISBLANK(R2), ISBLANK(S2), ISBLANK(T2)), "CUSM, CHU SJ, CHUS, CHUQ", "")</f>
      </c>
      <c r="AM2" s="57">
        <f>IF(AND(AJ2="no match", AK2="", AL2="", K2&lt;26), "CUSM, CHU SJ, HGJ, CHUQ, CHUS", "")</f>
      </c>
      <c r="AN2" s="57">
        <f>IF(AND(AJ2="no match", AK2="", AL2="", K2&gt;26), "CUSM, CHU SJ, HGJ, CHUQ, CHUS, HMR", "")</f>
      </c>
    </row>
    <row x14ac:dyDescent="0.25" r="3" customHeight="1" ht="19.5">
      <c r="A3" s="41" t="s">
        <v>2742</v>
      </c>
      <c r="B3" s="28">
        <v>2</v>
      </c>
      <c r="C3" s="35">
        <v>831</v>
      </c>
      <c r="D3" s="29" t="s">
        <v>313</v>
      </c>
      <c r="E3" s="30" t="s">
        <v>50</v>
      </c>
      <c r="F3" s="31">
        <v>44927</v>
      </c>
      <c r="G3" s="32">
        <v>4.90625</v>
      </c>
      <c r="H3" s="31">
        <v>44927</v>
      </c>
      <c r="I3" s="32">
        <v>4.7625</v>
      </c>
      <c r="J3" s="33">
        <f>F3-H3</f>
      </c>
      <c r="K3" s="28">
        <v>25</v>
      </c>
      <c r="L3" s="28">
        <v>2</v>
      </c>
      <c r="M3" s="28">
        <v>1</v>
      </c>
      <c r="N3" s="35">
        <v>1</v>
      </c>
      <c r="O3" s="34"/>
      <c r="P3" s="34"/>
      <c r="Q3" s="34"/>
      <c r="R3" s="34"/>
      <c r="S3" s="56"/>
      <c r="T3" s="34"/>
      <c r="U3" s="34"/>
      <c r="V3" s="34"/>
      <c r="W3" s="29" t="s">
        <v>74</v>
      </c>
      <c r="X3" s="28">
        <v>25</v>
      </c>
      <c r="Y3" s="28">
        <v>2</v>
      </c>
      <c r="Z3" s="28">
        <v>1</v>
      </c>
      <c r="AA3" s="28">
        <v>2</v>
      </c>
      <c r="AB3" s="28">
        <v>4</v>
      </c>
      <c r="AC3" s="28">
        <v>2</v>
      </c>
      <c r="AD3" s="28">
        <v>2</v>
      </c>
      <c r="AE3" s="28">
        <v>4</v>
      </c>
      <c r="AF3" s="28">
        <v>3</v>
      </c>
      <c r="AG3" s="28">
        <v>2</v>
      </c>
      <c r="AH3" s="29" t="s">
        <v>1774</v>
      </c>
      <c r="AI3" s="36">
        <f>IF(OR(AND(K3&lt;32, J3&lt;2), O3=1, P3=1, Q3=1, R3=1, S3=1, T3=1, U3=1, AND(W3&lt;&gt;"", W3&lt;&gt;"Oxygen", W3&lt;&gt;"LowFlow")), "Intensive", "Intermediate")</f>
      </c>
      <c r="AJ3" s="57">
        <f>IF(OR(LEFT(AH3, 1)="X", LEFT(AH3, 1)="Y", LEFT(AH3, 3)="J0M"), "CUSM", "No Match")</f>
      </c>
      <c r="AK3" s="57">
        <f>IF(AND(OR(O3=3, P3=1, Q3=1, T3=1), AJ3="no Match"), "CUSM, CHU SJ, CHUQ", "")</f>
      </c>
      <c r="AL3" s="57">
        <f>IF(AND(O3=2, ISBLANK(P3), ISBLANK(Q3), ISBLANK(R3), ISBLANK(S3), ISBLANK(T3)), "CUSM, CHU SJ, CHUS, CHUQ", "")</f>
      </c>
      <c r="AM3" s="57">
        <f>IF(AND(AJ3="no match", AK3="", AL3="", K3&lt;26), "CUSM, CHU SJ, HGJ, CHUQ, CHUS", "")</f>
      </c>
      <c r="AN3" s="57">
        <f>IF(AND(AJ3="no match", AK3="", AL3="", K3&gt;26), "CUSM, CHU SJ, HGJ, CHUQ, CHUS, HMR", "")</f>
      </c>
    </row>
    <row x14ac:dyDescent="0.25" r="4" customHeight="1" ht="19.5">
      <c r="A4" s="41" t="s">
        <v>2743</v>
      </c>
      <c r="B4" s="28">
        <v>2</v>
      </c>
      <c r="C4" s="35">
        <v>831</v>
      </c>
      <c r="D4" s="29" t="s">
        <v>313</v>
      </c>
      <c r="E4" s="30" t="s">
        <v>50</v>
      </c>
      <c r="F4" s="31">
        <v>44927</v>
      </c>
      <c r="G4" s="32">
        <v>4.947222222222223</v>
      </c>
      <c r="H4" s="31">
        <v>44927</v>
      </c>
      <c r="I4" s="32">
        <v>4.783333333333333</v>
      </c>
      <c r="J4" s="33">
        <f>F4-H4</f>
      </c>
      <c r="K4" s="28">
        <v>25</v>
      </c>
      <c r="L4" s="28">
        <v>2</v>
      </c>
      <c r="M4" s="28">
        <v>1</v>
      </c>
      <c r="N4" s="34"/>
      <c r="O4" s="34"/>
      <c r="P4" s="34"/>
      <c r="Q4" s="34"/>
      <c r="R4" s="34"/>
      <c r="S4" s="56"/>
      <c r="T4" s="34"/>
      <c r="U4" s="34"/>
      <c r="V4" s="34"/>
      <c r="W4" s="29" t="s">
        <v>74</v>
      </c>
      <c r="X4" s="28">
        <v>25</v>
      </c>
      <c r="Y4" s="28">
        <v>2</v>
      </c>
      <c r="Z4" s="28">
        <v>1</v>
      </c>
      <c r="AA4" s="28">
        <v>2</v>
      </c>
      <c r="AB4" s="28">
        <v>4</v>
      </c>
      <c r="AC4" s="28">
        <v>2</v>
      </c>
      <c r="AD4" s="28">
        <v>2</v>
      </c>
      <c r="AE4" s="28">
        <v>4</v>
      </c>
      <c r="AF4" s="28">
        <v>3</v>
      </c>
      <c r="AG4" s="28">
        <v>2</v>
      </c>
      <c r="AH4" s="29" t="s">
        <v>1774</v>
      </c>
      <c r="AI4" s="36">
        <f>IF(OR(AND(K4&lt;32, J4&lt;2), O4=1, P4=1, Q4=1, R4=1, S4=1, T4=1, U4=1, AND(W4&lt;&gt;"", W4&lt;&gt;"Oxygen", W4&lt;&gt;"LowFlow")), "Intensive", "Intermediate")</f>
      </c>
      <c r="AJ4" s="57">
        <f>IF(OR(LEFT(AH4, 1)="X", LEFT(AH4, 1)="Y", LEFT(AH4, 3)="J1M"), "CUSM", "No Match")</f>
      </c>
      <c r="AK4" s="57">
        <f>IF(AND(OR(O4=3, P4=1, Q4=1, T4=1), AJ4="no Match"), "CUSM, CHU SJ, CHUQ", "")</f>
      </c>
      <c r="AL4" s="57">
        <f>IF(AND(O4=2, ISBLANK(P4), ISBLANK(Q4), ISBLANK(R4), ISBLANK(S4), ISBLANK(T4)), "CUSM, CHU SJ, CHUS, CHUQ", "")</f>
      </c>
      <c r="AM4" s="57">
        <f>IF(AND(AJ4="no match", AK4="", AL4="", K4&lt;26), "CUSM, CHU SJ, HGJ, CHUQ, CHUS", "")</f>
      </c>
      <c r="AN4" s="57">
        <f>IF(AND(AJ4="no match", AK4="", AL4="", K4&gt;26), "CUSM, CHU SJ, HGJ, CHUQ, CHUS, HMR", "")</f>
      </c>
    </row>
    <row x14ac:dyDescent="0.25" r="5" customHeight="1" ht="20.25">
      <c r="A5" s="41" t="s">
        <v>2744</v>
      </c>
      <c r="B5" s="28">
        <v>2</v>
      </c>
      <c r="C5" s="35">
        <v>824</v>
      </c>
      <c r="D5" s="29" t="s">
        <v>57</v>
      </c>
      <c r="E5" s="30" t="s">
        <v>118</v>
      </c>
      <c r="F5" s="31">
        <v>44928</v>
      </c>
      <c r="G5" s="32">
        <v>4.070833333333333</v>
      </c>
      <c r="H5" s="31">
        <v>44927</v>
      </c>
      <c r="I5" s="32">
        <v>4.728472222222223</v>
      </c>
      <c r="J5" s="33">
        <f>F5-H5</f>
      </c>
      <c r="K5" s="28">
        <v>40</v>
      </c>
      <c r="L5" s="28">
        <v>5</v>
      </c>
      <c r="M5" s="28">
        <v>1</v>
      </c>
      <c r="N5" s="38"/>
      <c r="O5" s="34"/>
      <c r="P5" s="38"/>
      <c r="Q5" s="34"/>
      <c r="R5" s="34"/>
      <c r="S5" s="56"/>
      <c r="T5" s="28">
        <v>1</v>
      </c>
      <c r="U5" s="34"/>
      <c r="V5" s="38"/>
      <c r="W5" s="29" t="s">
        <v>58</v>
      </c>
      <c r="X5" s="28">
        <v>28</v>
      </c>
      <c r="Y5" s="28">
        <v>1</v>
      </c>
      <c r="Z5" s="28">
        <v>2</v>
      </c>
      <c r="AA5" s="28">
        <v>1</v>
      </c>
      <c r="AB5" s="28">
        <v>1</v>
      </c>
      <c r="AC5" s="28">
        <v>2</v>
      </c>
      <c r="AD5" s="28">
        <v>2</v>
      </c>
      <c r="AE5" s="28">
        <v>4</v>
      </c>
      <c r="AF5" s="28">
        <v>3</v>
      </c>
      <c r="AG5" s="28">
        <v>2</v>
      </c>
      <c r="AH5" s="29" t="s">
        <v>2745</v>
      </c>
      <c r="AI5" s="36">
        <f>IF(OR(AND(K5&lt;32, J5&lt;2), O5=1, P5=1, Q5=1, R5=1, S5=1, T5=1, U5=1, AND(W5&lt;&gt;"", W5&lt;&gt;"Oxygen", W5&lt;&gt;"LowFlow")), "Intensive", "Intermediate")</f>
      </c>
      <c r="AJ5" s="57">
        <f>IF(OR(LEFT(AH5, 1)="X", LEFT(AH5, 1)="Y", LEFT(AH5, 3)="J2M"), "CUSM", "No Match")</f>
      </c>
      <c r="AK5" s="57">
        <f>IF(AND(OR(O5=3, P5=1, Q5=1, T5=1), AJ5="no Match"), "CUSM, CHU SJ, CHUQ", "")</f>
      </c>
      <c r="AL5" s="57">
        <f>IF(AND(O5=2, ISBLANK(P5), ISBLANK(Q5), ISBLANK(R5), ISBLANK(S5), ISBLANK(T5)), "CUSM, CHU SJ, CHUS, CHUQ", "")</f>
      </c>
      <c r="AM5" s="57">
        <f>IF(AND(AJ5="no match", AK5="", AL5="", K5&lt;26), "CUSM, CHU SJ, HGJ, CHUQ, CHUS", "")</f>
      </c>
      <c r="AN5" s="57">
        <f>IF(AND(AJ5="no match", AK5="", AL5="", K5&gt;26), "CUSM, CHU SJ, HGJ, CHUQ, CHUS, HMR", "")</f>
      </c>
    </row>
    <row x14ac:dyDescent="0.25" r="6" customHeight="1" ht="20.25">
      <c r="A6" s="41" t="s">
        <v>2746</v>
      </c>
      <c r="B6" s="28">
        <v>2</v>
      </c>
      <c r="C6" s="35">
        <v>779</v>
      </c>
      <c r="D6" s="29" t="s">
        <v>136</v>
      </c>
      <c r="E6" s="30" t="s">
        <v>78</v>
      </c>
      <c r="F6" s="31">
        <v>44928</v>
      </c>
      <c r="G6" s="32">
        <v>4.576388888888889</v>
      </c>
      <c r="H6" s="31">
        <v>44928</v>
      </c>
      <c r="I6" s="32">
        <v>4.39375</v>
      </c>
      <c r="J6" s="33">
        <f>F6-H6</f>
      </c>
      <c r="K6" s="28">
        <v>33</v>
      </c>
      <c r="L6" s="28">
        <v>0</v>
      </c>
      <c r="M6" s="28">
        <v>1</v>
      </c>
      <c r="N6" s="35">
        <v>1</v>
      </c>
      <c r="O6" s="38"/>
      <c r="P6" s="28">
        <v>1</v>
      </c>
      <c r="Q6" s="34"/>
      <c r="R6" s="34"/>
      <c r="S6" s="56"/>
      <c r="T6" s="34"/>
      <c r="U6" s="38"/>
      <c r="V6" s="38"/>
      <c r="W6" s="29" t="s">
        <v>164</v>
      </c>
      <c r="X6" s="28">
        <v>26</v>
      </c>
      <c r="Y6" s="28">
        <v>1</v>
      </c>
      <c r="Z6" s="28">
        <v>2</v>
      </c>
      <c r="AA6" s="28">
        <v>2</v>
      </c>
      <c r="AB6" s="28">
        <v>1</v>
      </c>
      <c r="AC6" s="28">
        <v>1</v>
      </c>
      <c r="AD6" s="28">
        <v>2</v>
      </c>
      <c r="AE6" s="28">
        <v>4</v>
      </c>
      <c r="AF6" s="28">
        <v>2</v>
      </c>
      <c r="AG6" s="28">
        <v>2</v>
      </c>
      <c r="AH6" s="29" t="s">
        <v>2747</v>
      </c>
      <c r="AI6" s="36">
        <f>IF(OR(AND(K6&lt;32, J6&lt;2), O6=1, P6=1, Q6=1, R6=1, S6=1, T6=1, U6=1, AND(W6&lt;&gt;"", W6&lt;&gt;"Oxygen", W6&lt;&gt;"LowFlow")), "Intensive", "Intermediate")</f>
      </c>
      <c r="AJ6" s="57">
        <f>IF(OR(LEFT(AH6, 1)="X", LEFT(AH6, 1)="Y", LEFT(AH6, 3)="J3M"), "CUSM", "No Match")</f>
      </c>
      <c r="AK6" s="57">
        <f>IF(AND(OR(O6=3, P6=1, Q6=1, T6=1), AJ6="no Match"), "CUSM, CHU SJ, CHUQ", "")</f>
      </c>
      <c r="AL6" s="57">
        <f>IF(AND(O6=2, ISBLANK(P6), ISBLANK(Q6), ISBLANK(R6), ISBLANK(S6), ISBLANK(T6)), "CUSM, CHU SJ, CHUS, CHUQ", "")</f>
      </c>
      <c r="AM6" s="57">
        <f>IF(AND(AJ6="no match", AK6="", AL6="", K6&lt;26), "CUSM, CHU SJ, HGJ, CHUQ, CHUS", "")</f>
      </c>
      <c r="AN6" s="57">
        <f>IF(AND(AJ6="no match", AK6="", AL6="", K6&gt;26), "CUSM, CHU SJ, HGJ, CHUQ, CHUS, HMR", "")</f>
      </c>
    </row>
    <row x14ac:dyDescent="0.25" r="7" customHeight="1" ht="20.25">
      <c r="A7" s="41" t="s">
        <v>2748</v>
      </c>
      <c r="B7" s="28">
        <v>2</v>
      </c>
      <c r="C7" s="35">
        <v>740</v>
      </c>
      <c r="D7" s="29" t="s">
        <v>409</v>
      </c>
      <c r="E7" s="30" t="s">
        <v>149</v>
      </c>
      <c r="F7" s="31">
        <v>44929</v>
      </c>
      <c r="G7" s="32">
        <v>4.084722222222222</v>
      </c>
      <c r="H7" s="31">
        <v>44928</v>
      </c>
      <c r="I7" s="32">
        <v>4.945833333333333</v>
      </c>
      <c r="J7" s="33">
        <f>F7-H7</f>
      </c>
      <c r="K7" s="28">
        <v>39</v>
      </c>
      <c r="L7" s="28">
        <v>0</v>
      </c>
      <c r="M7" s="28">
        <v>1</v>
      </c>
      <c r="N7" s="34"/>
      <c r="O7" s="34"/>
      <c r="P7" s="34"/>
      <c r="Q7" s="34"/>
      <c r="R7" s="34"/>
      <c r="S7" s="56"/>
      <c r="T7" s="35">
        <v>1</v>
      </c>
      <c r="U7" s="34"/>
      <c r="V7" s="34"/>
      <c r="W7" s="29" t="s">
        <v>164</v>
      </c>
      <c r="X7" s="28">
        <v>38</v>
      </c>
      <c r="Y7" s="28">
        <v>1</v>
      </c>
      <c r="Z7" s="28">
        <v>1</v>
      </c>
      <c r="AA7" s="28">
        <v>3</v>
      </c>
      <c r="AB7" s="28">
        <v>1</v>
      </c>
      <c r="AC7" s="28">
        <v>2</v>
      </c>
      <c r="AD7" s="28">
        <v>2</v>
      </c>
      <c r="AE7" s="28">
        <v>4</v>
      </c>
      <c r="AF7" s="28">
        <v>3</v>
      </c>
      <c r="AG7" s="28">
        <v>2</v>
      </c>
      <c r="AH7" s="29" t="s">
        <v>2749</v>
      </c>
      <c r="AI7" s="36">
        <f>IF(OR(AND(K7&lt;32, J7&lt;2), O7=1, P7=1, Q7=1, R7=1, S7=1, T7=1, U7=1, AND(W7&lt;&gt;"", W7&lt;&gt;"Oxygen", W7&lt;&gt;"LowFlow")), "Intensive", "Intermediate")</f>
      </c>
      <c r="AJ7" s="57">
        <f>IF(OR(LEFT(AH7, 1)="X", LEFT(AH7, 1)="Y", LEFT(AH7, 3)="J4M"), "CUSM", "No Match")</f>
      </c>
      <c r="AK7" s="57">
        <f>IF(AND(OR(O7=3, P7=1, Q7=1, T7=1), AJ7="no Match"), "CUSM, CHU SJ, CHUQ", "")</f>
      </c>
      <c r="AL7" s="57">
        <f>IF(AND(O7=2, ISBLANK(P7), ISBLANK(Q7), ISBLANK(R7), ISBLANK(S7), ISBLANK(T7)), "CUSM, CHU SJ, CHUS, CHUQ", "")</f>
      </c>
      <c r="AM7" s="57">
        <f>IF(AND(AJ7="no match", AK7="", AL7="", K7&lt;26), "CUSM, CHU SJ, HGJ, CHUQ, CHUS", "")</f>
      </c>
      <c r="AN7" s="57">
        <f>IF(AND(AJ7="no match", AK7="", AL7="", K7&gt;26), "CUSM, CHU SJ, HGJ, CHUQ, CHUS, HMR", "")</f>
      </c>
    </row>
    <row x14ac:dyDescent="0.25" r="8" customHeight="1" ht="20.25">
      <c r="A8" s="41" t="s">
        <v>2750</v>
      </c>
      <c r="B8" s="28">
        <v>2</v>
      </c>
      <c r="C8" s="35">
        <v>809</v>
      </c>
      <c r="D8" s="29" t="s">
        <v>117</v>
      </c>
      <c r="E8" s="30" t="s">
        <v>118</v>
      </c>
      <c r="F8" s="31">
        <v>44930</v>
      </c>
      <c r="G8" s="32">
        <v>4.993055555555555</v>
      </c>
      <c r="H8" s="31">
        <v>44930</v>
      </c>
      <c r="I8" s="32">
        <v>4.741666666666667</v>
      </c>
      <c r="J8" s="33">
        <f>F8-H8</f>
      </c>
      <c r="K8" s="28">
        <v>37</v>
      </c>
      <c r="L8" s="28">
        <v>1</v>
      </c>
      <c r="M8" s="28">
        <v>1</v>
      </c>
      <c r="N8" s="38"/>
      <c r="O8" s="34"/>
      <c r="P8" s="38"/>
      <c r="Q8" s="34"/>
      <c r="R8" s="34"/>
      <c r="S8" s="56"/>
      <c r="T8" s="35">
        <v>1</v>
      </c>
      <c r="U8" s="35">
        <v>1</v>
      </c>
      <c r="V8" s="35">
        <v>1</v>
      </c>
      <c r="W8" s="29" t="s">
        <v>74</v>
      </c>
      <c r="X8" s="28">
        <v>28</v>
      </c>
      <c r="Y8" s="28">
        <v>1</v>
      </c>
      <c r="Z8" s="28">
        <v>2</v>
      </c>
      <c r="AA8" s="28">
        <v>2</v>
      </c>
      <c r="AB8" s="28">
        <v>1</v>
      </c>
      <c r="AC8" s="28">
        <v>2</v>
      </c>
      <c r="AD8" s="28">
        <v>2</v>
      </c>
      <c r="AE8" s="28">
        <v>4</v>
      </c>
      <c r="AF8" s="35">
        <v>2</v>
      </c>
      <c r="AG8" s="28">
        <v>2</v>
      </c>
      <c r="AH8" s="29" t="s">
        <v>2751</v>
      </c>
      <c r="AI8" s="36">
        <f>IF(OR(AND(K8&lt;32, J8&lt;2), O8=1, P8=1, Q8=1, R8=1, S8=1, T8=1, U8=1, AND(W8&lt;&gt;"", W8&lt;&gt;"Oxygen", W8&lt;&gt;"LowFlow")), "Intensive", "Intermediate")</f>
      </c>
      <c r="AJ8" s="57">
        <f>IF(OR(LEFT(AH8, 1)="X", LEFT(AH8, 1)="Y", LEFT(AH8, 3)="J5M"), "CUSM", "No Match")</f>
      </c>
      <c r="AK8" s="57">
        <f>IF(AND(OR(O8=3, P8=1, Q8=1, T8=1), AJ8="no Match"), "CUSM, CHU SJ, CHUQ", "")</f>
      </c>
      <c r="AL8" s="57">
        <f>IF(AND(O8=2, ISBLANK(P8), ISBLANK(Q8), ISBLANK(R8), ISBLANK(S8), ISBLANK(T8)), "CUSM, CHU SJ, CHUS, CHUQ", "")</f>
      </c>
      <c r="AM8" s="57">
        <f>IF(AND(AJ8="no match", AK8="", AL8="", K8&lt;26), "CUSM, CHU SJ, HGJ, CHUQ, CHUS", "")</f>
      </c>
      <c r="AN8" s="57">
        <f>IF(AND(AJ8="no match", AK8="", AL8="", K8&gt;26), "CUSM, CHU SJ, HGJ, CHUQ, CHUS, HMR", "")</f>
      </c>
    </row>
    <row x14ac:dyDescent="0.25" r="9" customHeight="1" ht="19.5">
      <c r="A9" s="41" t="s">
        <v>2752</v>
      </c>
      <c r="B9" s="28">
        <v>2</v>
      </c>
      <c r="C9" s="35">
        <v>820</v>
      </c>
      <c r="D9" s="29" t="s">
        <v>69</v>
      </c>
      <c r="E9" s="30" t="s">
        <v>50</v>
      </c>
      <c r="F9" s="31">
        <v>44930</v>
      </c>
      <c r="G9" s="40">
        <v>4.735416666666667</v>
      </c>
      <c r="H9" s="31">
        <v>44924</v>
      </c>
      <c r="I9" s="40">
        <v>4.957638888888889</v>
      </c>
      <c r="J9" s="33">
        <f>F9-H9</f>
      </c>
      <c r="K9" s="28">
        <v>41</v>
      </c>
      <c r="L9" s="28">
        <v>2</v>
      </c>
      <c r="M9" s="28">
        <v>1</v>
      </c>
      <c r="N9" s="34"/>
      <c r="O9" s="34"/>
      <c r="P9" s="34"/>
      <c r="Q9" s="34"/>
      <c r="R9" s="34"/>
      <c r="S9" s="56"/>
      <c r="T9" s="34"/>
      <c r="U9" s="34"/>
      <c r="V9" s="34"/>
      <c r="W9" s="29"/>
      <c r="X9" s="35">
        <v>31</v>
      </c>
      <c r="Y9" s="28">
        <v>1</v>
      </c>
      <c r="Z9" s="35">
        <v>1</v>
      </c>
      <c r="AA9" s="35">
        <v>1</v>
      </c>
      <c r="AB9" s="35">
        <v>1</v>
      </c>
      <c r="AC9" s="35">
        <v>2</v>
      </c>
      <c r="AD9" s="35">
        <v>2</v>
      </c>
      <c r="AE9" s="35">
        <v>4</v>
      </c>
      <c r="AF9" s="35">
        <v>3</v>
      </c>
      <c r="AG9" s="35">
        <v>3</v>
      </c>
      <c r="AH9" s="29" t="s">
        <v>2753</v>
      </c>
      <c r="AI9" s="36">
        <f>IF(OR(AND(K9&lt;32, J9&lt;2), O9=1, P9=1, Q9=1, R9=1, S9=1, T9=1, U9=1, AND(W9&lt;&gt;"", W9&lt;&gt;"Oxygen", W9&lt;&gt;"LowFlow")), "Intensive", "Intermediate")</f>
      </c>
      <c r="AJ9" s="57">
        <f>IF(OR(LEFT(AH9, 1)="X", LEFT(AH9, 1)="Y", LEFT(AH9, 3)="J6M"), "CUSM", "No Match")</f>
      </c>
      <c r="AK9" s="57">
        <f>IF(AND(OR(O9=3, P9=1, Q9=1, T9=1), AJ9="no Match"), "CUSM, CHU SJ, CHUQ", "")</f>
      </c>
      <c r="AL9" s="57">
        <f>IF(AND(O9=2, ISBLANK(P9), ISBLANK(Q9), ISBLANK(R9), ISBLANK(S9), ISBLANK(T9)), "CUSM, CHU SJ, CHUS, CHUQ", "")</f>
      </c>
      <c r="AM9" s="57">
        <f>IF(AND(AJ9="no match", AK9="", AL9="", K9&lt;26), "CUSM, CHU SJ, HGJ, CHUQ, CHUS", "")</f>
      </c>
      <c r="AN9" s="57">
        <f>IF(AND(AJ9="no match", AK9="", AL9="", K9&gt;26), "CUSM, CHU SJ, HGJ, CHUQ, CHUS, HMR", "")</f>
      </c>
    </row>
    <row x14ac:dyDescent="0.25" r="10" customHeight="1" ht="20.25">
      <c r="A10" s="41" t="s">
        <v>2754</v>
      </c>
      <c r="B10" s="28">
        <v>2</v>
      </c>
      <c r="C10" s="28">
        <v>778</v>
      </c>
      <c r="D10" s="29" t="s">
        <v>2755</v>
      </c>
      <c r="E10" s="30" t="s">
        <v>149</v>
      </c>
      <c r="F10" s="31">
        <v>44931</v>
      </c>
      <c r="G10" s="32">
        <v>4.825</v>
      </c>
      <c r="H10" s="31">
        <v>44931</v>
      </c>
      <c r="I10" s="32">
        <v>4.479861111111111</v>
      </c>
      <c r="J10" s="33">
        <f>F10-H10</f>
      </c>
      <c r="K10" s="28">
        <v>38</v>
      </c>
      <c r="L10" s="28">
        <v>0</v>
      </c>
      <c r="M10" s="28">
        <v>2</v>
      </c>
      <c r="N10" s="34"/>
      <c r="O10" s="34"/>
      <c r="P10" s="34"/>
      <c r="Q10" s="34"/>
      <c r="R10" s="34"/>
      <c r="S10" s="56"/>
      <c r="T10" s="35">
        <v>1</v>
      </c>
      <c r="U10" s="34"/>
      <c r="V10" s="34"/>
      <c r="W10" s="29" t="s">
        <v>600</v>
      </c>
      <c r="X10" s="28">
        <v>25</v>
      </c>
      <c r="Y10" s="28">
        <v>1</v>
      </c>
      <c r="Z10" s="28">
        <v>1</v>
      </c>
      <c r="AA10" s="28">
        <v>3</v>
      </c>
      <c r="AB10" s="28">
        <v>4</v>
      </c>
      <c r="AC10" s="28">
        <v>3</v>
      </c>
      <c r="AD10" s="28">
        <v>3</v>
      </c>
      <c r="AE10" s="28">
        <v>4</v>
      </c>
      <c r="AF10" s="28">
        <v>1</v>
      </c>
      <c r="AG10" s="28">
        <v>3</v>
      </c>
      <c r="AH10" s="29" t="s">
        <v>2756</v>
      </c>
      <c r="AI10" s="36">
        <f>IF(OR(AND(K10&lt;32, J10&lt;2), O10=1, P10=1, Q10=1, R10=1, S10=1, T10=1, U10=1, AND(W10&lt;&gt;"", W10&lt;&gt;"Oxygen", W10&lt;&gt;"LowFlow")), "Intensive", "Intermediate")</f>
      </c>
      <c r="AJ10" s="57">
        <f>IF(OR(LEFT(AH10, 1)="X", LEFT(AH10, 1)="Y", LEFT(AH10, 3)="J7M"), "CUSM", "No Match")</f>
      </c>
      <c r="AK10" s="57">
        <f>IF(AND(OR(O10=3, P10=1, Q10=1, T10=1), AJ10="no Match"), "CUSM, CHU SJ, CHUQ", "")</f>
      </c>
      <c r="AL10" s="57">
        <f>IF(AND(O10=2, ISBLANK(P10), ISBLANK(Q10), ISBLANK(R10), ISBLANK(S10), ISBLANK(T10)), "CUSM, CHU SJ, CHUS, CHUQ", "")</f>
      </c>
      <c r="AM10" s="57">
        <f>IF(AND(AJ10="no match", AK10="", AL10="", K10&lt;26), "CUSM, CHU SJ, HGJ, CHUQ, CHUS", "")</f>
      </c>
      <c r="AN10" s="57">
        <f>IF(AND(AJ10="no match", AK10="", AL10="", K10&gt;26), "CUSM, CHU SJ, HGJ, CHUQ, CHUS, HMR", "")</f>
      </c>
    </row>
    <row x14ac:dyDescent="0.25" r="11" customHeight="1" ht="19.5">
      <c r="A11" s="41" t="s">
        <v>2757</v>
      </c>
      <c r="B11" s="28">
        <v>2</v>
      </c>
      <c r="C11" s="35">
        <v>796</v>
      </c>
      <c r="D11" s="29" t="s">
        <v>63</v>
      </c>
      <c r="E11" s="30" t="s">
        <v>54</v>
      </c>
      <c r="F11" s="31">
        <v>44931</v>
      </c>
      <c r="G11" s="32">
        <v>4.052083333333334</v>
      </c>
      <c r="H11" s="31">
        <v>44930</v>
      </c>
      <c r="I11" s="32">
        <v>4.844444444444445</v>
      </c>
      <c r="J11" s="33">
        <f>F11-H11</f>
      </c>
      <c r="K11" s="28">
        <v>36</v>
      </c>
      <c r="L11" s="28">
        <v>4</v>
      </c>
      <c r="M11" s="28">
        <v>2</v>
      </c>
      <c r="N11" s="34"/>
      <c r="O11" s="34"/>
      <c r="P11" s="34"/>
      <c r="Q11" s="34"/>
      <c r="R11" s="34"/>
      <c r="S11" s="56"/>
      <c r="T11" s="35">
        <v>1</v>
      </c>
      <c r="U11" s="34"/>
      <c r="V11" s="34"/>
      <c r="W11" s="29" t="s">
        <v>74</v>
      </c>
      <c r="X11" s="28">
        <v>33</v>
      </c>
      <c r="Y11" s="28">
        <v>1</v>
      </c>
      <c r="Z11" s="28">
        <v>2</v>
      </c>
      <c r="AA11" s="28">
        <v>1</v>
      </c>
      <c r="AB11" s="28">
        <v>1</v>
      </c>
      <c r="AC11" s="28">
        <v>2</v>
      </c>
      <c r="AD11" s="28">
        <v>1</v>
      </c>
      <c r="AE11" s="28">
        <v>4</v>
      </c>
      <c r="AF11" s="28">
        <v>2</v>
      </c>
      <c r="AG11" s="28">
        <v>2</v>
      </c>
      <c r="AH11" s="29" t="s">
        <v>2758</v>
      </c>
      <c r="AI11" s="36">
        <f>IF(OR(AND(K11&lt;32, J11&lt;2), O11=1, P11=1, Q11=1, R11=1, S11=1, T11=1, U11=1, AND(W11&lt;&gt;"", W11&lt;&gt;"Oxygen", W11&lt;&gt;"LowFlow")), "Intensive", "Intermediate")</f>
      </c>
      <c r="AJ11" s="57">
        <f>IF(OR(LEFT(AH11, 1)="X", LEFT(AH11, 1)="Y", LEFT(AH11, 3)="J8M"), "CUSM", "No Match")</f>
      </c>
      <c r="AK11" s="57">
        <f>IF(AND(OR(O11=3, P11=1, Q11=1, T11=1), AJ11="no Match"), "CUSM, CHU SJ, CHUQ", "")</f>
      </c>
      <c r="AL11" s="57">
        <f>IF(AND(O11=2, ISBLANK(P11), ISBLANK(Q11), ISBLANK(R11), ISBLANK(S11), ISBLANK(T11)), "CUSM, CHU SJ, CHUS, CHUQ", "")</f>
      </c>
      <c r="AM11" s="57">
        <f>IF(AND(AJ11="no match", AK11="", AL11="", K11&lt;26), "CUSM, CHU SJ, HGJ, CHUQ, CHUS", "")</f>
      </c>
      <c r="AN11" s="57">
        <f>IF(AND(AJ11="no match", AK11="", AL11="", K11&gt;26), "CUSM, CHU SJ, HGJ, CHUQ, CHUS, HMR", "")</f>
      </c>
    </row>
    <row x14ac:dyDescent="0.25" r="12" customHeight="1" ht="20.25">
      <c r="A12" s="41" t="s">
        <v>2759</v>
      </c>
      <c r="B12" s="28">
        <v>2</v>
      </c>
      <c r="C12" s="28">
        <v>814</v>
      </c>
      <c r="D12" s="29" t="s">
        <v>285</v>
      </c>
      <c r="E12" s="30" t="s">
        <v>54</v>
      </c>
      <c r="F12" s="31">
        <v>44931</v>
      </c>
      <c r="G12" s="32">
        <v>4.993055555555555</v>
      </c>
      <c r="H12" s="31">
        <v>44931</v>
      </c>
      <c r="I12" s="32">
        <v>4.075694444444444</v>
      </c>
      <c r="J12" s="33">
        <f>F12-H12</f>
      </c>
      <c r="K12" s="28">
        <v>37</v>
      </c>
      <c r="L12" s="28">
        <v>4</v>
      </c>
      <c r="M12" s="28">
        <v>1</v>
      </c>
      <c r="N12" s="35">
        <v>1</v>
      </c>
      <c r="O12" s="34"/>
      <c r="P12" s="34"/>
      <c r="Q12" s="34"/>
      <c r="R12" s="34"/>
      <c r="S12" s="56"/>
      <c r="T12" s="34"/>
      <c r="U12" s="34"/>
      <c r="V12" s="34"/>
      <c r="W12" s="29"/>
      <c r="X12" s="28">
        <v>29</v>
      </c>
      <c r="Y12" s="28">
        <v>1</v>
      </c>
      <c r="Z12" s="28">
        <v>1</v>
      </c>
      <c r="AA12" s="28">
        <v>2</v>
      </c>
      <c r="AB12" s="28">
        <v>1</v>
      </c>
      <c r="AC12" s="28">
        <v>2</v>
      </c>
      <c r="AD12" s="28">
        <v>2</v>
      </c>
      <c r="AE12" s="28">
        <v>4</v>
      </c>
      <c r="AF12" s="28">
        <v>2</v>
      </c>
      <c r="AG12" s="28">
        <v>2</v>
      </c>
      <c r="AH12" s="29" t="s">
        <v>2760</v>
      </c>
      <c r="AI12" s="36">
        <f>IF(OR(AND(K12&lt;32, J12&lt;2), O12=1, P12=1, Q12=1, R12=1, S12=1, T12=1, U12=1, AND(W12&lt;&gt;"", W12&lt;&gt;"Oxygen", W12&lt;&gt;"LowFlow")), "Intensive", "Intermediate")</f>
      </c>
      <c r="AJ12" s="57">
        <f>IF(OR(LEFT(AH12, 1)="X", LEFT(AH12, 1)="Y", LEFT(AH12, 3)="J9M"), "CUSM", "No Match")</f>
      </c>
      <c r="AK12" s="57">
        <f>IF(AND(OR(O12=3, P12=1, Q12=1, T12=1), AJ12="no Match"), "CUSM, CHU SJ, CHUQ", "")</f>
      </c>
      <c r="AL12" s="57">
        <f>IF(AND(O12=2, ISBLANK(P12), ISBLANK(Q12), ISBLANK(R12), ISBLANK(S12), ISBLANK(T12)), "CUSM, CHU SJ, CHUS, CHUQ", "")</f>
      </c>
      <c r="AM12" s="57">
        <f>IF(AND(AJ12="no match", AK12="", AL12="", K12&lt;26), "CUSM, CHU SJ, HGJ, CHUQ, CHUS", "")</f>
      </c>
      <c r="AN12" s="57">
        <f>IF(AND(AJ12="no match", AK12="", AL12="", K12&gt;26), "CUSM, CHU SJ, HGJ, CHUQ, CHUS, HMR", "")</f>
      </c>
    </row>
    <row x14ac:dyDescent="0.25" r="13" customHeight="1" ht="19.5">
      <c r="A13" s="41" t="s">
        <v>2761</v>
      </c>
      <c r="B13" s="28">
        <v>2</v>
      </c>
      <c r="C13" s="35">
        <v>734</v>
      </c>
      <c r="D13" s="29" t="s">
        <v>264</v>
      </c>
      <c r="E13" s="30" t="s">
        <v>50</v>
      </c>
      <c r="F13" s="31">
        <v>44931</v>
      </c>
      <c r="G13" s="32">
        <v>4.847222222222222</v>
      </c>
      <c r="H13" s="31">
        <v>44930</v>
      </c>
      <c r="I13" s="32">
        <v>4.427777777777777</v>
      </c>
      <c r="J13" s="33">
        <f>F13-H13</f>
      </c>
      <c r="K13" s="28">
        <v>39</v>
      </c>
      <c r="L13" s="28">
        <v>3</v>
      </c>
      <c r="M13" s="28">
        <v>1</v>
      </c>
      <c r="N13" s="34"/>
      <c r="O13" s="38"/>
      <c r="P13" s="38"/>
      <c r="Q13" s="34"/>
      <c r="R13" s="34"/>
      <c r="S13" s="56"/>
      <c r="T13" s="34"/>
      <c r="U13" s="34"/>
      <c r="V13" s="34"/>
      <c r="W13" s="29" t="s">
        <v>58</v>
      </c>
      <c r="X13" s="28">
        <v>24</v>
      </c>
      <c r="Y13" s="28">
        <v>1</v>
      </c>
      <c r="Z13" s="28">
        <v>2</v>
      </c>
      <c r="AA13" s="28">
        <v>2</v>
      </c>
      <c r="AB13" s="28">
        <v>1</v>
      </c>
      <c r="AC13" s="28">
        <v>2</v>
      </c>
      <c r="AD13" s="28">
        <v>2</v>
      </c>
      <c r="AE13" s="28">
        <v>4</v>
      </c>
      <c r="AF13" s="28">
        <v>3</v>
      </c>
      <c r="AG13" s="28">
        <v>2</v>
      </c>
      <c r="AH13" s="29" t="s">
        <v>2762</v>
      </c>
      <c r="AI13" s="36">
        <f>IF(OR(AND(K13&lt;32, J13&lt;2), O13=1, P13=1, Q13=1, R13=1, S13=1, T13=1, U13=1, AND(W13&lt;&gt;"", W13&lt;&gt;"Oxygen", W13&lt;&gt;"LowFlow")), "Intensive", "Intermediate")</f>
      </c>
      <c r="AJ13" s="57">
        <f>IF(OR(LEFT(AH13, 1)="X", LEFT(AH13, 1)="Y", LEFT(AH13, 3)="J10M"), "CUSM", "No Match")</f>
      </c>
      <c r="AK13" s="57">
        <f>IF(AND(OR(O13=3, P13=1, Q13=1, T13=1), AJ13="no Match"), "CUSM, CHU SJ, CHUQ", "")</f>
      </c>
      <c r="AL13" s="57">
        <f>IF(AND(O13=2, ISBLANK(P13), ISBLANK(Q13), ISBLANK(R13), ISBLANK(S13), ISBLANK(T13)), "CUSM, CHU SJ, CHUS, CHUQ", "")</f>
      </c>
      <c r="AM13" s="57">
        <f>IF(AND(AJ13="no match", AK13="", AL13="", K13&lt;26), "CUSM, CHU SJ, HGJ, CHUQ, CHUS", "")</f>
      </c>
      <c r="AN13" s="57">
        <f>IF(AND(AJ13="no match", AK13="", AL13="", K13&gt;26), "CUSM, CHU SJ, HGJ, CHUQ, CHUS, HMR", "")</f>
      </c>
    </row>
    <row x14ac:dyDescent="0.25" r="14" customHeight="1" ht="19.5">
      <c r="A14" s="41" t="s">
        <v>2763</v>
      </c>
      <c r="B14" s="28">
        <v>2</v>
      </c>
      <c r="C14" s="35">
        <v>820</v>
      </c>
      <c r="D14" s="29" t="s">
        <v>69</v>
      </c>
      <c r="E14" s="30" t="s">
        <v>50</v>
      </c>
      <c r="F14" s="31">
        <v>44932</v>
      </c>
      <c r="G14" s="32">
        <v>4.354166666666666</v>
      </c>
      <c r="H14" s="31">
        <v>44930</v>
      </c>
      <c r="I14" s="32">
        <v>4.975694444444445</v>
      </c>
      <c r="J14" s="33">
        <f>F14-H14</f>
      </c>
      <c r="K14" s="28">
        <v>37</v>
      </c>
      <c r="L14" s="28">
        <v>2</v>
      </c>
      <c r="M14" s="28">
        <v>1</v>
      </c>
      <c r="N14" s="34"/>
      <c r="O14" s="34"/>
      <c r="P14" s="34"/>
      <c r="Q14" s="34"/>
      <c r="R14" s="34"/>
      <c r="S14" s="56"/>
      <c r="T14" s="34"/>
      <c r="U14" s="35">
        <v>1</v>
      </c>
      <c r="V14" s="35">
        <v>1</v>
      </c>
      <c r="W14" s="29" t="s">
        <v>74</v>
      </c>
      <c r="X14" s="28">
        <v>33</v>
      </c>
      <c r="Y14" s="28">
        <v>1</v>
      </c>
      <c r="Z14" s="28">
        <v>1</v>
      </c>
      <c r="AA14" s="28">
        <v>2</v>
      </c>
      <c r="AB14" s="28">
        <v>1</v>
      </c>
      <c r="AC14" s="28">
        <v>2</v>
      </c>
      <c r="AD14" s="28">
        <v>2</v>
      </c>
      <c r="AE14" s="28">
        <v>4</v>
      </c>
      <c r="AF14" s="28">
        <v>3</v>
      </c>
      <c r="AG14" s="28">
        <v>2</v>
      </c>
      <c r="AH14" s="29" t="s">
        <v>2764</v>
      </c>
      <c r="AI14" s="36">
        <f>IF(OR(AND(K14&lt;32, J14&lt;2), O14=1, P14=1, Q14=1, R14=1, S14=1, T14=1, U14=1, AND(W14&lt;&gt;"", W14&lt;&gt;"Oxygen", W14&lt;&gt;"LowFlow")), "Intensive", "Intermediate")</f>
      </c>
      <c r="AJ14" s="57">
        <f>IF(OR(LEFT(AH14, 1)="X", LEFT(AH14, 1)="Y", LEFT(AH14, 3)="J11M"), "CUSM", "No Match")</f>
      </c>
      <c r="AK14" s="57">
        <f>IF(AND(OR(O14=3, P14=1, Q14=1, T14=1), AJ14="no Match"), "CUSM, CHU SJ, CHUQ", "")</f>
      </c>
      <c r="AL14" s="57">
        <f>IF(AND(O14=2, ISBLANK(P14), ISBLANK(Q14), ISBLANK(R14), ISBLANK(S14), ISBLANK(T14)), "CUSM, CHU SJ, CHUS, CHUQ", "")</f>
      </c>
      <c r="AM14" s="57">
        <f>IF(AND(AJ14="no match", AK14="", AL14="", K14&lt;26), "CUSM, CHU SJ, HGJ, CHUQ, CHUS", "")</f>
      </c>
      <c r="AN14" s="57">
        <f>IF(AND(AJ14="no match", AK14="", AL14="", K14&gt;26), "CUSM, CHU SJ, HGJ, CHUQ, CHUS, HMR", "")</f>
      </c>
    </row>
    <row x14ac:dyDescent="0.25" r="15" customHeight="1" ht="20.25">
      <c r="A15" s="41" t="s">
        <v>2765</v>
      </c>
      <c r="B15" s="28">
        <v>2</v>
      </c>
      <c r="C15" s="35">
        <v>737</v>
      </c>
      <c r="D15" s="29" t="s">
        <v>202</v>
      </c>
      <c r="E15" s="30" t="s">
        <v>54</v>
      </c>
      <c r="F15" s="31">
        <v>44933</v>
      </c>
      <c r="G15" s="32">
        <v>4.555555555555555</v>
      </c>
      <c r="H15" s="31">
        <v>44930</v>
      </c>
      <c r="I15" s="32">
        <v>4.020138888888889</v>
      </c>
      <c r="J15" s="33">
        <f>F15-H15</f>
      </c>
      <c r="K15" s="28">
        <v>39</v>
      </c>
      <c r="L15" s="28">
        <v>0</v>
      </c>
      <c r="M15" s="28">
        <v>1</v>
      </c>
      <c r="N15" s="28">
        <v>1</v>
      </c>
      <c r="O15" s="34"/>
      <c r="P15" s="35">
        <v>1</v>
      </c>
      <c r="Q15" s="34"/>
      <c r="R15" s="34"/>
      <c r="S15" s="56"/>
      <c r="T15" s="34"/>
      <c r="U15" s="38"/>
      <c r="V15" s="38"/>
      <c r="W15" s="29"/>
      <c r="X15" s="28">
        <v>20</v>
      </c>
      <c r="Y15" s="28">
        <v>1</v>
      </c>
      <c r="Z15" s="28">
        <v>1</v>
      </c>
      <c r="AA15" s="28">
        <v>1</v>
      </c>
      <c r="AB15" s="28">
        <v>1</v>
      </c>
      <c r="AC15" s="28">
        <v>2</v>
      </c>
      <c r="AD15" s="28">
        <v>2</v>
      </c>
      <c r="AE15" s="28">
        <v>4</v>
      </c>
      <c r="AF15" s="28">
        <v>3</v>
      </c>
      <c r="AG15" s="28">
        <v>2</v>
      </c>
      <c r="AH15" s="29" t="s">
        <v>2766</v>
      </c>
      <c r="AI15" s="36">
        <f>IF(OR(AND(K15&lt;32, J15&lt;2), O15=1, P15=1, Q15=1, R15=1, S15=1, T15=1, U15=1, AND(W15&lt;&gt;"", W15&lt;&gt;"Oxygen", W15&lt;&gt;"LowFlow")), "Intensive", "Intermediate")</f>
      </c>
      <c r="AJ15" s="57">
        <f>IF(OR(LEFT(AH15, 1)="X", LEFT(AH15, 1)="Y", LEFT(AH15, 3)="J12M"), "CUSM", "No Match")</f>
      </c>
      <c r="AK15" s="57">
        <f>IF(AND(OR(O15=3, P15=1, Q15=1, T15=1), AJ15="no Match"), "CUSM, CHU SJ, CHUQ", "")</f>
      </c>
      <c r="AL15" s="57">
        <f>IF(AND(O15=2, ISBLANK(P15), ISBLANK(Q15), ISBLANK(R15), ISBLANK(S15), ISBLANK(T15)), "CUSM, CHU SJ, CHUS, CHUQ", "")</f>
      </c>
      <c r="AM15" s="57">
        <f>IF(AND(AJ15="no match", AK15="", AL15="", K15&lt;26), "CUSM, CHU SJ, HGJ, CHUQ, CHUS", "")</f>
      </c>
      <c r="AN15" s="57">
        <f>IF(AND(AJ15="no match", AK15="", AL15="", K15&gt;26), "CUSM, CHU SJ, HGJ, CHUQ, CHUS, HMR", "")</f>
      </c>
    </row>
    <row x14ac:dyDescent="0.25" r="16" customHeight="1" ht="19.5">
      <c r="A16" s="41" t="s">
        <v>2767</v>
      </c>
      <c r="B16" s="28">
        <v>2</v>
      </c>
      <c r="C16" s="35">
        <v>825</v>
      </c>
      <c r="D16" s="29" t="s">
        <v>77</v>
      </c>
      <c r="E16" s="30" t="s">
        <v>54</v>
      </c>
      <c r="F16" s="31">
        <v>44935</v>
      </c>
      <c r="G16" s="32">
        <v>4.25</v>
      </c>
      <c r="H16" s="31">
        <v>44935</v>
      </c>
      <c r="I16" s="32">
        <v>4.102777777777778</v>
      </c>
      <c r="J16" s="33">
        <f>F16-H16</f>
      </c>
      <c r="K16" s="28">
        <v>31</v>
      </c>
      <c r="L16" s="28">
        <v>4</v>
      </c>
      <c r="M16" s="28">
        <v>2</v>
      </c>
      <c r="N16" s="34"/>
      <c r="O16" s="34"/>
      <c r="P16" s="34"/>
      <c r="Q16" s="34"/>
      <c r="R16" s="34"/>
      <c r="S16" s="56"/>
      <c r="T16" s="34"/>
      <c r="U16" s="34"/>
      <c r="V16" s="34"/>
      <c r="W16" s="29" t="s">
        <v>74</v>
      </c>
      <c r="X16" s="28">
        <v>37</v>
      </c>
      <c r="Y16" s="28">
        <v>1</v>
      </c>
      <c r="Z16" s="28">
        <v>2</v>
      </c>
      <c r="AA16" s="28">
        <v>2</v>
      </c>
      <c r="AB16" s="28">
        <v>1</v>
      </c>
      <c r="AC16" s="28">
        <v>2</v>
      </c>
      <c r="AD16" s="28">
        <v>1</v>
      </c>
      <c r="AE16" s="28">
        <v>4</v>
      </c>
      <c r="AF16" s="28">
        <v>2</v>
      </c>
      <c r="AG16" s="28">
        <v>2</v>
      </c>
      <c r="AH16" s="29" t="s">
        <v>2768</v>
      </c>
      <c r="AI16" s="36">
        <f>IF(OR(AND(K16&lt;32, J16&lt;2), O16=1, P16=1, Q16=1, R16=1, S16=1, T16=1, U16=1, AND(W16&lt;&gt;"", W16&lt;&gt;"Oxygen", W16&lt;&gt;"LowFlow")), "Intensive", "Intermediate")</f>
      </c>
      <c r="AJ16" s="57">
        <f>IF(OR(LEFT(AH16, 1)="X", LEFT(AH16, 1)="Y", LEFT(AH16, 3)="J13M"), "CUSM", "No Match")</f>
      </c>
      <c r="AK16" s="57">
        <f>IF(AND(OR(O16=3, P16=1, Q16=1, T16=1), AJ16="no Match"), "CUSM, CHU SJ, CHUQ", "")</f>
      </c>
      <c r="AL16" s="57">
        <f>IF(AND(O16=2, ISBLANK(P16), ISBLANK(Q16), ISBLANK(R16), ISBLANK(S16), ISBLANK(T16)), "CUSM, CHU SJ, CHUS, CHUQ", "")</f>
      </c>
      <c r="AM16" s="57">
        <f>IF(AND(AJ16="no match", AK16="", AL16="", K16&lt;26), "CUSM, CHU SJ, HGJ, CHUQ, CHUS", "")</f>
      </c>
      <c r="AN16" s="57">
        <f>IF(AND(AJ16="no match", AK16="", AL16="", K16&gt;26), "CUSM, CHU SJ, HGJ, CHUQ, CHUS, HMR", "")</f>
      </c>
    </row>
    <row x14ac:dyDescent="0.25" r="17" customHeight="1" ht="19.5">
      <c r="A17" s="41" t="s">
        <v>2769</v>
      </c>
      <c r="B17" s="28">
        <v>2</v>
      </c>
      <c r="C17" s="35">
        <v>761</v>
      </c>
      <c r="D17" s="29" t="s">
        <v>746</v>
      </c>
      <c r="E17" s="30" t="s">
        <v>50</v>
      </c>
      <c r="F17" s="31">
        <v>44935</v>
      </c>
      <c r="G17" s="32">
        <v>4.114583333333334</v>
      </c>
      <c r="H17" s="31">
        <v>44934</v>
      </c>
      <c r="I17" s="32">
        <v>4.788888888888889</v>
      </c>
      <c r="J17" s="33">
        <f>F17-H17</f>
      </c>
      <c r="K17" s="28">
        <v>29</v>
      </c>
      <c r="L17" s="28">
        <v>3</v>
      </c>
      <c r="M17" s="28">
        <v>2</v>
      </c>
      <c r="N17" s="34"/>
      <c r="O17" s="34"/>
      <c r="P17" s="34"/>
      <c r="Q17" s="34"/>
      <c r="R17" s="34"/>
      <c r="S17" s="56"/>
      <c r="T17" s="34"/>
      <c r="U17" s="34"/>
      <c r="V17" s="34"/>
      <c r="W17" s="29" t="s">
        <v>74</v>
      </c>
      <c r="X17" s="28">
        <v>20</v>
      </c>
      <c r="Y17" s="28">
        <v>1</v>
      </c>
      <c r="Z17" s="28">
        <v>1</v>
      </c>
      <c r="AA17" s="28">
        <v>1</v>
      </c>
      <c r="AB17" s="28">
        <v>1</v>
      </c>
      <c r="AC17" s="28">
        <v>2</v>
      </c>
      <c r="AD17" s="28">
        <v>2</v>
      </c>
      <c r="AE17" s="28">
        <v>4</v>
      </c>
      <c r="AF17" s="28">
        <v>2</v>
      </c>
      <c r="AG17" s="28">
        <v>2</v>
      </c>
      <c r="AH17" s="29" t="s">
        <v>747</v>
      </c>
      <c r="AI17" s="36">
        <f>IF(OR(AND(K17&lt;32, J17&lt;2), O17=1, P17=1, Q17=1, R17=1, S17=1, T17=1, U17=1, AND(W17&lt;&gt;"", W17&lt;&gt;"Oxygen", W17&lt;&gt;"LowFlow")), "Intensive", "Intermediate")</f>
      </c>
      <c r="AJ17" s="57">
        <f>IF(OR(LEFT(AH17, 1)="X", LEFT(AH17, 1)="Y", LEFT(AH17, 3)="J14M"), "CUSM", "No Match")</f>
      </c>
      <c r="AK17" s="57">
        <f>IF(AND(OR(O17=3, P17=1, Q17=1, T17=1), AJ17="no Match"), "CUSM, CHU SJ, CHUQ", "")</f>
      </c>
      <c r="AL17" s="57">
        <f>IF(AND(O17=2, ISBLANK(P17), ISBLANK(Q17), ISBLANK(R17), ISBLANK(S17), ISBLANK(T17)), "CUSM, CHU SJ, CHUS, CHUQ", "")</f>
      </c>
      <c r="AM17" s="57">
        <f>IF(AND(AJ17="no match", AK17="", AL17="", K17&lt;26), "CUSM, CHU SJ, HGJ, CHUQ, CHUS", "")</f>
      </c>
      <c r="AN17" s="57">
        <f>IF(AND(AJ17="no match", AK17="", AL17="", K17&gt;26), "CUSM, CHU SJ, HGJ, CHUQ, CHUS, HMR", "")</f>
      </c>
    </row>
    <row x14ac:dyDescent="0.25" r="18" customHeight="1" ht="19.5">
      <c r="A18" s="41" t="s">
        <v>2770</v>
      </c>
      <c r="B18" s="28">
        <v>2</v>
      </c>
      <c r="C18" s="35">
        <v>756</v>
      </c>
      <c r="D18" s="29" t="s">
        <v>66</v>
      </c>
      <c r="E18" s="30" t="s">
        <v>50</v>
      </c>
      <c r="F18" s="31">
        <v>44935</v>
      </c>
      <c r="G18" s="32">
        <v>4.083333333333334</v>
      </c>
      <c r="H18" s="31">
        <v>44933</v>
      </c>
      <c r="I18" s="32">
        <v>4.0375</v>
      </c>
      <c r="J18" s="33">
        <f>F18-H18</f>
      </c>
      <c r="K18" s="28">
        <v>39</v>
      </c>
      <c r="L18" s="28">
        <v>0</v>
      </c>
      <c r="M18" s="28">
        <v>2</v>
      </c>
      <c r="N18" s="38"/>
      <c r="O18" s="34"/>
      <c r="P18" s="34"/>
      <c r="Q18" s="34"/>
      <c r="R18" s="34"/>
      <c r="S18" s="56"/>
      <c r="T18" s="34"/>
      <c r="U18" s="34"/>
      <c r="V18" s="34"/>
      <c r="W18" s="29"/>
      <c r="X18" s="28">
        <v>39</v>
      </c>
      <c r="Y18" s="28">
        <v>1</v>
      </c>
      <c r="Z18" s="28">
        <v>2</v>
      </c>
      <c r="AA18" s="28">
        <v>2</v>
      </c>
      <c r="AB18" s="28">
        <v>3</v>
      </c>
      <c r="AC18" s="28">
        <v>2</v>
      </c>
      <c r="AD18" s="28">
        <v>1</v>
      </c>
      <c r="AE18" s="28">
        <v>4</v>
      </c>
      <c r="AF18" s="28">
        <v>3</v>
      </c>
      <c r="AG18" s="28">
        <v>2</v>
      </c>
      <c r="AH18" s="29" t="s">
        <v>2771</v>
      </c>
      <c r="AI18" s="36">
        <f>IF(OR(AND(K18&lt;32, J18&lt;2), O18=1, P18=1, Q18=1, R18=1, S18=1, T18=1, U18=1, AND(W18&lt;&gt;"", W18&lt;&gt;"Oxygen", W18&lt;&gt;"LowFlow")), "Intensive", "Intermediate")</f>
      </c>
      <c r="AJ18" s="57">
        <f>IF(OR(LEFT(AH18, 1)="X", LEFT(AH18, 1)="Y", LEFT(AH18, 3)="J15M"), "CUSM", "No Match")</f>
      </c>
      <c r="AK18" s="57">
        <f>IF(AND(OR(O18=3, P18=1, Q18=1, T18=1), AJ18="no Match"), "CUSM, CHU SJ, CHUQ", "")</f>
      </c>
      <c r="AL18" s="57">
        <f>IF(AND(O18=2, ISBLANK(P18), ISBLANK(Q18), ISBLANK(R18), ISBLANK(S18), ISBLANK(T18)), "CUSM, CHU SJ, CHUS, CHUQ", "")</f>
      </c>
      <c r="AM18" s="57">
        <f>IF(AND(AJ18="no match", AK18="", AL18="", K18&lt;26), "CUSM, CHU SJ, HGJ, CHUQ, CHUS", "")</f>
      </c>
      <c r="AN18" s="57">
        <f>IF(AND(AJ18="no match", AK18="", AL18="", K18&gt;26), "CUSM, CHU SJ, HGJ, CHUQ, CHUS, HMR", "")</f>
      </c>
    </row>
    <row x14ac:dyDescent="0.25" r="19" customHeight="1" ht="19.5">
      <c r="A19" s="41" t="s">
        <v>2772</v>
      </c>
      <c r="B19" s="28">
        <v>2</v>
      </c>
      <c r="C19" s="28">
        <v>825</v>
      </c>
      <c r="D19" s="29" t="s">
        <v>77</v>
      </c>
      <c r="E19" s="30" t="s">
        <v>54</v>
      </c>
      <c r="F19" s="31">
        <v>44936</v>
      </c>
      <c r="G19" s="32">
        <v>4.916666666666666</v>
      </c>
      <c r="H19" s="31">
        <v>44930</v>
      </c>
      <c r="I19" s="32">
        <v>4.2125</v>
      </c>
      <c r="J19" s="33">
        <f>F19-H19</f>
      </c>
      <c r="K19" s="28">
        <v>40</v>
      </c>
      <c r="L19" s="28">
        <v>2</v>
      </c>
      <c r="M19" s="28">
        <v>1</v>
      </c>
      <c r="N19" s="34"/>
      <c r="O19" s="34"/>
      <c r="P19" s="34"/>
      <c r="Q19" s="34"/>
      <c r="R19" s="34"/>
      <c r="S19" s="56"/>
      <c r="T19" s="34"/>
      <c r="U19" s="34"/>
      <c r="V19" s="34"/>
      <c r="W19" s="29"/>
      <c r="X19" s="28">
        <v>28</v>
      </c>
      <c r="Y19" s="28">
        <v>1</v>
      </c>
      <c r="Z19" s="28">
        <v>1</v>
      </c>
      <c r="AA19" s="28">
        <v>2</v>
      </c>
      <c r="AB19" s="28">
        <v>1</v>
      </c>
      <c r="AC19" s="28">
        <v>2</v>
      </c>
      <c r="AD19" s="28">
        <v>2</v>
      </c>
      <c r="AE19" s="28">
        <v>4</v>
      </c>
      <c r="AF19" s="28">
        <v>2</v>
      </c>
      <c r="AG19" s="28">
        <v>2</v>
      </c>
      <c r="AH19" s="29" t="s">
        <v>2773</v>
      </c>
      <c r="AI19" s="36">
        <f>IF(OR(AND(K19&lt;32, J19&lt;2), O19=1, P19=1, Q19=1, R19=1, S19=1, T19=1, U19=1, AND(W19&lt;&gt;"", W19&lt;&gt;"Oxygen", W19&lt;&gt;"LowFlow")), "Intensive", "Intermediate")</f>
      </c>
      <c r="AJ19" s="57">
        <f>IF(OR(LEFT(AH19, 1)="X", LEFT(AH19, 1)="Y", LEFT(AH19, 3)="J16M"), "CUSM", "No Match")</f>
      </c>
      <c r="AK19" s="57">
        <f>IF(AND(OR(O19=3, P19=1, Q19=1, T19=1), AJ19="no Match"), "CUSM, CHU SJ, CHUQ", "")</f>
      </c>
      <c r="AL19" s="57">
        <f>IF(AND(O19=2, ISBLANK(P19), ISBLANK(Q19), ISBLANK(R19), ISBLANK(S19), ISBLANK(T19)), "CUSM, CHU SJ, CHUS, CHUQ", "")</f>
      </c>
      <c r="AM19" s="57">
        <f>IF(AND(AJ19="no match", AK19="", AL19="", K19&lt;26), "CUSM, CHU SJ, HGJ, CHUQ, CHUS", "")</f>
      </c>
      <c r="AN19" s="57">
        <f>IF(AND(AJ19="no match", AK19="", AL19="", K19&gt;26), "CUSM, CHU SJ, HGJ, CHUQ, CHUS, HMR", "")</f>
      </c>
    </row>
    <row x14ac:dyDescent="0.25" r="20" customHeight="1" ht="19.5">
      <c r="A20" s="41" t="s">
        <v>2774</v>
      </c>
      <c r="B20" s="28">
        <v>2</v>
      </c>
      <c r="C20" s="28">
        <v>817</v>
      </c>
      <c r="D20" s="29" t="s">
        <v>163</v>
      </c>
      <c r="E20" s="30" t="s">
        <v>54</v>
      </c>
      <c r="F20" s="31">
        <v>44936</v>
      </c>
      <c r="G20" s="32">
        <v>4.379861111111111</v>
      </c>
      <c r="H20" s="31">
        <v>44936</v>
      </c>
      <c r="I20" s="32">
        <v>4.168055555555556</v>
      </c>
      <c r="J20" s="33">
        <f>F20-H20</f>
      </c>
      <c r="K20" s="28">
        <v>32</v>
      </c>
      <c r="L20" s="28">
        <v>4</v>
      </c>
      <c r="M20" s="28">
        <v>2</v>
      </c>
      <c r="N20" s="28">
        <v>1</v>
      </c>
      <c r="O20" s="34"/>
      <c r="P20" s="34"/>
      <c r="Q20" s="35">
        <v>1</v>
      </c>
      <c r="R20" s="34"/>
      <c r="S20" s="56"/>
      <c r="T20" s="34"/>
      <c r="U20" s="34"/>
      <c r="V20" s="34"/>
      <c r="W20" s="29" t="s">
        <v>58</v>
      </c>
      <c r="X20" s="28">
        <v>30</v>
      </c>
      <c r="Y20" s="28">
        <v>2</v>
      </c>
      <c r="Z20" s="28">
        <v>2</v>
      </c>
      <c r="AA20" s="28">
        <v>2</v>
      </c>
      <c r="AB20" s="28">
        <v>1</v>
      </c>
      <c r="AC20" s="28">
        <v>2</v>
      </c>
      <c r="AD20" s="28">
        <v>2</v>
      </c>
      <c r="AE20" s="28">
        <v>4</v>
      </c>
      <c r="AF20" s="28">
        <v>2</v>
      </c>
      <c r="AG20" s="28">
        <v>2</v>
      </c>
      <c r="AH20" s="29" t="s">
        <v>837</v>
      </c>
      <c r="AI20" s="36">
        <f>IF(OR(AND(K20&lt;32, J20&lt;2), O20=1, P20=1, Q20=1, R20=1, S20=1, T20=1, U20=1, AND(W20&lt;&gt;"", W20&lt;&gt;"Oxygen", W20&lt;&gt;"LowFlow")), "Intensive", "Intermediate")</f>
      </c>
      <c r="AJ20" s="57">
        <f>IF(OR(LEFT(AH20, 1)="X", LEFT(AH20, 1)="Y", LEFT(AH20, 3)="J17M"), "CUSM", "No Match")</f>
      </c>
      <c r="AK20" s="57">
        <f>IF(AND(OR(O20=3, P20=1, Q20=1, T20=1), AJ20="no Match"), "CUSM, CHU SJ, CHUQ", "")</f>
      </c>
      <c r="AL20" s="57">
        <f>IF(AND(O20=2, ISBLANK(P20), ISBLANK(Q20), ISBLANK(R20), ISBLANK(S20), ISBLANK(T20)), "CUSM, CHU SJ, CHUS, CHUQ", "")</f>
      </c>
      <c r="AM20" s="57">
        <f>IF(AND(AJ20="no match", AK20="", AL20="", K20&lt;26), "CUSM, CHU SJ, HGJ, CHUQ, CHUS", "")</f>
      </c>
      <c r="AN20" s="57">
        <f>IF(AND(AJ20="no match", AK20="", AL20="", K20&gt;26), "CUSM, CHU SJ, HGJ, CHUQ, CHUS, HMR", "")</f>
      </c>
    </row>
    <row x14ac:dyDescent="0.25" r="21" customHeight="1" ht="19.5">
      <c r="A21" s="41" t="s">
        <v>2775</v>
      </c>
      <c r="B21" s="28">
        <v>2</v>
      </c>
      <c r="C21" s="28">
        <v>817</v>
      </c>
      <c r="D21" s="29" t="s">
        <v>163</v>
      </c>
      <c r="E21" s="30" t="s">
        <v>54</v>
      </c>
      <c r="F21" s="31">
        <v>44936</v>
      </c>
      <c r="G21" s="32">
        <v>4.334722222222222</v>
      </c>
      <c r="H21" s="31">
        <v>44936</v>
      </c>
      <c r="I21" s="32">
        <v>4.168055555555556</v>
      </c>
      <c r="J21" s="33">
        <f>F21-H21</f>
      </c>
      <c r="K21" s="28">
        <v>32</v>
      </c>
      <c r="L21" s="28">
        <v>4</v>
      </c>
      <c r="M21" s="28">
        <v>2</v>
      </c>
      <c r="N21" s="38"/>
      <c r="O21" s="34"/>
      <c r="P21" s="34"/>
      <c r="Q21" s="34"/>
      <c r="R21" s="34"/>
      <c r="S21" s="56"/>
      <c r="T21" s="34"/>
      <c r="U21" s="34"/>
      <c r="V21" s="34"/>
      <c r="W21" s="29" t="s">
        <v>164</v>
      </c>
      <c r="X21" s="28">
        <v>30</v>
      </c>
      <c r="Y21" s="28">
        <v>2</v>
      </c>
      <c r="Z21" s="28">
        <v>2</v>
      </c>
      <c r="AA21" s="28">
        <v>2</v>
      </c>
      <c r="AB21" s="28">
        <v>1</v>
      </c>
      <c r="AC21" s="28">
        <v>2</v>
      </c>
      <c r="AD21" s="28">
        <v>2</v>
      </c>
      <c r="AE21" s="28">
        <v>4</v>
      </c>
      <c r="AF21" s="28">
        <v>2</v>
      </c>
      <c r="AG21" s="28">
        <v>2</v>
      </c>
      <c r="AH21" s="29" t="s">
        <v>837</v>
      </c>
      <c r="AI21" s="36">
        <f>IF(OR(AND(K21&lt;32, J21&lt;2), O21=1, P21=1, Q21=1, R21=1, S21=1, T21=1, U21=1, AND(W21&lt;&gt;"", W21&lt;&gt;"Oxygen", W21&lt;&gt;"LowFlow")), "Intensive", "Intermediate")</f>
      </c>
      <c r="AJ21" s="57">
        <f>IF(OR(LEFT(AH21, 1)="X", LEFT(AH21, 1)="Y", LEFT(AH21, 3)="J18M"), "CUSM", "No Match")</f>
      </c>
      <c r="AK21" s="57">
        <f>IF(AND(OR(O21=3, P21=1, Q21=1, T21=1), AJ21="no Match"), "CUSM, CHU SJ, CHUQ", "")</f>
      </c>
      <c r="AL21" s="57">
        <f>IF(AND(O21=2, ISBLANK(P21), ISBLANK(Q21), ISBLANK(R21), ISBLANK(S21), ISBLANK(T21)), "CUSM, CHU SJ, CHUS, CHUQ", "")</f>
      </c>
      <c r="AM21" s="57">
        <f>IF(AND(AJ21="no match", AK21="", AL21="", K21&lt;26), "CUSM, CHU SJ, HGJ, CHUQ, CHUS", "")</f>
      </c>
      <c r="AN21" s="57">
        <f>IF(AND(AJ21="no match", AK21="", AL21="", K21&gt;26), "CUSM, CHU SJ, HGJ, CHUQ, CHUS, HMR", "")</f>
      </c>
    </row>
    <row x14ac:dyDescent="0.25" r="22" customHeight="1" ht="20.25">
      <c r="A22" s="41" t="s">
        <v>2776</v>
      </c>
      <c r="B22" s="28">
        <v>2</v>
      </c>
      <c r="C22" s="28">
        <v>825</v>
      </c>
      <c r="D22" s="29" t="s">
        <v>77</v>
      </c>
      <c r="E22" s="30" t="s">
        <v>54</v>
      </c>
      <c r="F22" s="31">
        <v>44936</v>
      </c>
      <c r="G22" s="32">
        <v>4.4222222222222225</v>
      </c>
      <c r="H22" s="31">
        <v>44936</v>
      </c>
      <c r="I22" s="32">
        <v>4.2652777777777775</v>
      </c>
      <c r="J22" s="33">
        <f>F22-H22</f>
      </c>
      <c r="K22" s="28">
        <v>38</v>
      </c>
      <c r="L22" s="28">
        <v>2</v>
      </c>
      <c r="M22" s="28">
        <v>1</v>
      </c>
      <c r="N22" s="28">
        <v>1</v>
      </c>
      <c r="O22" s="28">
        <v>2</v>
      </c>
      <c r="P22" s="35">
        <v>1</v>
      </c>
      <c r="Q22" s="34"/>
      <c r="R22" s="34"/>
      <c r="S22" s="56"/>
      <c r="T22" s="34"/>
      <c r="U22" s="35">
        <v>1</v>
      </c>
      <c r="V22" s="35">
        <v>1</v>
      </c>
      <c r="W22" s="29" t="s">
        <v>74</v>
      </c>
      <c r="X22" s="28">
        <v>32</v>
      </c>
      <c r="Y22" s="28">
        <v>1</v>
      </c>
      <c r="Z22" s="28">
        <v>1</v>
      </c>
      <c r="AA22" s="28">
        <v>1</v>
      </c>
      <c r="AB22" s="28">
        <v>1</v>
      </c>
      <c r="AC22" s="28">
        <v>2</v>
      </c>
      <c r="AD22" s="28">
        <v>2</v>
      </c>
      <c r="AE22" s="28">
        <v>4</v>
      </c>
      <c r="AF22" s="28">
        <v>2</v>
      </c>
      <c r="AG22" s="28">
        <v>2</v>
      </c>
      <c r="AH22" s="29" t="s">
        <v>2777</v>
      </c>
      <c r="AI22" s="36">
        <f>IF(OR(AND(K22&lt;32, J22&lt;2), O22=1, P22=1, Q22=1, R22=1, S22=1, T22=1, U22=1, AND(W22&lt;&gt;"", W22&lt;&gt;"Oxygen", W22&lt;&gt;"LowFlow")), "Intensive", "Intermediate")</f>
      </c>
      <c r="AJ22" s="57">
        <f>IF(OR(LEFT(AH22, 1)="X", LEFT(AH22, 1)="Y", LEFT(AH22, 3)="J19M"), "CUSM", "No Match")</f>
      </c>
      <c r="AK22" s="57">
        <f>IF(AND(OR(O22=3, P22=1, Q22=1, T22=1), AJ22="no Match"), "CUSM, CHU SJ, CHUQ", "")</f>
      </c>
      <c r="AL22" s="57">
        <f>IF(AND(O22=2, ISBLANK(P22), ISBLANK(Q22), ISBLANK(R22), ISBLANK(S22), ISBLANK(T22)), "CUSM, CHU SJ, CHUS, CHUQ", "")</f>
      </c>
      <c r="AM22" s="57">
        <f>IF(AND(AJ22="no match", AK22="", AL22="", K22&lt;26), "CUSM, CHU SJ, HGJ, CHUQ, CHUS", "")</f>
      </c>
      <c r="AN22" s="57">
        <f>IF(AND(AJ22="no match", AK22="", AL22="", K22&gt;26), "CUSM, CHU SJ, HGJ, CHUQ, CHUS, HMR", "")</f>
      </c>
    </row>
    <row x14ac:dyDescent="0.25" r="23" customHeight="1" ht="20.25">
      <c r="A23" s="41" t="s">
        <v>2778</v>
      </c>
      <c r="B23" s="28">
        <v>2</v>
      </c>
      <c r="C23" s="35">
        <v>839</v>
      </c>
      <c r="D23" s="29" t="s">
        <v>53</v>
      </c>
      <c r="E23" s="30" t="s">
        <v>50</v>
      </c>
      <c r="F23" s="31">
        <v>44937</v>
      </c>
      <c r="G23" s="32">
        <v>4.888888888888889</v>
      </c>
      <c r="H23" s="31">
        <v>44937</v>
      </c>
      <c r="I23" s="32">
        <v>4.7340277777777775</v>
      </c>
      <c r="J23" s="33">
        <f>F23-H23</f>
      </c>
      <c r="K23" s="28">
        <v>36</v>
      </c>
      <c r="L23" s="28">
        <v>2</v>
      </c>
      <c r="M23" s="28">
        <v>2</v>
      </c>
      <c r="N23" s="35">
        <v>1</v>
      </c>
      <c r="O23" s="34"/>
      <c r="P23" s="35">
        <v>1</v>
      </c>
      <c r="Q23" s="34"/>
      <c r="R23" s="34"/>
      <c r="S23" s="56"/>
      <c r="T23" s="34"/>
      <c r="U23" s="34"/>
      <c r="V23" s="34"/>
      <c r="W23" s="29" t="s">
        <v>74</v>
      </c>
      <c r="X23" s="28">
        <v>33</v>
      </c>
      <c r="Y23" s="28">
        <v>1</v>
      </c>
      <c r="Z23" s="28">
        <v>2</v>
      </c>
      <c r="AA23" s="28">
        <v>1</v>
      </c>
      <c r="AB23" s="28">
        <v>1</v>
      </c>
      <c r="AC23" s="28">
        <v>2</v>
      </c>
      <c r="AD23" s="28">
        <v>2</v>
      </c>
      <c r="AE23" s="28">
        <v>4</v>
      </c>
      <c r="AF23" s="28">
        <v>3</v>
      </c>
      <c r="AG23" s="28">
        <v>2</v>
      </c>
      <c r="AH23" s="29" t="s">
        <v>2779</v>
      </c>
      <c r="AI23" s="36">
        <f>IF(OR(AND(K23&lt;32, J23&lt;2), O23=1, P23=1, Q23=1, R23=1, S23=1, T23=1, U23=1, AND(W23&lt;&gt;"", W23&lt;&gt;"Oxygen", W23&lt;&gt;"LowFlow")), "Intensive", "Intermediate")</f>
      </c>
      <c r="AJ23" s="57">
        <f>IF(OR(LEFT(AH23, 1)="X", LEFT(AH23, 1)="Y", LEFT(AH23, 3)="J20M"), "CUSM", "No Match")</f>
      </c>
      <c r="AK23" s="57">
        <f>IF(AND(OR(O23=3, P23=1, Q23=1, T23=1), AJ23="no Match"), "CUSM, CHU SJ, CHUQ", "")</f>
      </c>
      <c r="AL23" s="57">
        <f>IF(AND(O23=2, ISBLANK(P23), ISBLANK(Q23), ISBLANK(R23), ISBLANK(S23), ISBLANK(T23)), "CUSM, CHU SJ, CHUS, CHUQ", "")</f>
      </c>
      <c r="AM23" s="57">
        <f>IF(AND(AJ23="no match", AK23="", AL23="", K23&lt;26), "CUSM, CHU SJ, HGJ, CHUQ, CHUS", "")</f>
      </c>
      <c r="AN23" s="57">
        <f>IF(AND(AJ23="no match", AK23="", AL23="", K23&gt;26), "CUSM, CHU SJ, HGJ, CHUQ, CHUS, HMR", "")</f>
      </c>
    </row>
    <row x14ac:dyDescent="0.25" r="24" customHeight="1" ht="19.5">
      <c r="A24" s="41" t="s">
        <v>2780</v>
      </c>
      <c r="B24" s="28">
        <v>2</v>
      </c>
      <c r="C24" s="35">
        <v>779</v>
      </c>
      <c r="D24" s="29" t="s">
        <v>136</v>
      </c>
      <c r="E24" s="30" t="s">
        <v>54</v>
      </c>
      <c r="F24" s="31">
        <v>44938</v>
      </c>
      <c r="G24" s="40">
        <v>4.545138888888889</v>
      </c>
      <c r="H24" s="31">
        <v>44935</v>
      </c>
      <c r="I24" s="40">
        <v>4.211805555555555</v>
      </c>
      <c r="J24" s="33">
        <f>F24-H24</f>
      </c>
      <c r="K24" s="28">
        <v>39</v>
      </c>
      <c r="L24" s="28">
        <v>3</v>
      </c>
      <c r="M24" s="28">
        <v>2</v>
      </c>
      <c r="N24" s="34"/>
      <c r="O24" s="34"/>
      <c r="P24" s="34"/>
      <c r="Q24" s="34"/>
      <c r="R24" s="34"/>
      <c r="S24" s="56"/>
      <c r="T24" s="34"/>
      <c r="U24" s="34"/>
      <c r="V24" s="34"/>
      <c r="W24" s="29"/>
      <c r="X24" s="35">
        <v>36</v>
      </c>
      <c r="Y24" s="28">
        <v>1</v>
      </c>
      <c r="Z24" s="35">
        <v>1</v>
      </c>
      <c r="AA24" s="35">
        <v>2</v>
      </c>
      <c r="AB24" s="35">
        <v>2</v>
      </c>
      <c r="AC24" s="35">
        <v>2</v>
      </c>
      <c r="AD24" s="35">
        <v>2</v>
      </c>
      <c r="AE24" s="35">
        <v>4</v>
      </c>
      <c r="AF24" s="35">
        <v>2</v>
      </c>
      <c r="AG24" s="35">
        <v>2</v>
      </c>
      <c r="AH24" s="29" t="s">
        <v>2781</v>
      </c>
      <c r="AI24" s="36">
        <f>IF(OR(AND(K24&lt;32, J24&lt;2), O24=1, P24=1, Q24=1, R24=1, S24=1, T24=1, U24=1, AND(W24&lt;&gt;"", W24&lt;&gt;"Oxygen", W24&lt;&gt;"LowFlow")), "Intensive", "Intermediate")</f>
      </c>
      <c r="AJ24" s="57">
        <f>IF(OR(LEFT(AH24, 1)="X", LEFT(AH24, 1)="Y", LEFT(AH24, 3)="J21M"), "CUSM", "No Match")</f>
      </c>
      <c r="AK24" s="57">
        <f>IF(AND(OR(O24=3, P24=1, Q24=1, T24=1), AJ24="no Match"), "CUSM, CHU SJ, CHUQ", "")</f>
      </c>
      <c r="AL24" s="57">
        <f>IF(AND(O24=2, ISBLANK(P24), ISBLANK(Q24), ISBLANK(R24), ISBLANK(S24), ISBLANK(T24)), "CUSM, CHU SJ, CHUS, CHUQ", "")</f>
      </c>
      <c r="AM24" s="57">
        <f>IF(AND(AJ24="no match", AK24="", AL24="", K24&lt;26), "CUSM, CHU SJ, HGJ, CHUQ, CHUS", "")</f>
      </c>
      <c r="AN24" s="57">
        <f>IF(AND(AJ24="no match", AK24="", AL24="", K24&gt;26), "CUSM, CHU SJ, HGJ, CHUQ, CHUS, HMR", "")</f>
      </c>
    </row>
    <row x14ac:dyDescent="0.25" r="25" customHeight="1" ht="17.25">
      <c r="A25" s="41" t="s">
        <v>2782</v>
      </c>
      <c r="B25" s="28">
        <v>2</v>
      </c>
      <c r="C25" s="35">
        <v>731</v>
      </c>
      <c r="D25" s="29" t="s">
        <v>103</v>
      </c>
      <c r="E25" s="30" t="s">
        <v>54</v>
      </c>
      <c r="F25" s="31">
        <v>44941</v>
      </c>
      <c r="G25" s="32">
        <v>4.947916666666666</v>
      </c>
      <c r="H25" s="31">
        <v>44941</v>
      </c>
      <c r="I25" s="32">
        <v>4.550694444444444</v>
      </c>
      <c r="J25" s="33">
        <f>F25-H25</f>
      </c>
      <c r="K25" s="28">
        <v>40</v>
      </c>
      <c r="L25" s="28">
        <v>4</v>
      </c>
      <c r="M25" s="28">
        <v>1</v>
      </c>
      <c r="N25" s="34"/>
      <c r="O25" s="34"/>
      <c r="P25" s="34"/>
      <c r="Q25" s="34"/>
      <c r="R25" s="34"/>
      <c r="S25" s="56"/>
      <c r="T25" s="34"/>
      <c r="U25" s="34"/>
      <c r="V25" s="34"/>
      <c r="W25" s="29" t="s">
        <v>74</v>
      </c>
      <c r="X25" s="28">
        <v>26</v>
      </c>
      <c r="Y25" s="28">
        <v>1</v>
      </c>
      <c r="Z25" s="28">
        <v>1</v>
      </c>
      <c r="AA25" s="28">
        <v>3</v>
      </c>
      <c r="AB25" s="28">
        <v>1</v>
      </c>
      <c r="AC25" s="28">
        <v>3</v>
      </c>
      <c r="AD25" s="28">
        <v>3</v>
      </c>
      <c r="AE25" s="28">
        <v>4</v>
      </c>
      <c r="AF25" s="28">
        <v>2</v>
      </c>
      <c r="AG25" s="28">
        <v>2</v>
      </c>
      <c r="AH25" s="29" t="s">
        <v>2783</v>
      </c>
      <c r="AI25" s="36">
        <f>IF(OR(AND(K25&lt;32, J25&lt;2), O25=1, P25=1, Q25=1, R25=1, S25=1, T25=1, U25=1, AND(W25&lt;&gt;"", W25&lt;&gt;"Oxygen", W25&lt;&gt;"LowFlow")), "Intensive", "Intermediate")</f>
      </c>
      <c r="AJ25" s="57">
        <f>IF(OR(LEFT(AH25, 1)="X", LEFT(AH25, 1)="Y", LEFT(AH25, 3)="J22M"), "CUSM", "No Match")</f>
      </c>
      <c r="AK25" s="57">
        <f>IF(AND(OR(O25=3, P25=1, Q25=1, T25=1), AJ25="no Match"), "CUSM, CHU SJ, CHUQ", "")</f>
      </c>
      <c r="AL25" s="57">
        <f>IF(AND(O25=2, ISBLANK(P25), ISBLANK(Q25), ISBLANK(R25), ISBLANK(S25), ISBLANK(T25)), "CUSM, CHU SJ, CHUS, CHUQ", "")</f>
      </c>
      <c r="AM25" s="57">
        <f>IF(AND(AJ25="no match", AK25="", AL25="", K25&lt;26), "CUSM, CHU SJ, HGJ, CHUQ, CHUS", "")</f>
      </c>
      <c r="AN25" s="57">
        <f>IF(AND(AJ25="no match", AK25="", AL25="", K25&gt;26), "CUSM, CHU SJ, HGJ, CHUQ, CHUS, HMR", "")</f>
      </c>
    </row>
    <row x14ac:dyDescent="0.25" r="26" customHeight="1" ht="17.25">
      <c r="A26" s="41" t="s">
        <v>2784</v>
      </c>
      <c r="B26" s="28">
        <v>2</v>
      </c>
      <c r="C26" s="28">
        <v>806</v>
      </c>
      <c r="D26" s="29" t="s">
        <v>438</v>
      </c>
      <c r="E26" s="30" t="s">
        <v>54</v>
      </c>
      <c r="F26" s="31">
        <v>44943</v>
      </c>
      <c r="G26" s="32">
        <v>4.8125</v>
      </c>
      <c r="H26" s="31">
        <v>44940</v>
      </c>
      <c r="I26" s="32">
        <v>4.520138888888889</v>
      </c>
      <c r="J26" s="33">
        <f>F26-H26</f>
      </c>
      <c r="K26" s="28">
        <v>40</v>
      </c>
      <c r="L26" s="28">
        <v>1</v>
      </c>
      <c r="M26" s="28">
        <v>1</v>
      </c>
      <c r="N26" s="34"/>
      <c r="O26" s="34"/>
      <c r="P26" s="34"/>
      <c r="Q26" s="34"/>
      <c r="R26" s="34"/>
      <c r="S26" s="56"/>
      <c r="T26" s="38"/>
      <c r="U26" s="34"/>
      <c r="V26" s="34"/>
      <c r="W26" s="29"/>
      <c r="X26" s="28">
        <v>30</v>
      </c>
      <c r="Y26" s="28">
        <v>1</v>
      </c>
      <c r="Z26" s="28">
        <v>1</v>
      </c>
      <c r="AA26" s="28">
        <v>2</v>
      </c>
      <c r="AB26" s="28">
        <v>1</v>
      </c>
      <c r="AC26" s="28">
        <v>2</v>
      </c>
      <c r="AD26" s="28">
        <v>2</v>
      </c>
      <c r="AE26" s="28">
        <v>4</v>
      </c>
      <c r="AF26" s="28">
        <v>2</v>
      </c>
      <c r="AG26" s="28">
        <v>2</v>
      </c>
      <c r="AH26" s="29" t="s">
        <v>2785</v>
      </c>
      <c r="AI26" s="36">
        <f>IF(OR(AND(K26&lt;32, J26&lt;2), O26=1, P26=1, Q26=1, R26=1, S26=1, T26=1, U26=1, AND(W26&lt;&gt;"", W26&lt;&gt;"Oxygen", W26&lt;&gt;"LowFlow")), "Intensive", "Intermediate")</f>
      </c>
      <c r="AJ26" s="57">
        <f>IF(OR(LEFT(AH26, 1)="X", LEFT(AH26, 1)="Y", LEFT(AH26, 3)="J23M"), "CUSM", "No Match")</f>
      </c>
      <c r="AK26" s="57">
        <f>IF(AND(OR(O26=3, P26=1, Q26=1, T26=1), AJ26="no Match"), "CUSM, CHU SJ, CHUQ", "")</f>
      </c>
      <c r="AL26" s="57">
        <f>IF(AND(O26=2, ISBLANK(P26), ISBLANK(Q26), ISBLANK(R26), ISBLANK(S26), ISBLANK(T26)), "CUSM, CHU SJ, CHUS, CHUQ", "")</f>
      </c>
      <c r="AM26" s="57">
        <f>IF(AND(AJ26="no match", AK26="", AL26="", K26&lt;26), "CUSM, CHU SJ, HGJ, CHUQ, CHUS", "")</f>
      </c>
      <c r="AN26" s="57">
        <f>IF(AND(AJ26="no match", AK26="", AL26="", K26&gt;26), "CUSM, CHU SJ, HGJ, CHUQ, CHUS, HMR", "")</f>
      </c>
    </row>
    <row x14ac:dyDescent="0.25" r="27" customHeight="1" ht="17.25">
      <c r="A27" s="41" t="s">
        <v>2786</v>
      </c>
      <c r="B27" s="28">
        <v>2</v>
      </c>
      <c r="C27" s="35">
        <v>831</v>
      </c>
      <c r="D27" s="29" t="s">
        <v>313</v>
      </c>
      <c r="E27" s="30" t="s">
        <v>54</v>
      </c>
      <c r="F27" s="31">
        <v>44943</v>
      </c>
      <c r="G27" s="32">
        <v>4.990277777777777</v>
      </c>
      <c r="H27" s="31">
        <v>44943</v>
      </c>
      <c r="I27" s="32">
        <v>4.773611111111111</v>
      </c>
      <c r="J27" s="33">
        <f>F27-H27</f>
      </c>
      <c r="K27" s="28">
        <v>37</v>
      </c>
      <c r="L27" s="28">
        <v>5</v>
      </c>
      <c r="M27" s="28">
        <v>1</v>
      </c>
      <c r="N27" s="28">
        <v>1</v>
      </c>
      <c r="O27" s="38"/>
      <c r="P27" s="28">
        <v>1</v>
      </c>
      <c r="Q27" s="38"/>
      <c r="R27" s="34"/>
      <c r="S27" s="56"/>
      <c r="T27" s="35">
        <v>1</v>
      </c>
      <c r="U27" s="34"/>
      <c r="V27" s="38"/>
      <c r="W27" s="29" t="s">
        <v>58</v>
      </c>
      <c r="X27" s="28">
        <v>28</v>
      </c>
      <c r="Y27" s="28">
        <v>1</v>
      </c>
      <c r="Z27" s="28">
        <v>2</v>
      </c>
      <c r="AA27" s="28">
        <v>2</v>
      </c>
      <c r="AB27" s="28">
        <v>1</v>
      </c>
      <c r="AC27" s="28">
        <v>2</v>
      </c>
      <c r="AD27" s="28">
        <v>2</v>
      </c>
      <c r="AE27" s="28">
        <v>4</v>
      </c>
      <c r="AF27" s="28">
        <v>2</v>
      </c>
      <c r="AG27" s="28">
        <v>2</v>
      </c>
      <c r="AH27" s="29" t="s">
        <v>2787</v>
      </c>
      <c r="AI27" s="36">
        <f>IF(OR(AND(K27&lt;32, J27&lt;2), O27=1, P27=1, Q27=1, R27=1, S27=1, T27=1, U27=1, AND(W27&lt;&gt;"", W27&lt;&gt;"Oxygen", W27&lt;&gt;"LowFlow")), "Intensive", "Intermediate")</f>
      </c>
      <c r="AJ27" s="57">
        <f>IF(OR(LEFT(AH27, 1)="X", LEFT(AH27, 1)="Y", LEFT(AH27, 3)="J24M"), "CUSM", "No Match")</f>
      </c>
      <c r="AK27" s="57">
        <f>IF(AND(OR(O27=3, P27=1, Q27=1, T27=1), AJ27="no Match"), "CUSM, CHU SJ, CHUQ", "")</f>
      </c>
      <c r="AL27" s="57">
        <f>IF(AND(O27=2, ISBLANK(P27), ISBLANK(Q27), ISBLANK(R27), ISBLANK(S27), ISBLANK(T27)), "CUSM, CHU SJ, CHUS, CHUQ", "")</f>
      </c>
      <c r="AM27" s="57">
        <f>IF(AND(AJ27="no match", AK27="", AL27="", K27&lt;26), "CUSM, CHU SJ, HGJ, CHUQ, CHUS", "")</f>
      </c>
      <c r="AN27" s="57">
        <f>IF(AND(AJ27="no match", AK27="", AL27="", K27&gt;26), "CUSM, CHU SJ, HGJ, CHUQ, CHUS, HMR", "")</f>
      </c>
    </row>
    <row x14ac:dyDescent="0.25" r="28" customHeight="1" ht="17.25">
      <c r="A28" s="41" t="s">
        <v>2788</v>
      </c>
      <c r="B28" s="28">
        <v>2</v>
      </c>
      <c r="C28" s="28">
        <v>817</v>
      </c>
      <c r="D28" s="29" t="s">
        <v>163</v>
      </c>
      <c r="E28" s="30" t="s">
        <v>220</v>
      </c>
      <c r="F28" s="31">
        <v>44943</v>
      </c>
      <c r="G28" s="32">
        <v>4.586111111111111</v>
      </c>
      <c r="H28" s="31">
        <v>44943</v>
      </c>
      <c r="I28" s="32">
        <v>4.444444444444445</v>
      </c>
      <c r="J28" s="33">
        <f>F28-H28</f>
      </c>
      <c r="K28" s="28">
        <v>30</v>
      </c>
      <c r="L28" s="28">
        <v>5</v>
      </c>
      <c r="M28" s="28">
        <v>1</v>
      </c>
      <c r="N28" s="34"/>
      <c r="O28" s="34"/>
      <c r="P28" s="34"/>
      <c r="Q28" s="34"/>
      <c r="R28" s="34"/>
      <c r="S28" s="56"/>
      <c r="T28" s="34"/>
      <c r="U28" s="34"/>
      <c r="V28" s="34"/>
      <c r="W28" s="29" t="s">
        <v>74</v>
      </c>
      <c r="X28" s="28">
        <v>19</v>
      </c>
      <c r="Y28" s="28">
        <v>1</v>
      </c>
      <c r="Z28" s="28">
        <v>1</v>
      </c>
      <c r="AA28" s="28">
        <v>2</v>
      </c>
      <c r="AB28" s="28">
        <v>1</v>
      </c>
      <c r="AC28" s="28">
        <v>2</v>
      </c>
      <c r="AD28" s="28">
        <v>2</v>
      </c>
      <c r="AE28" s="28">
        <v>4</v>
      </c>
      <c r="AF28" s="28">
        <v>2</v>
      </c>
      <c r="AG28" s="28">
        <v>2</v>
      </c>
      <c r="AH28" s="29" t="s">
        <v>837</v>
      </c>
      <c r="AI28" s="36">
        <f>IF(OR(AND(K28&lt;32, J28&lt;2), O28=1, P28=1, Q28=1, R28=1, S28=1, T28=1, U28=1, AND(W28&lt;&gt;"", W28&lt;&gt;"Oxygen", W28&lt;&gt;"LowFlow")), "Intensive", "Intermediate")</f>
      </c>
      <c r="AJ28" s="57">
        <f>IF(OR(LEFT(AH28, 1)="X", LEFT(AH28, 1)="Y", LEFT(AH28, 3)="J25M"), "CUSM", "No Match")</f>
      </c>
      <c r="AK28" s="57">
        <f>IF(AND(OR(O28=3, P28=1, Q28=1, T28=1), AJ28="no Match"), "CUSM, CHU SJ, CHUQ", "")</f>
      </c>
      <c r="AL28" s="57">
        <f>IF(AND(O28=2, ISBLANK(P28), ISBLANK(Q28), ISBLANK(R28), ISBLANK(S28), ISBLANK(T28)), "CUSM, CHU SJ, CHUS, CHUQ", "")</f>
      </c>
      <c r="AM28" s="57">
        <f>IF(AND(AJ28="no match", AK28="", AL28="", K28&lt;26), "CUSM, CHU SJ, HGJ, CHUQ, CHUS", "")</f>
      </c>
      <c r="AN28" s="57">
        <f>IF(AND(AJ28="no match", AK28="", AL28="", K28&gt;26), "CUSM, CHU SJ, HGJ, CHUQ, CHUS, HMR", "")</f>
      </c>
    </row>
    <row x14ac:dyDescent="0.25" r="29" customHeight="1" ht="17.25">
      <c r="A29" s="41" t="s">
        <v>2789</v>
      </c>
      <c r="B29" s="28">
        <v>2</v>
      </c>
      <c r="C29" s="35">
        <v>749</v>
      </c>
      <c r="D29" s="29" t="s">
        <v>955</v>
      </c>
      <c r="E29" s="30" t="s">
        <v>149</v>
      </c>
      <c r="F29" s="31">
        <v>44944</v>
      </c>
      <c r="G29" s="32">
        <v>4.911111111111111</v>
      </c>
      <c r="H29" s="31">
        <v>44944</v>
      </c>
      <c r="I29" s="32">
        <v>4.795138888888889</v>
      </c>
      <c r="J29" s="33">
        <f>F29-H29</f>
      </c>
      <c r="K29" s="28">
        <v>24</v>
      </c>
      <c r="L29" s="28">
        <v>0</v>
      </c>
      <c r="M29" s="28">
        <v>2</v>
      </c>
      <c r="N29" s="28">
        <v>1</v>
      </c>
      <c r="O29" s="34"/>
      <c r="P29" s="38"/>
      <c r="Q29" s="34"/>
      <c r="R29" s="34"/>
      <c r="S29" s="56"/>
      <c r="T29" s="34"/>
      <c r="U29" s="34"/>
      <c r="V29" s="34"/>
      <c r="W29" s="29" t="s">
        <v>74</v>
      </c>
      <c r="X29" s="28">
        <v>23</v>
      </c>
      <c r="Y29" s="28">
        <v>1</v>
      </c>
      <c r="Z29" s="28">
        <v>1</v>
      </c>
      <c r="AA29" s="28">
        <v>1</v>
      </c>
      <c r="AB29" s="28">
        <v>1</v>
      </c>
      <c r="AC29" s="28">
        <v>3</v>
      </c>
      <c r="AD29" s="28">
        <v>3</v>
      </c>
      <c r="AE29" s="28">
        <v>2</v>
      </c>
      <c r="AF29" s="28">
        <v>2</v>
      </c>
      <c r="AG29" s="28">
        <v>2</v>
      </c>
      <c r="AH29" s="29" t="s">
        <v>2790</v>
      </c>
      <c r="AI29" s="36">
        <f>IF(OR(AND(K29&lt;32, J29&lt;2), O29=1, P29=1, Q29=1, R29=1, S29=1, T29=1, U29=1, AND(W29&lt;&gt;"", W29&lt;&gt;"Oxygen", W29&lt;&gt;"LowFlow")), "Intensive", "Intermediate")</f>
      </c>
      <c r="AJ29" s="57">
        <f>IF(OR(LEFT(AH29, 1)="X", LEFT(AH29, 1)="Y", LEFT(AH29, 3)="J26M"), "CUSM", "No Match")</f>
      </c>
      <c r="AK29" s="57">
        <f>IF(AND(OR(O29=3, P29=1, Q29=1, T29=1), AJ29="no Match"), "CUSM, CHU SJ, CHUQ", "")</f>
      </c>
      <c r="AL29" s="57">
        <f>IF(AND(O29=2, ISBLANK(P29), ISBLANK(Q29), ISBLANK(R29), ISBLANK(S29), ISBLANK(T29)), "CUSM, CHU SJ, CHUS, CHUQ", "")</f>
      </c>
      <c r="AM29" s="57">
        <f>IF(AND(AJ29="no match", AK29="", AL29="", K29&lt;26), "CUSM, CHU SJ, HGJ, CHUQ, CHUS", "")</f>
      </c>
      <c r="AN29" s="57">
        <f>IF(AND(AJ29="no match", AK29="", AL29="", K29&gt;26), "CUSM, CHU SJ, HGJ, CHUQ, CHUS, HMR", "")</f>
      </c>
    </row>
    <row x14ac:dyDescent="0.25" r="30" customHeight="1" ht="17.25">
      <c r="A30" s="41" t="s">
        <v>2791</v>
      </c>
      <c r="B30" s="28">
        <v>2</v>
      </c>
      <c r="C30" s="35">
        <v>795</v>
      </c>
      <c r="D30" s="29" t="s">
        <v>73</v>
      </c>
      <c r="E30" s="30" t="s">
        <v>50</v>
      </c>
      <c r="F30" s="31">
        <v>44944</v>
      </c>
      <c r="G30" s="32">
        <v>4.970833333333333</v>
      </c>
      <c r="H30" s="31">
        <v>44941</v>
      </c>
      <c r="I30" s="32">
        <v>4.022222222222222</v>
      </c>
      <c r="J30" s="33">
        <f>F30-H30</f>
      </c>
      <c r="K30" s="28">
        <v>37</v>
      </c>
      <c r="L30" s="28">
        <v>1</v>
      </c>
      <c r="M30" s="28">
        <v>1</v>
      </c>
      <c r="N30" s="35">
        <v>1</v>
      </c>
      <c r="O30" s="34"/>
      <c r="P30" s="34"/>
      <c r="Q30" s="35">
        <v>1</v>
      </c>
      <c r="R30" s="34"/>
      <c r="S30" s="56"/>
      <c r="T30" s="34"/>
      <c r="U30" s="34"/>
      <c r="V30" s="34"/>
      <c r="W30" s="29"/>
      <c r="X30" s="28">
        <v>33</v>
      </c>
      <c r="Y30" s="28">
        <v>1</v>
      </c>
      <c r="Z30" s="28">
        <v>1</v>
      </c>
      <c r="AA30" s="28">
        <v>2</v>
      </c>
      <c r="AB30" s="28">
        <v>1</v>
      </c>
      <c r="AC30" s="28">
        <v>2</v>
      </c>
      <c r="AD30" s="28">
        <v>2</v>
      </c>
      <c r="AE30" s="28">
        <v>4</v>
      </c>
      <c r="AF30" s="28">
        <v>2</v>
      </c>
      <c r="AG30" s="28">
        <v>2</v>
      </c>
      <c r="AH30" s="29" t="s">
        <v>2792</v>
      </c>
      <c r="AI30" s="36">
        <f>IF(OR(AND(K30&lt;32, J30&lt;2), O30=1, P30=1, Q30=1, R30=1, S30=1, T30=1, U30=1, AND(W30&lt;&gt;"", W30&lt;&gt;"Oxygen", W30&lt;&gt;"LowFlow")), "Intensive", "Intermediate")</f>
      </c>
      <c r="AJ30" s="57">
        <f>IF(OR(LEFT(AH30, 1)="X", LEFT(AH30, 1)="Y", LEFT(AH30, 3)="J27M"), "CUSM", "No Match")</f>
      </c>
      <c r="AK30" s="57">
        <f>IF(AND(OR(O30=3, P30=1, Q30=1, T30=1), AJ30="no Match"), "CUSM, CHU SJ, CHUQ", "")</f>
      </c>
      <c r="AL30" s="57">
        <f>IF(AND(O30=2, ISBLANK(P30), ISBLANK(Q30), ISBLANK(R30), ISBLANK(S30), ISBLANK(T30)), "CUSM, CHU SJ, CHUS, CHUQ", "")</f>
      </c>
      <c r="AM30" s="57">
        <f>IF(AND(AJ30="no match", AK30="", AL30="", K30&lt;26), "CUSM, CHU SJ, HGJ, CHUQ, CHUS", "")</f>
      </c>
      <c r="AN30" s="57">
        <f>IF(AND(AJ30="no match", AK30="", AL30="", K30&gt;26), "CUSM, CHU SJ, HGJ, CHUQ, CHUS, HMR", "")</f>
      </c>
    </row>
    <row x14ac:dyDescent="0.25" r="31" customHeight="1" ht="17.25">
      <c r="A31" s="41" t="s">
        <v>2793</v>
      </c>
      <c r="B31" s="28">
        <v>2</v>
      </c>
      <c r="C31" s="28">
        <v>839</v>
      </c>
      <c r="D31" s="29" t="s">
        <v>53</v>
      </c>
      <c r="E31" s="30" t="s">
        <v>50</v>
      </c>
      <c r="F31" s="31">
        <v>44944</v>
      </c>
      <c r="G31" s="32">
        <v>4.482638888888889</v>
      </c>
      <c r="H31" s="31">
        <v>44944</v>
      </c>
      <c r="I31" s="32">
        <v>4.28125</v>
      </c>
      <c r="J31" s="33">
        <f>F31-H31</f>
      </c>
      <c r="K31" s="28">
        <v>40</v>
      </c>
      <c r="L31" s="28">
        <v>5</v>
      </c>
      <c r="M31" s="28">
        <v>2</v>
      </c>
      <c r="N31" s="34"/>
      <c r="O31" s="34"/>
      <c r="P31" s="34"/>
      <c r="Q31" s="34"/>
      <c r="R31" s="34"/>
      <c r="S31" s="56"/>
      <c r="T31" s="34"/>
      <c r="U31" s="34"/>
      <c r="V31" s="34"/>
      <c r="W31" s="29"/>
      <c r="X31" s="28">
        <v>33</v>
      </c>
      <c r="Y31" s="28">
        <v>1</v>
      </c>
      <c r="Z31" s="28">
        <v>2</v>
      </c>
      <c r="AA31" s="28">
        <v>3</v>
      </c>
      <c r="AB31" s="28">
        <v>1</v>
      </c>
      <c r="AC31" s="28">
        <v>2</v>
      </c>
      <c r="AD31" s="28">
        <v>2</v>
      </c>
      <c r="AE31" s="28">
        <v>4</v>
      </c>
      <c r="AF31" s="28">
        <v>3</v>
      </c>
      <c r="AG31" s="28">
        <v>2</v>
      </c>
      <c r="AH31" s="29" t="s">
        <v>2794</v>
      </c>
      <c r="AI31" s="36">
        <f>IF(OR(AND(K31&lt;32, J31&lt;2), O31=1, P31=1, Q31=1, R31=1, S31=1, T31=1, U31=1, AND(W31&lt;&gt;"", W31&lt;&gt;"Oxygen", W31&lt;&gt;"LowFlow")), "Intensive", "Intermediate")</f>
      </c>
      <c r="AJ31" s="57">
        <f>IF(OR(LEFT(AH31, 1)="X", LEFT(AH31, 1)="Y", LEFT(AH31, 3)="J28M"), "CUSM", "No Match")</f>
      </c>
      <c r="AK31" s="57">
        <f>IF(AND(OR(O31=3, P31=1, Q31=1, T31=1), AJ31="no Match"), "CUSM, CHU SJ, CHUQ", "")</f>
      </c>
      <c r="AL31" s="57">
        <f>IF(AND(O31=2, ISBLANK(P31), ISBLANK(Q31), ISBLANK(R31), ISBLANK(S31), ISBLANK(T31)), "CUSM, CHU SJ, CHUS, CHUQ", "")</f>
      </c>
      <c r="AM31" s="57">
        <f>IF(AND(AJ31="no match", AK31="", AL31="", K31&lt;26), "CUSM, CHU SJ, HGJ, CHUQ, CHUS", "")</f>
      </c>
      <c r="AN31" s="57">
        <f>IF(AND(AJ31="no match", AK31="", AL31="", K31&gt;26), "CUSM, CHU SJ, HGJ, CHUQ, CHUS, HMR", "")</f>
      </c>
    </row>
    <row x14ac:dyDescent="0.25" r="32" customHeight="1" ht="17.25">
      <c r="A32" s="41" t="s">
        <v>2795</v>
      </c>
      <c r="B32" s="28">
        <v>2</v>
      </c>
      <c r="C32" s="28">
        <v>754</v>
      </c>
      <c r="D32" s="29" t="s">
        <v>504</v>
      </c>
      <c r="E32" s="30" t="s">
        <v>54</v>
      </c>
      <c r="F32" s="31">
        <v>44945</v>
      </c>
      <c r="G32" s="32">
        <v>4.864583333333334</v>
      </c>
      <c r="H32" s="31">
        <v>44944</v>
      </c>
      <c r="I32" s="32">
        <v>4.320138888888889</v>
      </c>
      <c r="J32" s="33">
        <f>F32-H32</f>
      </c>
      <c r="K32" s="28">
        <v>34</v>
      </c>
      <c r="L32" s="28">
        <v>6</v>
      </c>
      <c r="M32" s="28">
        <v>1</v>
      </c>
      <c r="N32" s="35">
        <v>1</v>
      </c>
      <c r="O32" s="34"/>
      <c r="P32" s="35">
        <v>1</v>
      </c>
      <c r="Q32" s="34"/>
      <c r="R32" s="34"/>
      <c r="S32" s="56"/>
      <c r="T32" s="38"/>
      <c r="U32" s="34"/>
      <c r="V32" s="34"/>
      <c r="W32" s="29" t="s">
        <v>58</v>
      </c>
      <c r="X32" s="28">
        <v>26</v>
      </c>
      <c r="Y32" s="28">
        <v>2</v>
      </c>
      <c r="Z32" s="28">
        <v>2</v>
      </c>
      <c r="AA32" s="28">
        <v>1</v>
      </c>
      <c r="AB32" s="28">
        <v>1</v>
      </c>
      <c r="AC32" s="28">
        <v>3</v>
      </c>
      <c r="AD32" s="28">
        <v>3</v>
      </c>
      <c r="AE32" s="28">
        <v>4</v>
      </c>
      <c r="AF32" s="28">
        <v>3</v>
      </c>
      <c r="AG32" s="28">
        <v>2</v>
      </c>
      <c r="AH32" s="29" t="s">
        <v>2796</v>
      </c>
      <c r="AI32" s="36">
        <f>IF(OR(AND(K32&lt;32, J32&lt;2), O32=1, P32=1, Q32=1, R32=1, S32=1, T32=1, U32=1, AND(W32&lt;&gt;"", W32&lt;&gt;"Oxygen", W32&lt;&gt;"LowFlow")), "Intensive", "Intermediate")</f>
      </c>
      <c r="AJ32" s="57">
        <f>IF(OR(LEFT(AH32, 1)="X", LEFT(AH32, 1)="Y", LEFT(AH32, 3)="J29M"), "CUSM", "No Match")</f>
      </c>
      <c r="AK32" s="57">
        <f>IF(AND(OR(O32=3, P32=1, Q32=1, T32=1), AJ32="no Match"), "CUSM, CHU SJ, CHUQ", "")</f>
      </c>
      <c r="AL32" s="57">
        <f>IF(AND(O32=2, ISBLANK(P32), ISBLANK(Q32), ISBLANK(R32), ISBLANK(S32), ISBLANK(T32)), "CUSM, CHU SJ, CHUS, CHUQ", "")</f>
      </c>
      <c r="AM32" s="57">
        <f>IF(AND(AJ32="no match", AK32="", AL32="", K32&lt;26), "CUSM, CHU SJ, HGJ, CHUQ, CHUS", "")</f>
      </c>
      <c r="AN32" s="57">
        <f>IF(AND(AJ32="no match", AK32="", AL32="", K32&gt;26), "CUSM, CHU SJ, HGJ, CHUQ, CHUS, HMR", "")</f>
      </c>
    </row>
    <row x14ac:dyDescent="0.25" r="33" customHeight="1" ht="17.25">
      <c r="A33" s="41" t="s">
        <v>2797</v>
      </c>
      <c r="B33" s="28">
        <v>2</v>
      </c>
      <c r="C33" s="35">
        <v>731</v>
      </c>
      <c r="D33" s="29" t="s">
        <v>103</v>
      </c>
      <c r="E33" s="30" t="s">
        <v>50</v>
      </c>
      <c r="F33" s="31">
        <v>44945</v>
      </c>
      <c r="G33" s="32">
        <v>4.552083333333334</v>
      </c>
      <c r="H33" s="31">
        <v>44933</v>
      </c>
      <c r="I33" s="32">
        <v>4.707638888888889</v>
      </c>
      <c r="J33" s="33">
        <f>F33-H33</f>
      </c>
      <c r="K33" s="28">
        <v>33</v>
      </c>
      <c r="L33" s="28">
        <v>0</v>
      </c>
      <c r="M33" s="35">
        <v>1</v>
      </c>
      <c r="N33" s="34"/>
      <c r="O33" s="34"/>
      <c r="P33" s="34"/>
      <c r="Q33" s="34"/>
      <c r="R33" s="34"/>
      <c r="S33" s="56"/>
      <c r="T33" s="34"/>
      <c r="U33" s="38"/>
      <c r="V33" s="38"/>
      <c r="W33" s="29" t="s">
        <v>74</v>
      </c>
      <c r="X33" s="28">
        <v>21</v>
      </c>
      <c r="Y33" s="28">
        <v>1</v>
      </c>
      <c r="Z33" s="28">
        <v>1</v>
      </c>
      <c r="AA33" s="28">
        <v>2</v>
      </c>
      <c r="AB33" s="28">
        <v>1</v>
      </c>
      <c r="AC33" s="28">
        <v>2</v>
      </c>
      <c r="AD33" s="28">
        <v>2</v>
      </c>
      <c r="AE33" s="28">
        <v>4</v>
      </c>
      <c r="AF33" s="35">
        <v>3</v>
      </c>
      <c r="AG33" s="28">
        <v>1</v>
      </c>
      <c r="AH33" s="29" t="s">
        <v>2798</v>
      </c>
      <c r="AI33" s="36">
        <f>IF(OR(AND(K33&lt;32, J33&lt;2), O33=1, P33=1, Q33=1, R33=1, S33=1, T33=1, U33=1, AND(W33&lt;&gt;"", W33&lt;&gt;"Oxygen", W33&lt;&gt;"LowFlow")), "Intensive", "Intermediate")</f>
      </c>
      <c r="AJ33" s="57">
        <f>IF(OR(LEFT(AH33, 1)="X", LEFT(AH33, 1)="Y", LEFT(AH33, 3)="J30M"), "CUSM", "No Match")</f>
      </c>
      <c r="AK33" s="57">
        <f>IF(AND(OR(O33=3, P33=1, Q33=1, T33=1), AJ33="no Match"), "CUSM, CHU SJ, CHUQ", "")</f>
      </c>
      <c r="AL33" s="57">
        <f>IF(AND(O33=2, ISBLANK(P33), ISBLANK(Q33), ISBLANK(R33), ISBLANK(S33), ISBLANK(T33)), "CUSM, CHU SJ, CHUS, CHUQ", "")</f>
      </c>
      <c r="AM33" s="57">
        <f>IF(AND(AJ33="no match", AK33="", AL33="", K33&lt;26), "CUSM, CHU SJ, HGJ, CHUQ, CHUS", "")</f>
      </c>
      <c r="AN33" s="57">
        <f>IF(AND(AJ33="no match", AK33="", AL33="", K33&gt;26), "CUSM, CHU SJ, HGJ, CHUQ, CHUS, HMR", "")</f>
      </c>
    </row>
    <row x14ac:dyDescent="0.25" r="34" customHeight="1" ht="17.25">
      <c r="A34" s="41" t="s">
        <v>2799</v>
      </c>
      <c r="B34" s="28">
        <v>2</v>
      </c>
      <c r="C34" s="28">
        <v>776</v>
      </c>
      <c r="D34" s="29" t="s">
        <v>84</v>
      </c>
      <c r="E34" s="30" t="s">
        <v>50</v>
      </c>
      <c r="F34" s="31">
        <v>44946</v>
      </c>
      <c r="G34" s="32">
        <v>4.097222222222222</v>
      </c>
      <c r="H34" s="31">
        <v>44945</v>
      </c>
      <c r="I34" s="32">
        <v>4.6402777777777775</v>
      </c>
      <c r="J34" s="33">
        <f>F34-H34</f>
      </c>
      <c r="K34" s="28">
        <v>28</v>
      </c>
      <c r="L34" s="28">
        <v>4</v>
      </c>
      <c r="M34" s="28">
        <v>2</v>
      </c>
      <c r="N34" s="38"/>
      <c r="O34" s="34"/>
      <c r="P34" s="38"/>
      <c r="Q34" s="38"/>
      <c r="R34" s="34"/>
      <c r="S34" s="56"/>
      <c r="T34" s="34"/>
      <c r="U34" s="34"/>
      <c r="V34" s="34"/>
      <c r="W34" s="29" t="s">
        <v>58</v>
      </c>
      <c r="X34" s="28">
        <v>33</v>
      </c>
      <c r="Y34" s="28">
        <v>1</v>
      </c>
      <c r="Z34" s="28">
        <v>1</v>
      </c>
      <c r="AA34" s="28">
        <v>1</v>
      </c>
      <c r="AB34" s="28">
        <v>1</v>
      </c>
      <c r="AC34" s="28">
        <v>2</v>
      </c>
      <c r="AD34" s="28">
        <v>2</v>
      </c>
      <c r="AE34" s="28">
        <v>4</v>
      </c>
      <c r="AF34" s="28">
        <v>3</v>
      </c>
      <c r="AG34" s="28">
        <v>2</v>
      </c>
      <c r="AH34" s="29" t="s">
        <v>2800</v>
      </c>
      <c r="AI34" s="36">
        <f>IF(OR(AND(K34&lt;32, J34&lt;2), O34=1, P34=1, Q34=1, R34=1, S34=1, T34=1, U34=1, AND(W34&lt;&gt;"", W34&lt;&gt;"Oxygen", W34&lt;&gt;"LowFlow")), "Intensive", "Intermediate")</f>
      </c>
      <c r="AJ34" s="57">
        <f>IF(OR(LEFT(AH34, 1)="X", LEFT(AH34, 1)="Y", LEFT(AH34, 3)="J31M"), "CUSM", "No Match")</f>
      </c>
      <c r="AK34" s="57">
        <f>IF(AND(OR(O34=3, P34=1, Q34=1, T34=1), AJ34="no Match"), "CUSM, CHU SJ, CHUQ", "")</f>
      </c>
      <c r="AL34" s="57">
        <f>IF(AND(O34=2, ISBLANK(P34), ISBLANK(Q34), ISBLANK(R34), ISBLANK(S34), ISBLANK(T34)), "CUSM, CHU SJ, CHUS, CHUQ", "")</f>
      </c>
      <c r="AM34" s="57">
        <f>IF(AND(AJ34="no match", AK34="", AL34="", K34&lt;26), "CUSM, CHU SJ, HGJ, CHUQ, CHUS", "")</f>
      </c>
      <c r="AN34" s="57">
        <f>IF(AND(AJ34="no match", AK34="", AL34="", K34&gt;26), "CUSM, CHU SJ, HGJ, CHUQ, CHUS, HMR", "")</f>
      </c>
    </row>
    <row x14ac:dyDescent="0.25" r="35" customHeight="1" ht="17.25">
      <c r="A35" s="41" t="s">
        <v>2801</v>
      </c>
      <c r="B35" s="28">
        <v>2</v>
      </c>
      <c r="C35" s="35">
        <v>779</v>
      </c>
      <c r="D35" s="29" t="s">
        <v>136</v>
      </c>
      <c r="E35" s="30" t="s">
        <v>220</v>
      </c>
      <c r="F35" s="31">
        <v>44946</v>
      </c>
      <c r="G35" s="32">
        <v>4.135416666666666</v>
      </c>
      <c r="H35" s="31">
        <v>44946</v>
      </c>
      <c r="I35" s="32">
        <v>4.008333333333333</v>
      </c>
      <c r="J35" s="33">
        <f>F35-H35</f>
      </c>
      <c r="K35" s="28">
        <v>32</v>
      </c>
      <c r="L35" s="28">
        <v>0</v>
      </c>
      <c r="M35" s="28">
        <v>1</v>
      </c>
      <c r="N35" s="38"/>
      <c r="O35" s="34"/>
      <c r="P35" s="38"/>
      <c r="Q35" s="34"/>
      <c r="R35" s="34"/>
      <c r="S35" s="56"/>
      <c r="T35" s="34"/>
      <c r="U35" s="34"/>
      <c r="V35" s="34"/>
      <c r="W35" s="29" t="s">
        <v>58</v>
      </c>
      <c r="X35" s="28">
        <v>32</v>
      </c>
      <c r="Y35" s="28">
        <v>1</v>
      </c>
      <c r="Z35" s="28">
        <v>2</v>
      </c>
      <c r="AA35" s="28">
        <v>2</v>
      </c>
      <c r="AB35" s="28">
        <v>1</v>
      </c>
      <c r="AC35" s="28">
        <v>2</v>
      </c>
      <c r="AD35" s="28">
        <v>3</v>
      </c>
      <c r="AE35" s="28">
        <v>4</v>
      </c>
      <c r="AF35" s="28">
        <v>2</v>
      </c>
      <c r="AG35" s="28">
        <v>1</v>
      </c>
      <c r="AH35" s="29"/>
      <c r="AI35" s="36">
        <f>IF(OR(AND(K35&lt;32, J35&lt;2), O35=1, P35=1, Q35=1, R35=1, S35=1, T35=1, U35=1, AND(W35&lt;&gt;"", W35&lt;&gt;"Oxygen", W35&lt;&gt;"LowFlow")), "Intensive", "Intermediate")</f>
      </c>
      <c r="AJ35" s="57">
        <f>IF(OR(LEFT(AH35, 1)="X", LEFT(AH35, 1)="Y", LEFT(AH35, 3)="J32M"), "CUSM", "No Match")</f>
      </c>
      <c r="AK35" s="57">
        <f>IF(AND(OR(O35=3, P35=1, Q35=1, T35=1), AJ35="no Match"), "CUSM, CHU SJ, CHUQ", "")</f>
      </c>
      <c r="AL35" s="57">
        <f>IF(AND(O35=2, ISBLANK(P35), ISBLANK(Q35), ISBLANK(R35), ISBLANK(S35), ISBLANK(T35)), "CUSM, CHU SJ, CHUS, CHUQ", "")</f>
      </c>
      <c r="AM35" s="57">
        <f>IF(AND(AJ35="no match", AK35="", AL35="", K35&lt;26), "CUSM, CHU SJ, HGJ, CHUQ, CHUS", "")</f>
      </c>
      <c r="AN35" s="57">
        <f>IF(AND(AJ35="no match", AK35="", AL35="", K35&gt;26), "CUSM, CHU SJ, HGJ, CHUQ, CHUS, HMR", "")</f>
      </c>
    </row>
    <row x14ac:dyDescent="0.25" r="36" customHeight="1" ht="17.25">
      <c r="A36" s="41" t="s">
        <v>2802</v>
      </c>
      <c r="B36" s="28">
        <v>2</v>
      </c>
      <c r="C36" s="28">
        <v>780</v>
      </c>
      <c r="D36" s="29" t="s">
        <v>190</v>
      </c>
      <c r="E36" s="30" t="s">
        <v>54</v>
      </c>
      <c r="F36" s="31">
        <v>44947</v>
      </c>
      <c r="G36" s="32">
        <v>4.010416666666666</v>
      </c>
      <c r="H36" s="31">
        <v>44945</v>
      </c>
      <c r="I36" s="32">
        <v>4.392361111111111</v>
      </c>
      <c r="J36" s="33">
        <f>F36-H36</f>
      </c>
      <c r="K36" s="28">
        <v>38</v>
      </c>
      <c r="L36" s="28">
        <v>6</v>
      </c>
      <c r="M36" s="28">
        <v>1</v>
      </c>
      <c r="N36" s="34"/>
      <c r="O36" s="34"/>
      <c r="P36" s="34"/>
      <c r="Q36" s="34"/>
      <c r="R36" s="34"/>
      <c r="S36" s="56"/>
      <c r="T36" s="34"/>
      <c r="U36" s="34"/>
      <c r="V36" s="34"/>
      <c r="W36" s="29"/>
      <c r="X36" s="28">
        <v>28</v>
      </c>
      <c r="Y36" s="28">
        <v>1</v>
      </c>
      <c r="Z36" s="28">
        <v>2</v>
      </c>
      <c r="AA36" s="28">
        <v>3</v>
      </c>
      <c r="AB36" s="28">
        <v>4</v>
      </c>
      <c r="AC36" s="28">
        <v>1</v>
      </c>
      <c r="AD36" s="28">
        <v>2</v>
      </c>
      <c r="AE36" s="28">
        <v>4</v>
      </c>
      <c r="AF36" s="28">
        <v>2</v>
      </c>
      <c r="AG36" s="28">
        <v>2</v>
      </c>
      <c r="AH36" s="29" t="s">
        <v>2803</v>
      </c>
      <c r="AI36" s="36">
        <f>IF(OR(AND(K36&lt;32, J36&lt;2), O36=1, P36=1, Q36=1, R36=1, S36=1, T36=1, U36=1, AND(W36&lt;&gt;"", W36&lt;&gt;"Oxygen", W36&lt;&gt;"LowFlow")), "Intensive", "Intermediate")</f>
      </c>
      <c r="AJ36" s="57">
        <f>IF(OR(LEFT(AH36, 1)="X", LEFT(AH36, 1)="Y", LEFT(AH36, 3)="J33M"), "CUSM", "No Match")</f>
      </c>
      <c r="AK36" s="57">
        <f>IF(AND(OR(O36=3, P36=1, Q36=1, T36=1), AJ36="no Match"), "CUSM, CHU SJ, CHUQ", "")</f>
      </c>
      <c r="AL36" s="57">
        <f>IF(AND(O36=2, ISBLANK(P36), ISBLANK(Q36), ISBLANK(R36), ISBLANK(S36), ISBLANK(T36)), "CUSM, CHU SJ, CHUS, CHUQ", "")</f>
      </c>
      <c r="AM36" s="57">
        <f>IF(AND(AJ36="no match", AK36="", AL36="", K36&lt;26), "CUSM, CHU SJ, HGJ, CHUQ, CHUS", "")</f>
      </c>
      <c r="AN36" s="57">
        <f>IF(AND(AJ36="no match", AK36="", AL36="", K36&gt;26), "CUSM, CHU SJ, HGJ, CHUQ, CHUS, HMR", "")</f>
      </c>
    </row>
    <row x14ac:dyDescent="0.25" r="37" customHeight="1" ht="17.25">
      <c r="A37" s="41" t="s">
        <v>2804</v>
      </c>
      <c r="B37" s="28">
        <v>2</v>
      </c>
      <c r="C37" s="35">
        <v>820</v>
      </c>
      <c r="D37" s="29" t="s">
        <v>69</v>
      </c>
      <c r="E37" s="30" t="s">
        <v>54</v>
      </c>
      <c r="F37" s="31">
        <v>44947</v>
      </c>
      <c r="G37" s="40">
        <v>4.21875</v>
      </c>
      <c r="H37" s="31">
        <v>44946</v>
      </c>
      <c r="I37" s="40">
        <v>4.247916666666667</v>
      </c>
      <c r="J37" s="33">
        <f>F37-H37</f>
      </c>
      <c r="K37" s="28">
        <v>38</v>
      </c>
      <c r="L37" s="28">
        <v>1</v>
      </c>
      <c r="M37" s="28">
        <v>1</v>
      </c>
      <c r="N37" s="34"/>
      <c r="O37" s="34"/>
      <c r="P37" s="34"/>
      <c r="Q37" s="34"/>
      <c r="R37" s="34"/>
      <c r="S37" s="56"/>
      <c r="T37" s="34"/>
      <c r="U37" s="34"/>
      <c r="V37" s="34"/>
      <c r="W37" s="29"/>
      <c r="X37" s="35">
        <v>27</v>
      </c>
      <c r="Y37" s="28">
        <v>1</v>
      </c>
      <c r="Z37" s="35">
        <v>2</v>
      </c>
      <c r="AA37" s="35">
        <v>1</v>
      </c>
      <c r="AB37" s="35">
        <v>1</v>
      </c>
      <c r="AC37" s="35">
        <v>2</v>
      </c>
      <c r="AD37" s="35">
        <v>1</v>
      </c>
      <c r="AE37" s="35">
        <v>4</v>
      </c>
      <c r="AF37" s="35">
        <v>3</v>
      </c>
      <c r="AG37" s="35">
        <v>2</v>
      </c>
      <c r="AH37" s="29" t="s">
        <v>2805</v>
      </c>
      <c r="AI37" s="36">
        <f>IF(OR(AND(K37&lt;32, J37&lt;2), O37=1, P37=1, Q37=1, R37=1, S37=1, T37=1, U37=1, AND(W37&lt;&gt;"", W37&lt;&gt;"Oxygen", W37&lt;&gt;"LowFlow")), "Intensive", "Intermediate")</f>
      </c>
      <c r="AJ37" s="57">
        <f>IF(OR(LEFT(AH37, 1)="X", LEFT(AH37, 1)="Y", LEFT(AH37, 3)="J34M"), "CUSM", "No Match")</f>
      </c>
      <c r="AK37" s="57">
        <f>IF(AND(OR(O37=3, P37=1, Q37=1, T37=1), AJ37="no Match"), "CUSM, CHU SJ, CHUQ", "")</f>
      </c>
      <c r="AL37" s="57">
        <f>IF(AND(O37=2, ISBLANK(P37), ISBLANK(Q37), ISBLANK(R37), ISBLANK(S37), ISBLANK(T37)), "CUSM, CHU SJ, CHUS, CHUQ", "")</f>
      </c>
      <c r="AM37" s="57">
        <f>IF(AND(AJ37="no match", AK37="", AL37="", K37&lt;26), "CUSM, CHU SJ, HGJ, CHUQ, CHUS", "")</f>
      </c>
      <c r="AN37" s="57">
        <f>IF(AND(AJ37="no match", AK37="", AL37="", K37&gt;26), "CUSM, CHU SJ, HGJ, CHUQ, CHUS, HMR", "")</f>
      </c>
    </row>
    <row x14ac:dyDescent="0.25" r="38" customHeight="1" ht="17.25">
      <c r="A38" s="41" t="s">
        <v>2806</v>
      </c>
      <c r="B38" s="28">
        <v>2</v>
      </c>
      <c r="C38" s="35">
        <v>809</v>
      </c>
      <c r="D38" s="29" t="s">
        <v>117</v>
      </c>
      <c r="E38" s="30" t="s">
        <v>118</v>
      </c>
      <c r="F38" s="31">
        <v>44948</v>
      </c>
      <c r="G38" s="40">
        <v>4.314583333333333</v>
      </c>
      <c r="H38" s="58">
        <v>44948</v>
      </c>
      <c r="I38" s="40">
        <v>4.09375</v>
      </c>
      <c r="J38" s="33">
        <f>F38-H38</f>
      </c>
      <c r="K38" s="28">
        <v>41</v>
      </c>
      <c r="L38" s="28">
        <v>3</v>
      </c>
      <c r="M38" s="28">
        <v>2</v>
      </c>
      <c r="N38" s="34"/>
      <c r="O38" s="34"/>
      <c r="P38" s="34"/>
      <c r="Q38" s="34"/>
      <c r="R38" s="34"/>
      <c r="S38" s="56"/>
      <c r="T38" s="35">
        <v>1</v>
      </c>
      <c r="U38" s="34"/>
      <c r="V38" s="34"/>
      <c r="W38" s="29"/>
      <c r="X38" s="35">
        <v>31</v>
      </c>
      <c r="Y38" s="28">
        <v>1</v>
      </c>
      <c r="Z38" s="28">
        <v>2</v>
      </c>
      <c r="AA38" s="28">
        <v>2</v>
      </c>
      <c r="AB38" s="38"/>
      <c r="AC38" s="28">
        <v>2</v>
      </c>
      <c r="AD38" s="28">
        <v>2</v>
      </c>
      <c r="AE38" s="35">
        <v>4</v>
      </c>
      <c r="AF38" s="35">
        <v>2</v>
      </c>
      <c r="AG38" s="28">
        <v>2</v>
      </c>
      <c r="AH38" s="29" t="s">
        <v>2807</v>
      </c>
      <c r="AI38" s="36">
        <f>IF(OR(AND(K38&lt;32, J38&lt;2), O38=1, P38=1, Q38=1, R38=1, S38=1, T38=1, U38=1, AND(W38&lt;&gt;"", W38&lt;&gt;"Oxygen", W38&lt;&gt;"LowFlow")), "Intensive", "Intermediate")</f>
      </c>
      <c r="AJ38" s="57">
        <f>IF(OR(LEFT(AH38, 1)="X", LEFT(AH38, 1)="Y", LEFT(AH38, 3)="J35M"), "CUSM", "No Match")</f>
      </c>
      <c r="AK38" s="57">
        <f>IF(AND(OR(O38=3, P38=1, Q38=1, T38=1), AJ38="no Match"), "CUSM, CHU SJ, CHUQ", "")</f>
      </c>
      <c r="AL38" s="57">
        <f>IF(AND(O38=2, ISBLANK(P38), ISBLANK(Q38), ISBLANK(R38), ISBLANK(S38), ISBLANK(T38)), "CUSM, CHU SJ, CHUS, CHUQ", "")</f>
      </c>
      <c r="AM38" s="57">
        <f>IF(AND(AJ38="no match", AK38="", AL38="", K38&lt;26), "CUSM, CHU SJ, HGJ, CHUQ, CHUS", "")</f>
      </c>
      <c r="AN38" s="57">
        <f>IF(AND(AJ38="no match", AK38="", AL38="", K38&gt;26), "CUSM, CHU SJ, HGJ, CHUQ, CHUS, HMR", "")</f>
      </c>
    </row>
    <row x14ac:dyDescent="0.25" r="39" customHeight="1" ht="17.25">
      <c r="A39" s="41" t="s">
        <v>2808</v>
      </c>
      <c r="B39" s="28">
        <v>2</v>
      </c>
      <c r="C39" s="28">
        <v>839</v>
      </c>
      <c r="D39" s="29" t="s">
        <v>53</v>
      </c>
      <c r="E39" s="30" t="s">
        <v>54</v>
      </c>
      <c r="F39" s="31">
        <v>44948</v>
      </c>
      <c r="G39" s="32">
        <v>4.045138888888889</v>
      </c>
      <c r="H39" s="31">
        <v>44946</v>
      </c>
      <c r="I39" s="32">
        <v>4.854166666666666</v>
      </c>
      <c r="J39" s="33">
        <f>F39-H39</f>
      </c>
      <c r="K39" s="28">
        <v>38</v>
      </c>
      <c r="L39" s="28">
        <v>5</v>
      </c>
      <c r="M39" s="28">
        <v>1</v>
      </c>
      <c r="N39" s="34"/>
      <c r="O39" s="34"/>
      <c r="P39" s="34"/>
      <c r="Q39" s="34"/>
      <c r="R39" s="34"/>
      <c r="S39" s="56"/>
      <c r="T39" s="34"/>
      <c r="U39" s="34"/>
      <c r="V39" s="34"/>
      <c r="W39" s="29"/>
      <c r="X39" s="28">
        <v>31</v>
      </c>
      <c r="Y39" s="28">
        <v>2</v>
      </c>
      <c r="Z39" s="28">
        <v>1</v>
      </c>
      <c r="AA39" s="28">
        <v>3</v>
      </c>
      <c r="AB39" s="28">
        <v>4</v>
      </c>
      <c r="AC39" s="28">
        <v>2</v>
      </c>
      <c r="AD39" s="28">
        <v>2</v>
      </c>
      <c r="AE39" s="28">
        <v>4</v>
      </c>
      <c r="AF39" s="28">
        <v>2</v>
      </c>
      <c r="AG39" s="28">
        <v>2</v>
      </c>
      <c r="AH39" s="29" t="s">
        <v>2809</v>
      </c>
      <c r="AI39" s="36">
        <f>IF(OR(AND(K39&lt;32, J39&lt;2), O39=1, P39=1, Q39=1, R39=1, S39=1, T39=1, U39=1, AND(W39&lt;&gt;"", W39&lt;&gt;"Oxygen", W39&lt;&gt;"LowFlow")), "Intensive", "Intermediate")</f>
      </c>
      <c r="AJ39" s="57">
        <f>IF(OR(LEFT(AH39, 1)="X", LEFT(AH39, 1)="Y", LEFT(AH39, 3)="J36M"), "CUSM", "No Match")</f>
      </c>
      <c r="AK39" s="57">
        <f>IF(AND(OR(O39=3, P39=1, Q39=1, T39=1), AJ39="no Match"), "CUSM, CHU SJ, CHUQ", "")</f>
      </c>
      <c r="AL39" s="57">
        <f>IF(AND(O39=2, ISBLANK(P39), ISBLANK(Q39), ISBLANK(R39), ISBLANK(S39), ISBLANK(T39)), "CUSM, CHU SJ, CHUS, CHUQ", "")</f>
      </c>
      <c r="AM39" s="57">
        <f>IF(AND(AJ39="no match", AK39="", AL39="", K39&lt;26), "CUSM, CHU SJ, HGJ, CHUQ, CHUS", "")</f>
      </c>
      <c r="AN39" s="57">
        <f>IF(AND(AJ39="no match", AK39="", AL39="", K39&gt;26), "CUSM, CHU SJ, HGJ, CHUQ, CHUS, HMR", "")</f>
      </c>
    </row>
    <row x14ac:dyDescent="0.25" r="40" customHeight="1" ht="17.25">
      <c r="A40" s="41" t="s">
        <v>2810</v>
      </c>
      <c r="B40" s="28">
        <v>2</v>
      </c>
      <c r="C40" s="35">
        <v>782</v>
      </c>
      <c r="D40" s="29" t="s">
        <v>95</v>
      </c>
      <c r="E40" s="30" t="s">
        <v>50</v>
      </c>
      <c r="F40" s="31">
        <v>44949</v>
      </c>
      <c r="G40" s="32">
        <v>4.277777777777778</v>
      </c>
      <c r="H40" s="31">
        <v>44949</v>
      </c>
      <c r="I40" s="32">
        <v>4.089583333333334</v>
      </c>
      <c r="J40" s="33">
        <f>F40-H40</f>
      </c>
      <c r="K40" s="28">
        <v>40</v>
      </c>
      <c r="L40" s="28">
        <v>2</v>
      </c>
      <c r="M40" s="28">
        <v>2</v>
      </c>
      <c r="N40" s="34"/>
      <c r="O40" s="34"/>
      <c r="P40" s="34"/>
      <c r="Q40" s="34"/>
      <c r="R40" s="34"/>
      <c r="S40" s="56"/>
      <c r="T40" s="35">
        <v>1</v>
      </c>
      <c r="U40" s="34"/>
      <c r="V40" s="34"/>
      <c r="W40" s="29"/>
      <c r="X40" s="28">
        <v>43</v>
      </c>
      <c r="Y40" s="28">
        <v>1</v>
      </c>
      <c r="Z40" s="28">
        <v>1</v>
      </c>
      <c r="AA40" s="28">
        <v>1</v>
      </c>
      <c r="AB40" s="28">
        <v>1</v>
      </c>
      <c r="AC40" s="28">
        <v>2</v>
      </c>
      <c r="AD40" s="28">
        <v>2</v>
      </c>
      <c r="AE40" s="28">
        <v>4</v>
      </c>
      <c r="AF40" s="28">
        <v>3</v>
      </c>
      <c r="AG40" s="28">
        <v>2</v>
      </c>
      <c r="AH40" s="29" t="s">
        <v>2811</v>
      </c>
      <c r="AI40" s="36">
        <f>IF(OR(AND(K40&lt;32, J40&lt;2), O40=1, P40=1, Q40=1, R40=1, S40=1, T40=1, U40=1, AND(W40&lt;&gt;"", W40&lt;&gt;"Oxygen", W40&lt;&gt;"LowFlow")), "Intensive", "Intermediate")</f>
      </c>
      <c r="AJ40" s="57">
        <f>IF(OR(LEFT(AH40, 1)="X", LEFT(AH40, 1)="Y", LEFT(AH40, 3)="J37M"), "CUSM", "No Match")</f>
      </c>
      <c r="AK40" s="57">
        <f>IF(AND(OR(O40=3, P40=1, Q40=1, T40=1), AJ40="no Match"), "CUSM, CHU SJ, CHUQ", "")</f>
      </c>
      <c r="AL40" s="57">
        <f>IF(AND(O40=2, ISBLANK(P40), ISBLANK(Q40), ISBLANK(R40), ISBLANK(S40), ISBLANK(T40)), "CUSM, CHU SJ, CHUS, CHUQ", "")</f>
      </c>
      <c r="AM40" s="57">
        <f>IF(AND(AJ40="no match", AK40="", AL40="", K40&lt;26), "CUSM, CHU SJ, HGJ, CHUQ, CHUS", "")</f>
      </c>
      <c r="AN40" s="57">
        <f>IF(AND(AJ40="no match", AK40="", AL40="", K40&gt;26), "CUSM, CHU SJ, HGJ, CHUQ, CHUS, HMR", "")</f>
      </c>
    </row>
    <row x14ac:dyDescent="0.25" r="41" customHeight="1" ht="17.25">
      <c r="A41" s="41" t="s">
        <v>2812</v>
      </c>
      <c r="B41" s="28">
        <v>2</v>
      </c>
      <c r="C41" s="35">
        <v>761</v>
      </c>
      <c r="D41" s="29" t="s">
        <v>746</v>
      </c>
      <c r="E41" s="30" t="s">
        <v>50</v>
      </c>
      <c r="F41" s="31">
        <v>44949</v>
      </c>
      <c r="G41" s="32">
        <v>4.03125</v>
      </c>
      <c r="H41" s="31">
        <v>44948</v>
      </c>
      <c r="I41" s="32">
        <v>4.569444444444445</v>
      </c>
      <c r="J41" s="33">
        <f>F41-H41</f>
      </c>
      <c r="K41" s="28">
        <v>32</v>
      </c>
      <c r="L41" s="28">
        <v>6</v>
      </c>
      <c r="M41" s="28">
        <v>1</v>
      </c>
      <c r="N41" s="35">
        <v>1</v>
      </c>
      <c r="O41" s="34"/>
      <c r="P41" s="34"/>
      <c r="Q41" s="34"/>
      <c r="R41" s="34"/>
      <c r="S41" s="56"/>
      <c r="T41" s="34"/>
      <c r="U41" s="34"/>
      <c r="V41" s="34"/>
      <c r="W41" s="29" t="s">
        <v>58</v>
      </c>
      <c r="X41" s="28">
        <v>38</v>
      </c>
      <c r="Y41" s="28">
        <v>1</v>
      </c>
      <c r="Z41" s="28">
        <v>1</v>
      </c>
      <c r="AA41" s="28">
        <v>1</v>
      </c>
      <c r="AB41" s="28">
        <v>1</v>
      </c>
      <c r="AC41" s="28">
        <v>1</v>
      </c>
      <c r="AD41" s="28">
        <v>1</v>
      </c>
      <c r="AE41" s="28">
        <v>4</v>
      </c>
      <c r="AF41" s="28">
        <v>3</v>
      </c>
      <c r="AG41" s="28">
        <v>2</v>
      </c>
      <c r="AH41" s="29" t="s">
        <v>747</v>
      </c>
      <c r="AI41" s="36">
        <f>IF(OR(AND(K41&lt;32, J41&lt;2), O41=1, P41=1, Q41=1, R41=1, S41=1, T41=1, U41=1, AND(W41&lt;&gt;"", W41&lt;&gt;"Oxygen", W41&lt;&gt;"LowFlow")), "Intensive", "Intermediate")</f>
      </c>
      <c r="AJ41" s="57">
        <f>IF(OR(LEFT(AH41, 1)="X", LEFT(AH41, 1)="Y", LEFT(AH41, 3)="J38M"), "CUSM", "No Match")</f>
      </c>
      <c r="AK41" s="57">
        <f>IF(AND(OR(O41=3, P41=1, Q41=1, T41=1), AJ41="no Match"), "CUSM, CHU SJ, CHUQ", "")</f>
      </c>
      <c r="AL41" s="57">
        <f>IF(AND(O41=2, ISBLANK(P41), ISBLANK(Q41), ISBLANK(R41), ISBLANK(S41), ISBLANK(T41)), "CUSM, CHU SJ, CHUS, CHUQ", "")</f>
      </c>
      <c r="AM41" s="57">
        <f>IF(AND(AJ41="no match", AK41="", AL41="", K41&lt;26), "CUSM, CHU SJ, HGJ, CHUQ, CHUS", "")</f>
      </c>
      <c r="AN41" s="57">
        <f>IF(AND(AJ41="no match", AK41="", AL41="", K41&gt;26), "CUSM, CHU SJ, HGJ, CHUQ, CHUS, HMR", "")</f>
      </c>
    </row>
    <row x14ac:dyDescent="0.25" r="42" customHeight="1" ht="17.25">
      <c r="A42" s="41" t="s">
        <v>2813</v>
      </c>
      <c r="B42" s="28">
        <v>2</v>
      </c>
      <c r="C42" s="35">
        <v>776</v>
      </c>
      <c r="D42" s="29" t="s">
        <v>84</v>
      </c>
      <c r="E42" s="30" t="s">
        <v>50</v>
      </c>
      <c r="F42" s="31">
        <v>44949</v>
      </c>
      <c r="G42" s="32">
        <v>4.503472222222222</v>
      </c>
      <c r="H42" s="31">
        <v>44943</v>
      </c>
      <c r="I42" s="32">
        <v>4.374305555555555</v>
      </c>
      <c r="J42" s="33">
        <f>F42-H42</f>
      </c>
      <c r="K42" s="28">
        <v>37</v>
      </c>
      <c r="L42" s="28">
        <v>0</v>
      </c>
      <c r="M42" s="28">
        <v>1</v>
      </c>
      <c r="N42" s="34"/>
      <c r="O42" s="34"/>
      <c r="P42" s="34"/>
      <c r="Q42" s="34"/>
      <c r="R42" s="34"/>
      <c r="S42" s="56"/>
      <c r="T42" s="34"/>
      <c r="U42" s="34"/>
      <c r="V42" s="34"/>
      <c r="W42" s="29"/>
      <c r="X42" s="28">
        <v>38</v>
      </c>
      <c r="Y42" s="28">
        <v>2</v>
      </c>
      <c r="Z42" s="28">
        <v>2</v>
      </c>
      <c r="AA42" s="28">
        <v>3</v>
      </c>
      <c r="AB42" s="28">
        <v>1</v>
      </c>
      <c r="AC42" s="28">
        <v>2</v>
      </c>
      <c r="AD42" s="28">
        <v>1</v>
      </c>
      <c r="AE42" s="28">
        <v>4</v>
      </c>
      <c r="AF42" s="28">
        <v>3</v>
      </c>
      <c r="AG42" s="28">
        <v>3</v>
      </c>
      <c r="AH42" s="29" t="s">
        <v>2814</v>
      </c>
      <c r="AI42" s="36">
        <f>IF(OR(AND(K42&lt;32, J42&lt;2), O42=1, P42=1, Q42=1, R42=1, S42=1, T42=1, U42=1, AND(W42&lt;&gt;"", W42&lt;&gt;"Oxygen", W42&lt;&gt;"LowFlow")), "Intensive", "Intermediate")</f>
      </c>
      <c r="AJ42" s="57">
        <f>IF(OR(LEFT(AH42, 1)="X", LEFT(AH42, 1)="Y", LEFT(AH42, 3)="J39M"), "CUSM", "No Match")</f>
      </c>
      <c r="AK42" s="57">
        <f>IF(AND(OR(O42=3, P42=1, Q42=1, T42=1), AJ42="no Match"), "CUSM, CHU SJ, CHUQ", "")</f>
      </c>
      <c r="AL42" s="57">
        <f>IF(AND(O42=2, ISBLANK(P42), ISBLANK(Q42), ISBLANK(R42), ISBLANK(S42), ISBLANK(T42)), "CUSM, CHU SJ, CHUS, CHUQ", "")</f>
      </c>
      <c r="AM42" s="57">
        <f>IF(AND(AJ42="no match", AK42="", AL42="", K42&lt;26), "CUSM, CHU SJ, HGJ, CHUQ, CHUS", "")</f>
      </c>
      <c r="AN42" s="57">
        <f>IF(AND(AJ42="no match", AK42="", AL42="", K42&gt;26), "CUSM, CHU SJ, HGJ, CHUQ, CHUS, HMR", "")</f>
      </c>
    </row>
    <row x14ac:dyDescent="0.25" r="43" customHeight="1" ht="17.25">
      <c r="A43" s="41" t="s">
        <v>2815</v>
      </c>
      <c r="B43" s="28">
        <v>2</v>
      </c>
      <c r="C43" s="35">
        <v>779</v>
      </c>
      <c r="D43" s="29" t="s">
        <v>136</v>
      </c>
      <c r="E43" s="30" t="s">
        <v>54</v>
      </c>
      <c r="F43" s="31">
        <v>44950</v>
      </c>
      <c r="G43" s="32">
        <v>4.53125</v>
      </c>
      <c r="H43" s="31">
        <v>44948</v>
      </c>
      <c r="I43" s="32">
        <v>4.959722222222222</v>
      </c>
      <c r="J43" s="33">
        <f>F43-H43</f>
      </c>
      <c r="K43" s="28">
        <v>41</v>
      </c>
      <c r="L43" s="28">
        <v>2</v>
      </c>
      <c r="M43" s="28">
        <v>1</v>
      </c>
      <c r="N43" s="34"/>
      <c r="O43" s="34"/>
      <c r="P43" s="34"/>
      <c r="Q43" s="34"/>
      <c r="R43" s="34"/>
      <c r="S43" s="56"/>
      <c r="T43" s="34"/>
      <c r="U43" s="34"/>
      <c r="V43" s="34"/>
      <c r="W43" s="29"/>
      <c r="X43" s="28">
        <v>37</v>
      </c>
      <c r="Y43" s="28">
        <v>1</v>
      </c>
      <c r="Z43" s="28">
        <v>2</v>
      </c>
      <c r="AA43" s="28">
        <v>2</v>
      </c>
      <c r="AB43" s="28">
        <v>1</v>
      </c>
      <c r="AC43" s="28">
        <v>2</v>
      </c>
      <c r="AD43" s="28">
        <v>2</v>
      </c>
      <c r="AE43" s="28">
        <v>4</v>
      </c>
      <c r="AF43" s="28">
        <v>2</v>
      </c>
      <c r="AG43" s="28">
        <v>2</v>
      </c>
      <c r="AH43" s="29" t="s">
        <v>2816</v>
      </c>
      <c r="AI43" s="36">
        <f>IF(OR(AND(K43&lt;32, J43&lt;2), O43=1, P43=1, Q43=1, R43=1, S43=1, T43=1, U43=1, AND(W43&lt;&gt;"", W43&lt;&gt;"Oxygen", W43&lt;&gt;"LowFlow")), "Intensive", "Intermediate")</f>
      </c>
      <c r="AJ43" s="57">
        <f>IF(OR(LEFT(AH43, 1)="X", LEFT(AH43, 1)="Y", LEFT(AH43, 3)="J40M"), "CUSM", "No Match")</f>
      </c>
      <c r="AK43" s="57">
        <f>IF(AND(OR(O43=3, P43=1, Q43=1, T43=1), AJ43="no Match"), "CUSM, CHU SJ, CHUQ", "")</f>
      </c>
      <c r="AL43" s="57">
        <f>IF(AND(O43=2, ISBLANK(P43), ISBLANK(Q43), ISBLANK(R43), ISBLANK(S43), ISBLANK(T43)), "CUSM, CHU SJ, CHUS, CHUQ", "")</f>
      </c>
      <c r="AM43" s="57">
        <f>IF(AND(AJ43="no match", AK43="", AL43="", K43&lt;26), "CUSM, CHU SJ, HGJ, CHUQ, CHUS", "")</f>
      </c>
      <c r="AN43" s="57">
        <f>IF(AND(AJ43="no match", AK43="", AL43="", K43&gt;26), "CUSM, CHU SJ, HGJ, CHUQ, CHUS, HMR", "")</f>
      </c>
    </row>
    <row x14ac:dyDescent="0.25" r="44" customHeight="1" ht="17.25">
      <c r="A44" s="41" t="s">
        <v>2817</v>
      </c>
      <c r="B44" s="28">
        <v>2</v>
      </c>
      <c r="C44" s="35">
        <v>6</v>
      </c>
      <c r="D44" s="29" t="s">
        <v>131</v>
      </c>
      <c r="E44" s="30" t="s">
        <v>50</v>
      </c>
      <c r="F44" s="31">
        <v>44950</v>
      </c>
      <c r="G44" s="32">
        <v>4.018055555555556</v>
      </c>
      <c r="H44" s="31">
        <v>44937</v>
      </c>
      <c r="I44" s="32">
        <v>4.743055555555555</v>
      </c>
      <c r="J44" s="33">
        <f>F44-H44</f>
      </c>
      <c r="K44" s="28">
        <v>38</v>
      </c>
      <c r="L44" s="28">
        <v>3</v>
      </c>
      <c r="M44" s="28">
        <v>1</v>
      </c>
      <c r="N44" s="34"/>
      <c r="O44" s="34"/>
      <c r="P44" s="34"/>
      <c r="Q44" s="34"/>
      <c r="R44" s="34"/>
      <c r="S44" s="56"/>
      <c r="T44" s="34"/>
      <c r="U44" s="34"/>
      <c r="V44" s="34"/>
      <c r="W44" s="29"/>
      <c r="X44" s="28">
        <v>27</v>
      </c>
      <c r="Y44" s="28">
        <v>1</v>
      </c>
      <c r="Z44" s="28">
        <v>2</v>
      </c>
      <c r="AA44" s="28">
        <v>3</v>
      </c>
      <c r="AB44" s="28">
        <v>4</v>
      </c>
      <c r="AC44" s="28">
        <v>1</v>
      </c>
      <c r="AD44" s="28">
        <v>2</v>
      </c>
      <c r="AE44" s="28">
        <v>4</v>
      </c>
      <c r="AF44" s="28">
        <v>3</v>
      </c>
      <c r="AG44" s="28">
        <v>3</v>
      </c>
      <c r="AH44" s="29" t="s">
        <v>2818</v>
      </c>
      <c r="AI44" s="36">
        <f>IF(OR(AND(K44&lt;32, J44&lt;2), O44=1, P44=1, Q44=1, R44=1, S44=1, T44=1, U44=1, AND(W44&lt;&gt;"", W44&lt;&gt;"Oxygen", W44&lt;&gt;"LowFlow")), "Intensive", "Intermediate")</f>
      </c>
      <c r="AJ44" s="57">
        <f>IF(OR(LEFT(AH44, 1)="X", LEFT(AH44, 1)="Y", LEFT(AH44, 3)="J41M"), "CUSM", "No Match")</f>
      </c>
      <c r="AK44" s="57">
        <f>IF(AND(OR(O44=3, P44=1, Q44=1, T44=1), AJ44="no Match"), "CUSM, CHU SJ, CHUQ", "")</f>
      </c>
      <c r="AL44" s="57">
        <f>IF(AND(O44=2, ISBLANK(P44), ISBLANK(Q44), ISBLANK(R44), ISBLANK(S44), ISBLANK(T44)), "CUSM, CHU SJ, CHUS, CHUQ", "")</f>
      </c>
      <c r="AM44" s="57">
        <f>IF(AND(AJ44="no match", AK44="", AL44="", K44&lt;26), "CUSM, CHU SJ, HGJ, CHUQ, CHUS", "")</f>
      </c>
      <c r="AN44" s="57">
        <f>IF(AND(AJ44="no match", AK44="", AL44="", K44&gt;26), "CUSM, CHU SJ, HGJ, CHUQ, CHUS, HMR", "")</f>
      </c>
    </row>
    <row x14ac:dyDescent="0.25" r="45" customHeight="1" ht="17.25">
      <c r="A45" s="41" t="s">
        <v>2819</v>
      </c>
      <c r="B45" s="28">
        <v>2</v>
      </c>
      <c r="C45" s="35">
        <v>779</v>
      </c>
      <c r="D45" s="29" t="s">
        <v>136</v>
      </c>
      <c r="E45" s="30" t="s">
        <v>54</v>
      </c>
      <c r="F45" s="31">
        <v>44951</v>
      </c>
      <c r="G45" s="32">
        <v>4.545138888888889</v>
      </c>
      <c r="H45" s="31">
        <v>44948</v>
      </c>
      <c r="I45" s="32">
        <v>4.149305555555555</v>
      </c>
      <c r="J45" s="33">
        <f>F45-H45</f>
      </c>
      <c r="K45" s="28">
        <v>38</v>
      </c>
      <c r="L45" s="28">
        <v>3</v>
      </c>
      <c r="M45" s="28">
        <v>2</v>
      </c>
      <c r="N45" s="35">
        <v>1</v>
      </c>
      <c r="O45" s="34"/>
      <c r="P45" s="35">
        <v>1</v>
      </c>
      <c r="Q45" s="34"/>
      <c r="R45" s="34"/>
      <c r="S45" s="56"/>
      <c r="T45" s="34"/>
      <c r="U45" s="34"/>
      <c r="V45" s="34"/>
      <c r="W45" s="29"/>
      <c r="X45" s="28">
        <v>30</v>
      </c>
      <c r="Y45" s="28">
        <v>1</v>
      </c>
      <c r="Z45" s="28">
        <v>1</v>
      </c>
      <c r="AA45" s="28">
        <v>2</v>
      </c>
      <c r="AB45" s="28">
        <v>1</v>
      </c>
      <c r="AC45" s="28">
        <v>2</v>
      </c>
      <c r="AD45" s="28">
        <v>2</v>
      </c>
      <c r="AE45" s="28">
        <v>4</v>
      </c>
      <c r="AF45" s="35">
        <v>2</v>
      </c>
      <c r="AG45" s="28">
        <v>2</v>
      </c>
      <c r="AH45" s="29" t="s">
        <v>2820</v>
      </c>
      <c r="AI45" s="36">
        <f>IF(OR(AND(K45&lt;32, J45&lt;2), O45=1, P45=1, Q45=1, R45=1, S45=1, T45=1, U45=1, AND(W45&lt;&gt;"", W45&lt;&gt;"Oxygen", W45&lt;&gt;"LowFlow")), "Intensive", "Intermediate")</f>
      </c>
      <c r="AJ45" s="57">
        <f>IF(OR(LEFT(AH45, 1)="X", LEFT(AH45, 1)="Y", LEFT(AH45, 3)="J42M"), "CUSM", "No Match")</f>
      </c>
      <c r="AK45" s="57">
        <f>IF(AND(OR(O45=3, P45=1, Q45=1, T45=1), AJ45="no Match"), "CUSM, CHU SJ, CHUQ", "")</f>
      </c>
      <c r="AL45" s="57">
        <f>IF(AND(O45=2, ISBLANK(P45), ISBLANK(Q45), ISBLANK(R45), ISBLANK(S45), ISBLANK(T45)), "CUSM, CHU SJ, CHUS, CHUQ", "")</f>
      </c>
      <c r="AM45" s="57">
        <f>IF(AND(AJ45="no match", AK45="", AL45="", K45&lt;26), "CUSM, CHU SJ, HGJ, CHUQ, CHUS", "")</f>
      </c>
      <c r="AN45" s="57">
        <f>IF(AND(AJ45="no match", AK45="", AL45="", K45&gt;26), "CUSM, CHU SJ, HGJ, CHUQ, CHUS, HMR", "")</f>
      </c>
    </row>
    <row x14ac:dyDescent="0.25" r="46" customHeight="1" ht="17.25">
      <c r="A46" s="41" t="s">
        <v>2821</v>
      </c>
      <c r="B46" s="28">
        <v>2</v>
      </c>
      <c r="C46" s="35">
        <v>822</v>
      </c>
      <c r="D46" s="29" t="s">
        <v>167</v>
      </c>
      <c r="E46" s="30" t="s">
        <v>54</v>
      </c>
      <c r="F46" s="31">
        <v>44951</v>
      </c>
      <c r="G46" s="32">
        <v>4.565972222222222</v>
      </c>
      <c r="H46" s="31">
        <v>44951</v>
      </c>
      <c r="I46" s="32">
        <v>4.378472222222222</v>
      </c>
      <c r="J46" s="33">
        <f>F46-H46</f>
      </c>
      <c r="K46" s="28">
        <v>39</v>
      </c>
      <c r="L46" s="28">
        <v>4</v>
      </c>
      <c r="M46" s="28">
        <v>1</v>
      </c>
      <c r="N46" s="38"/>
      <c r="O46" s="34"/>
      <c r="P46" s="34"/>
      <c r="Q46" s="34"/>
      <c r="R46" s="34"/>
      <c r="S46" s="56"/>
      <c r="T46" s="34"/>
      <c r="U46" s="34"/>
      <c r="V46" s="38"/>
      <c r="W46" s="29" t="s">
        <v>74</v>
      </c>
      <c r="X46" s="28">
        <v>33</v>
      </c>
      <c r="Y46" s="28">
        <v>1</v>
      </c>
      <c r="Z46" s="28">
        <v>1</v>
      </c>
      <c r="AA46" s="28">
        <v>3</v>
      </c>
      <c r="AB46" s="28">
        <v>4</v>
      </c>
      <c r="AC46" s="28">
        <v>3</v>
      </c>
      <c r="AD46" s="28">
        <v>3</v>
      </c>
      <c r="AE46" s="28">
        <v>4</v>
      </c>
      <c r="AF46" s="35">
        <v>3</v>
      </c>
      <c r="AG46" s="28">
        <v>2</v>
      </c>
      <c r="AH46" s="29" t="s">
        <v>2822</v>
      </c>
      <c r="AI46" s="36">
        <f>IF(OR(AND(K46&lt;32, J46&lt;2), O46=1, P46=1, Q46=1, R46=1, S46=1, T46=1, U46=1, AND(W46&lt;&gt;"", W46&lt;&gt;"Oxygen", W46&lt;&gt;"LowFlow")), "Intensive", "Intermediate")</f>
      </c>
      <c r="AJ46" s="57">
        <f>IF(OR(LEFT(AH46, 1)="X", LEFT(AH46, 1)="Y", LEFT(AH46, 3)="J43M"), "CUSM", "No Match")</f>
      </c>
      <c r="AK46" s="57">
        <f>IF(AND(OR(O46=3, P46=1, Q46=1, T46=1), AJ46="no Match"), "CUSM, CHU SJ, CHUQ", "")</f>
      </c>
      <c r="AL46" s="57">
        <f>IF(AND(O46=2, ISBLANK(P46), ISBLANK(Q46), ISBLANK(R46), ISBLANK(S46), ISBLANK(T46)), "CUSM, CHU SJ, CHUS, CHUQ", "")</f>
      </c>
      <c r="AM46" s="57">
        <f>IF(AND(AJ46="no match", AK46="", AL46="", K46&lt;26), "CUSM, CHU SJ, HGJ, CHUQ, CHUS", "")</f>
      </c>
      <c r="AN46" s="57">
        <f>IF(AND(AJ46="no match", AK46="", AL46="", K46&gt;26), "CUSM, CHU SJ, HGJ, CHUQ, CHUS, HMR", "")</f>
      </c>
    </row>
    <row x14ac:dyDescent="0.25" r="47" customHeight="1" ht="17.25">
      <c r="A47" s="41" t="s">
        <v>2823</v>
      </c>
      <c r="B47" s="28">
        <v>2</v>
      </c>
      <c r="C47" s="35">
        <v>831</v>
      </c>
      <c r="D47" s="29" t="s">
        <v>313</v>
      </c>
      <c r="E47" s="30" t="s">
        <v>50</v>
      </c>
      <c r="F47" s="31">
        <v>44951</v>
      </c>
      <c r="G47" s="32">
        <v>4.576388888888889</v>
      </c>
      <c r="H47" s="31">
        <v>44937</v>
      </c>
      <c r="I47" s="32">
        <v>4.247222222222222</v>
      </c>
      <c r="J47" s="33">
        <f>F47-H47</f>
      </c>
      <c r="K47" s="28">
        <v>37</v>
      </c>
      <c r="L47" s="28">
        <v>5</v>
      </c>
      <c r="M47" s="28">
        <v>2</v>
      </c>
      <c r="N47" s="38"/>
      <c r="O47" s="34"/>
      <c r="P47" s="38"/>
      <c r="Q47" s="34"/>
      <c r="R47" s="34"/>
      <c r="S47" s="56"/>
      <c r="T47" s="34"/>
      <c r="U47" s="34"/>
      <c r="V47" s="38"/>
      <c r="W47" s="29"/>
      <c r="X47" s="28">
        <v>30</v>
      </c>
      <c r="Y47" s="28">
        <v>1</v>
      </c>
      <c r="Z47" s="28">
        <v>1</v>
      </c>
      <c r="AA47" s="28">
        <v>2</v>
      </c>
      <c r="AB47" s="28">
        <v>1</v>
      </c>
      <c r="AC47" s="28">
        <v>2</v>
      </c>
      <c r="AD47" s="28">
        <v>2</v>
      </c>
      <c r="AE47" s="28">
        <v>4</v>
      </c>
      <c r="AF47" s="35">
        <v>3</v>
      </c>
      <c r="AG47" s="28">
        <v>2</v>
      </c>
      <c r="AH47" s="29" t="s">
        <v>2824</v>
      </c>
      <c r="AI47" s="36">
        <f>IF(OR(AND(K47&lt;32, J47&lt;2), O47=1, P47=1, Q47=1, R47=1, S47=1, T47=1, U47=1, AND(W47&lt;&gt;"", W47&lt;&gt;"Oxygen", W47&lt;&gt;"LowFlow")), "Intensive", "Intermediate")</f>
      </c>
      <c r="AJ47" s="57">
        <f>IF(OR(LEFT(AH47, 1)="X", LEFT(AH47, 1)="Y", LEFT(AH47, 3)="J44M"), "CUSM", "No Match")</f>
      </c>
      <c r="AK47" s="57">
        <f>IF(AND(OR(O47=3, P47=1, Q47=1, T47=1), AJ47="no Match"), "CUSM, CHU SJ, CHUQ", "")</f>
      </c>
      <c r="AL47" s="57">
        <f>IF(AND(O47=2, ISBLANK(P47), ISBLANK(Q47), ISBLANK(R47), ISBLANK(S47), ISBLANK(T47)), "CUSM, CHU SJ, CHUS, CHUQ", "")</f>
      </c>
      <c r="AM47" s="57">
        <f>IF(AND(AJ47="no match", AK47="", AL47="", K47&lt;26), "CUSM, CHU SJ, HGJ, CHUQ, CHUS", "")</f>
      </c>
      <c r="AN47" s="57">
        <f>IF(AND(AJ47="no match", AK47="", AL47="", K47&gt;26), "CUSM, CHU SJ, HGJ, CHUQ, CHUS, HMR", "")</f>
      </c>
    </row>
    <row x14ac:dyDescent="0.25" r="48" customHeight="1" ht="17.25">
      <c r="A48" s="41" t="s">
        <v>2825</v>
      </c>
      <c r="B48" s="28">
        <v>2</v>
      </c>
      <c r="C48" s="35">
        <v>824</v>
      </c>
      <c r="D48" s="29" t="s">
        <v>57</v>
      </c>
      <c r="E48" s="30" t="s">
        <v>54</v>
      </c>
      <c r="F48" s="31">
        <v>44952</v>
      </c>
      <c r="G48" s="32">
        <v>4.5125</v>
      </c>
      <c r="H48" s="31">
        <v>44951</v>
      </c>
      <c r="I48" s="32">
        <v>4.84375</v>
      </c>
      <c r="J48" s="33">
        <f>F48-H48</f>
      </c>
      <c r="K48" s="28">
        <v>40</v>
      </c>
      <c r="L48" s="28">
        <v>0</v>
      </c>
      <c r="M48" s="28">
        <v>2</v>
      </c>
      <c r="N48" s="34"/>
      <c r="O48" s="34"/>
      <c r="P48" s="34"/>
      <c r="Q48" s="34"/>
      <c r="R48" s="34"/>
      <c r="S48" s="56"/>
      <c r="T48" s="34"/>
      <c r="U48" s="34"/>
      <c r="V48" s="34"/>
      <c r="W48" s="29"/>
      <c r="X48" s="28">
        <v>31</v>
      </c>
      <c r="Y48" s="28">
        <v>1</v>
      </c>
      <c r="Z48" s="28">
        <v>2</v>
      </c>
      <c r="AA48" s="28">
        <v>1</v>
      </c>
      <c r="AB48" s="28">
        <v>1</v>
      </c>
      <c r="AC48" s="28">
        <v>2</v>
      </c>
      <c r="AD48" s="28">
        <v>2</v>
      </c>
      <c r="AE48" s="28">
        <v>4</v>
      </c>
      <c r="AF48" s="28">
        <v>1</v>
      </c>
      <c r="AG48" s="28">
        <v>2</v>
      </c>
      <c r="AH48" s="29" t="s">
        <v>2826</v>
      </c>
      <c r="AI48" s="36">
        <f>IF(OR(AND(K48&lt;32, J48&lt;2), O48=1, P48=1, Q48=1, R48=1, S48=1, T48=1, U48=1, AND(W48&lt;&gt;"", W48&lt;&gt;"Oxygen", W48&lt;&gt;"LowFlow")), "Intensive", "Intermediate")</f>
      </c>
      <c r="AJ48" s="57">
        <f>IF(OR(LEFT(AH48, 1)="X", LEFT(AH48, 1)="Y", LEFT(AH48, 3)="J45M"), "CUSM", "No Match")</f>
      </c>
      <c r="AK48" s="57">
        <f>IF(AND(OR(O48=3, P48=1, Q48=1, T48=1), AJ48="no Match"), "CUSM, CHU SJ, CHUQ", "")</f>
      </c>
      <c r="AL48" s="57">
        <f>IF(AND(O48=2, ISBLANK(P48), ISBLANK(Q48), ISBLANK(R48), ISBLANK(S48), ISBLANK(T48)), "CUSM, CHU SJ, CHUS, CHUQ", "")</f>
      </c>
      <c r="AM48" s="57">
        <f>IF(AND(AJ48="no match", AK48="", AL48="", K48&lt;26), "CUSM, CHU SJ, HGJ, CHUQ, CHUS", "")</f>
      </c>
      <c r="AN48" s="57">
        <f>IF(AND(AJ48="no match", AK48="", AL48="", K48&gt;26), "CUSM, CHU SJ, HGJ, CHUQ, CHUS, HMR", "")</f>
      </c>
    </row>
    <row x14ac:dyDescent="0.25" r="49" customHeight="1" ht="17.25">
      <c r="A49" s="41" t="s">
        <v>2827</v>
      </c>
      <c r="B49" s="28">
        <v>2</v>
      </c>
      <c r="C49" s="35">
        <v>782</v>
      </c>
      <c r="D49" s="29" t="s">
        <v>95</v>
      </c>
      <c r="E49" s="30" t="s">
        <v>50</v>
      </c>
      <c r="F49" s="31">
        <v>44952</v>
      </c>
      <c r="G49" s="32">
        <v>4.552083333333334</v>
      </c>
      <c r="H49" s="31">
        <v>44946</v>
      </c>
      <c r="I49" s="32">
        <v>4.742361111111111</v>
      </c>
      <c r="J49" s="33">
        <f>F49-H49</f>
      </c>
      <c r="K49" s="28">
        <v>40</v>
      </c>
      <c r="L49" s="28">
        <v>6</v>
      </c>
      <c r="M49" s="28">
        <v>1</v>
      </c>
      <c r="N49" s="38"/>
      <c r="O49" s="28">
        <v>2</v>
      </c>
      <c r="P49" s="38"/>
      <c r="Q49" s="34"/>
      <c r="R49" s="34"/>
      <c r="S49" s="56"/>
      <c r="T49" s="34"/>
      <c r="U49" s="34"/>
      <c r="V49" s="34"/>
      <c r="W49" s="29"/>
      <c r="X49" s="28">
        <v>26</v>
      </c>
      <c r="Y49" s="28">
        <v>1</v>
      </c>
      <c r="Z49" s="28">
        <v>2</v>
      </c>
      <c r="AA49" s="28">
        <v>3</v>
      </c>
      <c r="AB49" s="28">
        <v>1</v>
      </c>
      <c r="AC49" s="28">
        <v>2</v>
      </c>
      <c r="AD49" s="28">
        <v>2</v>
      </c>
      <c r="AE49" s="28">
        <v>4</v>
      </c>
      <c r="AF49" s="28">
        <v>3</v>
      </c>
      <c r="AG49" s="28">
        <v>3</v>
      </c>
      <c r="AH49" s="29" t="s">
        <v>2828</v>
      </c>
      <c r="AI49" s="36">
        <f>IF(OR(AND(K49&lt;32, J49&lt;2), O49=1, P49=1, Q49=1, R49=1, S49=1, T49=1, U49=1, AND(W49&lt;&gt;"", W49&lt;&gt;"Oxygen", W49&lt;&gt;"LowFlow")), "Intensive", "Intermediate")</f>
      </c>
      <c r="AJ49" s="57">
        <f>IF(OR(LEFT(AH49, 1)="X", LEFT(AH49, 1)="Y", LEFT(AH49, 3)="J46M"), "CUSM", "No Match")</f>
      </c>
      <c r="AK49" s="57">
        <f>IF(AND(OR(O49=3, P49=1, Q49=1, T49=1), AJ49="no Match"), "CUSM, CHU SJ, CHUQ", "")</f>
      </c>
      <c r="AL49" s="57">
        <f>IF(AND(O49=2, ISBLANK(P49), ISBLANK(Q49), ISBLANK(R49), ISBLANK(S49), ISBLANK(T49)), "CUSM, CHU SJ, CHUS, CHUQ", "")</f>
      </c>
      <c r="AM49" s="57">
        <f>IF(AND(AJ49="no match", AK49="", AL49="", K49&lt;26), "CUSM, CHU SJ, HGJ, CHUQ, CHUS", "")</f>
      </c>
      <c r="AN49" s="57">
        <f>IF(AND(AJ49="no match", AK49="", AL49="", K49&gt;26), "CUSM, CHU SJ, HGJ, CHUQ, CHUS, HMR", "")</f>
      </c>
    </row>
    <row x14ac:dyDescent="0.25" r="50" customHeight="1" ht="17.25">
      <c r="A50" s="41" t="s">
        <v>2829</v>
      </c>
      <c r="B50" s="28">
        <v>2</v>
      </c>
      <c r="C50" s="35">
        <v>806</v>
      </c>
      <c r="D50" s="29" t="s">
        <v>438</v>
      </c>
      <c r="E50" s="30" t="s">
        <v>54</v>
      </c>
      <c r="F50" s="31">
        <v>44953</v>
      </c>
      <c r="G50" s="32">
        <v>4.520833333333334</v>
      </c>
      <c r="H50" s="31">
        <v>44950</v>
      </c>
      <c r="I50" s="32">
        <v>4.35</v>
      </c>
      <c r="J50" s="33">
        <f>F50-H50</f>
      </c>
      <c r="K50" s="28">
        <v>40</v>
      </c>
      <c r="L50" s="28">
        <v>0</v>
      </c>
      <c r="M50" s="28">
        <v>2</v>
      </c>
      <c r="N50" s="34"/>
      <c r="O50" s="34"/>
      <c r="P50" s="34"/>
      <c r="Q50" s="34"/>
      <c r="R50" s="34"/>
      <c r="S50" s="56"/>
      <c r="T50" s="34"/>
      <c r="U50" s="34"/>
      <c r="V50" s="34"/>
      <c r="W50" s="29"/>
      <c r="X50" s="28">
        <v>35</v>
      </c>
      <c r="Y50" s="28">
        <v>1</v>
      </c>
      <c r="Z50" s="28">
        <v>1</v>
      </c>
      <c r="AA50" s="28">
        <v>2</v>
      </c>
      <c r="AB50" s="28">
        <v>4</v>
      </c>
      <c r="AC50" s="28">
        <v>3</v>
      </c>
      <c r="AD50" s="28">
        <v>3</v>
      </c>
      <c r="AE50" s="28">
        <v>4</v>
      </c>
      <c r="AF50" s="28">
        <v>3</v>
      </c>
      <c r="AG50" s="28">
        <v>1</v>
      </c>
      <c r="AH50" s="29" t="s">
        <v>2830</v>
      </c>
      <c r="AI50" s="36">
        <f>IF(OR(AND(K50&lt;32, J50&lt;2), O50=1, P50=1, Q50=1, R50=1, S50=1, T50=1, U50=1, AND(W50&lt;&gt;"", W50&lt;&gt;"Oxygen", W50&lt;&gt;"LowFlow")), "Intensive", "Intermediate")</f>
      </c>
      <c r="AJ50" s="57">
        <f>IF(OR(LEFT(AH50, 1)="X", LEFT(AH50, 1)="Y", LEFT(AH50, 3)="J47M"), "CUSM", "No Match")</f>
      </c>
      <c r="AK50" s="57">
        <f>IF(AND(OR(O50=3, P50=1, Q50=1, T50=1), AJ50="no Match"), "CUSM, CHU SJ, CHUQ", "")</f>
      </c>
      <c r="AL50" s="57">
        <f>IF(AND(O50=2, ISBLANK(P50), ISBLANK(Q50), ISBLANK(R50), ISBLANK(S50), ISBLANK(T50)), "CUSM, CHU SJ, CHUS, CHUQ", "")</f>
      </c>
      <c r="AM50" s="57">
        <f>IF(AND(AJ50="no match", AK50="", AL50="", K50&lt;26), "CUSM, CHU SJ, HGJ, CHUQ, CHUS", "")</f>
      </c>
      <c r="AN50" s="57">
        <f>IF(AND(AJ50="no match", AK50="", AL50="", K50&gt;26), "CUSM, CHU SJ, HGJ, CHUQ, CHUS, HMR", "")</f>
      </c>
    </row>
    <row x14ac:dyDescent="0.25" r="51" customHeight="1" ht="17.25">
      <c r="A51" s="41" t="s">
        <v>2831</v>
      </c>
      <c r="B51" s="28">
        <v>2</v>
      </c>
      <c r="C51" s="35">
        <v>731</v>
      </c>
      <c r="D51" s="29" t="s">
        <v>103</v>
      </c>
      <c r="E51" s="30" t="s">
        <v>50</v>
      </c>
      <c r="F51" s="31">
        <v>44953</v>
      </c>
      <c r="G51" s="32">
        <v>4.708333333333334</v>
      </c>
      <c r="H51" s="31">
        <v>44936</v>
      </c>
      <c r="I51" s="32">
        <v>4.697222222222223</v>
      </c>
      <c r="J51" s="33">
        <f>F51-H51</f>
      </c>
      <c r="K51" s="28">
        <v>38</v>
      </c>
      <c r="L51" s="28">
        <v>0</v>
      </c>
      <c r="M51" s="28">
        <v>2</v>
      </c>
      <c r="N51" s="34"/>
      <c r="O51" s="34"/>
      <c r="P51" s="34"/>
      <c r="Q51" s="34"/>
      <c r="R51" s="34"/>
      <c r="S51" s="56"/>
      <c r="T51" s="34"/>
      <c r="U51" s="34"/>
      <c r="V51" s="34"/>
      <c r="W51" s="29"/>
      <c r="X51" s="28">
        <v>27</v>
      </c>
      <c r="Y51" s="28">
        <v>1</v>
      </c>
      <c r="Z51" s="28">
        <v>1</v>
      </c>
      <c r="AA51" s="28">
        <v>3</v>
      </c>
      <c r="AB51" s="28">
        <v>1</v>
      </c>
      <c r="AC51" s="28">
        <v>2</v>
      </c>
      <c r="AD51" s="28">
        <v>2</v>
      </c>
      <c r="AE51" s="28">
        <v>4</v>
      </c>
      <c r="AF51" s="28">
        <v>3</v>
      </c>
      <c r="AG51" s="28">
        <v>3</v>
      </c>
      <c r="AH51" s="29" t="s">
        <v>2832</v>
      </c>
      <c r="AI51" s="36">
        <f>IF(OR(AND(K51&lt;32, J51&lt;2), O51=1, P51=1, Q51=1, R51=1, S51=1, T51=1, U51=1, AND(W51&lt;&gt;"", W51&lt;&gt;"Oxygen", W51&lt;&gt;"LowFlow")), "Intensive", "Intermediate")</f>
      </c>
      <c r="AJ51" s="57">
        <f>IF(OR(LEFT(AH51, 1)="X", LEFT(AH51, 1)="Y", LEFT(AH51, 3)="J48M"), "CUSM", "No Match")</f>
      </c>
      <c r="AK51" s="57">
        <f>IF(AND(OR(O51=3, P51=1, Q51=1, T51=1), AJ51="no Match"), "CUSM, CHU SJ, CHUQ", "")</f>
      </c>
      <c r="AL51" s="57">
        <f>IF(AND(O51=2, ISBLANK(P51), ISBLANK(Q51), ISBLANK(R51), ISBLANK(S51), ISBLANK(T51)), "CUSM, CHU SJ, CHUS, CHUQ", "")</f>
      </c>
      <c r="AM51" s="57">
        <f>IF(AND(AJ51="no match", AK51="", AL51="", K51&lt;26), "CUSM, CHU SJ, HGJ, CHUQ, CHUS", "")</f>
      </c>
      <c r="AN51" s="57">
        <f>IF(AND(AJ51="no match", AK51="", AL51="", K51&gt;26), "CUSM, CHU SJ, HGJ, CHUQ, CHUS, HMR", "")</f>
      </c>
    </row>
    <row x14ac:dyDescent="0.25" r="52" customHeight="1" ht="17.25">
      <c r="A52" s="41" t="s">
        <v>2833</v>
      </c>
      <c r="B52" s="28">
        <v>2</v>
      </c>
      <c r="C52" s="28">
        <v>737</v>
      </c>
      <c r="D52" s="29" t="s">
        <v>202</v>
      </c>
      <c r="E52" s="30" t="s">
        <v>54</v>
      </c>
      <c r="F52" s="31">
        <v>44954</v>
      </c>
      <c r="G52" s="32">
        <v>4.78125</v>
      </c>
      <c r="H52" s="31">
        <v>44848</v>
      </c>
      <c r="I52" s="39"/>
      <c r="J52" s="33">
        <f>F52-H52</f>
      </c>
      <c r="K52" s="28">
        <v>39</v>
      </c>
      <c r="L52" s="28">
        <v>2</v>
      </c>
      <c r="M52" s="28">
        <v>2</v>
      </c>
      <c r="N52" s="34"/>
      <c r="O52" s="34"/>
      <c r="P52" s="34"/>
      <c r="Q52" s="34"/>
      <c r="R52" s="34"/>
      <c r="S52" s="56"/>
      <c r="T52" s="38"/>
      <c r="U52" s="34"/>
      <c r="V52" s="34"/>
      <c r="W52" s="29" t="s">
        <v>74</v>
      </c>
      <c r="X52" s="28">
        <v>28</v>
      </c>
      <c r="Y52" s="28">
        <v>1</v>
      </c>
      <c r="Z52" s="28">
        <v>1</v>
      </c>
      <c r="AA52" s="28">
        <v>3</v>
      </c>
      <c r="AB52" s="28">
        <v>4</v>
      </c>
      <c r="AC52" s="28">
        <v>3</v>
      </c>
      <c r="AD52" s="28">
        <v>3</v>
      </c>
      <c r="AE52" s="28">
        <v>4</v>
      </c>
      <c r="AF52" s="28">
        <v>3</v>
      </c>
      <c r="AG52" s="28">
        <v>2</v>
      </c>
      <c r="AH52" s="29" t="s">
        <v>2834</v>
      </c>
      <c r="AI52" s="36">
        <f>IF(OR(AND(K52&lt;32, J52&lt;2), O52=1, P52=1, Q52=1, R52=1, S52=1, T52=1, U52=1, AND(W52&lt;&gt;"", W52&lt;&gt;"Oxygen", W52&lt;&gt;"LowFlow")), "Intensive", "Intermediate")</f>
      </c>
      <c r="AJ52" s="57">
        <f>IF(OR(LEFT(AH52, 1)="X", LEFT(AH52, 1)="Y", LEFT(AH52, 3)="J49M"), "CUSM", "No Match")</f>
      </c>
      <c r="AK52" s="57">
        <f>IF(AND(OR(O52=3, P52=1, Q52=1, T52=1), AJ52="no Match"), "CUSM, CHU SJ, CHUQ", "")</f>
      </c>
      <c r="AL52" s="57">
        <f>IF(AND(O52=2, ISBLANK(P52), ISBLANK(Q52), ISBLANK(R52), ISBLANK(S52), ISBLANK(T52)), "CUSM, CHU SJ, CHUS, CHUQ", "")</f>
      </c>
      <c r="AM52" s="57">
        <f>IF(AND(AJ52="no match", AK52="", AL52="", K52&lt;26), "CUSM, CHU SJ, HGJ, CHUQ, CHUS", "")</f>
      </c>
      <c r="AN52" s="57">
        <f>IF(AND(AJ52="no match", AK52="", AL52="", K52&gt;26), "CUSM, CHU SJ, HGJ, CHUQ, CHUS, HMR", "")</f>
      </c>
    </row>
    <row x14ac:dyDescent="0.25" r="53" customHeight="1" ht="17.25">
      <c r="A53" s="41" t="s">
        <v>2835</v>
      </c>
      <c r="B53" s="28">
        <v>2</v>
      </c>
      <c r="C53" s="28">
        <v>779</v>
      </c>
      <c r="D53" s="29" t="s">
        <v>136</v>
      </c>
      <c r="E53" s="30" t="s">
        <v>54</v>
      </c>
      <c r="F53" s="31">
        <v>44954</v>
      </c>
      <c r="G53" s="32">
        <v>4.600694444444445</v>
      </c>
      <c r="H53" s="31">
        <v>44952</v>
      </c>
      <c r="I53" s="32">
        <v>4.916666666666666</v>
      </c>
      <c r="J53" s="33">
        <f>F53-H53</f>
      </c>
      <c r="K53" s="28">
        <v>39</v>
      </c>
      <c r="L53" s="28">
        <v>2</v>
      </c>
      <c r="M53" s="28">
        <v>1</v>
      </c>
      <c r="N53" s="34"/>
      <c r="O53" s="34"/>
      <c r="P53" s="34"/>
      <c r="Q53" s="34"/>
      <c r="R53" s="34"/>
      <c r="S53" s="56"/>
      <c r="T53" s="38"/>
      <c r="U53" s="34"/>
      <c r="V53" s="34"/>
      <c r="W53" s="29" t="s">
        <v>106</v>
      </c>
      <c r="X53" s="28">
        <v>24</v>
      </c>
      <c r="Y53" s="28">
        <v>1</v>
      </c>
      <c r="Z53" s="28">
        <v>2</v>
      </c>
      <c r="AA53" s="28">
        <v>1</v>
      </c>
      <c r="AB53" s="28">
        <v>1</v>
      </c>
      <c r="AC53" s="28">
        <v>2</v>
      </c>
      <c r="AD53" s="28">
        <v>2</v>
      </c>
      <c r="AE53" s="28">
        <v>4</v>
      </c>
      <c r="AF53" s="28">
        <v>2</v>
      </c>
      <c r="AG53" s="28">
        <v>2</v>
      </c>
      <c r="AH53" s="29" t="s">
        <v>2836</v>
      </c>
      <c r="AI53" s="36">
        <f>IF(OR(AND(K53&lt;32, J53&lt;2), O53=1, P53=1, Q53=1, R53=1, S53=1, T53=1, U53=1, AND(W53&lt;&gt;"", W53&lt;&gt;"Oxygen", W53&lt;&gt;"LowFlow")), "Intensive", "Intermediate")</f>
      </c>
      <c r="AJ53" s="57">
        <f>IF(OR(LEFT(AH53, 1)="X", LEFT(AH53, 1)="Y", LEFT(AH53, 3)="J50M"), "CUSM", "No Match")</f>
      </c>
      <c r="AK53" s="57">
        <f>IF(AND(OR(O53=3, P53=1, Q53=1, T53=1), AJ53="no Match"), "CUSM, CHU SJ, CHUQ", "")</f>
      </c>
      <c r="AL53" s="57">
        <f>IF(AND(O53=2, ISBLANK(P53), ISBLANK(Q53), ISBLANK(R53), ISBLANK(S53), ISBLANK(T53)), "CUSM, CHU SJ, CHUS, CHUQ", "")</f>
      </c>
      <c r="AM53" s="57">
        <f>IF(AND(AJ53="no match", AK53="", AL53="", K53&lt;26), "CUSM, CHU SJ, HGJ, CHUQ, CHUS", "")</f>
      </c>
      <c r="AN53" s="57">
        <f>IF(AND(AJ53="no match", AK53="", AL53="", K53&gt;26), "CUSM, CHU SJ, HGJ, CHUQ, CHUS, HMR", "")</f>
      </c>
    </row>
    <row x14ac:dyDescent="0.25" r="54" customHeight="1" ht="17.25">
      <c r="A54" s="41" t="s">
        <v>2837</v>
      </c>
      <c r="B54" s="28">
        <v>2</v>
      </c>
      <c r="C54" s="35">
        <v>839</v>
      </c>
      <c r="D54" s="29" t="s">
        <v>53</v>
      </c>
      <c r="E54" s="30" t="s">
        <v>54</v>
      </c>
      <c r="F54" s="31">
        <v>44954</v>
      </c>
      <c r="G54" s="32">
        <v>4.41875</v>
      </c>
      <c r="H54" s="31">
        <v>44954</v>
      </c>
      <c r="I54" s="32">
        <v>4.259722222222223</v>
      </c>
      <c r="J54" s="33">
        <f>F54-H54</f>
      </c>
      <c r="K54" s="28">
        <v>41</v>
      </c>
      <c r="L54" s="28">
        <v>1</v>
      </c>
      <c r="M54" s="28">
        <v>1</v>
      </c>
      <c r="N54" s="38"/>
      <c r="O54" s="38"/>
      <c r="P54" s="38"/>
      <c r="Q54" s="34"/>
      <c r="R54" s="34"/>
      <c r="S54" s="56"/>
      <c r="T54" s="35">
        <v>1</v>
      </c>
      <c r="U54" s="34"/>
      <c r="V54" s="34"/>
      <c r="W54" s="29" t="s">
        <v>164</v>
      </c>
      <c r="X54" s="28">
        <v>30</v>
      </c>
      <c r="Y54" s="28">
        <v>1</v>
      </c>
      <c r="Z54" s="28">
        <v>1</v>
      </c>
      <c r="AA54" s="28">
        <v>1</v>
      </c>
      <c r="AB54" s="28">
        <v>1</v>
      </c>
      <c r="AC54" s="28">
        <v>2</v>
      </c>
      <c r="AD54" s="28">
        <v>2</v>
      </c>
      <c r="AE54" s="28">
        <v>4</v>
      </c>
      <c r="AF54" s="35">
        <v>2</v>
      </c>
      <c r="AG54" s="28">
        <v>2</v>
      </c>
      <c r="AH54" s="29" t="s">
        <v>2838</v>
      </c>
      <c r="AI54" s="36">
        <f>IF(OR(AND(K54&lt;32, J54&lt;2), O54=1, P54=1, Q54=1, R54=1, S54=1, T54=1, U54=1, AND(W54&lt;&gt;"", W54&lt;&gt;"Oxygen", W54&lt;&gt;"LowFlow")), "Intensive", "Intermediate")</f>
      </c>
      <c r="AJ54" s="57">
        <f>IF(OR(LEFT(AH54, 1)="X", LEFT(AH54, 1)="Y", LEFT(AH54, 3)="J51M"), "CUSM", "No Match")</f>
      </c>
      <c r="AK54" s="57">
        <f>IF(AND(OR(O54=3, P54=1, Q54=1, T54=1), AJ54="no Match"), "CUSM, CHU SJ, CHUQ", "")</f>
      </c>
      <c r="AL54" s="57">
        <f>IF(AND(O54=2, ISBLANK(P54), ISBLANK(Q54), ISBLANK(R54), ISBLANK(S54), ISBLANK(T54)), "CUSM, CHU SJ, CHUS, CHUQ", "")</f>
      </c>
      <c r="AM54" s="57">
        <f>IF(AND(AJ54="no match", AK54="", AL54="", K54&lt;26), "CUSM, CHU SJ, HGJ, CHUQ, CHUS", "")</f>
      </c>
      <c r="AN54" s="57">
        <f>IF(AND(AJ54="no match", AK54="", AL54="", K54&gt;26), "CUSM, CHU SJ, HGJ, CHUQ, CHUS, HMR", "")</f>
      </c>
    </row>
    <row x14ac:dyDescent="0.25" r="55" customHeight="1" ht="17.25">
      <c r="A55" s="41" t="s">
        <v>2839</v>
      </c>
      <c r="B55" s="28">
        <v>2</v>
      </c>
      <c r="C55" s="35">
        <v>740</v>
      </c>
      <c r="D55" s="29" t="s">
        <v>409</v>
      </c>
      <c r="E55" s="30" t="s">
        <v>149</v>
      </c>
      <c r="F55" s="31">
        <v>44955</v>
      </c>
      <c r="G55" s="32">
        <v>4.938194444444445</v>
      </c>
      <c r="H55" s="31">
        <v>44955</v>
      </c>
      <c r="I55" s="32">
        <v>4.832638888888889</v>
      </c>
      <c r="J55" s="33">
        <f>F55-H55</f>
      </c>
      <c r="K55" s="28">
        <v>40</v>
      </c>
      <c r="L55" s="28">
        <v>0</v>
      </c>
      <c r="M55" s="28">
        <v>2</v>
      </c>
      <c r="N55" s="34"/>
      <c r="O55" s="34"/>
      <c r="P55" s="34"/>
      <c r="Q55" s="34"/>
      <c r="R55" s="34"/>
      <c r="S55" s="56"/>
      <c r="T55" s="35">
        <v>1</v>
      </c>
      <c r="U55" s="34"/>
      <c r="V55" s="34"/>
      <c r="W55" s="29" t="s">
        <v>74</v>
      </c>
      <c r="X55" s="28">
        <v>30</v>
      </c>
      <c r="Y55" s="28">
        <v>1</v>
      </c>
      <c r="Z55" s="28">
        <v>2</v>
      </c>
      <c r="AA55" s="28">
        <v>3</v>
      </c>
      <c r="AB55" s="28">
        <v>1</v>
      </c>
      <c r="AC55" s="28">
        <v>2</v>
      </c>
      <c r="AD55" s="28">
        <v>1</v>
      </c>
      <c r="AE55" s="28">
        <v>4</v>
      </c>
      <c r="AF55" s="28">
        <v>3</v>
      </c>
      <c r="AG55" s="28">
        <v>2</v>
      </c>
      <c r="AH55" s="29" t="s">
        <v>2840</v>
      </c>
      <c r="AI55" s="36">
        <f>IF(OR(AND(K55&lt;32, J55&lt;2), O55=1, P55=1, Q55=1, R55=1, S55=1, T55=1, U55=1, AND(W55&lt;&gt;"", W55&lt;&gt;"Oxygen", W55&lt;&gt;"LowFlow")), "Intensive", "Intermediate")</f>
      </c>
      <c r="AJ55" s="57">
        <f>IF(OR(LEFT(AH55, 1)="X", LEFT(AH55, 1)="Y", LEFT(AH55, 3)="J52M"), "CUSM", "No Match")</f>
      </c>
      <c r="AK55" s="57">
        <f>IF(AND(OR(O55=3, P55=1, Q55=1, T55=1), AJ55="no Match"), "CUSM, CHU SJ, CHUQ", "")</f>
      </c>
      <c r="AL55" s="57">
        <f>IF(AND(O55=2, ISBLANK(P55), ISBLANK(Q55), ISBLANK(R55), ISBLANK(S55), ISBLANK(T55)), "CUSM, CHU SJ, CHUS, CHUQ", "")</f>
      </c>
      <c r="AM55" s="57">
        <f>IF(AND(AJ55="no match", AK55="", AL55="", K55&lt;26), "CUSM, CHU SJ, HGJ, CHUQ, CHUS", "")</f>
      </c>
      <c r="AN55" s="57">
        <f>IF(AND(AJ55="no match", AK55="", AL55="", K55&gt;26), "CUSM, CHU SJ, HGJ, CHUQ, CHUS, HMR", "")</f>
      </c>
    </row>
    <row x14ac:dyDescent="0.25" r="56" customHeight="1" ht="17.25">
      <c r="A56" s="41" t="s">
        <v>2841</v>
      </c>
      <c r="B56" s="28">
        <v>2</v>
      </c>
      <c r="C56" s="28">
        <v>817</v>
      </c>
      <c r="D56" s="29" t="s">
        <v>163</v>
      </c>
      <c r="E56" s="30" t="s">
        <v>54</v>
      </c>
      <c r="F56" s="31">
        <v>44955</v>
      </c>
      <c r="G56" s="32">
        <v>4.135416666666666</v>
      </c>
      <c r="H56" s="31">
        <v>44952</v>
      </c>
      <c r="I56" s="32">
        <v>4.370833333333334</v>
      </c>
      <c r="J56" s="33">
        <f>F56-H56</f>
      </c>
      <c r="K56" s="28">
        <v>37</v>
      </c>
      <c r="L56" s="28">
        <v>1</v>
      </c>
      <c r="M56" s="28">
        <v>2</v>
      </c>
      <c r="N56" s="34"/>
      <c r="O56" s="38"/>
      <c r="P56" s="34"/>
      <c r="Q56" s="34"/>
      <c r="R56" s="34"/>
      <c r="S56" s="56"/>
      <c r="T56" s="34"/>
      <c r="U56" s="34"/>
      <c r="V56" s="34"/>
      <c r="W56" s="29"/>
      <c r="X56" s="28">
        <v>28</v>
      </c>
      <c r="Y56" s="28">
        <v>1</v>
      </c>
      <c r="Z56" s="28">
        <v>2</v>
      </c>
      <c r="AA56" s="28">
        <v>2</v>
      </c>
      <c r="AB56" s="28">
        <v>4</v>
      </c>
      <c r="AC56" s="28">
        <v>2</v>
      </c>
      <c r="AD56" s="28">
        <v>1</v>
      </c>
      <c r="AE56" s="28">
        <v>4</v>
      </c>
      <c r="AF56" s="28">
        <v>2</v>
      </c>
      <c r="AG56" s="28">
        <v>2</v>
      </c>
      <c r="AH56" s="29" t="s">
        <v>733</v>
      </c>
      <c r="AI56" s="36">
        <f>IF(OR(AND(K56&lt;32, J56&lt;2), O56=1, P56=1, Q56=1, R56=1, S56=1, T56=1, U56=1, AND(W56&lt;&gt;"", W56&lt;&gt;"Oxygen", W56&lt;&gt;"LowFlow")), "Intensive", "Intermediate")</f>
      </c>
      <c r="AJ56" s="57">
        <f>IF(OR(LEFT(AH56, 1)="X", LEFT(AH56, 1)="Y", LEFT(AH56, 3)="J53M"), "CUSM", "No Match")</f>
      </c>
      <c r="AK56" s="57">
        <f>IF(AND(OR(O56=3, P56=1, Q56=1, T56=1), AJ56="no Match"), "CUSM, CHU SJ, CHUQ", "")</f>
      </c>
      <c r="AL56" s="57">
        <f>IF(AND(O56=2, ISBLANK(P56), ISBLANK(Q56), ISBLANK(R56), ISBLANK(S56), ISBLANK(T56)), "CUSM, CHU SJ, CHUS, CHUQ", "")</f>
      </c>
      <c r="AM56" s="57">
        <f>IF(AND(AJ56="no match", AK56="", AL56="", K56&lt;26), "CUSM, CHU SJ, HGJ, CHUQ, CHUS", "")</f>
      </c>
      <c r="AN56" s="57">
        <f>IF(AND(AJ56="no match", AK56="", AL56="", K56&gt;26), "CUSM, CHU SJ, HGJ, CHUQ, CHUS, HMR", "")</f>
      </c>
    </row>
    <row x14ac:dyDescent="0.25" r="57" customHeight="1" ht="17.25">
      <c r="A57" s="41" t="s">
        <v>2842</v>
      </c>
      <c r="B57" s="28">
        <v>2</v>
      </c>
      <c r="C57" s="35">
        <v>796</v>
      </c>
      <c r="D57" s="29" t="s">
        <v>63</v>
      </c>
      <c r="E57" s="30" t="s">
        <v>50</v>
      </c>
      <c r="F57" s="31">
        <v>44955</v>
      </c>
      <c r="G57" s="32">
        <v>4.861111111111111</v>
      </c>
      <c r="H57" s="31">
        <v>44954</v>
      </c>
      <c r="I57" s="32">
        <v>4.64375</v>
      </c>
      <c r="J57" s="33">
        <f>F57-H57</f>
      </c>
      <c r="K57" s="28">
        <v>36</v>
      </c>
      <c r="L57" s="28">
        <v>4</v>
      </c>
      <c r="M57" s="28">
        <v>1</v>
      </c>
      <c r="N57" s="34"/>
      <c r="O57" s="34"/>
      <c r="P57" s="34"/>
      <c r="Q57" s="34"/>
      <c r="R57" s="34"/>
      <c r="S57" s="56"/>
      <c r="T57" s="38"/>
      <c r="U57" s="34"/>
      <c r="V57" s="34"/>
      <c r="W57" s="29"/>
      <c r="X57" s="28">
        <v>27</v>
      </c>
      <c r="Y57" s="28">
        <v>1</v>
      </c>
      <c r="Z57" s="28">
        <v>2</v>
      </c>
      <c r="AA57" s="28">
        <v>2</v>
      </c>
      <c r="AB57" s="28">
        <v>1</v>
      </c>
      <c r="AC57" s="28">
        <v>1</v>
      </c>
      <c r="AD57" s="28">
        <v>1</v>
      </c>
      <c r="AE57" s="28">
        <v>4</v>
      </c>
      <c r="AF57" s="28">
        <v>3</v>
      </c>
      <c r="AG57" s="28">
        <v>2</v>
      </c>
      <c r="AH57" s="29" t="s">
        <v>2843</v>
      </c>
      <c r="AI57" s="36">
        <f>IF(OR(AND(K57&lt;32, J57&lt;2), O57=1, P57=1, Q57=1, R57=1, S57=1, T57=1, U57=1, AND(W57&lt;&gt;"", W57&lt;&gt;"Oxygen", W57&lt;&gt;"LowFlow")), "Intensive", "Intermediate")</f>
      </c>
      <c r="AJ57" s="57">
        <f>IF(OR(LEFT(AH57, 1)="X", LEFT(AH57, 1)="Y", LEFT(AH57, 3)="J54M"), "CUSM", "No Match")</f>
      </c>
      <c r="AK57" s="57">
        <f>IF(AND(OR(O57=3, P57=1, Q57=1, T57=1), AJ57="no Match"), "CUSM, CHU SJ, CHUQ", "")</f>
      </c>
      <c r="AL57" s="57">
        <f>IF(AND(O57=2, ISBLANK(P57), ISBLANK(Q57), ISBLANK(R57), ISBLANK(S57), ISBLANK(T57)), "CUSM, CHU SJ, CHUS, CHUQ", "")</f>
      </c>
      <c r="AM57" s="57">
        <f>IF(AND(AJ57="no match", AK57="", AL57="", K57&lt;26), "CUSM, CHU SJ, HGJ, CHUQ, CHUS", "")</f>
      </c>
      <c r="AN57" s="57">
        <f>IF(AND(AJ57="no match", AK57="", AL57="", K57&gt;26), "CUSM, CHU SJ, HGJ, CHUQ, CHUS, HMR", "")</f>
      </c>
    </row>
    <row x14ac:dyDescent="0.25" r="58" customHeight="1" ht="17.25">
      <c r="A58" s="41" t="s">
        <v>2844</v>
      </c>
      <c r="B58" s="28">
        <v>2</v>
      </c>
      <c r="C58" s="28">
        <v>779</v>
      </c>
      <c r="D58" s="29" t="s">
        <v>136</v>
      </c>
      <c r="E58" s="30" t="s">
        <v>54</v>
      </c>
      <c r="F58" s="31">
        <v>44958</v>
      </c>
      <c r="G58" s="32">
        <v>4.159722222222222</v>
      </c>
      <c r="H58" s="31">
        <v>44928</v>
      </c>
      <c r="I58" s="32">
        <v>4.392361111111111</v>
      </c>
      <c r="J58" s="33">
        <f>F58-H58</f>
      </c>
      <c r="K58" s="28">
        <v>33</v>
      </c>
      <c r="L58" s="28">
        <v>2</v>
      </c>
      <c r="M58" s="28">
        <v>1</v>
      </c>
      <c r="N58" s="34"/>
      <c r="O58" s="34"/>
      <c r="P58" s="34"/>
      <c r="Q58" s="34"/>
      <c r="R58" s="34"/>
      <c r="S58" s="56"/>
      <c r="T58" s="34"/>
      <c r="U58" s="34"/>
      <c r="V58" s="34"/>
      <c r="W58" s="29" t="s">
        <v>58</v>
      </c>
      <c r="X58" s="28">
        <v>26</v>
      </c>
      <c r="Y58" s="28">
        <v>1</v>
      </c>
      <c r="Z58" s="28">
        <v>2</v>
      </c>
      <c r="AA58" s="28">
        <v>2</v>
      </c>
      <c r="AB58" s="28">
        <v>1</v>
      </c>
      <c r="AC58" s="28">
        <v>1</v>
      </c>
      <c r="AD58" s="28">
        <v>2</v>
      </c>
      <c r="AE58" s="28">
        <v>2</v>
      </c>
      <c r="AF58" s="28">
        <v>2</v>
      </c>
      <c r="AG58" s="28">
        <v>2</v>
      </c>
      <c r="AH58" s="29" t="s">
        <v>2747</v>
      </c>
      <c r="AI58" s="36">
        <f>IF(OR(AND(K58&lt;32, J58&lt;2), O58=1, P58=1, Q58=1, R58=1, S58=1, T58=1, U58=1, AND(W58&lt;&gt;"", W58&lt;&gt;"Oxygen", W58&lt;&gt;"LowFlow")), "Intensive", "Intermediate")</f>
      </c>
      <c r="AJ58" s="57">
        <f>IF(OR(LEFT(AH58, 1)="X", LEFT(AH58, 1)="Y", LEFT(AH58, 3)="J55M"), "CUSM", "No Match")</f>
      </c>
      <c r="AK58" s="57">
        <f>IF(AND(OR(O58=3, P58=1, Q58=1, T58=1), AJ58="no Match"), "CUSM, CHU SJ, CHUQ", "")</f>
      </c>
      <c r="AL58" s="57">
        <f>IF(AND(O58=2, ISBLANK(P58), ISBLANK(Q58), ISBLANK(R58), ISBLANK(S58), ISBLANK(T58)), "CUSM, CHU SJ, CHUS, CHUQ", "")</f>
      </c>
      <c r="AM58" s="57">
        <f>IF(AND(AJ58="no match", AK58="", AL58="", K58&lt;26), "CUSM, CHU SJ, HGJ, CHUQ, CHUS", "")</f>
      </c>
      <c r="AN58" s="57">
        <f>IF(AND(AJ58="no match", AK58="", AL58="", K58&gt;26), "CUSM, CHU SJ, HGJ, CHUQ, CHUS, HMR", "")</f>
      </c>
    </row>
    <row x14ac:dyDescent="0.25" r="59" customHeight="1" ht="17.25">
      <c r="A59" s="41" t="s">
        <v>2845</v>
      </c>
      <c r="B59" s="28">
        <v>2</v>
      </c>
      <c r="C59" s="28">
        <v>839</v>
      </c>
      <c r="D59" s="29" t="s">
        <v>53</v>
      </c>
      <c r="E59" s="30" t="s">
        <v>54</v>
      </c>
      <c r="F59" s="31">
        <v>44958</v>
      </c>
      <c r="G59" s="32">
        <v>4.40625</v>
      </c>
      <c r="H59" s="31">
        <v>44958</v>
      </c>
      <c r="I59" s="32">
        <v>4.10625</v>
      </c>
      <c r="J59" s="33">
        <f>F59-H59</f>
      </c>
      <c r="K59" s="28">
        <v>37</v>
      </c>
      <c r="L59" s="28">
        <v>6</v>
      </c>
      <c r="M59" s="28">
        <v>1</v>
      </c>
      <c r="N59" s="34"/>
      <c r="O59" s="34"/>
      <c r="P59" s="34"/>
      <c r="Q59" s="34"/>
      <c r="R59" s="34"/>
      <c r="S59" s="56"/>
      <c r="T59" s="34"/>
      <c r="U59" s="34"/>
      <c r="V59" s="34"/>
      <c r="W59" s="29" t="s">
        <v>58</v>
      </c>
      <c r="X59" s="28">
        <v>29</v>
      </c>
      <c r="Y59" s="28">
        <v>2</v>
      </c>
      <c r="Z59" s="28">
        <v>1</v>
      </c>
      <c r="AA59" s="28">
        <v>1</v>
      </c>
      <c r="AB59" s="28">
        <v>1</v>
      </c>
      <c r="AC59" s="28">
        <v>2</v>
      </c>
      <c r="AD59" s="28">
        <v>2</v>
      </c>
      <c r="AE59" s="28">
        <v>4</v>
      </c>
      <c r="AF59" s="28">
        <v>2</v>
      </c>
      <c r="AG59" s="28">
        <v>2</v>
      </c>
      <c r="AH59" s="29" t="s">
        <v>2846</v>
      </c>
      <c r="AI59" s="36">
        <f>IF(OR(AND(K59&lt;32, J59&lt;2), O59=1, P59=1, Q59=1, R59=1, S59=1, T59=1, U59=1, AND(W59&lt;&gt;"", W59&lt;&gt;"Oxygen", W59&lt;&gt;"LowFlow")), "Intensive", "Intermediate")</f>
      </c>
      <c r="AJ59" s="57">
        <f>IF(OR(LEFT(AH59, 1)="X", LEFT(AH59, 1)="Y", LEFT(AH59, 3)="J56M"), "CUSM", "No Match")</f>
      </c>
      <c r="AK59" s="57">
        <f>IF(AND(OR(O59=3, P59=1, Q59=1, T59=1), AJ59="no Match"), "CUSM, CHU SJ, CHUQ", "")</f>
      </c>
      <c r="AL59" s="57">
        <f>IF(AND(O59=2, ISBLANK(P59), ISBLANK(Q59), ISBLANK(R59), ISBLANK(S59), ISBLANK(T59)), "CUSM, CHU SJ, CHUS, CHUQ", "")</f>
      </c>
      <c r="AM59" s="57">
        <f>IF(AND(AJ59="no match", AK59="", AL59="", K59&lt;26), "CUSM, CHU SJ, HGJ, CHUQ, CHUS", "")</f>
      </c>
      <c r="AN59" s="57">
        <f>IF(AND(AJ59="no match", AK59="", AL59="", K59&gt;26), "CUSM, CHU SJ, HGJ, CHUQ, CHUS, HMR", "")</f>
      </c>
    </row>
    <row x14ac:dyDescent="0.25" r="60" customHeight="1" ht="17.25">
      <c r="A60" s="41" t="s">
        <v>2847</v>
      </c>
      <c r="B60" s="28">
        <v>2</v>
      </c>
      <c r="C60" s="28">
        <v>730</v>
      </c>
      <c r="D60" s="29" t="s">
        <v>81</v>
      </c>
      <c r="E60" s="30" t="s">
        <v>78</v>
      </c>
      <c r="F60" s="31">
        <v>44958</v>
      </c>
      <c r="G60" s="32">
        <v>4.75</v>
      </c>
      <c r="H60" s="31">
        <v>44958</v>
      </c>
      <c r="I60" s="32">
        <v>4.607638888888889</v>
      </c>
      <c r="J60" s="33">
        <f>F60-H60</f>
      </c>
      <c r="K60" s="28">
        <v>30</v>
      </c>
      <c r="L60" s="28">
        <v>1</v>
      </c>
      <c r="M60" s="28">
        <v>2</v>
      </c>
      <c r="N60" s="35">
        <v>1</v>
      </c>
      <c r="O60" s="34"/>
      <c r="P60" s="35">
        <v>1</v>
      </c>
      <c r="Q60" s="34"/>
      <c r="R60" s="34"/>
      <c r="S60" s="56"/>
      <c r="T60" s="34"/>
      <c r="U60" s="34"/>
      <c r="V60" s="34"/>
      <c r="W60" s="29" t="s">
        <v>164</v>
      </c>
      <c r="X60" s="28">
        <v>20</v>
      </c>
      <c r="Y60" s="28">
        <v>1</v>
      </c>
      <c r="Z60" s="28">
        <v>1</v>
      </c>
      <c r="AA60" s="28">
        <v>2</v>
      </c>
      <c r="AB60" s="28">
        <v>1</v>
      </c>
      <c r="AC60" s="28">
        <v>2</v>
      </c>
      <c r="AD60" s="28">
        <v>2</v>
      </c>
      <c r="AE60" s="28">
        <v>4</v>
      </c>
      <c r="AF60" s="28">
        <v>3</v>
      </c>
      <c r="AG60" s="28">
        <v>2</v>
      </c>
      <c r="AH60" s="29" t="s">
        <v>2848</v>
      </c>
      <c r="AI60" s="36">
        <f>IF(OR(AND(K60&lt;32, J60&lt;2), O60=1, P60=1, Q60=1, R60=1, S60=1, T60=1, U60=1, AND(W60&lt;&gt;"", W60&lt;&gt;"Oxygen", W60&lt;&gt;"LowFlow")), "Intensive", "Intermediate")</f>
      </c>
      <c r="AJ60" s="57">
        <f>IF(OR(LEFT(AH60, 1)="X", LEFT(AH60, 1)="Y", LEFT(AH60, 3)="J57M"), "CUSM", "No Match")</f>
      </c>
      <c r="AK60" s="57">
        <f>IF(AND(OR(O60=3, P60=1, Q60=1, T60=1), AJ60="no Match"), "CUSM, CHU SJ, CHUQ", "")</f>
      </c>
      <c r="AL60" s="57">
        <f>IF(AND(O60=2, ISBLANK(P60), ISBLANK(Q60), ISBLANK(R60), ISBLANK(S60), ISBLANK(T60)), "CUSM, CHU SJ, CHUS, CHUQ", "")</f>
      </c>
      <c r="AM60" s="57">
        <f>IF(AND(AJ60="no match", AK60="", AL60="", K60&lt;26), "CUSM, CHU SJ, HGJ, CHUQ, CHUS", "")</f>
      </c>
      <c r="AN60" s="57">
        <f>IF(AND(AJ60="no match", AK60="", AL60="", K60&gt;26), "CUSM, CHU SJ, HGJ, CHUQ, CHUS, HMR", "")</f>
      </c>
    </row>
    <row x14ac:dyDescent="0.25" r="61" customHeight="1" ht="17.25">
      <c r="A61" s="41" t="s">
        <v>2849</v>
      </c>
      <c r="B61" s="28">
        <v>2</v>
      </c>
      <c r="C61" s="35">
        <v>782</v>
      </c>
      <c r="D61" s="29" t="s">
        <v>95</v>
      </c>
      <c r="E61" s="30" t="s">
        <v>50</v>
      </c>
      <c r="F61" s="31">
        <v>44958</v>
      </c>
      <c r="G61" s="32">
        <v>4.625</v>
      </c>
      <c r="H61" s="31">
        <v>44957</v>
      </c>
      <c r="I61" s="32">
        <v>4.666666666666666</v>
      </c>
      <c r="J61" s="33">
        <f>F61-H61</f>
      </c>
      <c r="K61" s="28">
        <v>39</v>
      </c>
      <c r="L61" s="28">
        <v>3</v>
      </c>
      <c r="M61" s="28">
        <v>1</v>
      </c>
      <c r="N61" s="34"/>
      <c r="O61" s="34"/>
      <c r="P61" s="34"/>
      <c r="Q61" s="34"/>
      <c r="R61" s="34"/>
      <c r="S61" s="56"/>
      <c r="T61" s="34"/>
      <c r="U61" s="34"/>
      <c r="V61" s="34"/>
      <c r="W61" s="29"/>
      <c r="X61" s="28">
        <v>31</v>
      </c>
      <c r="Y61" s="28">
        <v>1</v>
      </c>
      <c r="Z61" s="28">
        <v>1</v>
      </c>
      <c r="AA61" s="28">
        <v>3</v>
      </c>
      <c r="AB61" s="28">
        <v>1</v>
      </c>
      <c r="AC61" s="28">
        <v>2</v>
      </c>
      <c r="AD61" s="28">
        <v>2</v>
      </c>
      <c r="AE61" s="28">
        <v>4</v>
      </c>
      <c r="AF61" s="28">
        <v>2</v>
      </c>
      <c r="AG61" s="28">
        <v>2</v>
      </c>
      <c r="AH61" s="29" t="s">
        <v>2850</v>
      </c>
      <c r="AI61" s="36">
        <f>IF(OR(AND(K61&lt;32, J61&lt;2), O61=1, P61=1, Q61=1, R61=1, S61=1, T61=1, U61=1, AND(W61&lt;&gt;"", W61&lt;&gt;"Oxygen", W61&lt;&gt;"LowFlow")), "Intensive", "Intermediate")</f>
      </c>
      <c r="AJ61" s="57">
        <f>IF(OR(LEFT(AH61, 1)="X", LEFT(AH61, 1)="Y", LEFT(AH61, 3)="J58M"), "CUSM", "No Match")</f>
      </c>
      <c r="AK61" s="57">
        <f>IF(AND(OR(O61=3, P61=1, Q61=1, T61=1), AJ61="no Match"), "CUSM, CHU SJ, CHUQ", "")</f>
      </c>
      <c r="AL61" s="57">
        <f>IF(AND(O61=2, ISBLANK(P61), ISBLANK(Q61), ISBLANK(R61), ISBLANK(S61), ISBLANK(T61)), "CUSM, CHU SJ, CHUS, CHUQ", "")</f>
      </c>
      <c r="AM61" s="57">
        <f>IF(AND(AJ61="no match", AK61="", AL61="", K61&lt;26), "CUSM, CHU SJ, HGJ, CHUQ, CHUS", "")</f>
      </c>
      <c r="AN61" s="57">
        <f>IF(AND(AJ61="no match", AK61="", AL61="", K61&gt;26), "CUSM, CHU SJ, HGJ, CHUQ, CHUS, HMR", "")</f>
      </c>
    </row>
    <row x14ac:dyDescent="0.25" r="62" customHeight="1" ht="17.25">
      <c r="A62" s="41" t="s">
        <v>2851</v>
      </c>
      <c r="B62" s="28">
        <v>2</v>
      </c>
      <c r="C62" s="28">
        <v>839</v>
      </c>
      <c r="D62" s="29" t="s">
        <v>53</v>
      </c>
      <c r="E62" s="30" t="s">
        <v>54</v>
      </c>
      <c r="F62" s="31">
        <v>44959</v>
      </c>
      <c r="G62" s="32">
        <v>4.784722222222222</v>
      </c>
      <c r="H62" s="31">
        <v>44957</v>
      </c>
      <c r="I62" s="32">
        <v>4.786111111111111</v>
      </c>
      <c r="J62" s="33">
        <f>F62-H62</f>
      </c>
      <c r="K62" s="28">
        <v>39</v>
      </c>
      <c r="L62" s="28">
        <v>5</v>
      </c>
      <c r="M62" s="28">
        <v>1</v>
      </c>
      <c r="N62" s="34"/>
      <c r="O62" s="34"/>
      <c r="P62" s="34"/>
      <c r="Q62" s="34"/>
      <c r="R62" s="34"/>
      <c r="S62" s="56"/>
      <c r="T62" s="34"/>
      <c r="U62" s="34"/>
      <c r="V62" s="34"/>
      <c r="W62" s="29"/>
      <c r="X62" s="28">
        <v>38</v>
      </c>
      <c r="Y62" s="28">
        <v>1</v>
      </c>
      <c r="Z62" s="28">
        <v>2</v>
      </c>
      <c r="AA62" s="28">
        <v>3</v>
      </c>
      <c r="AB62" s="28">
        <v>4</v>
      </c>
      <c r="AC62" s="28">
        <v>2</v>
      </c>
      <c r="AD62" s="28">
        <v>2</v>
      </c>
      <c r="AE62" s="28">
        <v>4</v>
      </c>
      <c r="AF62" s="28">
        <v>3</v>
      </c>
      <c r="AG62" s="28">
        <v>2</v>
      </c>
      <c r="AH62" s="29" t="s">
        <v>2852</v>
      </c>
      <c r="AI62" s="36">
        <f>IF(OR(AND(K62&lt;32, J62&lt;2), O62=1, P62=1, Q62=1, R62=1, S62=1, T62=1, U62=1, AND(W62&lt;&gt;"", W62&lt;&gt;"Oxygen", W62&lt;&gt;"LowFlow")), "Intensive", "Intermediate")</f>
      </c>
      <c r="AJ62" s="57">
        <f>IF(OR(LEFT(AH62, 1)="X", LEFT(AH62, 1)="Y", LEFT(AH62, 3)="J59M"), "CUSM", "No Match")</f>
      </c>
      <c r="AK62" s="57">
        <f>IF(AND(OR(O62=3, P62=1, Q62=1, T62=1), AJ62="no Match"), "CUSM, CHU SJ, CHUQ", "")</f>
      </c>
      <c r="AL62" s="57">
        <f>IF(AND(O62=2, ISBLANK(P62), ISBLANK(Q62), ISBLANK(R62), ISBLANK(S62), ISBLANK(T62)), "CUSM, CHU SJ, CHUS, CHUQ", "")</f>
      </c>
      <c r="AM62" s="57">
        <f>IF(AND(AJ62="no match", AK62="", AL62="", K62&lt;26), "CUSM, CHU SJ, HGJ, CHUQ, CHUS", "")</f>
      </c>
      <c r="AN62" s="57">
        <f>IF(AND(AJ62="no match", AK62="", AL62="", K62&gt;26), "CUSM, CHU SJ, HGJ, CHUQ, CHUS, HMR", "")</f>
      </c>
    </row>
    <row x14ac:dyDescent="0.25" r="63" customHeight="1" ht="17.25">
      <c r="A63" s="41" t="s">
        <v>2853</v>
      </c>
      <c r="B63" s="28">
        <v>2</v>
      </c>
      <c r="C63" s="35">
        <v>825</v>
      </c>
      <c r="D63" s="29" t="s">
        <v>77</v>
      </c>
      <c r="E63" s="30" t="s">
        <v>50</v>
      </c>
      <c r="F63" s="31">
        <v>44959</v>
      </c>
      <c r="G63" s="32">
        <v>4.631944444444445</v>
      </c>
      <c r="H63" s="31">
        <v>44959</v>
      </c>
      <c r="I63" s="32">
        <v>4.429861111111111</v>
      </c>
      <c r="J63" s="33">
        <f>F63-H63</f>
      </c>
      <c r="K63" s="28">
        <v>39</v>
      </c>
      <c r="L63" s="28">
        <v>0</v>
      </c>
      <c r="M63" s="28">
        <v>2</v>
      </c>
      <c r="N63" s="34"/>
      <c r="O63" s="34"/>
      <c r="P63" s="34"/>
      <c r="Q63" s="34"/>
      <c r="R63" s="34"/>
      <c r="S63" s="56"/>
      <c r="T63" s="34"/>
      <c r="U63" s="34"/>
      <c r="V63" s="34"/>
      <c r="W63" s="29" t="s">
        <v>58</v>
      </c>
      <c r="X63" s="28">
        <v>28</v>
      </c>
      <c r="Y63" s="28">
        <v>1</v>
      </c>
      <c r="Z63" s="28">
        <v>2</v>
      </c>
      <c r="AA63" s="28">
        <v>1</v>
      </c>
      <c r="AB63" s="28">
        <v>1</v>
      </c>
      <c r="AC63" s="28">
        <v>2</v>
      </c>
      <c r="AD63" s="28">
        <v>1</v>
      </c>
      <c r="AE63" s="28">
        <v>4</v>
      </c>
      <c r="AF63" s="28">
        <v>2</v>
      </c>
      <c r="AG63" s="28">
        <v>2</v>
      </c>
      <c r="AH63" s="29" t="s">
        <v>2854</v>
      </c>
      <c r="AI63" s="36">
        <f>IF(OR(AND(K63&lt;32, J63&lt;2), O63=1, P63=1, Q63=1, R63=1, S63=1, T63=1, U63=1, AND(W63&lt;&gt;"", W63&lt;&gt;"Oxygen", W63&lt;&gt;"LowFlow")), "Intensive", "Intermediate")</f>
      </c>
      <c r="AJ63" s="57">
        <f>IF(OR(LEFT(AH63, 1)="X", LEFT(AH63, 1)="Y", LEFT(AH63, 3)="J60M"), "CUSM", "No Match")</f>
      </c>
      <c r="AK63" s="57">
        <f>IF(AND(OR(O63=3, P63=1, Q63=1, T63=1), AJ63="no Match"), "CUSM, CHU SJ, CHUQ", "")</f>
      </c>
      <c r="AL63" s="57">
        <f>IF(AND(O63=2, ISBLANK(P63), ISBLANK(Q63), ISBLANK(R63), ISBLANK(S63), ISBLANK(T63)), "CUSM, CHU SJ, CHUS, CHUQ", "")</f>
      </c>
      <c r="AM63" s="57">
        <f>IF(AND(AJ63="no match", AK63="", AL63="", K63&lt;26), "CUSM, CHU SJ, HGJ, CHUQ, CHUS", "")</f>
      </c>
      <c r="AN63" s="57">
        <f>IF(AND(AJ63="no match", AK63="", AL63="", K63&gt;26), "CUSM, CHU SJ, HGJ, CHUQ, CHUS, HMR", "")</f>
      </c>
    </row>
    <row x14ac:dyDescent="0.25" r="64" customHeight="1" ht="17.25">
      <c r="A64" s="41" t="s">
        <v>2855</v>
      </c>
      <c r="B64" s="28">
        <v>2</v>
      </c>
      <c r="C64" s="28">
        <v>839</v>
      </c>
      <c r="D64" s="29" t="s">
        <v>53</v>
      </c>
      <c r="E64" s="30" t="s">
        <v>54</v>
      </c>
      <c r="F64" s="31">
        <v>44961</v>
      </c>
      <c r="G64" s="32">
        <v>4.673611111111111</v>
      </c>
      <c r="H64" s="31">
        <v>44958</v>
      </c>
      <c r="I64" s="32">
        <v>4.102083333333333</v>
      </c>
      <c r="J64" s="33">
        <f>F64-H64</f>
      </c>
      <c r="K64" s="28">
        <v>37</v>
      </c>
      <c r="L64" s="28">
        <v>6</v>
      </c>
      <c r="M64" s="28">
        <v>1</v>
      </c>
      <c r="N64" s="34"/>
      <c r="O64" s="34"/>
      <c r="P64" s="34"/>
      <c r="Q64" s="34"/>
      <c r="R64" s="34"/>
      <c r="S64" s="56"/>
      <c r="T64" s="34"/>
      <c r="U64" s="34"/>
      <c r="V64" s="34"/>
      <c r="W64" s="29"/>
      <c r="X64" s="28">
        <v>29</v>
      </c>
      <c r="Y64" s="28">
        <v>2</v>
      </c>
      <c r="Z64" s="28">
        <v>1</v>
      </c>
      <c r="AA64" s="28">
        <v>1</v>
      </c>
      <c r="AB64" s="28">
        <v>1</v>
      </c>
      <c r="AC64" s="28">
        <v>2</v>
      </c>
      <c r="AD64" s="28">
        <v>2</v>
      </c>
      <c r="AE64" s="28">
        <v>4</v>
      </c>
      <c r="AF64" s="28">
        <v>2</v>
      </c>
      <c r="AG64" s="28">
        <v>2</v>
      </c>
      <c r="AH64" s="29" t="s">
        <v>2846</v>
      </c>
      <c r="AI64" s="36">
        <f>IF(OR(AND(K64&lt;32, J64&lt;2), O64=1, P64=1, Q64=1, R64=1, S64=1, T64=1, U64=1, AND(W64&lt;&gt;"", W64&lt;&gt;"Oxygen", W64&lt;&gt;"LowFlow")), "Intensive", "Intermediate")</f>
      </c>
      <c r="AJ64" s="57">
        <f>IF(OR(LEFT(AH64, 1)="X", LEFT(AH64, 1)="Y", LEFT(AH64, 3)="J61M"), "CUSM", "No Match")</f>
      </c>
      <c r="AK64" s="57">
        <f>IF(AND(OR(O64=3, P64=1, Q64=1, T64=1), AJ64="no Match"), "CUSM, CHU SJ, CHUQ", "")</f>
      </c>
      <c r="AL64" s="57">
        <f>IF(AND(O64=2, ISBLANK(P64), ISBLANK(Q64), ISBLANK(R64), ISBLANK(S64), ISBLANK(T64)), "CUSM, CHU SJ, CHUS, CHUQ", "")</f>
      </c>
      <c r="AM64" s="57">
        <f>IF(AND(AJ64="no match", AK64="", AL64="", K64&lt;26), "CUSM, CHU SJ, HGJ, CHUQ, CHUS", "")</f>
      </c>
      <c r="AN64" s="57">
        <f>IF(AND(AJ64="no match", AK64="", AL64="", K64&gt;26), "CUSM, CHU SJ, HGJ, CHUQ, CHUS, HMR", "")</f>
      </c>
    </row>
    <row x14ac:dyDescent="0.25" r="65" customHeight="1" ht="17.25">
      <c r="A65" s="41" t="s">
        <v>2856</v>
      </c>
      <c r="B65" s="28">
        <v>2</v>
      </c>
      <c r="C65" s="35">
        <v>817</v>
      </c>
      <c r="D65" s="29" t="s">
        <v>163</v>
      </c>
      <c r="E65" s="30" t="s">
        <v>54</v>
      </c>
      <c r="F65" s="31">
        <v>44961</v>
      </c>
      <c r="G65" s="32">
        <v>4.613194444444444</v>
      </c>
      <c r="H65" s="31">
        <v>44954</v>
      </c>
      <c r="I65" s="32">
        <v>4.5</v>
      </c>
      <c r="J65" s="33">
        <f>F65-H65</f>
      </c>
      <c r="K65" s="28">
        <v>39</v>
      </c>
      <c r="L65" s="28">
        <v>6</v>
      </c>
      <c r="M65" s="28">
        <v>1</v>
      </c>
      <c r="N65" s="34"/>
      <c r="O65" s="34"/>
      <c r="P65" s="34"/>
      <c r="Q65" s="34"/>
      <c r="R65" s="34"/>
      <c r="S65" s="56"/>
      <c r="T65" s="34"/>
      <c r="U65" s="34"/>
      <c r="V65" s="34"/>
      <c r="W65" s="29"/>
      <c r="X65" s="28">
        <v>21</v>
      </c>
      <c r="Y65" s="28">
        <v>1</v>
      </c>
      <c r="Z65" s="28">
        <v>1</v>
      </c>
      <c r="AA65" s="28">
        <v>3</v>
      </c>
      <c r="AB65" s="28">
        <v>1</v>
      </c>
      <c r="AC65" s="28">
        <v>3</v>
      </c>
      <c r="AD65" s="28">
        <v>3</v>
      </c>
      <c r="AE65" s="28">
        <v>4</v>
      </c>
      <c r="AF65" s="28">
        <v>3</v>
      </c>
      <c r="AG65" s="28">
        <v>1</v>
      </c>
      <c r="AH65" s="29" t="s">
        <v>2857</v>
      </c>
      <c r="AI65" s="36">
        <f>IF(OR(AND(K65&lt;32, J65&lt;2), O65=1, P65=1, Q65=1, R65=1, S65=1, T65=1, U65=1, AND(W65&lt;&gt;"", W65&lt;&gt;"Oxygen", W65&lt;&gt;"LowFlow")), "Intensive", "Intermediate")</f>
      </c>
      <c r="AJ65" s="57">
        <f>IF(OR(LEFT(AH65, 1)="X", LEFT(AH65, 1)="Y", LEFT(AH65, 3)="J62M"), "CUSM", "No Match")</f>
      </c>
      <c r="AK65" s="57">
        <f>IF(AND(OR(O65=3, P65=1, Q65=1, T65=1), AJ65="no Match"), "CUSM, CHU SJ, CHUQ", "")</f>
      </c>
      <c r="AL65" s="57">
        <f>IF(AND(O65=2, ISBLANK(P65), ISBLANK(Q65), ISBLANK(R65), ISBLANK(S65), ISBLANK(T65)), "CUSM, CHU SJ, CHUS, CHUQ", "")</f>
      </c>
      <c r="AM65" s="57">
        <f>IF(AND(AJ65="no match", AK65="", AL65="", K65&lt;26), "CUSM, CHU SJ, HGJ, CHUQ, CHUS", "")</f>
      </c>
      <c r="AN65" s="57">
        <f>IF(AND(AJ65="no match", AK65="", AL65="", K65&gt;26), "CUSM, CHU SJ, HGJ, CHUQ, CHUS, HMR", "")</f>
      </c>
    </row>
    <row x14ac:dyDescent="0.25" r="66" customHeight="1" ht="17.25">
      <c r="A66" s="41" t="s">
        <v>2858</v>
      </c>
      <c r="B66" s="28">
        <v>2</v>
      </c>
      <c r="C66" s="35">
        <v>815</v>
      </c>
      <c r="D66" s="29" t="s">
        <v>100</v>
      </c>
      <c r="E66" s="30" t="s">
        <v>54</v>
      </c>
      <c r="F66" s="31">
        <v>44962</v>
      </c>
      <c r="G66" s="32">
        <v>4.034722222222222</v>
      </c>
      <c r="H66" s="31">
        <v>44961</v>
      </c>
      <c r="I66" s="32">
        <v>4.777777777777778</v>
      </c>
      <c r="J66" s="33">
        <f>F66-H66</f>
      </c>
      <c r="K66" s="28">
        <v>39</v>
      </c>
      <c r="L66" s="28">
        <v>0</v>
      </c>
      <c r="M66" s="28">
        <v>1</v>
      </c>
      <c r="N66" s="34"/>
      <c r="O66" s="34"/>
      <c r="P66" s="34"/>
      <c r="Q66" s="34"/>
      <c r="R66" s="34"/>
      <c r="S66" s="56"/>
      <c r="T66" s="34"/>
      <c r="U66" s="34"/>
      <c r="V66" s="34"/>
      <c r="W66" s="29" t="s">
        <v>58</v>
      </c>
      <c r="X66" s="28">
        <v>30</v>
      </c>
      <c r="Y66" s="28">
        <v>1</v>
      </c>
      <c r="Z66" s="28">
        <v>1</v>
      </c>
      <c r="AA66" s="28">
        <v>2</v>
      </c>
      <c r="AB66" s="28">
        <v>1</v>
      </c>
      <c r="AC66" s="28">
        <v>2</v>
      </c>
      <c r="AD66" s="28">
        <v>2</v>
      </c>
      <c r="AE66" s="28">
        <v>4</v>
      </c>
      <c r="AF66" s="28">
        <v>3</v>
      </c>
      <c r="AG66" s="28">
        <v>2</v>
      </c>
      <c r="AH66" s="29" t="s">
        <v>2859</v>
      </c>
      <c r="AI66" s="36">
        <f>IF(OR(AND(K66&lt;32, J66&lt;2), O66=1, P66=1, Q66=1, R66=1, S66=1, T66=1, U66=1, AND(W66&lt;&gt;"", W66&lt;&gt;"Oxygen", W66&lt;&gt;"LowFlow")), "Intensive", "Intermediate")</f>
      </c>
      <c r="AJ66" s="57">
        <f>IF(OR(LEFT(AH66, 1)="X", LEFT(AH66, 1)="Y", LEFT(AH66, 3)="J63M"), "CUSM", "No Match")</f>
      </c>
      <c r="AK66" s="57">
        <f>IF(AND(OR(O66=3, P66=1, Q66=1, T66=1), AJ66="no Match"), "CUSM, CHU SJ, CHUQ", "")</f>
      </c>
      <c r="AL66" s="57">
        <f>IF(AND(O66=2, ISBLANK(P66), ISBLANK(Q66), ISBLANK(R66), ISBLANK(S66), ISBLANK(T66)), "CUSM, CHU SJ, CHUS, CHUQ", "")</f>
      </c>
      <c r="AM66" s="57">
        <f>IF(AND(AJ66="no match", AK66="", AL66="", K66&lt;26), "CUSM, CHU SJ, HGJ, CHUQ, CHUS", "")</f>
      </c>
      <c r="AN66" s="57">
        <f>IF(AND(AJ66="no match", AK66="", AL66="", K66&gt;26), "CUSM, CHU SJ, HGJ, CHUQ, CHUS, HMR", "")</f>
      </c>
    </row>
    <row x14ac:dyDescent="0.25" r="67" customHeight="1" ht="17.25">
      <c r="A67" s="41" t="s">
        <v>2860</v>
      </c>
      <c r="B67" s="28">
        <v>2</v>
      </c>
      <c r="C67" s="28">
        <v>730</v>
      </c>
      <c r="D67" s="29" t="s">
        <v>81</v>
      </c>
      <c r="E67" s="30" t="s">
        <v>78</v>
      </c>
      <c r="F67" s="31">
        <v>44962</v>
      </c>
      <c r="G67" s="32">
        <v>4.493055555555555</v>
      </c>
      <c r="H67" s="31">
        <v>44960</v>
      </c>
      <c r="I67" s="32">
        <v>4.498611111111111</v>
      </c>
      <c r="J67" s="33">
        <f>F67-H67</f>
      </c>
      <c r="K67" s="28">
        <v>39</v>
      </c>
      <c r="L67" s="28">
        <v>0</v>
      </c>
      <c r="M67" s="28">
        <v>1</v>
      </c>
      <c r="N67" s="38"/>
      <c r="O67" s="34"/>
      <c r="P67" s="38"/>
      <c r="Q67" s="34"/>
      <c r="R67" s="34"/>
      <c r="S67" s="56"/>
      <c r="T67" s="34"/>
      <c r="U67" s="34"/>
      <c r="V67" s="34"/>
      <c r="W67" s="29" t="s">
        <v>58</v>
      </c>
      <c r="X67" s="28">
        <v>25</v>
      </c>
      <c r="Y67" s="28">
        <v>1</v>
      </c>
      <c r="Z67" s="28">
        <v>1</v>
      </c>
      <c r="AA67" s="28">
        <v>1</v>
      </c>
      <c r="AB67" s="28">
        <v>1</v>
      </c>
      <c r="AC67" s="28">
        <v>2</v>
      </c>
      <c r="AD67" s="28">
        <v>2</v>
      </c>
      <c r="AE67" s="28">
        <v>4</v>
      </c>
      <c r="AF67" s="28">
        <v>2</v>
      </c>
      <c r="AG67" s="28">
        <v>2</v>
      </c>
      <c r="AH67" s="29" t="s">
        <v>2861</v>
      </c>
      <c r="AI67" s="36">
        <f>IF(OR(AND(K67&lt;32, J67&lt;2), O67=1, P67=1, Q67=1, R67=1, S67=1, T67=1, U67=1, AND(W67&lt;&gt;"", W67&lt;&gt;"Oxygen", W67&lt;&gt;"LowFlow")), "Intensive", "Intermediate")</f>
      </c>
      <c r="AJ67" s="57">
        <f>IF(OR(LEFT(AH67, 1)="X", LEFT(AH67, 1)="Y", LEFT(AH67, 3)="J0M"), "CUSM", "No Match")</f>
      </c>
      <c r="AK67" s="57">
        <f>IF(AND(OR(O67=3, P67=1, Q67=1, T67=1), AJ67="no Match"), "CUSM, CHU SJ, CHUQ", "")</f>
      </c>
      <c r="AL67" s="57">
        <f>IF(AND(O67=2, ISBLANK(P67), ISBLANK(Q67), ISBLANK(R67), ISBLANK(S67), ISBLANK(T67)), "CUSM, CHU SJ, CHUS, CHUQ", "")</f>
      </c>
      <c r="AM67" s="57">
        <f>IF(AND(AJ67="no match", AK67="", AL67="", K67&lt;26), "CUSM, CHU SJ, HGJ, CHUQ, CHUS", "")</f>
      </c>
      <c r="AN67" s="57">
        <f>IF(AND(AJ67="no match", AK67="", AL67="", K67&gt;26), "CUSM, CHU SJ, HGJ, CHUQ, CHUS, HMR", "")</f>
      </c>
    </row>
    <row x14ac:dyDescent="0.25" r="68" customHeight="1" ht="17.25">
      <c r="A68" s="41" t="s">
        <v>2862</v>
      </c>
      <c r="B68" s="28">
        <v>2</v>
      </c>
      <c r="C68" s="35">
        <v>730</v>
      </c>
      <c r="D68" s="29" t="s">
        <v>81</v>
      </c>
      <c r="E68" s="30" t="s">
        <v>50</v>
      </c>
      <c r="F68" s="31">
        <v>44962</v>
      </c>
      <c r="G68" s="32">
        <v>4.563194444444445</v>
      </c>
      <c r="H68" s="31">
        <v>44961</v>
      </c>
      <c r="I68" s="32">
        <v>4.979861111111111</v>
      </c>
      <c r="J68" s="33">
        <f>F68-H68</f>
      </c>
      <c r="K68" s="28">
        <v>38</v>
      </c>
      <c r="L68" s="28">
        <v>4</v>
      </c>
      <c r="M68" s="28">
        <v>1</v>
      </c>
      <c r="N68" s="34"/>
      <c r="O68" s="35">
        <v>2</v>
      </c>
      <c r="P68" s="34"/>
      <c r="Q68" s="34"/>
      <c r="R68" s="34"/>
      <c r="S68" s="56"/>
      <c r="T68" s="34"/>
      <c r="U68" s="34"/>
      <c r="V68" s="34"/>
      <c r="W68" s="29"/>
      <c r="X68" s="28">
        <v>32</v>
      </c>
      <c r="Y68" s="28">
        <v>1</v>
      </c>
      <c r="Z68" s="28">
        <v>1</v>
      </c>
      <c r="AA68" s="28">
        <v>2</v>
      </c>
      <c r="AB68" s="28">
        <v>2</v>
      </c>
      <c r="AC68" s="28">
        <v>2</v>
      </c>
      <c r="AD68" s="28">
        <v>2</v>
      </c>
      <c r="AE68" s="28">
        <v>3</v>
      </c>
      <c r="AF68" s="35">
        <v>2</v>
      </c>
      <c r="AG68" s="28">
        <v>2</v>
      </c>
      <c r="AH68" s="29" t="s">
        <v>2863</v>
      </c>
      <c r="AI68" s="36">
        <f>IF(OR(AND(K68&lt;32, J68&lt;2), O68=1, P68=1, Q68=1, R68=1, S68=1, T68=1, U68=1, AND(W68&lt;&gt;"", W68&lt;&gt;"Oxygen", W68&lt;&gt;"LowFlow")), "Intensive", "Intermediate")</f>
      </c>
      <c r="AJ68" s="57">
        <f>IF(OR(LEFT(AH68, 1)="X", LEFT(AH68, 1)="Y", LEFT(AH68, 3)="J1M"), "CUSM", "No Match")</f>
      </c>
      <c r="AK68" s="57">
        <f>IF(AND(OR(O68=3, P68=1, Q68=1, T68=1), AJ68="no Match"), "CUSM, CHU SJ, CHUQ", "")</f>
      </c>
      <c r="AL68" s="57">
        <f>IF(AND(O68=2, ISBLANK(P68), ISBLANK(Q68), ISBLANK(R68), ISBLANK(S68), ISBLANK(T68)), "CUSM, CHU SJ, CHUS, CHUQ", "")</f>
      </c>
      <c r="AM68" s="57">
        <f>IF(AND(AJ68="no match", AK68="", AL68="", K68&lt;26), "CUSM, CHU SJ, HGJ, CHUQ, CHUS", "")</f>
      </c>
      <c r="AN68" s="57">
        <f>IF(AND(AJ68="no match", AK68="", AL68="", K68&gt;26), "CUSM, CHU SJ, HGJ, CHUQ, CHUS, HMR", "")</f>
      </c>
    </row>
    <row x14ac:dyDescent="0.25" r="69" customHeight="1" ht="17.25">
      <c r="A69" s="41" t="s">
        <v>2864</v>
      </c>
      <c r="B69" s="28">
        <v>2</v>
      </c>
      <c r="C69" s="35">
        <v>827</v>
      </c>
      <c r="D69" s="29" t="s">
        <v>525</v>
      </c>
      <c r="E69" s="30" t="s">
        <v>118</v>
      </c>
      <c r="F69" s="31">
        <v>44963</v>
      </c>
      <c r="G69" s="32">
        <v>4.372222222222222</v>
      </c>
      <c r="H69" s="31">
        <v>44963</v>
      </c>
      <c r="I69" s="32">
        <v>4.122916666666667</v>
      </c>
      <c r="J69" s="33">
        <f>F69-H69</f>
      </c>
      <c r="K69" s="28">
        <v>40</v>
      </c>
      <c r="L69" s="28">
        <v>0</v>
      </c>
      <c r="M69" s="28">
        <v>2</v>
      </c>
      <c r="N69" s="34"/>
      <c r="O69" s="34"/>
      <c r="P69" s="34"/>
      <c r="Q69" s="34"/>
      <c r="R69" s="34"/>
      <c r="S69" s="56"/>
      <c r="T69" s="35">
        <v>1</v>
      </c>
      <c r="U69" s="34"/>
      <c r="V69" s="38"/>
      <c r="W69" s="29" t="s">
        <v>58</v>
      </c>
      <c r="X69" s="28">
        <v>31</v>
      </c>
      <c r="Y69" s="28">
        <v>4</v>
      </c>
      <c r="Z69" s="28">
        <v>1</v>
      </c>
      <c r="AA69" s="28">
        <v>2</v>
      </c>
      <c r="AB69" s="28">
        <v>1</v>
      </c>
      <c r="AC69" s="28">
        <v>2</v>
      </c>
      <c r="AD69" s="28">
        <v>2</v>
      </c>
      <c r="AE69" s="28">
        <v>4</v>
      </c>
      <c r="AF69" s="35">
        <v>2</v>
      </c>
      <c r="AG69" s="28">
        <v>2</v>
      </c>
      <c r="AH69" s="29" t="s">
        <v>2865</v>
      </c>
      <c r="AI69" s="36">
        <f>IF(OR(AND(K69&lt;32, J69&lt;2), O69=1, P69=1, Q69=1, R69=1, S69=1, T69=1, U69=1, AND(W69&lt;&gt;"", W69&lt;&gt;"Oxygen", W69&lt;&gt;"LowFlow")), "Intensive", "Intermediate")</f>
      </c>
      <c r="AJ69" s="57">
        <f>IF(OR(LEFT(AH69, 1)="X", LEFT(AH69, 1)="Y", LEFT(AH69, 3)="J2M"), "CUSM", "No Match")</f>
      </c>
      <c r="AK69" s="57">
        <f>IF(AND(OR(O69=3, P69=1, Q69=1, T69=1), AJ69="no Match"), "CUSM, CHU SJ, CHUQ", "")</f>
      </c>
      <c r="AL69" s="57">
        <f>IF(AND(O69=2, ISBLANK(P69), ISBLANK(Q69), ISBLANK(R69), ISBLANK(S69), ISBLANK(T69)), "CUSM, CHU SJ, CHUS, CHUQ", "")</f>
      </c>
      <c r="AM69" s="57">
        <f>IF(AND(AJ69="no match", AK69="", AL69="", K69&lt;26), "CUSM, CHU SJ, HGJ, CHUQ, CHUS", "")</f>
      </c>
      <c r="AN69" s="57">
        <f>IF(AND(AJ69="no match", AK69="", AL69="", K69&gt;26), "CUSM, CHU SJ, HGJ, CHUQ, CHUS, HMR", "")</f>
      </c>
    </row>
    <row x14ac:dyDescent="0.25" r="70" customHeight="1" ht="17.25">
      <c r="A70" s="41" t="s">
        <v>2866</v>
      </c>
      <c r="B70" s="28">
        <v>2</v>
      </c>
      <c r="C70" s="28">
        <v>822</v>
      </c>
      <c r="D70" s="29" t="s">
        <v>167</v>
      </c>
      <c r="E70" s="30" t="s">
        <v>54</v>
      </c>
      <c r="F70" s="31">
        <v>44963</v>
      </c>
      <c r="G70" s="32">
        <v>4.010416666666666</v>
      </c>
      <c r="H70" s="31">
        <v>44962</v>
      </c>
      <c r="I70" s="32">
        <v>4.836111111111111</v>
      </c>
      <c r="J70" s="33">
        <f>F70-H70</f>
      </c>
      <c r="K70" s="28">
        <v>39</v>
      </c>
      <c r="L70" s="28">
        <v>0</v>
      </c>
      <c r="M70" s="28">
        <v>1</v>
      </c>
      <c r="N70" s="35">
        <v>1</v>
      </c>
      <c r="O70" s="34"/>
      <c r="P70" s="35">
        <v>1</v>
      </c>
      <c r="Q70" s="34"/>
      <c r="R70" s="34"/>
      <c r="S70" s="56"/>
      <c r="T70" s="28">
        <v>1</v>
      </c>
      <c r="U70" s="34"/>
      <c r="V70" s="35">
        <v>1</v>
      </c>
      <c r="W70" s="29" t="s">
        <v>74</v>
      </c>
      <c r="X70" s="28">
        <v>26</v>
      </c>
      <c r="Y70" s="28">
        <v>1</v>
      </c>
      <c r="Z70" s="28">
        <v>1</v>
      </c>
      <c r="AA70" s="28">
        <v>2</v>
      </c>
      <c r="AB70" s="28">
        <v>1</v>
      </c>
      <c r="AC70" s="28">
        <v>2</v>
      </c>
      <c r="AD70" s="28">
        <v>2</v>
      </c>
      <c r="AE70" s="28">
        <v>4</v>
      </c>
      <c r="AF70" s="28">
        <v>2</v>
      </c>
      <c r="AG70" s="28">
        <v>2</v>
      </c>
      <c r="AH70" s="29" t="s">
        <v>2867</v>
      </c>
      <c r="AI70" s="36">
        <f>IF(OR(AND(K70&lt;32, J70&lt;2), O70=1, P70=1, Q70=1, R70=1, S70=1, T70=1, U70=1, AND(W70&lt;&gt;"", W70&lt;&gt;"Oxygen", W70&lt;&gt;"LowFlow")), "Intensive", "Intermediate")</f>
      </c>
      <c r="AJ70" s="57">
        <f>IF(OR(LEFT(AH70, 1)="X", LEFT(AH70, 1)="Y", LEFT(AH70, 3)="J3M"), "CUSM", "No Match")</f>
      </c>
      <c r="AK70" s="57">
        <f>IF(AND(OR(O70=3, P70=1, Q70=1, T70=1), AJ70="no Match"), "CUSM, CHU SJ, CHUQ", "")</f>
      </c>
      <c r="AL70" s="57">
        <f>IF(AND(O70=2, ISBLANK(P70), ISBLANK(Q70), ISBLANK(R70), ISBLANK(S70), ISBLANK(T70)), "CUSM, CHU SJ, CHUS, CHUQ", "")</f>
      </c>
      <c r="AM70" s="57">
        <f>IF(AND(AJ70="no match", AK70="", AL70="", K70&lt;26), "CUSM, CHU SJ, HGJ, CHUQ, CHUS", "")</f>
      </c>
      <c r="AN70" s="57">
        <f>IF(AND(AJ70="no match", AK70="", AL70="", K70&gt;26), "CUSM, CHU SJ, HGJ, CHUQ, CHUS, HMR", "")</f>
      </c>
    </row>
    <row x14ac:dyDescent="0.25" r="71" customHeight="1" ht="17.25">
      <c r="A71" s="41" t="s">
        <v>2868</v>
      </c>
      <c r="B71" s="28">
        <v>2</v>
      </c>
      <c r="C71" s="35">
        <v>782</v>
      </c>
      <c r="D71" s="29" t="s">
        <v>95</v>
      </c>
      <c r="E71" s="30" t="s">
        <v>50</v>
      </c>
      <c r="F71" s="31">
        <v>44963</v>
      </c>
      <c r="G71" s="32">
        <v>4.069444444444445</v>
      </c>
      <c r="H71" s="31">
        <v>44962</v>
      </c>
      <c r="I71" s="32">
        <v>4.877083333333333</v>
      </c>
      <c r="J71" s="33">
        <f>F71-H71</f>
      </c>
      <c r="K71" s="28">
        <v>40</v>
      </c>
      <c r="L71" s="28">
        <v>6</v>
      </c>
      <c r="M71" s="28">
        <v>2</v>
      </c>
      <c r="N71" s="34"/>
      <c r="O71" s="34"/>
      <c r="P71" s="34"/>
      <c r="Q71" s="34"/>
      <c r="R71" s="34"/>
      <c r="S71" s="56"/>
      <c r="T71" s="35">
        <v>1</v>
      </c>
      <c r="U71" s="34"/>
      <c r="V71" s="34"/>
      <c r="W71" s="29" t="s">
        <v>74</v>
      </c>
      <c r="X71" s="28">
        <v>31</v>
      </c>
      <c r="Y71" s="28">
        <v>1</v>
      </c>
      <c r="Z71" s="28">
        <v>2</v>
      </c>
      <c r="AA71" s="28">
        <v>2</v>
      </c>
      <c r="AB71" s="28">
        <v>1</v>
      </c>
      <c r="AC71" s="28">
        <v>2</v>
      </c>
      <c r="AD71" s="28">
        <v>2</v>
      </c>
      <c r="AE71" s="28">
        <v>3</v>
      </c>
      <c r="AF71" s="35">
        <v>2</v>
      </c>
      <c r="AG71" s="28">
        <v>2</v>
      </c>
      <c r="AH71" s="29" t="s">
        <v>2869</v>
      </c>
      <c r="AI71" s="36">
        <f>IF(OR(AND(K71&lt;32, J71&lt;2), O71=1, P71=1, Q71=1, R71=1, S71=1, T71=1, U71=1, AND(W71&lt;&gt;"", W71&lt;&gt;"Oxygen", W71&lt;&gt;"LowFlow")), "Intensive", "Intermediate")</f>
      </c>
      <c r="AJ71" s="57">
        <f>IF(OR(LEFT(AH71, 1)="X", LEFT(AH71, 1)="Y", LEFT(AH71, 3)="J4M"), "CUSM", "No Match")</f>
      </c>
      <c r="AK71" s="57">
        <f>IF(AND(OR(O71=3, P71=1, Q71=1, T71=1), AJ71="no Match"), "CUSM, CHU SJ, CHUQ", "")</f>
      </c>
      <c r="AL71" s="57">
        <f>IF(AND(O71=2, ISBLANK(P71), ISBLANK(Q71), ISBLANK(R71), ISBLANK(S71), ISBLANK(T71)), "CUSM, CHU SJ, CHUS, CHUQ", "")</f>
      </c>
      <c r="AM71" s="57">
        <f>IF(AND(AJ71="no match", AK71="", AL71="", K71&lt;26), "CUSM, CHU SJ, HGJ, CHUQ, CHUS", "")</f>
      </c>
      <c r="AN71" s="57">
        <f>IF(AND(AJ71="no match", AK71="", AL71="", K71&gt;26), "CUSM, CHU SJ, HGJ, CHUQ, CHUS, HMR", "")</f>
      </c>
    </row>
    <row x14ac:dyDescent="0.25" r="72" customHeight="1" ht="17.25">
      <c r="A72" s="41" t="s">
        <v>2870</v>
      </c>
      <c r="B72" s="28">
        <v>2</v>
      </c>
      <c r="C72" s="35">
        <v>720</v>
      </c>
      <c r="D72" s="29" t="s">
        <v>626</v>
      </c>
      <c r="E72" s="30" t="s">
        <v>50</v>
      </c>
      <c r="F72" s="31">
        <v>44963</v>
      </c>
      <c r="G72" s="32">
        <v>4.607638888888889</v>
      </c>
      <c r="H72" s="31">
        <v>44963</v>
      </c>
      <c r="I72" s="32">
        <v>4.131944444444445</v>
      </c>
      <c r="J72" s="33">
        <f>F72-H72</f>
      </c>
      <c r="K72" s="28">
        <v>35</v>
      </c>
      <c r="L72" s="28">
        <v>1</v>
      </c>
      <c r="M72" s="28">
        <v>2</v>
      </c>
      <c r="N72" s="35">
        <v>1</v>
      </c>
      <c r="O72" s="34"/>
      <c r="P72" s="34"/>
      <c r="Q72" s="34"/>
      <c r="R72" s="34"/>
      <c r="S72" s="56"/>
      <c r="T72" s="34"/>
      <c r="U72" s="34"/>
      <c r="V72" s="34"/>
      <c r="W72" s="29" t="s">
        <v>58</v>
      </c>
      <c r="X72" s="28">
        <v>27</v>
      </c>
      <c r="Y72" s="28">
        <v>1</v>
      </c>
      <c r="Z72" s="28">
        <v>1</v>
      </c>
      <c r="AA72" s="28">
        <v>1</v>
      </c>
      <c r="AB72" s="28">
        <v>1</v>
      </c>
      <c r="AC72" s="28">
        <v>2</v>
      </c>
      <c r="AD72" s="28">
        <v>2</v>
      </c>
      <c r="AE72" s="28">
        <v>4</v>
      </c>
      <c r="AF72" s="35">
        <v>1</v>
      </c>
      <c r="AG72" s="28">
        <v>2</v>
      </c>
      <c r="AH72" s="29" t="s">
        <v>883</v>
      </c>
      <c r="AI72" s="36">
        <f>IF(OR(AND(K72&lt;32, J72&lt;2), O72=1, P72=1, Q72=1, R72=1, S72=1, T72=1, U72=1, AND(W72&lt;&gt;"", W72&lt;&gt;"Oxygen", W72&lt;&gt;"LowFlow")), "Intensive", "Intermediate")</f>
      </c>
      <c r="AJ72" s="57">
        <f>IF(OR(LEFT(AH72, 1)="X", LEFT(AH72, 1)="Y", LEFT(AH72, 3)="J5M"), "CUSM", "No Match")</f>
      </c>
      <c r="AK72" s="57">
        <f>IF(AND(OR(O72=3, P72=1, Q72=1, T72=1), AJ72="no Match"), "CUSM, CHU SJ, CHUQ", "")</f>
      </c>
      <c r="AL72" s="57">
        <f>IF(AND(O72=2, ISBLANK(P72), ISBLANK(Q72), ISBLANK(R72), ISBLANK(S72), ISBLANK(T72)), "CUSM, CHU SJ, CHUS, CHUQ", "")</f>
      </c>
      <c r="AM72" s="57">
        <f>IF(AND(AJ72="no match", AK72="", AL72="", K72&lt;26), "CUSM, CHU SJ, HGJ, CHUQ, CHUS", "")</f>
      </c>
      <c r="AN72" s="57">
        <f>IF(AND(AJ72="no match", AK72="", AL72="", K72&gt;26), "CUSM, CHU SJ, HGJ, CHUQ, CHUS, HMR", "")</f>
      </c>
    </row>
    <row x14ac:dyDescent="0.25" r="73" customHeight="1" ht="17.25">
      <c r="A73" s="41" t="s">
        <v>2871</v>
      </c>
      <c r="B73" s="28">
        <v>2</v>
      </c>
      <c r="C73" s="35">
        <v>730</v>
      </c>
      <c r="D73" s="29" t="s">
        <v>81</v>
      </c>
      <c r="E73" s="30" t="s">
        <v>50</v>
      </c>
      <c r="F73" s="31">
        <v>44964</v>
      </c>
      <c r="G73" s="32">
        <v>4.741666666666667</v>
      </c>
      <c r="H73" s="31">
        <v>44964</v>
      </c>
      <c r="I73" s="32">
        <v>4.570138888888889</v>
      </c>
      <c r="J73" s="33">
        <f>F73-H73</f>
      </c>
      <c r="K73" s="28">
        <v>39</v>
      </c>
      <c r="L73" s="28">
        <v>3</v>
      </c>
      <c r="M73" s="28">
        <v>1</v>
      </c>
      <c r="N73" s="35">
        <v>1</v>
      </c>
      <c r="O73" s="34"/>
      <c r="P73" s="34"/>
      <c r="Q73" s="34"/>
      <c r="R73" s="34"/>
      <c r="S73" s="56"/>
      <c r="T73" s="35">
        <v>1</v>
      </c>
      <c r="U73" s="34"/>
      <c r="V73" s="38"/>
      <c r="W73" s="29" t="s">
        <v>74</v>
      </c>
      <c r="X73" s="28">
        <v>26</v>
      </c>
      <c r="Y73" s="28">
        <v>1</v>
      </c>
      <c r="Z73" s="28">
        <v>1</v>
      </c>
      <c r="AA73" s="28">
        <v>2</v>
      </c>
      <c r="AB73" s="28">
        <v>1</v>
      </c>
      <c r="AC73" s="28">
        <v>2</v>
      </c>
      <c r="AD73" s="28">
        <v>2</v>
      </c>
      <c r="AE73" s="28">
        <v>3</v>
      </c>
      <c r="AF73" s="28">
        <v>2</v>
      </c>
      <c r="AG73" s="28">
        <v>2</v>
      </c>
      <c r="AH73" s="29" t="s">
        <v>2872</v>
      </c>
      <c r="AI73" s="36">
        <f>IF(OR(AND(K73&lt;32, J73&lt;2), O73=1, P73=1, Q73=1, R73=1, S73=1, T73=1, U73=1, AND(W73&lt;&gt;"", W73&lt;&gt;"Oxygen", W73&lt;&gt;"LowFlow")), "Intensive", "Intermediate")</f>
      </c>
      <c r="AJ73" s="57">
        <f>IF(OR(LEFT(AH73, 1)="X", LEFT(AH73, 1)="Y", LEFT(AH73, 3)="J6M"), "CUSM", "No Match")</f>
      </c>
      <c r="AK73" s="57">
        <f>IF(AND(OR(O73=3, P73=1, Q73=1, T73=1), AJ73="no Match"), "CUSM, CHU SJ, CHUQ", "")</f>
      </c>
      <c r="AL73" s="57">
        <f>IF(AND(O73=2, ISBLANK(P73), ISBLANK(Q73), ISBLANK(R73), ISBLANK(S73), ISBLANK(T73)), "CUSM, CHU SJ, CHUS, CHUQ", "")</f>
      </c>
      <c r="AM73" s="57">
        <f>IF(AND(AJ73="no match", AK73="", AL73="", K73&lt;26), "CUSM, CHU SJ, HGJ, CHUQ, CHUS", "")</f>
      </c>
      <c r="AN73" s="57">
        <f>IF(AND(AJ73="no match", AK73="", AL73="", K73&gt;26), "CUSM, CHU SJ, HGJ, CHUQ, CHUS, HMR", "")</f>
      </c>
    </row>
    <row x14ac:dyDescent="0.25" r="74" customHeight="1" ht="17.25">
      <c r="A74" s="41" t="s">
        <v>2873</v>
      </c>
      <c r="B74" s="28">
        <v>2</v>
      </c>
      <c r="C74" s="35">
        <v>822</v>
      </c>
      <c r="D74" s="29" t="s">
        <v>167</v>
      </c>
      <c r="E74" s="30" t="s">
        <v>54</v>
      </c>
      <c r="F74" s="31">
        <v>44966</v>
      </c>
      <c r="G74" s="32">
        <v>4.577083333333333</v>
      </c>
      <c r="H74" s="31">
        <v>44966</v>
      </c>
      <c r="I74" s="32">
        <v>4.0125</v>
      </c>
      <c r="J74" s="33">
        <f>F74-H74</f>
      </c>
      <c r="K74" s="28">
        <v>39</v>
      </c>
      <c r="L74" s="28">
        <v>2</v>
      </c>
      <c r="M74" s="28">
        <v>2</v>
      </c>
      <c r="N74" s="34"/>
      <c r="O74" s="34"/>
      <c r="P74" s="34"/>
      <c r="Q74" s="34"/>
      <c r="R74" s="34"/>
      <c r="S74" s="56"/>
      <c r="T74" s="34"/>
      <c r="U74" s="34"/>
      <c r="V74" s="34"/>
      <c r="W74" s="29" t="s">
        <v>106</v>
      </c>
      <c r="X74" s="28">
        <v>28</v>
      </c>
      <c r="Y74" s="28">
        <v>1</v>
      </c>
      <c r="Z74" s="28">
        <v>2</v>
      </c>
      <c r="AA74" s="28">
        <v>2</v>
      </c>
      <c r="AB74" s="28">
        <v>1</v>
      </c>
      <c r="AC74" s="28">
        <v>2</v>
      </c>
      <c r="AD74" s="28">
        <v>1</v>
      </c>
      <c r="AE74" s="28">
        <v>4</v>
      </c>
      <c r="AF74" s="28">
        <v>2</v>
      </c>
      <c r="AG74" s="28">
        <v>2</v>
      </c>
      <c r="AH74" s="29" t="s">
        <v>2874</v>
      </c>
      <c r="AI74" s="36">
        <f>IF(OR(AND(K74&lt;32, J74&lt;2), O74=1, P74=1, Q74=1, R74=1, S74=1, T74=1, U74=1, AND(W74&lt;&gt;"", W74&lt;&gt;"Oxygen", W74&lt;&gt;"LowFlow")), "Intensive", "Intermediate")</f>
      </c>
      <c r="AJ74" s="57">
        <f>IF(OR(LEFT(AH74, 1)="X", LEFT(AH74, 1)="Y", LEFT(AH74, 3)="J7M"), "CUSM", "No Match")</f>
      </c>
      <c r="AK74" s="57">
        <f>IF(AND(OR(O74=3, P74=1, Q74=1, T74=1), AJ74="no Match"), "CUSM, CHU SJ, CHUQ", "")</f>
      </c>
      <c r="AL74" s="57">
        <f>IF(AND(O74=2, ISBLANK(P74), ISBLANK(Q74), ISBLANK(R74), ISBLANK(S74), ISBLANK(T74)), "CUSM, CHU SJ, CHUS, CHUQ", "")</f>
      </c>
      <c r="AM74" s="57">
        <f>IF(AND(AJ74="no match", AK74="", AL74="", K74&lt;26), "CUSM, CHU SJ, HGJ, CHUQ, CHUS", "")</f>
      </c>
      <c r="AN74" s="57">
        <f>IF(AND(AJ74="no match", AK74="", AL74="", K74&gt;26), "CUSM, CHU SJ, HGJ, CHUQ, CHUS, HMR", "")</f>
      </c>
    </row>
    <row x14ac:dyDescent="0.25" r="75" customHeight="1" ht="17.25">
      <c r="A75" s="41" t="s">
        <v>2875</v>
      </c>
      <c r="B75" s="28">
        <v>2</v>
      </c>
      <c r="C75" s="35">
        <v>730</v>
      </c>
      <c r="D75" s="29" t="s">
        <v>81</v>
      </c>
      <c r="E75" s="30" t="s">
        <v>50</v>
      </c>
      <c r="F75" s="31">
        <v>44966</v>
      </c>
      <c r="G75" s="32">
        <v>4.791666666666666</v>
      </c>
      <c r="H75" s="31">
        <v>44964</v>
      </c>
      <c r="I75" s="32">
        <v>4.378472222222222</v>
      </c>
      <c r="J75" s="33">
        <f>F75-H75</f>
      </c>
      <c r="K75" s="28">
        <v>37</v>
      </c>
      <c r="L75" s="28">
        <v>0</v>
      </c>
      <c r="M75" s="28">
        <v>1</v>
      </c>
      <c r="N75" s="28">
        <v>1</v>
      </c>
      <c r="O75" s="38"/>
      <c r="P75" s="38"/>
      <c r="Q75" s="34"/>
      <c r="R75" s="34"/>
      <c r="S75" s="56"/>
      <c r="T75" s="34"/>
      <c r="U75" s="34"/>
      <c r="V75" s="34"/>
      <c r="W75" s="29"/>
      <c r="X75" s="28">
        <v>33</v>
      </c>
      <c r="Y75" s="28">
        <v>1</v>
      </c>
      <c r="Z75" s="28">
        <v>1</v>
      </c>
      <c r="AA75" s="28">
        <v>2</v>
      </c>
      <c r="AB75" s="28">
        <v>1</v>
      </c>
      <c r="AC75" s="28">
        <v>2</v>
      </c>
      <c r="AD75" s="28">
        <v>2</v>
      </c>
      <c r="AE75" s="28">
        <v>4</v>
      </c>
      <c r="AF75" s="28">
        <v>2</v>
      </c>
      <c r="AG75" s="28">
        <v>2</v>
      </c>
      <c r="AH75" s="29" t="s">
        <v>2876</v>
      </c>
      <c r="AI75" s="36">
        <f>IF(OR(AND(K75&lt;32, J75&lt;2), O75=1, P75=1, Q75=1, R75=1, S75=1, T75=1, U75=1, AND(W75&lt;&gt;"", W75&lt;&gt;"Oxygen", W75&lt;&gt;"LowFlow")), "Intensive", "Intermediate")</f>
      </c>
      <c r="AJ75" s="57">
        <f>IF(OR(LEFT(AH75, 1)="X", LEFT(AH75, 1)="Y", LEFT(AH75, 3)="J8M"), "CUSM", "No Match")</f>
      </c>
      <c r="AK75" s="57">
        <f>IF(AND(OR(O75=3, P75=1, Q75=1, T75=1), AJ75="no Match"), "CUSM, CHU SJ, CHUQ", "")</f>
      </c>
      <c r="AL75" s="57">
        <f>IF(AND(O75=2, ISBLANK(P75), ISBLANK(Q75), ISBLANK(R75), ISBLANK(S75), ISBLANK(T75)), "CUSM, CHU SJ, CHUS, CHUQ", "")</f>
      </c>
      <c r="AM75" s="57">
        <f>IF(AND(AJ75="no match", AK75="", AL75="", K75&lt;26), "CUSM, CHU SJ, HGJ, CHUQ, CHUS", "")</f>
      </c>
      <c r="AN75" s="57">
        <f>IF(AND(AJ75="no match", AK75="", AL75="", K75&gt;26), "CUSM, CHU SJ, HGJ, CHUQ, CHUS, HMR", "")</f>
      </c>
    </row>
    <row x14ac:dyDescent="0.25" r="76" customHeight="1" ht="17.25">
      <c r="A76" s="41" t="s">
        <v>2877</v>
      </c>
      <c r="B76" s="28">
        <v>2</v>
      </c>
      <c r="C76" s="28">
        <v>835</v>
      </c>
      <c r="D76" s="29" t="s">
        <v>170</v>
      </c>
      <c r="E76" s="30" t="s">
        <v>54</v>
      </c>
      <c r="F76" s="31">
        <v>44967</v>
      </c>
      <c r="G76" s="32">
        <v>4.0625</v>
      </c>
      <c r="H76" s="31">
        <v>44966</v>
      </c>
      <c r="I76" s="32">
        <v>4.929861111111111</v>
      </c>
      <c r="J76" s="33">
        <f>F76-H76</f>
      </c>
      <c r="K76" s="28">
        <v>35</v>
      </c>
      <c r="L76" s="28">
        <v>3</v>
      </c>
      <c r="M76" s="28">
        <v>1</v>
      </c>
      <c r="N76" s="34"/>
      <c r="O76" s="34"/>
      <c r="P76" s="34"/>
      <c r="Q76" s="34"/>
      <c r="R76" s="34"/>
      <c r="S76" s="56"/>
      <c r="T76" s="35">
        <v>1</v>
      </c>
      <c r="U76" s="34"/>
      <c r="V76" s="34"/>
      <c r="W76" s="29" t="s">
        <v>58</v>
      </c>
      <c r="X76" s="28">
        <v>28</v>
      </c>
      <c r="Y76" s="28">
        <v>1</v>
      </c>
      <c r="Z76" s="28">
        <v>2</v>
      </c>
      <c r="AA76" s="28">
        <v>2</v>
      </c>
      <c r="AB76" s="28">
        <v>1</v>
      </c>
      <c r="AC76" s="28">
        <v>2</v>
      </c>
      <c r="AD76" s="28">
        <v>1</v>
      </c>
      <c r="AE76" s="28">
        <v>4</v>
      </c>
      <c r="AF76" s="28">
        <v>2</v>
      </c>
      <c r="AG76" s="28">
        <v>2</v>
      </c>
      <c r="AH76" s="29" t="s">
        <v>2878</v>
      </c>
      <c r="AI76" s="36">
        <f>IF(OR(AND(K76&lt;32, J76&lt;2), O76=1, P76=1, Q76=1, R76=1, S76=1, T76=1, U76=1, AND(W76&lt;&gt;"", W76&lt;&gt;"Oxygen", W76&lt;&gt;"LowFlow")), "Intensive", "Intermediate")</f>
      </c>
      <c r="AJ76" s="57">
        <f>IF(OR(LEFT(AH76, 1)="X", LEFT(AH76, 1)="Y", LEFT(AH76, 3)="J9M"), "CUSM", "No Match")</f>
      </c>
      <c r="AK76" s="57">
        <f>IF(AND(OR(O76=3, P76=1, Q76=1, T76=1), AJ76="no Match"), "CUSM, CHU SJ, CHUQ", "")</f>
      </c>
      <c r="AL76" s="57">
        <f>IF(AND(O76=2, ISBLANK(P76), ISBLANK(Q76), ISBLANK(R76), ISBLANK(S76), ISBLANK(T76)), "CUSM, CHU SJ, CHUS, CHUQ", "")</f>
      </c>
      <c r="AM76" s="57">
        <f>IF(AND(AJ76="no match", AK76="", AL76="", K76&lt;26), "CUSM, CHU SJ, HGJ, CHUQ, CHUS", "")</f>
      </c>
      <c r="AN76" s="57">
        <f>IF(AND(AJ76="no match", AK76="", AL76="", K76&gt;26), "CUSM, CHU SJ, HGJ, CHUQ, CHUS, HMR", "")</f>
      </c>
    </row>
    <row x14ac:dyDescent="0.25" r="77" customHeight="1" ht="17.25">
      <c r="A77" s="41" t="s">
        <v>2879</v>
      </c>
      <c r="B77" s="28">
        <v>2</v>
      </c>
      <c r="C77" s="35">
        <v>820</v>
      </c>
      <c r="D77" s="29" t="s">
        <v>69</v>
      </c>
      <c r="E77" s="30" t="s">
        <v>54</v>
      </c>
      <c r="F77" s="31">
        <v>44968</v>
      </c>
      <c r="G77" s="32">
        <v>4.635416666666666</v>
      </c>
      <c r="H77" s="31">
        <v>44965</v>
      </c>
      <c r="I77" s="32">
        <v>4.825</v>
      </c>
      <c r="J77" s="33">
        <f>F77-H77</f>
      </c>
      <c r="K77" s="28">
        <v>38</v>
      </c>
      <c r="L77" s="28">
        <v>5</v>
      </c>
      <c r="M77" s="28">
        <v>1</v>
      </c>
      <c r="N77" s="34"/>
      <c r="O77" s="34"/>
      <c r="P77" s="34"/>
      <c r="Q77" s="34"/>
      <c r="R77" s="34"/>
      <c r="S77" s="56"/>
      <c r="T77" s="34"/>
      <c r="U77" s="34"/>
      <c r="V77" s="34"/>
      <c r="W77" s="29"/>
      <c r="X77" s="28">
        <v>35</v>
      </c>
      <c r="Y77" s="28">
        <v>1</v>
      </c>
      <c r="Z77" s="28">
        <v>1</v>
      </c>
      <c r="AA77" s="28">
        <v>2</v>
      </c>
      <c r="AB77" s="28">
        <v>1</v>
      </c>
      <c r="AC77" s="28">
        <v>1</v>
      </c>
      <c r="AD77" s="28">
        <v>2</v>
      </c>
      <c r="AE77" s="28">
        <v>4</v>
      </c>
      <c r="AF77" s="28">
        <v>2</v>
      </c>
      <c r="AG77" s="28">
        <v>2</v>
      </c>
      <c r="AH77" s="29" t="s">
        <v>2880</v>
      </c>
      <c r="AI77" s="36">
        <f>IF(OR(AND(K77&lt;32, J77&lt;2), O77=1, P77=1, Q77=1, R77=1, S77=1, T77=1, U77=1, AND(W77&lt;&gt;"", W77&lt;&gt;"Oxygen", W77&lt;&gt;"LowFlow")), "Intensive", "Intermediate")</f>
      </c>
      <c r="AJ77" s="57">
        <f>IF(OR(LEFT(AH77, 1)="X", LEFT(AH77, 1)="Y", LEFT(AH77, 3)="J10M"), "CUSM", "No Match")</f>
      </c>
      <c r="AK77" s="57">
        <f>IF(AND(OR(O77=3, P77=1, Q77=1, T77=1), AJ77="no Match"), "CUSM, CHU SJ, CHUQ", "")</f>
      </c>
      <c r="AL77" s="57">
        <f>IF(AND(O77=2, ISBLANK(P77), ISBLANK(Q77), ISBLANK(R77), ISBLANK(S77), ISBLANK(T77)), "CUSM, CHU SJ, CHUS, CHUQ", "")</f>
      </c>
      <c r="AM77" s="57">
        <f>IF(AND(AJ77="no match", AK77="", AL77="", K77&lt;26), "CUSM, CHU SJ, HGJ, CHUQ, CHUS", "")</f>
      </c>
      <c r="AN77" s="57">
        <f>IF(AND(AJ77="no match", AK77="", AL77="", K77&gt;26), "CUSM, CHU SJ, HGJ, CHUQ, CHUS, HMR", "")</f>
      </c>
    </row>
    <row x14ac:dyDescent="0.25" r="78" customHeight="1" ht="17.25">
      <c r="A78" s="41" t="s">
        <v>2881</v>
      </c>
      <c r="B78" s="28">
        <v>2</v>
      </c>
      <c r="C78" s="28">
        <v>1019</v>
      </c>
      <c r="D78" s="29" t="s">
        <v>354</v>
      </c>
      <c r="E78" s="30" t="s">
        <v>54</v>
      </c>
      <c r="F78" s="31">
        <v>44969</v>
      </c>
      <c r="G78" s="32">
        <v>4.2972222222222225</v>
      </c>
      <c r="H78" s="31">
        <v>44969</v>
      </c>
      <c r="I78" s="32">
        <v>4.168055555555556</v>
      </c>
      <c r="J78" s="33">
        <f>F78-H78</f>
      </c>
      <c r="K78" s="28">
        <v>37</v>
      </c>
      <c r="L78" s="28">
        <v>4</v>
      </c>
      <c r="M78" s="28">
        <v>1</v>
      </c>
      <c r="N78" s="34"/>
      <c r="O78" s="34"/>
      <c r="P78" s="34"/>
      <c r="Q78" s="34"/>
      <c r="R78" s="34"/>
      <c r="S78" s="56"/>
      <c r="T78" s="35">
        <v>1</v>
      </c>
      <c r="U78" s="34"/>
      <c r="V78" s="34"/>
      <c r="W78" s="29" t="s">
        <v>74</v>
      </c>
      <c r="X78" s="28">
        <v>32</v>
      </c>
      <c r="Y78" s="28">
        <v>1</v>
      </c>
      <c r="Z78" s="28">
        <v>2</v>
      </c>
      <c r="AA78" s="28">
        <v>2</v>
      </c>
      <c r="AB78" s="28">
        <v>1</v>
      </c>
      <c r="AC78" s="28">
        <v>2</v>
      </c>
      <c r="AD78" s="28">
        <v>2</v>
      </c>
      <c r="AE78" s="28">
        <v>4</v>
      </c>
      <c r="AF78" s="28">
        <v>2</v>
      </c>
      <c r="AG78" s="28">
        <v>2</v>
      </c>
      <c r="AH78" s="29" t="s">
        <v>2882</v>
      </c>
      <c r="AI78" s="36">
        <f>IF(OR(AND(K78&lt;32, J78&lt;2), O78=1, P78=1, Q78=1, R78=1, S78=1, T78=1, U78=1, AND(W78&lt;&gt;"", W78&lt;&gt;"Oxygen", W78&lt;&gt;"LowFlow")), "Intensive", "Intermediate")</f>
      </c>
      <c r="AJ78" s="57">
        <f>IF(OR(LEFT(AH78, 1)="X", LEFT(AH78, 1)="Y", LEFT(AH78, 3)="J11M"), "CUSM", "No Match")</f>
      </c>
      <c r="AK78" s="57">
        <f>IF(AND(OR(O78=3, P78=1, Q78=1, T78=1), AJ78="no Match"), "CUSM, CHU SJ, CHUQ", "")</f>
      </c>
      <c r="AL78" s="57">
        <f>IF(AND(O78=2, ISBLANK(P78), ISBLANK(Q78), ISBLANK(R78), ISBLANK(S78), ISBLANK(T78)), "CUSM, CHU SJ, CHUS, CHUQ", "")</f>
      </c>
      <c r="AM78" s="57">
        <f>IF(AND(AJ78="no match", AK78="", AL78="", K78&lt;26), "CUSM, CHU SJ, HGJ, CHUQ, CHUS", "")</f>
      </c>
      <c r="AN78" s="57">
        <f>IF(AND(AJ78="no match", AK78="", AL78="", K78&gt;26), "CUSM, CHU SJ, HGJ, CHUQ, CHUS, HMR", "")</f>
      </c>
    </row>
    <row x14ac:dyDescent="0.25" r="79" customHeight="1" ht="17.25">
      <c r="A79" s="41" t="s">
        <v>2883</v>
      </c>
      <c r="B79" s="28">
        <v>2</v>
      </c>
      <c r="C79" s="28">
        <v>779</v>
      </c>
      <c r="D79" s="29" t="s">
        <v>136</v>
      </c>
      <c r="E79" s="30" t="s">
        <v>54</v>
      </c>
      <c r="F79" s="31">
        <v>44970</v>
      </c>
      <c r="G79" s="32">
        <v>4.684027777777778</v>
      </c>
      <c r="H79" s="31">
        <v>44970</v>
      </c>
      <c r="I79" s="32">
        <v>4.415972222222223</v>
      </c>
      <c r="J79" s="33">
        <f>F79-H79</f>
      </c>
      <c r="K79" s="28">
        <v>38</v>
      </c>
      <c r="L79" s="28">
        <v>1</v>
      </c>
      <c r="M79" s="28">
        <v>2</v>
      </c>
      <c r="N79" s="28">
        <v>1</v>
      </c>
      <c r="O79" s="35">
        <v>2</v>
      </c>
      <c r="P79" s="28">
        <v>1</v>
      </c>
      <c r="Q79" s="35">
        <v>1</v>
      </c>
      <c r="R79" s="34"/>
      <c r="S79" s="56"/>
      <c r="T79" s="34"/>
      <c r="U79" s="34"/>
      <c r="V79" s="34"/>
      <c r="W79" s="29"/>
      <c r="X79" s="28">
        <v>28</v>
      </c>
      <c r="Y79" s="28">
        <v>1</v>
      </c>
      <c r="Z79" s="28">
        <v>2</v>
      </c>
      <c r="AA79" s="28">
        <v>2</v>
      </c>
      <c r="AB79" s="28">
        <v>1</v>
      </c>
      <c r="AC79" s="28">
        <v>2</v>
      </c>
      <c r="AD79" s="28">
        <v>2</v>
      </c>
      <c r="AE79" s="28">
        <v>4</v>
      </c>
      <c r="AF79" s="28">
        <v>2</v>
      </c>
      <c r="AG79" s="28">
        <v>2</v>
      </c>
      <c r="AH79" s="29" t="s">
        <v>2884</v>
      </c>
      <c r="AI79" s="36">
        <f>IF(OR(AND(K79&lt;32, J79&lt;2), O79=1, P79=1, Q79=1, R79=1, S79=1, T79=1, U79=1, AND(W79&lt;&gt;"", W79&lt;&gt;"Oxygen", W79&lt;&gt;"LowFlow")), "Intensive", "Intermediate")</f>
      </c>
      <c r="AJ79" s="57">
        <f>IF(OR(LEFT(AH79, 1)="X", LEFT(AH79, 1)="Y", LEFT(AH79, 3)="J12M"), "CUSM", "No Match")</f>
      </c>
      <c r="AK79" s="57">
        <f>IF(AND(OR(O79=3, P79=1, Q79=1, T79=1), AJ79="no Match"), "CUSM, CHU SJ, CHUQ", "")</f>
      </c>
      <c r="AL79" s="57">
        <f>IF(AND(O79=2, ISBLANK(P79), ISBLANK(Q79), ISBLANK(R79), ISBLANK(S79), ISBLANK(T79)), "CUSM, CHU SJ, CHUS, CHUQ", "")</f>
      </c>
      <c r="AM79" s="57">
        <f>IF(AND(AJ79="no match", AK79="", AL79="", K79&lt;26), "CUSM, CHU SJ, HGJ, CHUQ, CHUS", "")</f>
      </c>
      <c r="AN79" s="57">
        <f>IF(AND(AJ79="no match", AK79="", AL79="", K79&gt;26), "CUSM, CHU SJ, HGJ, CHUQ, CHUS, HMR", "")</f>
      </c>
    </row>
    <row x14ac:dyDescent="0.25" r="80" customHeight="1" ht="17.25">
      <c r="A80" s="41" t="s">
        <v>2885</v>
      </c>
      <c r="B80" s="28">
        <v>2</v>
      </c>
      <c r="C80" s="28">
        <v>730</v>
      </c>
      <c r="D80" s="29" t="s">
        <v>81</v>
      </c>
      <c r="E80" s="30" t="s">
        <v>50</v>
      </c>
      <c r="F80" s="31">
        <v>44970</v>
      </c>
      <c r="G80" s="32">
        <v>4.607638888888889</v>
      </c>
      <c r="H80" s="31">
        <v>44969</v>
      </c>
      <c r="I80" s="32">
        <v>4.075694444444444</v>
      </c>
      <c r="J80" s="33">
        <f>F80-H80</f>
      </c>
      <c r="K80" s="28">
        <v>39</v>
      </c>
      <c r="L80" s="28">
        <v>1</v>
      </c>
      <c r="M80" s="28">
        <v>2</v>
      </c>
      <c r="N80" s="35">
        <v>1</v>
      </c>
      <c r="O80" s="35">
        <v>2</v>
      </c>
      <c r="P80" s="35">
        <v>1</v>
      </c>
      <c r="Q80" s="34"/>
      <c r="R80" s="34"/>
      <c r="S80" s="56"/>
      <c r="T80" s="34"/>
      <c r="U80" s="34"/>
      <c r="V80" s="34"/>
      <c r="W80" s="29"/>
      <c r="X80" s="28">
        <v>31</v>
      </c>
      <c r="Y80" s="28">
        <v>1</v>
      </c>
      <c r="Z80" s="28">
        <v>2</v>
      </c>
      <c r="AA80" s="28">
        <v>1</v>
      </c>
      <c r="AB80" s="28">
        <v>1</v>
      </c>
      <c r="AC80" s="28">
        <v>2</v>
      </c>
      <c r="AD80" s="28">
        <v>2</v>
      </c>
      <c r="AE80" s="28">
        <v>4</v>
      </c>
      <c r="AF80" s="28">
        <v>3</v>
      </c>
      <c r="AG80" s="28">
        <v>2</v>
      </c>
      <c r="AH80" s="29" t="s">
        <v>2886</v>
      </c>
      <c r="AI80" s="36">
        <f>IF(OR(AND(K80&lt;32, J80&lt;2), O80=1, P80=1, Q80=1, R80=1, S80=1, T80=1, U80=1, AND(W80&lt;&gt;"", W80&lt;&gt;"Oxygen", W80&lt;&gt;"LowFlow")), "Intensive", "Intermediate")</f>
      </c>
      <c r="AJ80" s="57">
        <f>IF(OR(LEFT(AH80, 1)="X", LEFT(AH80, 1)="Y", LEFT(AH80, 3)="J13M"), "CUSM", "No Match")</f>
      </c>
      <c r="AK80" s="57">
        <f>IF(AND(OR(O80=3, P80=1, Q80=1, T80=1), AJ80="no Match"), "CUSM, CHU SJ, CHUQ", "")</f>
      </c>
      <c r="AL80" s="57">
        <f>IF(AND(O80=2, ISBLANK(P80), ISBLANK(Q80), ISBLANK(R80), ISBLANK(S80), ISBLANK(T80)), "CUSM, CHU SJ, CHUS, CHUQ", "")</f>
      </c>
      <c r="AM80" s="57">
        <f>IF(AND(AJ80="no match", AK80="", AL80="", K80&lt;26), "CUSM, CHU SJ, HGJ, CHUQ, CHUS", "")</f>
      </c>
      <c r="AN80" s="57">
        <f>IF(AND(AJ80="no match", AK80="", AL80="", K80&gt;26), "CUSM, CHU SJ, HGJ, CHUQ, CHUS, HMR", "")</f>
      </c>
    </row>
    <row x14ac:dyDescent="0.25" r="81" customHeight="1" ht="17.25">
      <c r="A81" s="41" t="s">
        <v>2887</v>
      </c>
      <c r="B81" s="28">
        <v>2</v>
      </c>
      <c r="C81" s="35">
        <v>779</v>
      </c>
      <c r="D81" s="29" t="s">
        <v>136</v>
      </c>
      <c r="E81" s="30" t="s">
        <v>54</v>
      </c>
      <c r="F81" s="31">
        <v>44971</v>
      </c>
      <c r="G81" s="32">
        <v>4.3125</v>
      </c>
      <c r="H81" s="31">
        <v>44970</v>
      </c>
      <c r="I81" s="32">
        <v>4.886805555555556</v>
      </c>
      <c r="J81" s="33">
        <f>F81-H81</f>
      </c>
      <c r="K81" s="28">
        <v>38</v>
      </c>
      <c r="L81" s="28">
        <v>3</v>
      </c>
      <c r="M81" s="28">
        <v>2</v>
      </c>
      <c r="N81" s="35">
        <v>1</v>
      </c>
      <c r="O81" s="34"/>
      <c r="P81" s="35">
        <v>1</v>
      </c>
      <c r="Q81" s="34"/>
      <c r="R81" s="34"/>
      <c r="S81" s="56"/>
      <c r="T81" s="34"/>
      <c r="U81" s="34"/>
      <c r="V81" s="34"/>
      <c r="W81" s="29" t="s">
        <v>106</v>
      </c>
      <c r="X81" s="28">
        <v>37</v>
      </c>
      <c r="Y81" s="28">
        <v>1</v>
      </c>
      <c r="Z81" s="28">
        <v>1</v>
      </c>
      <c r="AA81" s="28">
        <v>2</v>
      </c>
      <c r="AB81" s="28">
        <v>1</v>
      </c>
      <c r="AC81" s="28">
        <v>2</v>
      </c>
      <c r="AD81" s="28">
        <v>1</v>
      </c>
      <c r="AE81" s="28">
        <v>4</v>
      </c>
      <c r="AF81" s="28">
        <v>2</v>
      </c>
      <c r="AG81" s="28">
        <v>2</v>
      </c>
      <c r="AH81" s="29" t="s">
        <v>1368</v>
      </c>
      <c r="AI81" s="36">
        <f>IF(OR(AND(K81&lt;32, J81&lt;2), O81=1, P81=1, Q81=1, R81=1, S81=1, T81=1, U81=1, AND(W81&lt;&gt;"", W81&lt;&gt;"Oxygen", W81&lt;&gt;"LowFlow")), "Intensive", "Intermediate")</f>
      </c>
      <c r="AJ81" s="57">
        <f>IF(OR(LEFT(AH81, 1)="X", LEFT(AH81, 1)="Y", LEFT(AH81, 3)="J14M"), "CUSM", "No Match")</f>
      </c>
      <c r="AK81" s="57">
        <f>IF(AND(OR(O81=3, P81=1, Q81=1, T81=1), AJ81="no Match"), "CUSM, CHU SJ, CHUQ", "")</f>
      </c>
      <c r="AL81" s="57">
        <f>IF(AND(O81=2, ISBLANK(P81), ISBLANK(Q81), ISBLANK(R81), ISBLANK(S81), ISBLANK(T81)), "CUSM, CHU SJ, CHUS, CHUQ", "")</f>
      </c>
      <c r="AM81" s="57">
        <f>IF(AND(AJ81="no match", AK81="", AL81="", K81&lt;26), "CUSM, CHU SJ, HGJ, CHUQ, CHUS", "")</f>
      </c>
      <c r="AN81" s="57">
        <f>IF(AND(AJ81="no match", AK81="", AL81="", K81&gt;26), "CUSM, CHU SJ, HGJ, CHUQ, CHUS, HMR", "")</f>
      </c>
    </row>
    <row x14ac:dyDescent="0.25" r="82" customHeight="1" ht="17.25">
      <c r="A82" s="41" t="s">
        <v>2888</v>
      </c>
      <c r="B82" s="28">
        <v>2</v>
      </c>
      <c r="C82" s="35">
        <v>730</v>
      </c>
      <c r="D82" s="29" t="s">
        <v>81</v>
      </c>
      <c r="E82" s="30" t="s">
        <v>50</v>
      </c>
      <c r="F82" s="31">
        <v>44971</v>
      </c>
      <c r="G82" s="32">
        <v>4.075</v>
      </c>
      <c r="H82" s="31">
        <v>44970</v>
      </c>
      <c r="I82" s="32">
        <v>4.909722222222222</v>
      </c>
      <c r="J82" s="33">
        <f>F82-H82</f>
      </c>
      <c r="K82" s="28">
        <v>41</v>
      </c>
      <c r="L82" s="28">
        <v>2</v>
      </c>
      <c r="M82" s="28">
        <v>1</v>
      </c>
      <c r="N82" s="34"/>
      <c r="O82" s="34"/>
      <c r="P82" s="34"/>
      <c r="Q82" s="34"/>
      <c r="R82" s="34"/>
      <c r="S82" s="56"/>
      <c r="T82" s="34"/>
      <c r="U82" s="34"/>
      <c r="V82" s="34"/>
      <c r="W82" s="29" t="s">
        <v>58</v>
      </c>
      <c r="X82" s="28">
        <v>24</v>
      </c>
      <c r="Y82" s="28">
        <v>1</v>
      </c>
      <c r="Z82" s="28">
        <v>2</v>
      </c>
      <c r="AA82" s="28">
        <v>1</v>
      </c>
      <c r="AB82" s="28">
        <v>1</v>
      </c>
      <c r="AC82" s="28">
        <v>2</v>
      </c>
      <c r="AD82" s="28">
        <v>2</v>
      </c>
      <c r="AE82" s="28">
        <v>4</v>
      </c>
      <c r="AF82" s="28">
        <v>1</v>
      </c>
      <c r="AG82" s="28">
        <v>2</v>
      </c>
      <c r="AH82" s="29" t="s">
        <v>2889</v>
      </c>
      <c r="AI82" s="36">
        <f>IF(OR(AND(K82&lt;32, J82&lt;2), O82=1, P82=1, Q82=1, R82=1, S82=1, T82=1, U82=1, AND(W82&lt;&gt;"", W82&lt;&gt;"Oxygen", W82&lt;&gt;"LowFlow")), "Intensive", "Intermediate")</f>
      </c>
      <c r="AJ82" s="57">
        <f>IF(OR(LEFT(AH82, 1)="X", LEFT(AH82, 1)="Y", LEFT(AH82, 3)="J15M"), "CUSM", "No Match")</f>
      </c>
      <c r="AK82" s="57">
        <f>IF(AND(OR(O82=3, P82=1, Q82=1, T82=1), AJ82="no Match"), "CUSM, CHU SJ, CHUQ", "")</f>
      </c>
      <c r="AL82" s="57">
        <f>IF(AND(O82=2, ISBLANK(P82), ISBLANK(Q82), ISBLANK(R82), ISBLANK(S82), ISBLANK(T82)), "CUSM, CHU SJ, CHUS, CHUQ", "")</f>
      </c>
      <c r="AM82" s="57">
        <f>IF(AND(AJ82="no match", AK82="", AL82="", K82&lt;26), "CUSM, CHU SJ, HGJ, CHUQ, CHUS", "")</f>
      </c>
      <c r="AN82" s="57">
        <f>IF(AND(AJ82="no match", AK82="", AL82="", K82&gt;26), "CUSM, CHU SJ, HGJ, CHUQ, CHUS, HMR", "")</f>
      </c>
    </row>
    <row x14ac:dyDescent="0.25" r="83" customHeight="1" ht="17.25">
      <c r="A83" s="41" t="s">
        <v>2890</v>
      </c>
      <c r="B83" s="28">
        <v>2</v>
      </c>
      <c r="C83" s="28">
        <v>748</v>
      </c>
      <c r="D83" s="29" t="s">
        <v>145</v>
      </c>
      <c r="E83" s="30" t="s">
        <v>149</v>
      </c>
      <c r="F83" s="31">
        <v>44972</v>
      </c>
      <c r="G83" s="32">
        <v>4.184722222222222</v>
      </c>
      <c r="H83" s="31">
        <v>44971</v>
      </c>
      <c r="I83" s="32">
        <v>4.934722222222222</v>
      </c>
      <c r="J83" s="33">
        <f>F83-H83</f>
      </c>
      <c r="K83" s="28">
        <v>31</v>
      </c>
      <c r="L83" s="28">
        <v>0</v>
      </c>
      <c r="M83" s="28">
        <v>2</v>
      </c>
      <c r="N83" s="34"/>
      <c r="O83" s="34"/>
      <c r="P83" s="34"/>
      <c r="Q83" s="34"/>
      <c r="R83" s="34"/>
      <c r="S83" s="56"/>
      <c r="T83" s="34"/>
      <c r="U83" s="34"/>
      <c r="V83" s="34"/>
      <c r="W83" s="29" t="s">
        <v>74</v>
      </c>
      <c r="X83" s="28">
        <v>41</v>
      </c>
      <c r="Y83" s="28">
        <v>1</v>
      </c>
      <c r="Z83" s="28">
        <v>2</v>
      </c>
      <c r="AA83" s="28">
        <v>3</v>
      </c>
      <c r="AB83" s="28">
        <v>4</v>
      </c>
      <c r="AC83" s="28">
        <v>2</v>
      </c>
      <c r="AD83" s="28">
        <v>1</v>
      </c>
      <c r="AE83" s="28">
        <v>4</v>
      </c>
      <c r="AF83" s="28">
        <v>3</v>
      </c>
      <c r="AG83" s="28">
        <v>2</v>
      </c>
      <c r="AH83" s="29" t="s">
        <v>2891</v>
      </c>
      <c r="AI83" s="36">
        <f>IF(OR(AND(K83&lt;32, J83&lt;2), O83=1, P83=1, Q83=1, R83=1, S83=1, T83=1, U83=1, AND(W83&lt;&gt;"", W83&lt;&gt;"Oxygen", W83&lt;&gt;"LowFlow")), "Intensive", "Intermediate")</f>
      </c>
      <c r="AJ83" s="57">
        <f>IF(OR(LEFT(AH83, 1)="X", LEFT(AH83, 1)="Y", LEFT(AH83, 3)="J16M"), "CUSM", "No Match")</f>
      </c>
      <c r="AK83" s="57">
        <f>IF(AND(OR(O83=3, P83=1, Q83=1, T83=1), AJ83="no Match"), "CUSM, CHU SJ, CHUQ", "")</f>
      </c>
      <c r="AL83" s="57">
        <f>IF(AND(O83=2, ISBLANK(P83), ISBLANK(Q83), ISBLANK(R83), ISBLANK(S83), ISBLANK(T83)), "CUSM, CHU SJ, CHUS, CHUQ", "")</f>
      </c>
      <c r="AM83" s="57">
        <f>IF(AND(AJ83="no match", AK83="", AL83="", K83&lt;26), "CUSM, CHU SJ, HGJ, CHUQ, CHUS", "")</f>
      </c>
      <c r="AN83" s="57">
        <f>IF(AND(AJ83="no match", AK83="", AL83="", K83&gt;26), "CUSM, CHU SJ, HGJ, CHUQ, CHUS, HMR", "")</f>
      </c>
    </row>
    <row x14ac:dyDescent="0.25" r="84" customHeight="1" ht="17.25">
      <c r="A84" s="41" t="s">
        <v>2892</v>
      </c>
      <c r="B84" s="28">
        <v>2</v>
      </c>
      <c r="C84" s="28">
        <v>833</v>
      </c>
      <c r="D84" s="29" t="s">
        <v>376</v>
      </c>
      <c r="E84" s="30" t="s">
        <v>54</v>
      </c>
      <c r="F84" s="31">
        <v>44972</v>
      </c>
      <c r="G84" s="32">
        <v>4.631944444444445</v>
      </c>
      <c r="H84" s="31">
        <v>44969</v>
      </c>
      <c r="I84" s="32">
        <v>4.079166666666667</v>
      </c>
      <c r="J84" s="33">
        <f>F84-H84</f>
      </c>
      <c r="K84" s="28">
        <v>37</v>
      </c>
      <c r="L84" s="28">
        <v>2</v>
      </c>
      <c r="M84" s="28">
        <v>1</v>
      </c>
      <c r="N84" s="34"/>
      <c r="O84" s="34"/>
      <c r="P84" s="34"/>
      <c r="Q84" s="34"/>
      <c r="R84" s="34"/>
      <c r="S84" s="56"/>
      <c r="T84" s="34"/>
      <c r="U84" s="34"/>
      <c r="V84" s="34"/>
      <c r="W84" s="29"/>
      <c r="X84" s="28">
        <v>30</v>
      </c>
      <c r="Y84" s="28">
        <v>1</v>
      </c>
      <c r="Z84" s="28">
        <v>1</v>
      </c>
      <c r="AA84" s="28">
        <v>1</v>
      </c>
      <c r="AB84" s="28">
        <v>4</v>
      </c>
      <c r="AC84" s="28">
        <v>1</v>
      </c>
      <c r="AD84" s="28">
        <v>2</v>
      </c>
      <c r="AE84" s="28">
        <v>4</v>
      </c>
      <c r="AF84" s="28">
        <v>2</v>
      </c>
      <c r="AG84" s="28">
        <v>3</v>
      </c>
      <c r="AH84" s="29" t="s">
        <v>2893</v>
      </c>
      <c r="AI84" s="36">
        <f>IF(OR(AND(K84&lt;32, J84&lt;2), O84=1, P84=1, Q84=1, R84=1, S84=1, T84=1, U84=1, AND(W84&lt;&gt;"", W84&lt;&gt;"Oxygen", W84&lt;&gt;"LowFlow")), "Intensive", "Intermediate")</f>
      </c>
      <c r="AJ84" s="57">
        <f>IF(OR(LEFT(AH84, 1)="X", LEFT(AH84, 1)="Y", LEFT(AH84, 3)="J17M"), "CUSM", "No Match")</f>
      </c>
      <c r="AK84" s="57">
        <f>IF(AND(OR(O84=3, P84=1, Q84=1, T84=1), AJ84="no Match"), "CUSM, CHU SJ, CHUQ", "")</f>
      </c>
      <c r="AL84" s="57">
        <f>IF(AND(O84=2, ISBLANK(P84), ISBLANK(Q84), ISBLANK(R84), ISBLANK(S84), ISBLANK(T84)), "CUSM, CHU SJ, CHUS, CHUQ", "")</f>
      </c>
      <c r="AM84" s="57">
        <f>IF(AND(AJ84="no match", AK84="", AL84="", K84&lt;26), "CUSM, CHU SJ, HGJ, CHUQ, CHUS", "")</f>
      </c>
      <c r="AN84" s="57">
        <f>IF(AND(AJ84="no match", AK84="", AL84="", K84&gt;26), "CUSM, CHU SJ, HGJ, CHUQ, CHUS, HMR", "")</f>
      </c>
    </row>
    <row x14ac:dyDescent="0.25" r="85" customHeight="1" ht="17.25">
      <c r="A85" s="41" t="s">
        <v>2894</v>
      </c>
      <c r="B85" s="28">
        <v>2</v>
      </c>
      <c r="C85" s="35">
        <v>782</v>
      </c>
      <c r="D85" s="29" t="s">
        <v>95</v>
      </c>
      <c r="E85" s="30" t="s">
        <v>50</v>
      </c>
      <c r="F85" s="31">
        <v>44972</v>
      </c>
      <c r="G85" s="32">
        <v>4.729166666666666</v>
      </c>
      <c r="H85" s="31">
        <v>44972</v>
      </c>
      <c r="I85" s="32">
        <v>4.339583333333334</v>
      </c>
      <c r="J85" s="33">
        <f>F85-H85</f>
      </c>
      <c r="K85" s="28">
        <v>38</v>
      </c>
      <c r="L85" s="28">
        <v>5</v>
      </c>
      <c r="M85" s="28">
        <v>2</v>
      </c>
      <c r="N85" s="35">
        <v>1</v>
      </c>
      <c r="O85" s="34"/>
      <c r="P85" s="35">
        <v>1</v>
      </c>
      <c r="Q85" s="34"/>
      <c r="R85" s="34"/>
      <c r="S85" s="56"/>
      <c r="T85" s="34"/>
      <c r="U85" s="34"/>
      <c r="V85" s="34"/>
      <c r="W85" s="29" t="s">
        <v>74</v>
      </c>
      <c r="X85" s="28">
        <v>40</v>
      </c>
      <c r="Y85" s="28">
        <v>1</v>
      </c>
      <c r="Z85" s="28">
        <v>2</v>
      </c>
      <c r="AA85" s="28">
        <v>2</v>
      </c>
      <c r="AB85" s="28">
        <v>1</v>
      </c>
      <c r="AC85" s="28">
        <v>1</v>
      </c>
      <c r="AD85" s="28">
        <v>2</v>
      </c>
      <c r="AE85" s="28">
        <v>4</v>
      </c>
      <c r="AF85" s="28">
        <v>2</v>
      </c>
      <c r="AG85" s="28">
        <v>2</v>
      </c>
      <c r="AH85" s="29" t="s">
        <v>2895</v>
      </c>
      <c r="AI85" s="36">
        <f>IF(OR(AND(K85&lt;32, J85&lt;2), O85=1, P85=1, Q85=1, R85=1, S85=1, T85=1, U85=1, AND(W85&lt;&gt;"", W85&lt;&gt;"Oxygen", W85&lt;&gt;"LowFlow")), "Intensive", "Intermediate")</f>
      </c>
      <c r="AJ85" s="57">
        <f>IF(OR(LEFT(AH85, 1)="X", LEFT(AH85, 1)="Y", LEFT(AH85, 3)="J18M"), "CUSM", "No Match")</f>
      </c>
      <c r="AK85" s="57">
        <f>IF(AND(OR(O85=3, P85=1, Q85=1, T85=1), AJ85="no Match"), "CUSM, CHU SJ, CHUQ", "")</f>
      </c>
      <c r="AL85" s="57">
        <f>IF(AND(O85=2, ISBLANK(P85), ISBLANK(Q85), ISBLANK(R85), ISBLANK(S85), ISBLANK(T85)), "CUSM, CHU SJ, CHUS, CHUQ", "")</f>
      </c>
      <c r="AM85" s="57">
        <f>IF(AND(AJ85="no match", AK85="", AL85="", K85&lt;26), "CUSM, CHU SJ, HGJ, CHUQ, CHUS", "")</f>
      </c>
      <c r="AN85" s="57">
        <f>IF(AND(AJ85="no match", AK85="", AL85="", K85&gt;26), "CUSM, CHU SJ, HGJ, CHUQ, CHUS, HMR", "")</f>
      </c>
    </row>
    <row x14ac:dyDescent="0.25" r="86" customHeight="1" ht="17.25">
      <c r="A86" s="41" t="s">
        <v>2896</v>
      </c>
      <c r="B86" s="28">
        <v>2</v>
      </c>
      <c r="C86" s="28">
        <v>730</v>
      </c>
      <c r="D86" s="29" t="s">
        <v>81</v>
      </c>
      <c r="E86" s="30" t="s">
        <v>220</v>
      </c>
      <c r="F86" s="31">
        <v>44972</v>
      </c>
      <c r="G86" s="32">
        <v>4.302777777777777</v>
      </c>
      <c r="H86" s="31">
        <v>44972</v>
      </c>
      <c r="I86" s="32">
        <v>4.225</v>
      </c>
      <c r="J86" s="33">
        <f>F86-H86</f>
      </c>
      <c r="K86" s="28">
        <v>29</v>
      </c>
      <c r="L86" s="28">
        <v>0</v>
      </c>
      <c r="M86" s="28">
        <v>2</v>
      </c>
      <c r="N86" s="34"/>
      <c r="O86" s="34"/>
      <c r="P86" s="34"/>
      <c r="Q86" s="34"/>
      <c r="R86" s="34"/>
      <c r="S86" s="56"/>
      <c r="T86" s="34"/>
      <c r="U86" s="34"/>
      <c r="V86" s="34"/>
      <c r="W86" s="29" t="s">
        <v>58</v>
      </c>
      <c r="X86" s="28">
        <v>24</v>
      </c>
      <c r="Y86" s="28">
        <v>1</v>
      </c>
      <c r="Z86" s="28">
        <v>1</v>
      </c>
      <c r="AA86" s="28">
        <v>1</v>
      </c>
      <c r="AB86" s="28">
        <v>1</v>
      </c>
      <c r="AC86" s="28">
        <v>2</v>
      </c>
      <c r="AD86" s="28">
        <v>2</v>
      </c>
      <c r="AE86" s="28">
        <v>4</v>
      </c>
      <c r="AF86" s="28">
        <v>2</v>
      </c>
      <c r="AG86" s="28">
        <v>2</v>
      </c>
      <c r="AH86" s="29" t="s">
        <v>2897</v>
      </c>
      <c r="AI86" s="36">
        <f>IF(OR(AND(K86&lt;32, J86&lt;2), O86=1, P86=1, Q86=1, R86=1, S86=1, T86=1, U86=1, AND(W86&lt;&gt;"", W86&lt;&gt;"Oxygen", W86&lt;&gt;"LowFlow")), "Intensive", "Intermediate")</f>
      </c>
      <c r="AJ86" s="57">
        <f>IF(OR(LEFT(AH86, 1)="X", LEFT(AH86, 1)="Y", LEFT(AH86, 3)="J19M"), "CUSM", "No Match")</f>
      </c>
      <c r="AK86" s="57">
        <f>IF(AND(OR(O86=3, P86=1, Q86=1, T86=1), AJ86="no Match"), "CUSM, CHU SJ, CHUQ", "")</f>
      </c>
      <c r="AL86" s="57">
        <f>IF(AND(O86=2, ISBLANK(P86), ISBLANK(Q86), ISBLANK(R86), ISBLANK(S86), ISBLANK(T86)), "CUSM, CHU SJ, CHUS, CHUQ", "")</f>
      </c>
      <c r="AM86" s="57">
        <f>IF(AND(AJ86="no match", AK86="", AL86="", K86&lt;26), "CUSM, CHU SJ, HGJ, CHUQ, CHUS", "")</f>
      </c>
      <c r="AN86" s="57">
        <f>IF(AND(AJ86="no match", AK86="", AL86="", K86&gt;26), "CUSM, CHU SJ, HGJ, CHUQ, CHUS, HMR", "")</f>
      </c>
    </row>
    <row x14ac:dyDescent="0.25" r="87" customHeight="1" ht="17.25">
      <c r="A87" s="41" t="s">
        <v>2898</v>
      </c>
      <c r="B87" s="28">
        <v>2</v>
      </c>
      <c r="C87" s="28">
        <v>831</v>
      </c>
      <c r="D87" s="29" t="s">
        <v>313</v>
      </c>
      <c r="E87" s="30" t="s">
        <v>54</v>
      </c>
      <c r="F87" s="31">
        <v>44973</v>
      </c>
      <c r="G87" s="32">
        <v>4.7756944444444445</v>
      </c>
      <c r="H87" s="31">
        <v>44972</v>
      </c>
      <c r="I87" s="32">
        <v>4.3277777777777775</v>
      </c>
      <c r="J87" s="33">
        <f>F87-H87</f>
      </c>
      <c r="K87" s="28">
        <v>32</v>
      </c>
      <c r="L87" s="28">
        <v>2</v>
      </c>
      <c r="M87" s="28">
        <v>1</v>
      </c>
      <c r="N87" s="34"/>
      <c r="O87" s="34"/>
      <c r="P87" s="34"/>
      <c r="Q87" s="34"/>
      <c r="R87" s="34"/>
      <c r="S87" s="56"/>
      <c r="T87" s="34"/>
      <c r="U87" s="34"/>
      <c r="V87" s="34"/>
      <c r="W87" s="29" t="s">
        <v>164</v>
      </c>
      <c r="X87" s="28">
        <v>26</v>
      </c>
      <c r="Y87" s="28">
        <v>1</v>
      </c>
      <c r="Z87" s="28">
        <v>1</v>
      </c>
      <c r="AA87" s="28">
        <v>1</v>
      </c>
      <c r="AB87" s="28">
        <v>2</v>
      </c>
      <c r="AC87" s="28">
        <v>2</v>
      </c>
      <c r="AD87" s="28">
        <v>2</v>
      </c>
      <c r="AE87" s="28">
        <v>4</v>
      </c>
      <c r="AF87" s="28">
        <v>3</v>
      </c>
      <c r="AG87" s="28">
        <v>2</v>
      </c>
      <c r="AH87" s="29" t="s">
        <v>2899</v>
      </c>
      <c r="AI87" s="36">
        <f>IF(OR(AND(K87&lt;32, J87&lt;2), O87=1, P87=1, Q87=1, R87=1, S87=1, T87=1, U87=1, AND(W87&lt;&gt;"", W87&lt;&gt;"Oxygen", W87&lt;&gt;"LowFlow")), "Intensive", "Intermediate")</f>
      </c>
      <c r="AJ87" s="57">
        <f>IF(OR(LEFT(AH87, 1)="X", LEFT(AH87, 1)="Y", LEFT(AH87, 3)="J20M"), "CUSM", "No Match")</f>
      </c>
      <c r="AK87" s="57">
        <f>IF(AND(OR(O87=3, P87=1, Q87=1, T87=1), AJ87="no Match"), "CUSM, CHU SJ, CHUQ", "")</f>
      </c>
      <c r="AL87" s="57">
        <f>IF(AND(O87=2, ISBLANK(P87), ISBLANK(Q87), ISBLANK(R87), ISBLANK(S87), ISBLANK(T87)), "CUSM, CHU SJ, CHUS, CHUQ", "")</f>
      </c>
      <c r="AM87" s="57">
        <f>IF(AND(AJ87="no match", AK87="", AL87="", K87&lt;26), "CUSM, CHU SJ, HGJ, CHUQ, CHUS", "")</f>
      </c>
      <c r="AN87" s="57">
        <f>IF(AND(AJ87="no match", AK87="", AL87="", K87&gt;26), "CUSM, CHU SJ, HGJ, CHUQ, CHUS, HMR", "")</f>
      </c>
    </row>
    <row x14ac:dyDescent="0.25" r="88" customHeight="1" ht="17.25">
      <c r="A88" s="41" t="s">
        <v>2900</v>
      </c>
      <c r="B88" s="28">
        <v>2</v>
      </c>
      <c r="C88" s="35">
        <v>779</v>
      </c>
      <c r="D88" s="29" t="s">
        <v>136</v>
      </c>
      <c r="E88" s="30" t="s">
        <v>54</v>
      </c>
      <c r="F88" s="31">
        <v>44974</v>
      </c>
      <c r="G88" s="32">
        <v>4.989583333333334</v>
      </c>
      <c r="H88" s="31">
        <v>44974</v>
      </c>
      <c r="I88" s="32">
        <v>4.629861111111111</v>
      </c>
      <c r="J88" s="33">
        <f>F88-H88</f>
      </c>
      <c r="K88" s="28">
        <v>37</v>
      </c>
      <c r="L88" s="28">
        <v>4</v>
      </c>
      <c r="M88" s="28">
        <v>2</v>
      </c>
      <c r="N88" s="34"/>
      <c r="O88" s="34"/>
      <c r="P88" s="34"/>
      <c r="Q88" s="34"/>
      <c r="R88" s="34"/>
      <c r="S88" s="56"/>
      <c r="T88" s="34"/>
      <c r="U88" s="34"/>
      <c r="V88" s="34"/>
      <c r="W88" s="29" t="s">
        <v>164</v>
      </c>
      <c r="X88" s="28">
        <v>33</v>
      </c>
      <c r="Y88" s="28">
        <v>1</v>
      </c>
      <c r="Z88" s="28">
        <v>1</v>
      </c>
      <c r="AA88" s="28">
        <v>2</v>
      </c>
      <c r="AB88" s="28">
        <v>1</v>
      </c>
      <c r="AC88" s="28">
        <v>2</v>
      </c>
      <c r="AD88" s="28">
        <v>2</v>
      </c>
      <c r="AE88" s="28">
        <v>4</v>
      </c>
      <c r="AF88" s="28">
        <v>2</v>
      </c>
      <c r="AG88" s="28">
        <v>2</v>
      </c>
      <c r="AH88" s="29" t="s">
        <v>2901</v>
      </c>
      <c r="AI88" s="36">
        <f>IF(OR(AND(K88&lt;32, J88&lt;2), O88=1, P88=1, Q88=1, R88=1, S88=1, T88=1, U88=1, AND(W88&lt;&gt;"", W88&lt;&gt;"Oxygen", W88&lt;&gt;"LowFlow")), "Intensive", "Intermediate")</f>
      </c>
      <c r="AJ88" s="57">
        <f>IF(OR(LEFT(AH88, 1)="X", LEFT(AH88, 1)="Y", LEFT(AH88, 3)="J21M"), "CUSM", "No Match")</f>
      </c>
      <c r="AK88" s="57">
        <f>IF(AND(OR(O88=3, P88=1, Q88=1, T88=1), AJ88="no Match"), "CUSM, CHU SJ, CHUQ", "")</f>
      </c>
      <c r="AL88" s="57">
        <f>IF(AND(O88=2, ISBLANK(P88), ISBLANK(Q88), ISBLANK(R88), ISBLANK(S88), ISBLANK(T88)), "CUSM, CHU SJ, CHUS, CHUQ", "")</f>
      </c>
      <c r="AM88" s="57">
        <f>IF(AND(AJ88="no match", AK88="", AL88="", K88&lt;26), "CUSM, CHU SJ, HGJ, CHUQ, CHUS", "")</f>
      </c>
      <c r="AN88" s="57">
        <f>IF(AND(AJ88="no match", AK88="", AL88="", K88&gt;26), "CUSM, CHU SJ, HGJ, CHUQ, CHUS, HMR", "")</f>
      </c>
    </row>
    <row x14ac:dyDescent="0.25" r="89" customHeight="1" ht="17.25">
      <c r="A89" s="41" t="s">
        <v>2902</v>
      </c>
      <c r="B89" s="28">
        <v>2</v>
      </c>
      <c r="C89" s="35">
        <v>822</v>
      </c>
      <c r="D89" s="29" t="s">
        <v>167</v>
      </c>
      <c r="E89" s="30" t="s">
        <v>78</v>
      </c>
      <c r="F89" s="31">
        <v>44974</v>
      </c>
      <c r="G89" s="32">
        <v>4.802083333333334</v>
      </c>
      <c r="H89" s="31">
        <v>44974</v>
      </c>
      <c r="I89" s="32">
        <v>4.522916666666667</v>
      </c>
      <c r="J89" s="33">
        <f>F89-H89</f>
      </c>
      <c r="K89" s="28">
        <v>35</v>
      </c>
      <c r="L89" s="28">
        <v>0</v>
      </c>
      <c r="M89" s="28">
        <v>1</v>
      </c>
      <c r="N89" s="38"/>
      <c r="O89" s="34"/>
      <c r="P89" s="38"/>
      <c r="Q89" s="34"/>
      <c r="R89" s="34"/>
      <c r="S89" s="56"/>
      <c r="T89" s="34"/>
      <c r="U89" s="34"/>
      <c r="V89" s="34"/>
      <c r="W89" s="29" t="s">
        <v>58</v>
      </c>
      <c r="X89" s="28">
        <v>27</v>
      </c>
      <c r="Y89" s="28">
        <v>1</v>
      </c>
      <c r="Z89" s="28">
        <v>1</v>
      </c>
      <c r="AA89" s="28">
        <v>2</v>
      </c>
      <c r="AB89" s="28">
        <v>1</v>
      </c>
      <c r="AC89" s="28">
        <v>2</v>
      </c>
      <c r="AD89" s="28">
        <v>2</v>
      </c>
      <c r="AE89" s="28">
        <v>4</v>
      </c>
      <c r="AF89" s="28">
        <v>2</v>
      </c>
      <c r="AG89" s="28">
        <v>2</v>
      </c>
      <c r="AH89" s="29" t="s">
        <v>2903</v>
      </c>
      <c r="AI89" s="36">
        <f>IF(OR(AND(K89&lt;32, J89&lt;2), O89=1, P89=1, Q89=1, R89=1, S89=1, T89=1, U89=1, AND(W89&lt;&gt;"", W89&lt;&gt;"Oxygen", W89&lt;&gt;"LowFlow")), "Intensive", "Intermediate")</f>
      </c>
      <c r="AJ89" s="57">
        <f>IF(OR(LEFT(AH89, 1)="X", LEFT(AH89, 1)="Y", LEFT(AH89, 3)="J22M"), "CUSM", "No Match")</f>
      </c>
      <c r="AK89" s="57">
        <f>IF(AND(OR(O89=3, P89=1, Q89=1, T89=1), AJ89="no Match"), "CUSM, CHU SJ, CHUQ", "")</f>
      </c>
      <c r="AL89" s="57">
        <f>IF(AND(O89=2, ISBLANK(P89), ISBLANK(Q89), ISBLANK(R89), ISBLANK(S89), ISBLANK(T89)), "CUSM, CHU SJ, CHUS, CHUQ", "")</f>
      </c>
      <c r="AM89" s="57">
        <f>IF(AND(AJ89="no match", AK89="", AL89="", K89&lt;26), "CUSM, CHU SJ, HGJ, CHUQ, CHUS", "")</f>
      </c>
      <c r="AN89" s="57">
        <f>IF(AND(AJ89="no match", AK89="", AL89="", K89&gt;26), "CUSM, CHU SJ, HGJ, CHUQ, CHUS, HMR", "")</f>
      </c>
    </row>
    <row x14ac:dyDescent="0.25" r="90" customHeight="1" ht="17.25">
      <c r="A90" s="41" t="s">
        <v>2904</v>
      </c>
      <c r="B90" s="28">
        <v>2</v>
      </c>
      <c r="C90" s="35">
        <v>796</v>
      </c>
      <c r="D90" s="29" t="s">
        <v>63</v>
      </c>
      <c r="E90" s="30" t="s">
        <v>220</v>
      </c>
      <c r="F90" s="31">
        <v>44974</v>
      </c>
      <c r="G90" s="32">
        <v>4.438194444444445</v>
      </c>
      <c r="H90" s="31">
        <v>44974</v>
      </c>
      <c r="I90" s="32">
        <v>4.283333333333333</v>
      </c>
      <c r="J90" s="33">
        <f>F90-H90</f>
      </c>
      <c r="K90" s="28">
        <v>28</v>
      </c>
      <c r="L90" s="28">
        <v>1</v>
      </c>
      <c r="M90" s="28">
        <v>1</v>
      </c>
      <c r="N90" s="34"/>
      <c r="O90" s="34"/>
      <c r="P90" s="34"/>
      <c r="Q90" s="34"/>
      <c r="R90" s="34"/>
      <c r="S90" s="56"/>
      <c r="T90" s="34"/>
      <c r="U90" s="34"/>
      <c r="V90" s="34"/>
      <c r="W90" s="29" t="s">
        <v>70</v>
      </c>
      <c r="X90" s="28">
        <v>23</v>
      </c>
      <c r="Y90" s="28">
        <v>1</v>
      </c>
      <c r="Z90" s="28">
        <v>2</v>
      </c>
      <c r="AA90" s="28">
        <v>1</v>
      </c>
      <c r="AB90" s="28">
        <v>1</v>
      </c>
      <c r="AC90" s="28">
        <v>2</v>
      </c>
      <c r="AD90" s="28">
        <v>2</v>
      </c>
      <c r="AE90" s="28">
        <v>4</v>
      </c>
      <c r="AF90" s="28">
        <v>2</v>
      </c>
      <c r="AG90" s="28">
        <v>2</v>
      </c>
      <c r="AH90" s="29" t="s">
        <v>2905</v>
      </c>
      <c r="AI90" s="36">
        <f>IF(OR(AND(K90&lt;32, J90&lt;2), O90=1, P90=1, Q90=1, R90=1, S90=1, T90=1, U90=1, AND(W90&lt;&gt;"", W90&lt;&gt;"Oxygen", W90&lt;&gt;"LowFlow")), "Intensive", "Intermediate")</f>
      </c>
      <c r="AJ90" s="57">
        <f>IF(OR(LEFT(AH90, 1)="X", LEFT(AH90, 1)="Y", LEFT(AH90, 3)="J23M"), "CUSM", "No Match")</f>
      </c>
      <c r="AK90" s="57">
        <f>IF(AND(OR(O90=3, P90=1, Q90=1, T90=1), AJ90="no Match"), "CUSM, CHU SJ, CHUQ", "")</f>
      </c>
      <c r="AL90" s="57">
        <f>IF(AND(O90=2, ISBLANK(P90), ISBLANK(Q90), ISBLANK(R90), ISBLANK(S90), ISBLANK(T90)), "CUSM, CHU SJ, CHUS, CHUQ", "")</f>
      </c>
      <c r="AM90" s="57">
        <f>IF(AND(AJ90="no match", AK90="", AL90="", K90&lt;26), "CUSM, CHU SJ, HGJ, CHUQ, CHUS", "")</f>
      </c>
      <c r="AN90" s="57">
        <f>IF(AND(AJ90="no match", AK90="", AL90="", K90&gt;26), "CUSM, CHU SJ, HGJ, CHUQ, CHUS, HMR", "")</f>
      </c>
    </row>
    <row x14ac:dyDescent="0.25" r="91" customHeight="1" ht="17.25">
      <c r="A91" s="41" t="s">
        <v>2906</v>
      </c>
      <c r="B91" s="28">
        <v>2</v>
      </c>
      <c r="C91" s="35">
        <v>782</v>
      </c>
      <c r="D91" s="29" t="s">
        <v>95</v>
      </c>
      <c r="E91" s="30" t="s">
        <v>50</v>
      </c>
      <c r="F91" s="31">
        <v>44975</v>
      </c>
      <c r="G91" s="32">
        <v>4.836805555555555</v>
      </c>
      <c r="H91" s="31">
        <v>44975</v>
      </c>
      <c r="I91" s="32">
        <v>4.653472222222222</v>
      </c>
      <c r="J91" s="33">
        <f>F91-H91</f>
      </c>
      <c r="K91" s="28">
        <v>40</v>
      </c>
      <c r="L91" s="28">
        <v>0</v>
      </c>
      <c r="M91" s="28">
        <v>1</v>
      </c>
      <c r="N91" s="35">
        <v>1</v>
      </c>
      <c r="O91" s="35">
        <v>2</v>
      </c>
      <c r="P91" s="35">
        <v>1</v>
      </c>
      <c r="Q91" s="34"/>
      <c r="R91" s="35">
        <v>1</v>
      </c>
      <c r="S91" s="56"/>
      <c r="T91" s="34"/>
      <c r="U91" s="34"/>
      <c r="V91" s="34"/>
      <c r="W91" s="29" t="s">
        <v>74</v>
      </c>
      <c r="X91" s="28">
        <v>27</v>
      </c>
      <c r="Y91" s="28">
        <v>1</v>
      </c>
      <c r="Z91" s="28">
        <v>1</v>
      </c>
      <c r="AA91" s="28">
        <v>2</v>
      </c>
      <c r="AB91" s="28">
        <v>1</v>
      </c>
      <c r="AC91" s="28">
        <v>2</v>
      </c>
      <c r="AD91" s="28">
        <v>2</v>
      </c>
      <c r="AE91" s="28">
        <v>4</v>
      </c>
      <c r="AF91" s="28">
        <v>2</v>
      </c>
      <c r="AG91" s="28">
        <v>2</v>
      </c>
      <c r="AH91" s="29" t="s">
        <v>2907</v>
      </c>
      <c r="AI91" s="36">
        <f>IF(OR(AND(K91&lt;32, J91&lt;2), O91=1, P91=1, Q91=1, R91=1, S91=1, T91=1, U91=1, AND(W91&lt;&gt;"", W91&lt;&gt;"Oxygen", W91&lt;&gt;"LowFlow")), "Intensive", "Intermediate")</f>
      </c>
      <c r="AJ91" s="57">
        <f>IF(OR(LEFT(AH91, 1)="X", LEFT(AH91, 1)="Y", LEFT(AH91, 3)="J24M"), "CUSM", "No Match")</f>
      </c>
      <c r="AK91" s="57">
        <f>IF(AND(OR(O91=3, P91=1, Q91=1, T91=1), AJ91="no Match"), "CUSM, CHU SJ, CHUQ", "")</f>
      </c>
      <c r="AL91" s="57">
        <f>IF(AND(O91=2, ISBLANK(P91), ISBLANK(Q91), ISBLANK(R91), ISBLANK(S91), ISBLANK(T91)), "CUSM, CHU SJ, CHUS, CHUQ", "")</f>
      </c>
      <c r="AM91" s="57">
        <f>IF(AND(AJ91="no match", AK91="", AL91="", K91&lt;26), "CUSM, CHU SJ, HGJ, CHUQ, CHUS", "")</f>
      </c>
      <c r="AN91" s="57">
        <f>IF(AND(AJ91="no match", AK91="", AL91="", K91&gt;26), "CUSM, CHU SJ, HGJ, CHUQ, CHUS, HMR", "")</f>
      </c>
    </row>
    <row x14ac:dyDescent="0.25" r="92" customHeight="1" ht="17.25">
      <c r="A92" s="41" t="s">
        <v>2908</v>
      </c>
      <c r="B92" s="28">
        <v>2</v>
      </c>
      <c r="C92" s="35">
        <v>835</v>
      </c>
      <c r="D92" s="29" t="s">
        <v>170</v>
      </c>
      <c r="E92" s="30" t="s">
        <v>54</v>
      </c>
      <c r="F92" s="31">
        <v>44976</v>
      </c>
      <c r="G92" s="32">
        <v>4.927083333333334</v>
      </c>
      <c r="H92" s="31">
        <v>44976</v>
      </c>
      <c r="I92" s="32">
        <v>4.240277777777777</v>
      </c>
      <c r="J92" s="33">
        <f>F92-H92</f>
      </c>
      <c r="K92" s="28">
        <v>35</v>
      </c>
      <c r="L92" s="28">
        <v>4</v>
      </c>
      <c r="M92" s="28">
        <v>1</v>
      </c>
      <c r="N92" s="34"/>
      <c r="O92" s="34"/>
      <c r="P92" s="34"/>
      <c r="Q92" s="34"/>
      <c r="R92" s="34"/>
      <c r="S92" s="56"/>
      <c r="T92" s="34"/>
      <c r="U92" s="34"/>
      <c r="V92" s="34"/>
      <c r="W92" s="29" t="s">
        <v>164</v>
      </c>
      <c r="X92" s="28">
        <v>33</v>
      </c>
      <c r="Y92" s="28">
        <v>1</v>
      </c>
      <c r="Z92" s="28">
        <v>2</v>
      </c>
      <c r="AA92" s="28">
        <v>3</v>
      </c>
      <c r="AB92" s="28">
        <v>1</v>
      </c>
      <c r="AC92" s="28">
        <v>2</v>
      </c>
      <c r="AD92" s="28">
        <v>2</v>
      </c>
      <c r="AE92" s="28">
        <v>4</v>
      </c>
      <c r="AF92" s="28">
        <v>3</v>
      </c>
      <c r="AG92" s="28">
        <v>2</v>
      </c>
      <c r="AH92" s="29" t="s">
        <v>2909</v>
      </c>
      <c r="AI92" s="36">
        <f>IF(OR(AND(K92&lt;32, J92&lt;2), O92=1, P92=1, Q92=1, R92=1, S92=1, T92=1, U92=1, AND(W92&lt;&gt;"", W92&lt;&gt;"Oxygen", W92&lt;&gt;"LowFlow")), "Intensive", "Intermediate")</f>
      </c>
      <c r="AJ92" s="57">
        <f>IF(OR(LEFT(AH92, 1)="X", LEFT(AH92, 1)="Y", LEFT(AH92, 3)="J25M"), "CUSM", "No Match")</f>
      </c>
      <c r="AK92" s="57">
        <f>IF(AND(OR(O92=3, P92=1, Q92=1, T92=1), AJ92="no Match"), "CUSM, CHU SJ, CHUQ", "")</f>
      </c>
      <c r="AL92" s="57">
        <f>IF(AND(O92=2, ISBLANK(P92), ISBLANK(Q92), ISBLANK(R92), ISBLANK(S92), ISBLANK(T92)), "CUSM, CHU SJ, CHUS, CHUQ", "")</f>
      </c>
      <c r="AM92" s="57">
        <f>IF(AND(AJ92="no match", AK92="", AL92="", K92&lt;26), "CUSM, CHU SJ, HGJ, CHUQ, CHUS", "")</f>
      </c>
      <c r="AN92" s="57">
        <f>IF(AND(AJ92="no match", AK92="", AL92="", K92&gt;26), "CUSM, CHU SJ, HGJ, CHUQ, CHUS, HMR", "")</f>
      </c>
    </row>
    <row x14ac:dyDescent="0.25" r="93" customHeight="1" ht="17.25">
      <c r="A93" s="41" t="s">
        <v>2910</v>
      </c>
      <c r="B93" s="28">
        <v>2</v>
      </c>
      <c r="C93" s="28">
        <v>756</v>
      </c>
      <c r="D93" s="29" t="s">
        <v>66</v>
      </c>
      <c r="E93" s="30" t="s">
        <v>50</v>
      </c>
      <c r="F93" s="31">
        <v>44976</v>
      </c>
      <c r="G93" s="32">
        <v>4.75</v>
      </c>
      <c r="H93" s="31">
        <v>44976</v>
      </c>
      <c r="I93" s="32">
        <v>4.038194444444445</v>
      </c>
      <c r="J93" s="33">
        <f>F93-H93</f>
      </c>
      <c r="K93" s="28">
        <v>39</v>
      </c>
      <c r="L93" s="28">
        <v>3</v>
      </c>
      <c r="M93" s="28">
        <v>2</v>
      </c>
      <c r="N93" s="34"/>
      <c r="O93" s="34"/>
      <c r="P93" s="34"/>
      <c r="Q93" s="34"/>
      <c r="R93" s="34"/>
      <c r="S93" s="56"/>
      <c r="T93" s="34"/>
      <c r="U93" s="34"/>
      <c r="V93" s="34"/>
      <c r="W93" s="29"/>
      <c r="X93" s="28">
        <v>34</v>
      </c>
      <c r="Y93" s="28">
        <v>1</v>
      </c>
      <c r="Z93" s="28">
        <v>1</v>
      </c>
      <c r="AA93" s="28">
        <v>2</v>
      </c>
      <c r="AB93" s="28">
        <v>1</v>
      </c>
      <c r="AC93" s="28">
        <v>2</v>
      </c>
      <c r="AD93" s="28">
        <v>1</v>
      </c>
      <c r="AE93" s="28">
        <v>4</v>
      </c>
      <c r="AF93" s="28">
        <v>2</v>
      </c>
      <c r="AG93" s="28">
        <v>2</v>
      </c>
      <c r="AH93" s="29" t="s">
        <v>2911</v>
      </c>
      <c r="AI93" s="36">
        <f>IF(OR(AND(K93&lt;32, J93&lt;2), O93=1, P93=1, Q93=1, R93=1, S93=1, T93=1, U93=1, AND(W93&lt;&gt;"", W93&lt;&gt;"Oxygen", W93&lt;&gt;"LowFlow")), "Intensive", "Intermediate")</f>
      </c>
      <c r="AJ93" s="57">
        <f>IF(OR(LEFT(AH93, 1)="X", LEFT(AH93, 1)="Y", LEFT(AH93, 3)="J26M"), "CUSM", "No Match")</f>
      </c>
      <c r="AK93" s="57">
        <f>IF(AND(OR(O93=3, P93=1, Q93=1, T93=1), AJ93="no Match"), "CUSM, CHU SJ, CHUQ", "")</f>
      </c>
      <c r="AL93" s="57">
        <f>IF(AND(O93=2, ISBLANK(P93), ISBLANK(Q93), ISBLANK(R93), ISBLANK(S93), ISBLANK(T93)), "CUSM, CHU SJ, CHUS, CHUQ", "")</f>
      </c>
      <c r="AM93" s="57">
        <f>IF(AND(AJ93="no match", AK93="", AL93="", K93&lt;26), "CUSM, CHU SJ, HGJ, CHUQ, CHUS", "")</f>
      </c>
      <c r="AN93" s="57">
        <f>IF(AND(AJ93="no match", AK93="", AL93="", K93&gt;26), "CUSM, CHU SJ, HGJ, CHUQ, CHUS, HMR", "")</f>
      </c>
    </row>
    <row x14ac:dyDescent="0.25" r="94" customHeight="1" ht="17.25">
      <c r="A94" s="41" t="s">
        <v>2912</v>
      </c>
      <c r="B94" s="28">
        <v>2</v>
      </c>
      <c r="C94" s="35">
        <v>779</v>
      </c>
      <c r="D94" s="29" t="s">
        <v>136</v>
      </c>
      <c r="E94" s="30" t="s">
        <v>54</v>
      </c>
      <c r="F94" s="31">
        <v>44977</v>
      </c>
      <c r="G94" s="32">
        <v>4.90625</v>
      </c>
      <c r="H94" s="31">
        <v>44977</v>
      </c>
      <c r="I94" s="32">
        <v>4.813888888888889</v>
      </c>
      <c r="J94" s="33">
        <f>F94-H94</f>
      </c>
      <c r="K94" s="28">
        <v>24</v>
      </c>
      <c r="L94" s="28">
        <v>5</v>
      </c>
      <c r="M94" s="28">
        <v>1</v>
      </c>
      <c r="N94" s="35">
        <v>1</v>
      </c>
      <c r="O94" s="34"/>
      <c r="P94" s="35">
        <v>1</v>
      </c>
      <c r="Q94" s="34"/>
      <c r="R94" s="34"/>
      <c r="S94" s="56"/>
      <c r="T94" s="34"/>
      <c r="U94" s="34"/>
      <c r="V94" s="34"/>
      <c r="W94" s="29" t="s">
        <v>74</v>
      </c>
      <c r="X94" s="28">
        <v>30</v>
      </c>
      <c r="Y94" s="28">
        <v>2</v>
      </c>
      <c r="Z94" s="28">
        <v>2</v>
      </c>
      <c r="AA94" s="28">
        <v>2</v>
      </c>
      <c r="AB94" s="28">
        <v>1</v>
      </c>
      <c r="AC94" s="28">
        <v>2</v>
      </c>
      <c r="AD94" s="28">
        <v>2</v>
      </c>
      <c r="AE94" s="28">
        <v>4</v>
      </c>
      <c r="AF94" s="28">
        <v>2</v>
      </c>
      <c r="AG94" s="28">
        <v>2</v>
      </c>
      <c r="AH94" s="29" t="s">
        <v>2913</v>
      </c>
      <c r="AI94" s="36">
        <f>IF(OR(AND(K94&lt;32, J94&lt;2), O94=1, P94=1, Q94=1, R94=1, S94=1, T94=1, U94=1, AND(W94&lt;&gt;"", W94&lt;&gt;"Oxygen", W94&lt;&gt;"LowFlow")), "Intensive", "Intermediate")</f>
      </c>
      <c r="AJ94" s="57">
        <f>IF(OR(LEFT(AH94, 1)="X", LEFT(AH94, 1)="Y", LEFT(AH94, 3)="J27M"), "CUSM", "No Match")</f>
      </c>
      <c r="AK94" s="57">
        <f>IF(AND(OR(O94=3, P94=1, Q94=1, T94=1), AJ94="no Match"), "CUSM, CHU SJ, CHUQ", "")</f>
      </c>
      <c r="AL94" s="57">
        <f>IF(AND(O94=2, ISBLANK(P94), ISBLANK(Q94), ISBLANK(R94), ISBLANK(S94), ISBLANK(T94)), "CUSM, CHU SJ, CHUS, CHUQ", "")</f>
      </c>
      <c r="AM94" s="57">
        <f>IF(AND(AJ94="no match", AK94="", AL94="", K94&lt;26), "CUSM, CHU SJ, HGJ, CHUQ, CHUS", "")</f>
      </c>
      <c r="AN94" s="57">
        <f>IF(AND(AJ94="no match", AK94="", AL94="", K94&gt;26), "CUSM, CHU SJ, HGJ, CHUQ, CHUS, HMR", "")</f>
      </c>
    </row>
    <row x14ac:dyDescent="0.25" r="95" customHeight="1" ht="17.25">
      <c r="A95" s="41" t="s">
        <v>2914</v>
      </c>
      <c r="B95" s="28">
        <v>2</v>
      </c>
      <c r="C95" s="35">
        <v>820</v>
      </c>
      <c r="D95" s="29" t="s">
        <v>69</v>
      </c>
      <c r="E95" s="30" t="s">
        <v>54</v>
      </c>
      <c r="F95" s="31">
        <v>44977</v>
      </c>
      <c r="G95" s="32">
        <v>4.365972222222222</v>
      </c>
      <c r="H95" s="31">
        <v>44977</v>
      </c>
      <c r="I95" s="32">
        <v>4.133333333333333</v>
      </c>
      <c r="J95" s="33">
        <f>F95-H95</f>
      </c>
      <c r="K95" s="28">
        <v>36</v>
      </c>
      <c r="L95" s="28">
        <v>1</v>
      </c>
      <c r="M95" s="28">
        <v>1</v>
      </c>
      <c r="N95" s="35">
        <v>1</v>
      </c>
      <c r="O95" s="34"/>
      <c r="P95" s="35">
        <v>1</v>
      </c>
      <c r="Q95" s="34"/>
      <c r="R95" s="34"/>
      <c r="S95" s="56"/>
      <c r="T95" s="34"/>
      <c r="U95" s="34"/>
      <c r="V95" s="34"/>
      <c r="W95" s="29" t="s">
        <v>164</v>
      </c>
      <c r="X95" s="28">
        <v>28</v>
      </c>
      <c r="Y95" s="28">
        <v>1</v>
      </c>
      <c r="Z95" s="28">
        <v>2</v>
      </c>
      <c r="AA95" s="28">
        <v>2</v>
      </c>
      <c r="AB95" s="28">
        <v>1</v>
      </c>
      <c r="AC95" s="28">
        <v>2</v>
      </c>
      <c r="AD95" s="28">
        <v>1</v>
      </c>
      <c r="AE95" s="28">
        <v>4</v>
      </c>
      <c r="AF95" s="28">
        <v>2</v>
      </c>
      <c r="AG95" s="28">
        <v>2</v>
      </c>
      <c r="AH95" s="29" t="s">
        <v>2915</v>
      </c>
      <c r="AI95" s="36">
        <f>IF(OR(AND(K95&lt;32, J95&lt;2), O95=1, P95=1, Q95=1, R95=1, S95=1, T95=1, U95=1, AND(W95&lt;&gt;"", W95&lt;&gt;"Oxygen", W95&lt;&gt;"LowFlow")), "Intensive", "Intermediate")</f>
      </c>
      <c r="AJ95" s="57">
        <f>IF(OR(LEFT(AH95, 1)="X", LEFT(AH95, 1)="Y", LEFT(AH95, 3)="J28M"), "CUSM", "No Match")</f>
      </c>
      <c r="AK95" s="57">
        <f>IF(AND(OR(O95=3, P95=1, Q95=1, T95=1), AJ95="no Match"), "CUSM, CHU SJ, CHUQ", "")</f>
      </c>
      <c r="AL95" s="57">
        <f>IF(AND(O95=2, ISBLANK(P95), ISBLANK(Q95), ISBLANK(R95), ISBLANK(S95), ISBLANK(T95)), "CUSM, CHU SJ, CHUS, CHUQ", "")</f>
      </c>
      <c r="AM95" s="57">
        <f>IF(AND(AJ95="no match", AK95="", AL95="", K95&lt;26), "CUSM, CHU SJ, HGJ, CHUQ, CHUS", "")</f>
      </c>
      <c r="AN95" s="57">
        <f>IF(AND(AJ95="no match", AK95="", AL95="", K95&gt;26), "CUSM, CHU SJ, HGJ, CHUQ, CHUS, HMR", "")</f>
      </c>
    </row>
    <row x14ac:dyDescent="0.25" r="96" customHeight="1" ht="17.25">
      <c r="A96" s="41" t="s">
        <v>2916</v>
      </c>
      <c r="B96" s="28">
        <v>2</v>
      </c>
      <c r="C96" s="28">
        <v>779</v>
      </c>
      <c r="D96" s="29" t="s">
        <v>136</v>
      </c>
      <c r="E96" s="30" t="s">
        <v>54</v>
      </c>
      <c r="F96" s="31">
        <v>44977</v>
      </c>
      <c r="G96" s="32">
        <v>4.9118055555555555</v>
      </c>
      <c r="H96" s="31">
        <v>44977</v>
      </c>
      <c r="I96" s="32">
        <v>4.813194444444445</v>
      </c>
      <c r="J96" s="33">
        <f>F96-H96</f>
      </c>
      <c r="K96" s="28">
        <v>24</v>
      </c>
      <c r="L96" s="28">
        <v>5</v>
      </c>
      <c r="M96" s="28">
        <v>1</v>
      </c>
      <c r="N96" s="35">
        <v>1</v>
      </c>
      <c r="O96" s="34"/>
      <c r="P96" s="35">
        <v>1</v>
      </c>
      <c r="Q96" s="34"/>
      <c r="R96" s="34"/>
      <c r="S96" s="56"/>
      <c r="T96" s="38"/>
      <c r="U96" s="34"/>
      <c r="V96" s="34"/>
      <c r="W96" s="29" t="s">
        <v>74</v>
      </c>
      <c r="X96" s="28">
        <v>30</v>
      </c>
      <c r="Y96" s="28">
        <v>2</v>
      </c>
      <c r="Z96" s="28">
        <v>2</v>
      </c>
      <c r="AA96" s="28">
        <v>2</v>
      </c>
      <c r="AB96" s="28">
        <v>1</v>
      </c>
      <c r="AC96" s="28">
        <v>2</v>
      </c>
      <c r="AD96" s="28">
        <v>2</v>
      </c>
      <c r="AE96" s="28">
        <v>4</v>
      </c>
      <c r="AF96" s="28">
        <v>2</v>
      </c>
      <c r="AG96" s="28">
        <v>2</v>
      </c>
      <c r="AH96" s="29" t="s">
        <v>2913</v>
      </c>
      <c r="AI96" s="36">
        <f>IF(OR(AND(K96&lt;32, J96&lt;2), O96=1, P96=1, Q96=1, R96=1, S96=1, T96=1, U96=1, AND(W96&lt;&gt;"", W96&lt;&gt;"Oxygen", W96&lt;&gt;"LowFlow")), "Intensive", "Intermediate")</f>
      </c>
      <c r="AJ96" s="57">
        <f>IF(OR(LEFT(AH96, 1)="X", LEFT(AH96, 1)="Y", LEFT(AH96, 3)="J29M"), "CUSM", "No Match")</f>
      </c>
      <c r="AK96" s="57">
        <f>IF(AND(OR(O96=3, P96=1, Q96=1, T96=1), AJ96="no Match"), "CUSM, CHU SJ, CHUQ", "")</f>
      </c>
      <c r="AL96" s="57">
        <f>IF(AND(O96=2, ISBLANK(P96), ISBLANK(Q96), ISBLANK(R96), ISBLANK(S96), ISBLANK(T96)), "CUSM, CHU SJ, CHUS, CHUQ", "")</f>
      </c>
      <c r="AM96" s="57">
        <f>IF(AND(AJ96="no match", AK96="", AL96="", K96&lt;26), "CUSM, CHU SJ, HGJ, CHUQ, CHUS", "")</f>
      </c>
      <c r="AN96" s="57">
        <f>IF(AND(AJ96="no match", AK96="", AL96="", K96&gt;26), "CUSM, CHU SJ, HGJ, CHUQ, CHUS, HMR", "")</f>
      </c>
    </row>
    <row x14ac:dyDescent="0.25" r="97" customHeight="1" ht="17.25">
      <c r="A97" s="41" t="s">
        <v>2917</v>
      </c>
      <c r="B97" s="28">
        <v>2</v>
      </c>
      <c r="C97" s="35">
        <v>721</v>
      </c>
      <c r="D97" s="29" t="s">
        <v>367</v>
      </c>
      <c r="E97" s="30" t="s">
        <v>50</v>
      </c>
      <c r="F97" s="31">
        <v>44977</v>
      </c>
      <c r="G97" s="32">
        <v>4.948611111111111</v>
      </c>
      <c r="H97" s="31">
        <v>44976</v>
      </c>
      <c r="I97" s="32">
        <v>4.479166666666666</v>
      </c>
      <c r="J97" s="33">
        <f>F97-H97</f>
      </c>
      <c r="K97" s="28">
        <v>35</v>
      </c>
      <c r="L97" s="28">
        <v>1</v>
      </c>
      <c r="M97" s="28">
        <v>1</v>
      </c>
      <c r="N97" s="34"/>
      <c r="O97" s="34"/>
      <c r="P97" s="34"/>
      <c r="Q97" s="34"/>
      <c r="R97" s="34"/>
      <c r="S97" s="56"/>
      <c r="T97" s="34"/>
      <c r="U97" s="34"/>
      <c r="V97" s="34"/>
      <c r="W97" s="29"/>
      <c r="X97" s="28">
        <v>38</v>
      </c>
      <c r="Y97" s="28">
        <v>1</v>
      </c>
      <c r="Z97" s="28">
        <v>1</v>
      </c>
      <c r="AA97" s="28">
        <v>1</v>
      </c>
      <c r="AB97" s="28">
        <v>1</v>
      </c>
      <c r="AC97" s="28">
        <v>2</v>
      </c>
      <c r="AD97" s="28">
        <v>2</v>
      </c>
      <c r="AE97" s="28">
        <v>4</v>
      </c>
      <c r="AF97" s="28">
        <v>2</v>
      </c>
      <c r="AG97" s="28">
        <v>2</v>
      </c>
      <c r="AH97" s="29" t="s">
        <v>1014</v>
      </c>
      <c r="AI97" s="36">
        <f>IF(OR(AND(K97&lt;32, J97&lt;2), O97=1, P97=1, Q97=1, R97=1, S97=1, T97=1, U97=1, AND(W97&lt;&gt;"", W97&lt;&gt;"Oxygen", W97&lt;&gt;"LowFlow")), "Intensive", "Intermediate")</f>
      </c>
      <c r="AJ97" s="57">
        <f>IF(OR(LEFT(AH97, 1)="X", LEFT(AH97, 1)="Y", LEFT(AH97, 3)="J30M"), "CUSM", "No Match")</f>
      </c>
      <c r="AK97" s="57">
        <f>IF(AND(OR(O97=3, P97=1, Q97=1, T97=1), AJ97="no Match"), "CUSM, CHU SJ, CHUQ", "")</f>
      </c>
      <c r="AL97" s="57">
        <f>IF(AND(O97=2, ISBLANK(P97), ISBLANK(Q97), ISBLANK(R97), ISBLANK(S97), ISBLANK(T97)), "CUSM, CHU SJ, CHUS, CHUQ", "")</f>
      </c>
      <c r="AM97" s="57">
        <f>IF(AND(AJ97="no match", AK97="", AL97="", K97&lt;26), "CUSM, CHU SJ, HGJ, CHUQ, CHUS", "")</f>
      </c>
      <c r="AN97" s="57">
        <f>IF(AND(AJ97="no match", AK97="", AL97="", K97&gt;26), "CUSM, CHU SJ, HGJ, CHUQ, CHUS, HMR", "")</f>
      </c>
    </row>
    <row x14ac:dyDescent="0.25" r="98" customHeight="1" ht="17.25">
      <c r="A98" s="41" t="s">
        <v>2918</v>
      </c>
      <c r="B98" s="28">
        <v>2</v>
      </c>
      <c r="C98" s="35">
        <v>839</v>
      </c>
      <c r="D98" s="29" t="s">
        <v>53</v>
      </c>
      <c r="E98" s="30" t="s">
        <v>54</v>
      </c>
      <c r="F98" s="31">
        <v>44978</v>
      </c>
      <c r="G98" s="32">
        <v>4.5680555555555555</v>
      </c>
      <c r="H98" s="31">
        <v>44977</v>
      </c>
      <c r="I98" s="32">
        <v>4.2875</v>
      </c>
      <c r="J98" s="33">
        <f>F98-H98</f>
      </c>
      <c r="K98" s="28">
        <v>39</v>
      </c>
      <c r="L98" s="28">
        <v>3</v>
      </c>
      <c r="M98" s="28">
        <v>2</v>
      </c>
      <c r="N98" s="35">
        <v>1</v>
      </c>
      <c r="O98" s="34"/>
      <c r="P98" s="35">
        <v>1</v>
      </c>
      <c r="Q98" s="34"/>
      <c r="R98" s="34"/>
      <c r="S98" s="56"/>
      <c r="T98" s="34"/>
      <c r="U98" s="34"/>
      <c r="V98" s="34"/>
      <c r="W98" s="29"/>
      <c r="X98" s="28">
        <v>29</v>
      </c>
      <c r="Y98" s="28">
        <v>1</v>
      </c>
      <c r="Z98" s="28">
        <v>1</v>
      </c>
      <c r="AA98" s="28">
        <v>2</v>
      </c>
      <c r="AB98" s="28">
        <v>1</v>
      </c>
      <c r="AC98" s="28">
        <v>2</v>
      </c>
      <c r="AD98" s="28">
        <v>2</v>
      </c>
      <c r="AE98" s="28">
        <v>4</v>
      </c>
      <c r="AF98" s="28">
        <v>2</v>
      </c>
      <c r="AG98" s="28">
        <v>2</v>
      </c>
      <c r="AH98" s="29" t="s">
        <v>2919</v>
      </c>
      <c r="AI98" s="36">
        <f>IF(OR(AND(K98&lt;32, J98&lt;2), O98=1, P98=1, Q98=1, R98=1, S98=1, T98=1, U98=1, AND(W98&lt;&gt;"", W98&lt;&gt;"Oxygen", W98&lt;&gt;"LowFlow")), "Intensive", "Intermediate")</f>
      </c>
      <c r="AJ98" s="57">
        <f>IF(OR(LEFT(AH98, 1)="X", LEFT(AH98, 1)="Y", LEFT(AH98, 3)="J31M"), "CUSM", "No Match")</f>
      </c>
      <c r="AK98" s="57">
        <f>IF(AND(OR(O98=3, P98=1, Q98=1, T98=1), AJ98="no Match"), "CUSM, CHU SJ, CHUQ", "")</f>
      </c>
      <c r="AL98" s="57">
        <f>IF(AND(O98=2, ISBLANK(P98), ISBLANK(Q98), ISBLANK(R98), ISBLANK(S98), ISBLANK(T98)), "CUSM, CHU SJ, CHUS, CHUQ", "")</f>
      </c>
      <c r="AM98" s="57">
        <f>IF(AND(AJ98="no match", AK98="", AL98="", K98&lt;26), "CUSM, CHU SJ, HGJ, CHUQ, CHUS", "")</f>
      </c>
      <c r="AN98" s="57">
        <f>IF(AND(AJ98="no match", AK98="", AL98="", K98&gt;26), "CUSM, CHU SJ, HGJ, CHUQ, CHUS, HMR", "")</f>
      </c>
    </row>
    <row x14ac:dyDescent="0.25" r="99" customHeight="1" ht="17.25">
      <c r="A99" s="41" t="s">
        <v>2920</v>
      </c>
      <c r="B99" s="28">
        <v>2</v>
      </c>
      <c r="C99" s="35">
        <v>794</v>
      </c>
      <c r="D99" s="29" t="s">
        <v>297</v>
      </c>
      <c r="E99" s="30" t="s">
        <v>149</v>
      </c>
      <c r="F99" s="31">
        <v>44979</v>
      </c>
      <c r="G99" s="32">
        <v>4.939583333333333</v>
      </c>
      <c r="H99" s="31">
        <v>44979</v>
      </c>
      <c r="I99" s="32">
        <v>4.723611111111111</v>
      </c>
      <c r="J99" s="33">
        <f>F99-H99</f>
      </c>
      <c r="K99" s="28">
        <v>40</v>
      </c>
      <c r="L99" s="28">
        <v>0</v>
      </c>
      <c r="M99" s="28">
        <v>1</v>
      </c>
      <c r="N99" s="34"/>
      <c r="O99" s="34"/>
      <c r="P99" s="34"/>
      <c r="Q99" s="34"/>
      <c r="R99" s="34"/>
      <c r="S99" s="56"/>
      <c r="T99" s="35">
        <v>1</v>
      </c>
      <c r="U99" s="34"/>
      <c r="V99" s="34"/>
      <c r="W99" s="29" t="s">
        <v>58</v>
      </c>
      <c r="X99" s="28">
        <v>28</v>
      </c>
      <c r="Y99" s="28">
        <v>1</v>
      </c>
      <c r="Z99" s="28">
        <v>2</v>
      </c>
      <c r="AA99" s="28">
        <v>3</v>
      </c>
      <c r="AB99" s="28">
        <v>4</v>
      </c>
      <c r="AC99" s="28">
        <v>2</v>
      </c>
      <c r="AD99" s="28">
        <v>2</v>
      </c>
      <c r="AE99" s="28">
        <v>4</v>
      </c>
      <c r="AF99" s="28">
        <v>3</v>
      </c>
      <c r="AG99" s="28">
        <v>2</v>
      </c>
      <c r="AH99" s="29" t="s">
        <v>2921</v>
      </c>
      <c r="AI99" s="36">
        <f>IF(OR(AND(K99&lt;32, J99&lt;2), O99=1, P99=1, Q99=1, R99=1, S99=1, T99=1, U99=1, AND(W99&lt;&gt;"", W99&lt;&gt;"Oxygen", W99&lt;&gt;"LowFlow")), "Intensive", "Intermediate")</f>
      </c>
      <c r="AJ99" s="57">
        <f>IF(OR(LEFT(AH99, 1)="X", LEFT(AH99, 1)="Y", LEFT(AH99, 3)="J32M"), "CUSM", "No Match")</f>
      </c>
      <c r="AK99" s="57">
        <f>IF(AND(OR(O99=3, P99=1, Q99=1, T99=1), AJ99="no Match"), "CUSM, CHU SJ, CHUQ", "")</f>
      </c>
      <c r="AL99" s="57">
        <f>IF(AND(O99=2, ISBLANK(P99), ISBLANK(Q99), ISBLANK(R99), ISBLANK(S99), ISBLANK(T99)), "CUSM, CHU SJ, CHUS, CHUQ", "")</f>
      </c>
      <c r="AM99" s="57">
        <f>IF(AND(AJ99="no match", AK99="", AL99="", K99&lt;26), "CUSM, CHU SJ, HGJ, CHUQ, CHUS", "")</f>
      </c>
      <c r="AN99" s="57">
        <f>IF(AND(AJ99="no match", AK99="", AL99="", K99&gt;26), "CUSM, CHU SJ, HGJ, CHUQ, CHUS, HMR", "")</f>
      </c>
    </row>
    <row x14ac:dyDescent="0.25" r="100" customHeight="1" ht="17.25">
      <c r="A100" s="41" t="s">
        <v>2922</v>
      </c>
      <c r="B100" s="28">
        <v>2</v>
      </c>
      <c r="C100" s="35">
        <v>768</v>
      </c>
      <c r="D100" s="29" t="s">
        <v>160</v>
      </c>
      <c r="E100" s="30" t="s">
        <v>54</v>
      </c>
      <c r="F100" s="31">
        <v>44980</v>
      </c>
      <c r="G100" s="32">
        <v>4.71875</v>
      </c>
      <c r="H100" s="31">
        <v>44979</v>
      </c>
      <c r="I100" s="32">
        <v>4.802083333333334</v>
      </c>
      <c r="J100" s="33">
        <f>F100-H100</f>
      </c>
      <c r="K100" s="28">
        <v>38</v>
      </c>
      <c r="L100" s="28">
        <v>3</v>
      </c>
      <c r="M100" s="28">
        <v>2</v>
      </c>
      <c r="N100" s="34"/>
      <c r="O100" s="34"/>
      <c r="P100" s="34"/>
      <c r="Q100" s="34"/>
      <c r="R100" s="34"/>
      <c r="S100" s="56"/>
      <c r="T100" s="34"/>
      <c r="U100" s="34"/>
      <c r="V100" s="34"/>
      <c r="W100" s="29" t="s">
        <v>74</v>
      </c>
      <c r="X100" s="28">
        <v>25</v>
      </c>
      <c r="Y100" s="28">
        <v>1</v>
      </c>
      <c r="Z100" s="28">
        <v>1</v>
      </c>
      <c r="AA100" s="28">
        <v>2</v>
      </c>
      <c r="AB100" s="28">
        <v>1</v>
      </c>
      <c r="AC100" s="28">
        <v>1</v>
      </c>
      <c r="AD100" s="28">
        <v>2</v>
      </c>
      <c r="AE100" s="28">
        <v>4</v>
      </c>
      <c r="AF100" s="28">
        <v>2</v>
      </c>
      <c r="AG100" s="28">
        <v>2</v>
      </c>
      <c r="AH100" s="29" t="s">
        <v>2923</v>
      </c>
      <c r="AI100" s="36">
        <f>IF(OR(AND(K100&lt;32, J100&lt;2), O100=1, P100=1, Q100=1, R100=1, S100=1, T100=1, U100=1, AND(W100&lt;&gt;"", W100&lt;&gt;"Oxygen", W100&lt;&gt;"LowFlow")), "Intensive", "Intermediate")</f>
      </c>
      <c r="AJ100" s="57">
        <f>IF(OR(LEFT(AH100, 1)="X", LEFT(AH100, 1)="Y", LEFT(AH100, 3)="J33M"), "CUSM", "No Match")</f>
      </c>
      <c r="AK100" s="57">
        <f>IF(AND(OR(O100=3, P100=1, Q100=1, T100=1), AJ100="no Match"), "CUSM, CHU SJ, CHUQ", "")</f>
      </c>
      <c r="AL100" s="57">
        <f>IF(AND(O100=2, ISBLANK(P100), ISBLANK(Q100), ISBLANK(R100), ISBLANK(S100), ISBLANK(T100)), "CUSM, CHU SJ, CHUS, CHUQ", "")</f>
      </c>
      <c r="AM100" s="57">
        <f>IF(AND(AJ100="no match", AK100="", AL100="", K100&lt;26), "CUSM, CHU SJ, HGJ, CHUQ, CHUS", "")</f>
      </c>
      <c r="AN100" s="57">
        <f>IF(AND(AJ100="no match", AK100="", AL100="", K100&gt;26), "CUSM, CHU SJ, HGJ, CHUQ, CHUS, HMR", "")</f>
      </c>
    </row>
    <row x14ac:dyDescent="0.25" r="101" customHeight="1" ht="17.25">
      <c r="A101" s="41" t="s">
        <v>2924</v>
      </c>
      <c r="B101" s="28">
        <v>2</v>
      </c>
      <c r="C101" s="35">
        <v>2</v>
      </c>
      <c r="D101" s="29" t="s">
        <v>269</v>
      </c>
      <c r="E101" s="30" t="s">
        <v>50</v>
      </c>
      <c r="F101" s="31">
        <v>44980</v>
      </c>
      <c r="G101" s="32">
        <v>4.586805555555555</v>
      </c>
      <c r="H101" s="31">
        <v>44980</v>
      </c>
      <c r="I101" s="32">
        <v>4.3909722222222225</v>
      </c>
      <c r="J101" s="33">
        <f>F101-H101</f>
      </c>
      <c r="K101" s="28">
        <v>40</v>
      </c>
      <c r="L101" s="28">
        <v>0</v>
      </c>
      <c r="M101" s="28">
        <v>2</v>
      </c>
      <c r="N101" s="34"/>
      <c r="O101" s="34"/>
      <c r="P101" s="34"/>
      <c r="Q101" s="34"/>
      <c r="R101" s="34"/>
      <c r="S101" s="56"/>
      <c r="T101" s="34"/>
      <c r="U101" s="34"/>
      <c r="V101" s="34"/>
      <c r="W101" s="29" t="s">
        <v>74</v>
      </c>
      <c r="X101" s="28">
        <v>41</v>
      </c>
      <c r="Y101" s="28">
        <v>1</v>
      </c>
      <c r="Z101" s="28">
        <v>1</v>
      </c>
      <c r="AA101" s="28">
        <v>2</v>
      </c>
      <c r="AB101" s="28">
        <v>1</v>
      </c>
      <c r="AC101" s="28">
        <v>2</v>
      </c>
      <c r="AD101" s="28">
        <v>2</v>
      </c>
      <c r="AE101" s="28">
        <v>4</v>
      </c>
      <c r="AF101" s="28">
        <v>2</v>
      </c>
      <c r="AG101" s="28">
        <v>2</v>
      </c>
      <c r="AH101" s="29" t="s">
        <v>2925</v>
      </c>
      <c r="AI101" s="36">
        <f>IF(OR(AND(K101&lt;32, J101&lt;2), O101=1, P101=1, Q101=1, R101=1, S101=1, T101=1, U101=1, AND(W101&lt;&gt;"", W101&lt;&gt;"Oxygen", W101&lt;&gt;"LowFlow")), "Intensive", "Intermediate")</f>
      </c>
      <c r="AJ101" s="57">
        <f>IF(OR(LEFT(AH101, 1)="X", LEFT(AH101, 1)="Y", LEFT(AH101, 3)="J34M"), "CUSM", "No Match")</f>
      </c>
      <c r="AK101" s="57">
        <f>IF(AND(OR(O101=3, P101=1, Q101=1, T101=1), AJ101="no Match"), "CUSM, CHU SJ, CHUQ", "")</f>
      </c>
      <c r="AL101" s="57">
        <f>IF(AND(O101=2, ISBLANK(P101), ISBLANK(Q101), ISBLANK(R101), ISBLANK(S101), ISBLANK(T101)), "CUSM, CHU SJ, CHUS, CHUQ", "")</f>
      </c>
      <c r="AM101" s="57">
        <f>IF(AND(AJ101="no match", AK101="", AL101="", K101&lt;26), "CUSM, CHU SJ, HGJ, CHUQ, CHUS", "")</f>
      </c>
      <c r="AN101" s="57">
        <f>IF(AND(AJ101="no match", AK101="", AL101="", K101&gt;26), "CUSM, CHU SJ, HGJ, CHUQ, CHUS, HMR", "")</f>
      </c>
    </row>
    <row x14ac:dyDescent="0.25" r="102" customHeight="1" ht="17.25">
      <c r="A102" s="41" t="s">
        <v>2926</v>
      </c>
      <c r="B102" s="28">
        <v>2</v>
      </c>
      <c r="C102" s="35">
        <v>780</v>
      </c>
      <c r="D102" s="29" t="s">
        <v>190</v>
      </c>
      <c r="E102" s="30" t="s">
        <v>54</v>
      </c>
      <c r="F102" s="31">
        <v>44982</v>
      </c>
      <c r="G102" s="32">
        <v>4.017361111111111</v>
      </c>
      <c r="H102" s="31">
        <v>44980</v>
      </c>
      <c r="I102" s="32">
        <v>4.973611111111111</v>
      </c>
      <c r="J102" s="33">
        <f>F102-H102</f>
      </c>
      <c r="K102" s="28">
        <v>39</v>
      </c>
      <c r="L102" s="28">
        <v>0</v>
      </c>
      <c r="M102" s="28">
        <v>2</v>
      </c>
      <c r="N102" s="35">
        <v>1</v>
      </c>
      <c r="O102" s="34"/>
      <c r="P102" s="35">
        <v>1</v>
      </c>
      <c r="Q102" s="34"/>
      <c r="R102" s="34"/>
      <c r="S102" s="56"/>
      <c r="T102" s="34"/>
      <c r="U102" s="34"/>
      <c r="V102" s="34"/>
      <c r="W102" s="29"/>
      <c r="X102" s="28">
        <v>25</v>
      </c>
      <c r="Y102" s="28">
        <v>1</v>
      </c>
      <c r="Z102" s="28">
        <v>1</v>
      </c>
      <c r="AA102" s="28">
        <v>2</v>
      </c>
      <c r="AB102" s="28">
        <v>1</v>
      </c>
      <c r="AC102" s="28">
        <v>2</v>
      </c>
      <c r="AD102" s="28">
        <v>2</v>
      </c>
      <c r="AE102" s="28">
        <v>4</v>
      </c>
      <c r="AF102" s="28">
        <v>2</v>
      </c>
      <c r="AG102" s="28">
        <v>2</v>
      </c>
      <c r="AH102" s="29" t="s">
        <v>2927</v>
      </c>
      <c r="AI102" s="36">
        <f>IF(OR(AND(K102&lt;32, J102&lt;2), O102=1, P102=1, Q102=1, R102=1, S102=1, T102=1, U102=1, AND(W102&lt;&gt;"", W102&lt;&gt;"Oxygen", W102&lt;&gt;"LowFlow")), "Intensive", "Intermediate")</f>
      </c>
      <c r="AJ102" s="57">
        <f>IF(OR(LEFT(AH102, 1)="X", LEFT(AH102, 1)="Y", LEFT(AH102, 3)="J35M"), "CUSM", "No Match")</f>
      </c>
      <c r="AK102" s="57">
        <f>IF(AND(OR(O102=3, P102=1, Q102=1, T102=1), AJ102="no Match"), "CUSM, CHU SJ, CHUQ", "")</f>
      </c>
      <c r="AL102" s="57">
        <f>IF(AND(O102=2, ISBLANK(P102), ISBLANK(Q102), ISBLANK(R102), ISBLANK(S102), ISBLANK(T102)), "CUSM, CHU SJ, CHUS, CHUQ", "")</f>
      </c>
      <c r="AM102" s="57">
        <f>IF(AND(AJ102="no match", AK102="", AL102="", K102&lt;26), "CUSM, CHU SJ, HGJ, CHUQ, CHUS", "")</f>
      </c>
      <c r="AN102" s="57">
        <f>IF(AND(AJ102="no match", AK102="", AL102="", K102&gt;26), "CUSM, CHU SJ, HGJ, CHUQ, CHUS, HMR", "")</f>
      </c>
    </row>
    <row x14ac:dyDescent="0.25" r="103" customHeight="1" ht="17.25">
      <c r="A103" s="41" t="s">
        <v>2928</v>
      </c>
      <c r="B103" s="28">
        <v>2</v>
      </c>
      <c r="C103" s="28">
        <v>779</v>
      </c>
      <c r="D103" s="29" t="s">
        <v>136</v>
      </c>
      <c r="E103" s="30" t="s">
        <v>54</v>
      </c>
      <c r="F103" s="31">
        <v>44982</v>
      </c>
      <c r="G103" s="32">
        <v>4.118055555555555</v>
      </c>
      <c r="H103" s="31">
        <v>44981</v>
      </c>
      <c r="I103" s="32">
        <v>4.850694444444445</v>
      </c>
      <c r="J103" s="33">
        <f>F103-H103</f>
      </c>
      <c r="K103" s="28">
        <v>38</v>
      </c>
      <c r="L103" s="28">
        <v>3</v>
      </c>
      <c r="M103" s="28">
        <v>2</v>
      </c>
      <c r="N103" s="35">
        <v>1</v>
      </c>
      <c r="O103" s="34"/>
      <c r="P103" s="35">
        <v>1</v>
      </c>
      <c r="Q103" s="34"/>
      <c r="R103" s="34"/>
      <c r="S103" s="56"/>
      <c r="T103" s="35">
        <v>1</v>
      </c>
      <c r="U103" s="34"/>
      <c r="V103" s="34"/>
      <c r="W103" s="29" t="s">
        <v>58</v>
      </c>
      <c r="X103" s="28">
        <v>28</v>
      </c>
      <c r="Y103" s="28">
        <v>1</v>
      </c>
      <c r="Z103" s="28">
        <v>1</v>
      </c>
      <c r="AA103" s="28">
        <v>2</v>
      </c>
      <c r="AB103" s="28">
        <v>1</v>
      </c>
      <c r="AC103" s="28">
        <v>2</v>
      </c>
      <c r="AD103" s="28">
        <v>1</v>
      </c>
      <c r="AE103" s="28">
        <v>4</v>
      </c>
      <c r="AF103" s="28">
        <v>2</v>
      </c>
      <c r="AG103" s="28">
        <v>2</v>
      </c>
      <c r="AH103" s="29" t="s">
        <v>2929</v>
      </c>
      <c r="AI103" s="36">
        <f>IF(OR(AND(K103&lt;32, J103&lt;2), O103=1, P103=1, Q103=1, R103=1, S103=1, T103=1, U103=1, AND(W103&lt;&gt;"", W103&lt;&gt;"Oxygen", W103&lt;&gt;"LowFlow")), "Intensive", "Intermediate")</f>
      </c>
      <c r="AJ103" s="57">
        <f>IF(OR(LEFT(AH103, 1)="X", LEFT(AH103, 1)="Y", LEFT(AH103, 3)="J36M"), "CUSM", "No Match")</f>
      </c>
      <c r="AK103" s="57">
        <f>IF(AND(OR(O103=3, P103=1, Q103=1, T103=1), AJ103="no Match"), "CUSM, CHU SJ, CHUQ", "")</f>
      </c>
      <c r="AL103" s="57">
        <f>IF(AND(O103=2, ISBLANK(P103), ISBLANK(Q103), ISBLANK(R103), ISBLANK(S103), ISBLANK(T103)), "CUSM, CHU SJ, CHUS, CHUQ", "")</f>
      </c>
      <c r="AM103" s="57">
        <f>IF(AND(AJ103="no match", AK103="", AL103="", K103&lt;26), "CUSM, CHU SJ, HGJ, CHUQ, CHUS", "")</f>
      </c>
      <c r="AN103" s="57">
        <f>IF(AND(AJ103="no match", AK103="", AL103="", K103&gt;26), "CUSM, CHU SJ, HGJ, CHUQ, CHUS, HMR", "")</f>
      </c>
    </row>
    <row x14ac:dyDescent="0.25" r="104" customHeight="1" ht="17.25">
      <c r="A104" s="41" t="s">
        <v>2930</v>
      </c>
      <c r="B104" s="28">
        <v>2</v>
      </c>
      <c r="C104" s="35">
        <v>822</v>
      </c>
      <c r="D104" s="29" t="s">
        <v>167</v>
      </c>
      <c r="E104" s="30" t="s">
        <v>78</v>
      </c>
      <c r="F104" s="31">
        <v>44982</v>
      </c>
      <c r="G104" s="32">
        <v>4.427083333333334</v>
      </c>
      <c r="H104" s="31">
        <v>44982</v>
      </c>
      <c r="I104" s="32">
        <v>4.2027777777777775</v>
      </c>
      <c r="J104" s="33">
        <f>F104-H104</f>
      </c>
      <c r="K104" s="28">
        <v>36</v>
      </c>
      <c r="L104" s="28">
        <v>0</v>
      </c>
      <c r="M104" s="28">
        <v>1</v>
      </c>
      <c r="N104" s="34"/>
      <c r="O104" s="34"/>
      <c r="P104" s="34"/>
      <c r="Q104" s="34"/>
      <c r="R104" s="34"/>
      <c r="S104" s="56"/>
      <c r="T104" s="34"/>
      <c r="U104" s="34"/>
      <c r="V104" s="34"/>
      <c r="W104" s="29" t="s">
        <v>58</v>
      </c>
      <c r="X104" s="28">
        <v>37</v>
      </c>
      <c r="Y104" s="28">
        <v>1</v>
      </c>
      <c r="Z104" s="28">
        <v>1</v>
      </c>
      <c r="AA104" s="28">
        <v>2</v>
      </c>
      <c r="AB104" s="28">
        <v>1</v>
      </c>
      <c r="AC104" s="28">
        <v>2</v>
      </c>
      <c r="AD104" s="28">
        <v>2</v>
      </c>
      <c r="AE104" s="28">
        <v>4</v>
      </c>
      <c r="AF104" s="28">
        <v>2</v>
      </c>
      <c r="AG104" s="28">
        <v>2</v>
      </c>
      <c r="AH104" s="29" t="s">
        <v>2931</v>
      </c>
      <c r="AI104" s="36">
        <f>IF(OR(AND(K104&lt;32, J104&lt;2), O104=1, P104=1, Q104=1, R104=1, S104=1, T104=1, U104=1, AND(W104&lt;&gt;"", W104&lt;&gt;"Oxygen", W104&lt;&gt;"LowFlow")), "Intensive", "Intermediate")</f>
      </c>
      <c r="AJ104" s="57">
        <f>IF(OR(LEFT(AH104, 1)="X", LEFT(AH104, 1)="Y", LEFT(AH104, 3)="J37M"), "CUSM", "No Match")</f>
      </c>
      <c r="AK104" s="57">
        <f>IF(AND(OR(O104=3, P104=1, Q104=1, T104=1), AJ104="no Match"), "CUSM, CHU SJ, CHUQ", "")</f>
      </c>
      <c r="AL104" s="57">
        <f>IF(AND(O104=2, ISBLANK(P104), ISBLANK(Q104), ISBLANK(R104), ISBLANK(S104), ISBLANK(T104)), "CUSM, CHU SJ, CHUS, CHUQ", "")</f>
      </c>
      <c r="AM104" s="57">
        <f>IF(AND(AJ104="no match", AK104="", AL104="", K104&lt;26), "CUSM, CHU SJ, HGJ, CHUQ, CHUS", "")</f>
      </c>
      <c r="AN104" s="57">
        <f>IF(AND(AJ104="no match", AK104="", AL104="", K104&gt;26), "CUSM, CHU SJ, HGJ, CHUQ, CHUS, HMR", "")</f>
      </c>
    </row>
    <row x14ac:dyDescent="0.25" r="105" customHeight="1" ht="17.25">
      <c r="A105" s="41" t="s">
        <v>2932</v>
      </c>
      <c r="B105" s="28">
        <v>2</v>
      </c>
      <c r="C105" s="35">
        <v>839</v>
      </c>
      <c r="D105" s="29" t="s">
        <v>53</v>
      </c>
      <c r="E105" s="30" t="s">
        <v>54</v>
      </c>
      <c r="F105" s="31">
        <v>44983</v>
      </c>
      <c r="G105" s="40">
        <v>4.868055555555555</v>
      </c>
      <c r="H105" s="31">
        <v>44980</v>
      </c>
      <c r="I105" s="40">
        <v>4.922916666666667</v>
      </c>
      <c r="J105" s="33">
        <f>F105-H105</f>
      </c>
      <c r="K105" s="28">
        <v>39</v>
      </c>
      <c r="L105" s="28">
        <v>1</v>
      </c>
      <c r="M105" s="28">
        <v>1</v>
      </c>
      <c r="N105" s="34"/>
      <c r="O105" s="34"/>
      <c r="P105" s="34"/>
      <c r="Q105" s="34"/>
      <c r="R105" s="34"/>
      <c r="S105" s="56"/>
      <c r="T105" s="34"/>
      <c r="U105" s="34"/>
      <c r="V105" s="34"/>
      <c r="W105" s="29"/>
      <c r="X105" s="28">
        <v>40</v>
      </c>
      <c r="Y105" s="28">
        <v>1</v>
      </c>
      <c r="Z105" s="28">
        <v>1</v>
      </c>
      <c r="AA105" s="35">
        <v>2</v>
      </c>
      <c r="AB105" s="28">
        <v>1</v>
      </c>
      <c r="AC105" s="28">
        <v>2</v>
      </c>
      <c r="AD105" s="28">
        <v>2</v>
      </c>
      <c r="AE105" s="28">
        <v>4</v>
      </c>
      <c r="AF105" s="35">
        <v>2</v>
      </c>
      <c r="AG105" s="28">
        <v>2</v>
      </c>
      <c r="AH105" s="29" t="s">
        <v>2933</v>
      </c>
      <c r="AI105" s="36">
        <f>IF(OR(AND(K105&lt;32, J105&lt;2), O105=1, P105=1, Q105=1, R105=1, S105=1, T105=1, U105=1, AND(W105&lt;&gt;"", W105&lt;&gt;"Oxygen", W105&lt;&gt;"LowFlow")), "Intensive", "Intermediate")</f>
      </c>
      <c r="AJ105" s="57">
        <f>IF(OR(LEFT(AH105, 1)="X", LEFT(AH105, 1)="Y", LEFT(AH105, 3)="J38M"), "CUSM", "No Match")</f>
      </c>
      <c r="AK105" s="57">
        <f>IF(AND(OR(O105=3, P105=1, Q105=1, T105=1), AJ105="no Match"), "CUSM, CHU SJ, CHUQ", "")</f>
      </c>
      <c r="AL105" s="57">
        <f>IF(AND(O105=2, ISBLANK(P105), ISBLANK(Q105), ISBLANK(R105), ISBLANK(S105), ISBLANK(T105)), "CUSM, CHU SJ, CHUS, CHUQ", "")</f>
      </c>
      <c r="AM105" s="57">
        <f>IF(AND(AJ105="no match", AK105="", AL105="", K105&lt;26), "CUSM, CHU SJ, HGJ, CHUQ, CHUS", "")</f>
      </c>
      <c r="AN105" s="57">
        <f>IF(AND(AJ105="no match", AK105="", AL105="", K105&gt;26), "CUSM, CHU SJ, HGJ, CHUQ, CHUS, HMR", "")</f>
      </c>
    </row>
    <row x14ac:dyDescent="0.25" r="106" customHeight="1" ht="17.25">
      <c r="A106" s="41" t="s">
        <v>2934</v>
      </c>
      <c r="B106" s="28">
        <v>2</v>
      </c>
      <c r="C106" s="35">
        <v>809</v>
      </c>
      <c r="D106" s="29" t="s">
        <v>117</v>
      </c>
      <c r="E106" s="30" t="s">
        <v>50</v>
      </c>
      <c r="F106" s="31">
        <v>44983</v>
      </c>
      <c r="G106" s="32">
        <v>4.1090277777777775</v>
      </c>
      <c r="H106" s="31">
        <v>44982</v>
      </c>
      <c r="I106" s="32">
        <v>4.5368055555555555</v>
      </c>
      <c r="J106" s="33">
        <f>F106-H106</f>
      </c>
      <c r="K106" s="28">
        <v>35</v>
      </c>
      <c r="L106" s="28">
        <v>4</v>
      </c>
      <c r="M106" s="28">
        <v>1</v>
      </c>
      <c r="N106" s="34"/>
      <c r="O106" s="34"/>
      <c r="P106" s="34"/>
      <c r="Q106" s="34"/>
      <c r="R106" s="34"/>
      <c r="S106" s="56"/>
      <c r="T106" s="34"/>
      <c r="U106" s="34"/>
      <c r="V106" s="34"/>
      <c r="W106" s="29" t="s">
        <v>58</v>
      </c>
      <c r="X106" s="28">
        <v>32</v>
      </c>
      <c r="Y106" s="28">
        <v>1</v>
      </c>
      <c r="Z106" s="28">
        <v>1</v>
      </c>
      <c r="AA106" s="28">
        <v>2</v>
      </c>
      <c r="AB106" s="28">
        <v>1</v>
      </c>
      <c r="AC106" s="28">
        <v>2</v>
      </c>
      <c r="AD106" s="28">
        <v>2</v>
      </c>
      <c r="AE106" s="28">
        <v>4</v>
      </c>
      <c r="AF106" s="28">
        <v>2</v>
      </c>
      <c r="AG106" s="28">
        <v>2</v>
      </c>
      <c r="AH106" s="29" t="s">
        <v>2935</v>
      </c>
      <c r="AI106" s="36">
        <f>IF(OR(AND(K106&lt;32, J106&lt;2), O106=1, P106=1, Q106=1, R106=1, S106=1, T106=1, U106=1, AND(W106&lt;&gt;"", W106&lt;&gt;"Oxygen", W106&lt;&gt;"LowFlow")), "Intensive", "Intermediate")</f>
      </c>
      <c r="AJ106" s="57">
        <f>IF(OR(LEFT(AH106, 1)="X", LEFT(AH106, 1)="Y", LEFT(AH106, 3)="J39M"), "CUSM", "No Match")</f>
      </c>
      <c r="AK106" s="57">
        <f>IF(AND(OR(O106=3, P106=1, Q106=1, T106=1), AJ106="no Match"), "CUSM, CHU SJ, CHUQ", "")</f>
      </c>
      <c r="AL106" s="57">
        <f>IF(AND(O106=2, ISBLANK(P106), ISBLANK(Q106), ISBLANK(R106), ISBLANK(S106), ISBLANK(T106)), "CUSM, CHU SJ, CHUS, CHUQ", "")</f>
      </c>
      <c r="AM106" s="57">
        <f>IF(AND(AJ106="no match", AK106="", AL106="", K106&lt;26), "CUSM, CHU SJ, HGJ, CHUQ, CHUS", "")</f>
      </c>
      <c r="AN106" s="57">
        <f>IF(AND(AJ106="no match", AK106="", AL106="", K106&gt;26), "CUSM, CHU SJ, HGJ, CHUQ, CHUS, HMR", "")</f>
      </c>
    </row>
    <row x14ac:dyDescent="0.25" r="107" customHeight="1" ht="17.25">
      <c r="A107" s="41" t="s">
        <v>2936</v>
      </c>
      <c r="B107" s="28">
        <v>2</v>
      </c>
      <c r="C107" s="28">
        <v>796</v>
      </c>
      <c r="D107" s="29" t="s">
        <v>63</v>
      </c>
      <c r="E107" s="30" t="s">
        <v>54</v>
      </c>
      <c r="F107" s="31">
        <v>44984</v>
      </c>
      <c r="G107" s="32">
        <v>4.763888888888889</v>
      </c>
      <c r="H107" s="31">
        <v>44983</v>
      </c>
      <c r="I107" s="32">
        <v>4.404861111111111</v>
      </c>
      <c r="J107" s="33">
        <f>F107-H107</f>
      </c>
      <c r="K107" s="28">
        <v>36</v>
      </c>
      <c r="L107" s="28">
        <v>5</v>
      </c>
      <c r="M107" s="28">
        <v>1</v>
      </c>
      <c r="N107" s="34"/>
      <c r="O107" s="34"/>
      <c r="P107" s="34"/>
      <c r="Q107" s="34"/>
      <c r="R107" s="34"/>
      <c r="S107" s="56"/>
      <c r="T107" s="34"/>
      <c r="U107" s="38"/>
      <c r="V107" s="38"/>
      <c r="W107" s="29"/>
      <c r="X107" s="28">
        <v>34</v>
      </c>
      <c r="Y107" s="28">
        <v>1</v>
      </c>
      <c r="Z107" s="28">
        <v>2</v>
      </c>
      <c r="AA107" s="28">
        <v>2</v>
      </c>
      <c r="AB107" s="28">
        <v>1</v>
      </c>
      <c r="AC107" s="28">
        <v>2</v>
      </c>
      <c r="AD107" s="28">
        <v>2</v>
      </c>
      <c r="AE107" s="28">
        <v>4</v>
      </c>
      <c r="AF107" s="28">
        <v>2</v>
      </c>
      <c r="AG107" s="28">
        <v>2</v>
      </c>
      <c r="AH107" s="29" t="s">
        <v>1052</v>
      </c>
      <c r="AI107" s="36">
        <f>IF(OR(AND(K107&lt;32, J107&lt;2), O107=1, P107=1, Q107=1, R107=1, S107=1, T107=1, U107=1, AND(W107&lt;&gt;"", W107&lt;&gt;"Oxygen", W107&lt;&gt;"LowFlow")), "Intensive", "Intermediate")</f>
      </c>
      <c r="AJ107" s="57">
        <f>IF(OR(LEFT(AH107, 1)="X", LEFT(AH107, 1)="Y", LEFT(AH107, 3)="J40M"), "CUSM", "No Match")</f>
      </c>
      <c r="AK107" s="57">
        <f>IF(AND(OR(O107=3, P107=1, Q107=1, T107=1), AJ107="no Match"), "CUSM, CHU SJ, CHUQ", "")</f>
      </c>
      <c r="AL107" s="57">
        <f>IF(AND(O107=2, ISBLANK(P107), ISBLANK(Q107), ISBLANK(R107), ISBLANK(S107), ISBLANK(T107)), "CUSM, CHU SJ, CHUS, CHUQ", "")</f>
      </c>
      <c r="AM107" s="57">
        <f>IF(AND(AJ107="no match", AK107="", AL107="", K107&lt;26), "CUSM, CHU SJ, HGJ, CHUQ, CHUS", "")</f>
      </c>
      <c r="AN107" s="57">
        <f>IF(AND(AJ107="no match", AK107="", AL107="", K107&gt;26), "CUSM, CHU SJ, HGJ, CHUQ, CHUS, HMR", "")</f>
      </c>
    </row>
    <row x14ac:dyDescent="0.25" r="108" customHeight="1" ht="17.25">
      <c r="A108" s="41" t="s">
        <v>2937</v>
      </c>
      <c r="B108" s="28">
        <v>2</v>
      </c>
      <c r="C108" s="28">
        <v>730</v>
      </c>
      <c r="D108" s="29" t="s">
        <v>81</v>
      </c>
      <c r="E108" s="30" t="s">
        <v>50</v>
      </c>
      <c r="F108" s="31">
        <v>44984</v>
      </c>
      <c r="G108" s="32">
        <v>4.756944444444445</v>
      </c>
      <c r="H108" s="31">
        <v>44982</v>
      </c>
      <c r="I108" s="32">
        <v>4.271527777777777</v>
      </c>
      <c r="J108" s="33">
        <f>F108-H108</f>
      </c>
      <c r="K108" s="28">
        <v>39</v>
      </c>
      <c r="L108" s="28">
        <v>1</v>
      </c>
      <c r="M108" s="28">
        <v>2</v>
      </c>
      <c r="N108" s="34"/>
      <c r="O108" s="34"/>
      <c r="P108" s="34"/>
      <c r="Q108" s="34"/>
      <c r="R108" s="34"/>
      <c r="S108" s="56"/>
      <c r="T108" s="34"/>
      <c r="U108" s="34"/>
      <c r="V108" s="34"/>
      <c r="W108" s="29"/>
      <c r="X108" s="28">
        <v>27</v>
      </c>
      <c r="Y108" s="28">
        <v>1</v>
      </c>
      <c r="Z108" s="28">
        <v>2</v>
      </c>
      <c r="AA108" s="28">
        <v>3</v>
      </c>
      <c r="AB108" s="28">
        <v>1</v>
      </c>
      <c r="AC108" s="28">
        <v>3</v>
      </c>
      <c r="AD108" s="28">
        <v>3</v>
      </c>
      <c r="AE108" s="28">
        <v>4</v>
      </c>
      <c r="AF108" s="28">
        <v>3</v>
      </c>
      <c r="AG108" s="28">
        <v>3</v>
      </c>
      <c r="AH108" s="29" t="s">
        <v>2938</v>
      </c>
      <c r="AI108" s="36">
        <f>IF(OR(AND(K108&lt;32, J108&lt;2), O108=1, P108=1, Q108=1, R108=1, S108=1, T108=1, U108=1, AND(W108&lt;&gt;"", W108&lt;&gt;"Oxygen", W108&lt;&gt;"LowFlow")), "Intensive", "Intermediate")</f>
      </c>
      <c r="AJ108" s="57">
        <f>IF(OR(LEFT(AH108, 1)="X", LEFT(AH108, 1)="Y", LEFT(AH108, 3)="J41M"), "CUSM", "No Match")</f>
      </c>
      <c r="AK108" s="57">
        <f>IF(AND(OR(O108=3, P108=1, Q108=1, T108=1), AJ108="no Match"), "CUSM, CHU SJ, CHUQ", "")</f>
      </c>
      <c r="AL108" s="57">
        <f>IF(AND(O108=2, ISBLANK(P108), ISBLANK(Q108), ISBLANK(R108), ISBLANK(S108), ISBLANK(T108)), "CUSM, CHU SJ, CHUS, CHUQ", "")</f>
      </c>
      <c r="AM108" s="57">
        <f>IF(AND(AJ108="no match", AK108="", AL108="", K108&lt;26), "CUSM, CHU SJ, HGJ, CHUQ, CHUS", "")</f>
      </c>
      <c r="AN108" s="57">
        <f>IF(AND(AJ108="no match", AK108="", AL108="", K108&gt;26), "CUSM, CHU SJ, HGJ, CHUQ, CHUS, HMR", "")</f>
      </c>
    </row>
    <row x14ac:dyDescent="0.25" r="109" customHeight="1" ht="17.25">
      <c r="A109" s="41" t="s">
        <v>2939</v>
      </c>
      <c r="B109" s="28">
        <v>2</v>
      </c>
      <c r="C109" s="35">
        <v>815</v>
      </c>
      <c r="D109" s="29" t="s">
        <v>100</v>
      </c>
      <c r="E109" s="30" t="s">
        <v>54</v>
      </c>
      <c r="F109" s="31">
        <v>44985</v>
      </c>
      <c r="G109" s="32">
        <v>4.777777777777778</v>
      </c>
      <c r="H109" s="31">
        <v>44985</v>
      </c>
      <c r="I109" s="32">
        <v>4.449305555555556</v>
      </c>
      <c r="J109" s="33">
        <f>F109-H109</f>
      </c>
      <c r="K109" s="28">
        <v>38</v>
      </c>
      <c r="L109" s="28">
        <v>2</v>
      </c>
      <c r="M109" s="28">
        <v>2</v>
      </c>
      <c r="N109" s="34"/>
      <c r="O109" s="34"/>
      <c r="P109" s="34"/>
      <c r="Q109" s="34"/>
      <c r="R109" s="34"/>
      <c r="S109" s="56"/>
      <c r="T109" s="34"/>
      <c r="U109" s="35">
        <v>1</v>
      </c>
      <c r="V109" s="35">
        <v>1</v>
      </c>
      <c r="W109" s="29" t="s">
        <v>74</v>
      </c>
      <c r="X109" s="28">
        <v>33</v>
      </c>
      <c r="Y109" s="28">
        <v>1</v>
      </c>
      <c r="Z109" s="28">
        <v>2</v>
      </c>
      <c r="AA109" s="28">
        <v>2</v>
      </c>
      <c r="AB109" s="28">
        <v>1</v>
      </c>
      <c r="AC109" s="28">
        <v>3</v>
      </c>
      <c r="AD109" s="28">
        <v>1</v>
      </c>
      <c r="AE109" s="28">
        <v>4</v>
      </c>
      <c r="AF109" s="28">
        <v>2</v>
      </c>
      <c r="AG109" s="28">
        <v>2</v>
      </c>
      <c r="AH109" s="29" t="s">
        <v>2940</v>
      </c>
      <c r="AI109" s="36">
        <f>IF(OR(AND(K109&lt;32, J109&lt;2), O109=1, P109=1, Q109=1, R109=1, S109=1, T109=1, U109=1, AND(W109&lt;&gt;"", W109&lt;&gt;"Oxygen", W109&lt;&gt;"LowFlow")), "Intensive", "Intermediate")</f>
      </c>
      <c r="AJ109" s="57">
        <f>IF(OR(LEFT(AH109, 1)="X", LEFT(AH109, 1)="Y", LEFT(AH109, 3)="J42M"), "CUSM", "No Match")</f>
      </c>
      <c r="AK109" s="57">
        <f>IF(AND(OR(O109=3, P109=1, Q109=1, T109=1), AJ109="no Match"), "CUSM, CHU SJ, CHUQ", "")</f>
      </c>
      <c r="AL109" s="57">
        <f>IF(AND(O109=2, ISBLANK(P109), ISBLANK(Q109), ISBLANK(R109), ISBLANK(S109), ISBLANK(T109)), "CUSM, CHU SJ, CHUS, CHUQ", "")</f>
      </c>
      <c r="AM109" s="57">
        <f>IF(AND(AJ109="no match", AK109="", AL109="", K109&lt;26), "CUSM, CHU SJ, HGJ, CHUQ, CHUS", "")</f>
      </c>
      <c r="AN109" s="57">
        <f>IF(AND(AJ109="no match", AK109="", AL109="", K109&gt;26), "CUSM, CHU SJ, HGJ, CHUQ, CHUS, HMR", "")</f>
      </c>
    </row>
    <row x14ac:dyDescent="0.25" r="110" customHeight="1" ht="17.25">
      <c r="A110" s="41" t="s">
        <v>2941</v>
      </c>
      <c r="B110" s="28">
        <v>2</v>
      </c>
      <c r="C110" s="35">
        <v>820</v>
      </c>
      <c r="D110" s="29" t="s">
        <v>69</v>
      </c>
      <c r="E110" s="30" t="s">
        <v>50</v>
      </c>
      <c r="F110" s="31">
        <v>44985</v>
      </c>
      <c r="G110" s="32">
        <v>4.767361111111111</v>
      </c>
      <c r="H110" s="31">
        <v>44985</v>
      </c>
      <c r="I110" s="32">
        <v>4.6409722222222225</v>
      </c>
      <c r="J110" s="33">
        <f>F110-H110</f>
      </c>
      <c r="K110" s="28">
        <v>38</v>
      </c>
      <c r="L110" s="28">
        <v>5</v>
      </c>
      <c r="M110" s="28">
        <v>2</v>
      </c>
      <c r="N110" s="34"/>
      <c r="O110" s="34"/>
      <c r="P110" s="34"/>
      <c r="Q110" s="34"/>
      <c r="R110" s="34"/>
      <c r="S110" s="56"/>
      <c r="T110" s="34"/>
      <c r="U110" s="34"/>
      <c r="V110" s="38"/>
      <c r="W110" s="29"/>
      <c r="X110" s="28">
        <v>23</v>
      </c>
      <c r="Y110" s="28">
        <v>1</v>
      </c>
      <c r="Z110" s="28">
        <v>1</v>
      </c>
      <c r="AA110" s="28">
        <v>2</v>
      </c>
      <c r="AB110" s="28">
        <v>2</v>
      </c>
      <c r="AC110" s="28">
        <v>2</v>
      </c>
      <c r="AD110" s="28">
        <v>2</v>
      </c>
      <c r="AE110" s="28">
        <v>4</v>
      </c>
      <c r="AF110" s="35">
        <v>2</v>
      </c>
      <c r="AG110" s="28">
        <v>2</v>
      </c>
      <c r="AH110" s="29" t="s">
        <v>2942</v>
      </c>
      <c r="AI110" s="36">
        <f>IF(OR(AND(K110&lt;32, J110&lt;2), O110=1, P110=1, Q110=1, R110=1, S110=1, T110=1, U110=1, AND(W110&lt;&gt;"", W110&lt;&gt;"Oxygen", W110&lt;&gt;"LowFlow")), "Intensive", "Intermediate")</f>
      </c>
      <c r="AJ110" s="57">
        <f>IF(OR(LEFT(AH110, 1)="X", LEFT(AH110, 1)="Y", LEFT(AH110, 3)="J43M"), "CUSM", "No Match")</f>
      </c>
      <c r="AK110" s="57">
        <f>IF(AND(OR(O110=3, P110=1, Q110=1, T110=1), AJ110="no Match"), "CUSM, CHU SJ, CHUQ", "")</f>
      </c>
      <c r="AL110" s="57">
        <f>IF(AND(O110=2, ISBLANK(P110), ISBLANK(Q110), ISBLANK(R110), ISBLANK(S110), ISBLANK(T110)), "CUSM, CHU SJ, CHUS, CHUQ", "")</f>
      </c>
      <c r="AM110" s="57">
        <f>IF(AND(AJ110="no match", AK110="", AL110="", K110&lt;26), "CUSM, CHU SJ, HGJ, CHUQ, CHUS", "")</f>
      </c>
      <c r="AN110" s="57">
        <f>IF(AND(AJ110="no match", AK110="", AL110="", K110&gt;26), "CUSM, CHU SJ, HGJ, CHUQ, CHUS, HMR", "")</f>
      </c>
    </row>
    <row x14ac:dyDescent="0.25" r="111" customHeight="1" ht="17.25">
      <c r="A111" s="41" t="s">
        <v>2943</v>
      </c>
      <c r="B111" s="28">
        <v>2</v>
      </c>
      <c r="C111" s="35">
        <v>839</v>
      </c>
      <c r="D111" s="29" t="s">
        <v>53</v>
      </c>
      <c r="E111" s="30" t="s">
        <v>54</v>
      </c>
      <c r="F111" s="31">
        <v>44986</v>
      </c>
      <c r="G111" s="32">
        <v>4.875</v>
      </c>
      <c r="H111" s="31">
        <v>44985</v>
      </c>
      <c r="I111" s="32">
        <v>4.997916666666667</v>
      </c>
      <c r="J111" s="33">
        <f>F111-H111</f>
      </c>
      <c r="K111" s="28">
        <v>38</v>
      </c>
      <c r="L111" s="28">
        <v>1</v>
      </c>
      <c r="M111" s="28">
        <v>1</v>
      </c>
      <c r="N111" s="35">
        <v>1</v>
      </c>
      <c r="O111" s="28">
        <v>2</v>
      </c>
      <c r="P111" s="28">
        <v>1</v>
      </c>
      <c r="Q111" s="34"/>
      <c r="R111" s="34"/>
      <c r="S111" s="56"/>
      <c r="T111" s="34"/>
      <c r="U111" s="34"/>
      <c r="V111" s="38"/>
      <c r="W111" s="29" t="s">
        <v>600</v>
      </c>
      <c r="X111" s="28">
        <v>32</v>
      </c>
      <c r="Y111" s="28">
        <v>1</v>
      </c>
      <c r="Z111" s="28">
        <v>2</v>
      </c>
      <c r="AA111" s="28">
        <v>2</v>
      </c>
      <c r="AB111" s="28">
        <v>1</v>
      </c>
      <c r="AC111" s="28">
        <v>2</v>
      </c>
      <c r="AD111" s="28">
        <v>2</v>
      </c>
      <c r="AE111" s="28">
        <v>2</v>
      </c>
      <c r="AF111" s="35">
        <v>2</v>
      </c>
      <c r="AG111" s="28">
        <v>2</v>
      </c>
      <c r="AH111" s="29" t="s">
        <v>2944</v>
      </c>
      <c r="AI111" s="36">
        <f>IF(OR(AND(K111&lt;32, J111&lt;2), O111=1, P111=1, Q111=1, R111=1, S111=1, T111=1, U111=1, AND(W111&lt;&gt;"", W111&lt;&gt;"Oxygen", W111&lt;&gt;"LowFlow")), "Intensive", "Intermediate")</f>
      </c>
      <c r="AJ111" s="57">
        <f>IF(OR(LEFT(AH111, 1)="X", LEFT(AH111, 1)="Y", LEFT(AH111, 3)="J44M"), "CUSM", "No Match")</f>
      </c>
      <c r="AK111" s="57">
        <f>IF(AND(OR(O111=3, P111=1, Q111=1, T111=1), AJ111="no Match"), "CUSM, CHU SJ, CHUQ", "")</f>
      </c>
      <c r="AL111" s="57">
        <f>IF(AND(O111=2, ISBLANK(P111), ISBLANK(Q111), ISBLANK(R111), ISBLANK(S111), ISBLANK(T111)), "CUSM, CHU SJ, CHUS, CHUQ", "")</f>
      </c>
      <c r="AM111" s="57">
        <f>IF(AND(AJ111="no match", AK111="", AL111="", K111&lt;26), "CUSM, CHU SJ, HGJ, CHUQ, CHUS", "")</f>
      </c>
      <c r="AN111" s="57">
        <f>IF(AND(AJ111="no match", AK111="", AL111="", K111&gt;26), "CUSM, CHU SJ, HGJ, CHUQ, CHUS, HMR", "")</f>
      </c>
    </row>
    <row x14ac:dyDescent="0.25" r="112" customHeight="1" ht="17.25">
      <c r="A112" s="41" t="s">
        <v>2945</v>
      </c>
      <c r="B112" s="28">
        <v>2</v>
      </c>
      <c r="C112" s="35">
        <v>822</v>
      </c>
      <c r="D112" s="29" t="s">
        <v>167</v>
      </c>
      <c r="E112" s="30" t="s">
        <v>54</v>
      </c>
      <c r="F112" s="31">
        <v>44986</v>
      </c>
      <c r="G112" s="40">
        <v>4.715277777777778</v>
      </c>
      <c r="H112" s="31">
        <v>44985</v>
      </c>
      <c r="I112" s="32">
        <v>4.763194444444444</v>
      </c>
      <c r="J112" s="33">
        <f>F112-H112</f>
      </c>
      <c r="K112" s="28">
        <v>40</v>
      </c>
      <c r="L112" s="28">
        <v>6</v>
      </c>
      <c r="M112" s="28">
        <v>2</v>
      </c>
      <c r="N112" s="34"/>
      <c r="O112" s="34"/>
      <c r="P112" s="34"/>
      <c r="Q112" s="34"/>
      <c r="R112" s="34"/>
      <c r="S112" s="56"/>
      <c r="T112" s="34"/>
      <c r="U112" s="34"/>
      <c r="V112" s="34"/>
      <c r="W112" s="29"/>
      <c r="X112" s="28">
        <v>27</v>
      </c>
      <c r="Y112" s="28">
        <v>1</v>
      </c>
      <c r="Z112" s="28">
        <v>1</v>
      </c>
      <c r="AA112" s="28">
        <v>2</v>
      </c>
      <c r="AB112" s="28">
        <v>1</v>
      </c>
      <c r="AC112" s="28">
        <v>2</v>
      </c>
      <c r="AD112" s="28">
        <v>2</v>
      </c>
      <c r="AE112" s="28">
        <v>4</v>
      </c>
      <c r="AF112" s="28">
        <v>2</v>
      </c>
      <c r="AG112" s="28">
        <v>2</v>
      </c>
      <c r="AH112" s="29" t="s">
        <v>825</v>
      </c>
      <c r="AI112" s="36">
        <f>IF(OR(AND(K112&lt;32, J112&lt;2), O112=1, P112=1, Q112=1, R112=1, S112=1, T112=1, U112=1, AND(W112&lt;&gt;"", W112&lt;&gt;"Oxygen", W112&lt;&gt;"LowFlow")), "Intensive", "Intermediate")</f>
      </c>
      <c r="AJ112" s="57">
        <f>IF(OR(LEFT(AH112, 1)="X", LEFT(AH112, 1)="Y", LEFT(AH112, 3)="J45M"), "CUSM", "No Match")</f>
      </c>
      <c r="AK112" s="57">
        <f>IF(AND(OR(O112=3, P112=1, Q112=1, T112=1), AJ112="no Match"), "CUSM, CHU SJ, CHUQ", "")</f>
      </c>
      <c r="AL112" s="57">
        <f>IF(AND(O112=2, ISBLANK(P112), ISBLANK(Q112), ISBLANK(R112), ISBLANK(S112), ISBLANK(T112)), "CUSM, CHU SJ, CHUS, CHUQ", "")</f>
      </c>
      <c r="AM112" s="57">
        <f>IF(AND(AJ112="no match", AK112="", AL112="", K112&lt;26), "CUSM, CHU SJ, HGJ, CHUQ, CHUS", "")</f>
      </c>
      <c r="AN112" s="57">
        <f>IF(AND(AJ112="no match", AK112="", AL112="", K112&gt;26), "CUSM, CHU SJ, HGJ, CHUQ, CHUS, HMR", "")</f>
      </c>
    </row>
    <row x14ac:dyDescent="0.25" r="113" customHeight="1" ht="17.25">
      <c r="A113" s="41" t="s">
        <v>2946</v>
      </c>
      <c r="B113" s="28">
        <v>2</v>
      </c>
      <c r="C113" s="28">
        <v>730</v>
      </c>
      <c r="D113" s="29" t="s">
        <v>81</v>
      </c>
      <c r="E113" s="30" t="s">
        <v>50</v>
      </c>
      <c r="F113" s="31">
        <v>44986</v>
      </c>
      <c r="G113" s="32">
        <v>4.120138888888889</v>
      </c>
      <c r="H113" s="31">
        <v>44986</v>
      </c>
      <c r="I113" s="39"/>
      <c r="J113" s="33">
        <f>F113-H113</f>
      </c>
      <c r="K113" s="28">
        <v>37</v>
      </c>
      <c r="L113" s="28">
        <v>6</v>
      </c>
      <c r="M113" s="28">
        <v>1</v>
      </c>
      <c r="N113" s="34"/>
      <c r="O113" s="34"/>
      <c r="P113" s="34"/>
      <c r="Q113" s="34"/>
      <c r="R113" s="34"/>
      <c r="S113" s="56"/>
      <c r="T113" s="35">
        <v>1</v>
      </c>
      <c r="U113" s="34"/>
      <c r="V113" s="34"/>
      <c r="W113" s="29" t="s">
        <v>74</v>
      </c>
      <c r="X113" s="38"/>
      <c r="Y113" s="28">
        <v>1</v>
      </c>
      <c r="Z113" s="38"/>
      <c r="AA113" s="38"/>
      <c r="AB113" s="38"/>
      <c r="AC113" s="38"/>
      <c r="AD113" s="38"/>
      <c r="AE113" s="38"/>
      <c r="AF113" s="38"/>
      <c r="AG113" s="38"/>
      <c r="AH113" s="29" t="s">
        <v>2947</v>
      </c>
      <c r="AI113" s="36">
        <f>IF(OR(AND(K113&lt;32, J113&lt;2), O113=1, P113=1, Q113=1, R113=1, S113=1, T113=1, U113=1, AND(W113&lt;&gt;"", W113&lt;&gt;"Oxygen", W113&lt;&gt;"LowFlow")), "Intensive", "Intermediate")</f>
      </c>
      <c r="AJ113" s="57">
        <f>IF(OR(LEFT(AH113, 1)="X", LEFT(AH113, 1)="Y", LEFT(AH113, 3)="J46M"), "CUSM", "No Match")</f>
      </c>
      <c r="AK113" s="57">
        <f>IF(AND(OR(O113=3, P113=1, Q113=1, T113=1), AJ113="no Match"), "CUSM, CHU SJ, CHUQ", "")</f>
      </c>
      <c r="AL113" s="57">
        <f>IF(AND(O113=2, ISBLANK(P113), ISBLANK(Q113), ISBLANK(R113), ISBLANK(S113), ISBLANK(T113)), "CUSM, CHU SJ, CHUS, CHUQ", "")</f>
      </c>
      <c r="AM113" s="57">
        <f>IF(AND(AJ113="no match", AK113="", AL113="", K113&lt;26), "CUSM, CHU SJ, HGJ, CHUQ, CHUS", "")</f>
      </c>
      <c r="AN113" s="57">
        <f>IF(AND(AJ113="no match", AK113="", AL113="", K113&gt;26), "CUSM, CHU SJ, HGJ, CHUQ, CHUS, HMR", "")</f>
      </c>
    </row>
    <row x14ac:dyDescent="0.25" r="114" customHeight="1" ht="17.25">
      <c r="A114" s="41" t="s">
        <v>2948</v>
      </c>
      <c r="B114" s="28">
        <v>2</v>
      </c>
      <c r="C114" s="35">
        <v>839</v>
      </c>
      <c r="D114" s="29" t="s">
        <v>53</v>
      </c>
      <c r="E114" s="30" t="s">
        <v>50</v>
      </c>
      <c r="F114" s="31">
        <v>44986</v>
      </c>
      <c r="G114" s="32">
        <v>4.034027777777778</v>
      </c>
      <c r="H114" s="31">
        <v>44985</v>
      </c>
      <c r="I114" s="32">
        <v>4.811805555555555</v>
      </c>
      <c r="J114" s="33">
        <f>F114-H114</f>
      </c>
      <c r="K114" s="28">
        <v>33</v>
      </c>
      <c r="L114" s="28">
        <v>4</v>
      </c>
      <c r="M114" s="28">
        <v>2</v>
      </c>
      <c r="N114" s="34"/>
      <c r="O114" s="34"/>
      <c r="P114" s="34"/>
      <c r="Q114" s="34"/>
      <c r="R114" s="34"/>
      <c r="S114" s="56"/>
      <c r="T114" s="34"/>
      <c r="U114" s="34"/>
      <c r="V114" s="34"/>
      <c r="W114" s="29" t="s">
        <v>58</v>
      </c>
      <c r="X114" s="28">
        <v>21</v>
      </c>
      <c r="Y114" s="28">
        <v>1</v>
      </c>
      <c r="Z114" s="28">
        <v>1</v>
      </c>
      <c r="AA114" s="28">
        <v>2</v>
      </c>
      <c r="AB114" s="28">
        <v>1</v>
      </c>
      <c r="AC114" s="28">
        <v>2</v>
      </c>
      <c r="AD114" s="28">
        <v>2</v>
      </c>
      <c r="AE114" s="28">
        <v>4</v>
      </c>
      <c r="AF114" s="28">
        <v>3</v>
      </c>
      <c r="AG114" s="28">
        <v>2</v>
      </c>
      <c r="AH114" s="29" t="s">
        <v>2949</v>
      </c>
      <c r="AI114" s="36">
        <f>IF(OR(AND(K114&lt;32, J114&lt;2), O114=1, P114=1, Q114=1, R114=1, S114=1, T114=1, U114=1, AND(W114&lt;&gt;"", W114&lt;&gt;"Oxygen", W114&lt;&gt;"LowFlow")), "Intensive", "Intermediate")</f>
      </c>
      <c r="AJ114" s="57">
        <f>IF(OR(LEFT(AH114, 1)="X", LEFT(AH114, 1)="Y", LEFT(AH114, 3)="J47M"), "CUSM", "No Match")</f>
      </c>
      <c r="AK114" s="57">
        <f>IF(AND(OR(O114=3, P114=1, Q114=1, T114=1), AJ114="no Match"), "CUSM, CHU SJ, CHUQ", "")</f>
      </c>
      <c r="AL114" s="57">
        <f>IF(AND(O114=2, ISBLANK(P114), ISBLANK(Q114), ISBLANK(R114), ISBLANK(S114), ISBLANK(T114)), "CUSM, CHU SJ, CHUS, CHUQ", "")</f>
      </c>
      <c r="AM114" s="57">
        <f>IF(AND(AJ114="no match", AK114="", AL114="", K114&lt;26), "CUSM, CHU SJ, HGJ, CHUQ, CHUS", "")</f>
      </c>
      <c r="AN114" s="57">
        <f>IF(AND(AJ114="no match", AK114="", AL114="", K114&gt;26), "CUSM, CHU SJ, HGJ, CHUQ, CHUS, HMR", "")</f>
      </c>
    </row>
    <row x14ac:dyDescent="0.25" r="115" customHeight="1" ht="17.25">
      <c r="A115" s="41" t="s">
        <v>2950</v>
      </c>
      <c r="B115" s="28">
        <v>2</v>
      </c>
      <c r="C115" s="28">
        <v>757</v>
      </c>
      <c r="D115" s="29" t="s">
        <v>124</v>
      </c>
      <c r="E115" s="30" t="s">
        <v>50</v>
      </c>
      <c r="F115" s="31">
        <v>44987</v>
      </c>
      <c r="G115" s="32">
        <v>4.892361111111111</v>
      </c>
      <c r="H115" s="31">
        <v>44986</v>
      </c>
      <c r="I115" s="32">
        <v>4.621527777777778</v>
      </c>
      <c r="J115" s="33">
        <f>F115-H115</f>
      </c>
      <c r="K115" s="28">
        <v>37</v>
      </c>
      <c r="L115" s="28">
        <v>2</v>
      </c>
      <c r="M115" s="28">
        <v>1</v>
      </c>
      <c r="N115" s="35">
        <v>1</v>
      </c>
      <c r="O115" s="38"/>
      <c r="P115" s="38"/>
      <c r="Q115" s="34"/>
      <c r="R115" s="34"/>
      <c r="S115" s="56"/>
      <c r="T115" s="34"/>
      <c r="U115" s="34"/>
      <c r="V115" s="34"/>
      <c r="W115" s="29" t="s">
        <v>74</v>
      </c>
      <c r="X115" s="28">
        <v>38</v>
      </c>
      <c r="Y115" s="28">
        <v>1</v>
      </c>
      <c r="Z115" s="28">
        <v>2</v>
      </c>
      <c r="AA115" s="28">
        <v>3</v>
      </c>
      <c r="AB115" s="28">
        <v>1</v>
      </c>
      <c r="AC115" s="28">
        <v>1</v>
      </c>
      <c r="AD115" s="28">
        <v>1</v>
      </c>
      <c r="AE115" s="28">
        <v>4</v>
      </c>
      <c r="AF115" s="28">
        <v>3</v>
      </c>
      <c r="AG115" s="28">
        <v>2</v>
      </c>
      <c r="AH115" s="29" t="s">
        <v>2951</v>
      </c>
      <c r="AI115" s="36">
        <f>IF(OR(AND(K115&lt;32, J115&lt;2), O115=1, P115=1, Q115=1, R115=1, S115=1, T115=1, U115=1, AND(W115&lt;&gt;"", W115&lt;&gt;"Oxygen", W115&lt;&gt;"LowFlow")), "Intensive", "Intermediate")</f>
      </c>
      <c r="AJ115" s="57">
        <f>IF(OR(LEFT(AH115, 1)="X", LEFT(AH115, 1)="Y", LEFT(AH115, 3)="J48M"), "CUSM", "No Match")</f>
      </c>
      <c r="AK115" s="57">
        <f>IF(AND(OR(O115=3, P115=1, Q115=1, T115=1), AJ115="no Match"), "CUSM, CHU SJ, CHUQ", "")</f>
      </c>
      <c r="AL115" s="57">
        <f>IF(AND(O115=2, ISBLANK(P115), ISBLANK(Q115), ISBLANK(R115), ISBLANK(S115), ISBLANK(T115)), "CUSM, CHU SJ, CHUS, CHUQ", "")</f>
      </c>
      <c r="AM115" s="57">
        <f>IF(AND(AJ115="no match", AK115="", AL115="", K115&lt;26), "CUSM, CHU SJ, HGJ, CHUQ, CHUS", "")</f>
      </c>
      <c r="AN115" s="57">
        <f>IF(AND(AJ115="no match", AK115="", AL115="", K115&gt;26), "CUSM, CHU SJ, HGJ, CHUQ, CHUS, HMR", "")</f>
      </c>
    </row>
    <row x14ac:dyDescent="0.25" r="116" customHeight="1" ht="17.25">
      <c r="A116" s="41" t="s">
        <v>2952</v>
      </c>
      <c r="B116" s="28">
        <v>2</v>
      </c>
      <c r="C116" s="28">
        <v>795</v>
      </c>
      <c r="D116" s="29" t="s">
        <v>73</v>
      </c>
      <c r="E116" s="30" t="s">
        <v>50</v>
      </c>
      <c r="F116" s="31">
        <v>44988</v>
      </c>
      <c r="G116" s="32">
        <v>4.229166666666666</v>
      </c>
      <c r="H116" s="31">
        <v>44987</v>
      </c>
      <c r="I116" s="32">
        <v>4.852777777777778</v>
      </c>
      <c r="J116" s="33">
        <f>F116-H116</f>
      </c>
      <c r="K116" s="28">
        <v>39</v>
      </c>
      <c r="L116" s="28">
        <v>0</v>
      </c>
      <c r="M116" s="28">
        <v>2</v>
      </c>
      <c r="N116" s="38"/>
      <c r="O116" s="35">
        <v>2</v>
      </c>
      <c r="P116" s="38"/>
      <c r="Q116" s="34"/>
      <c r="R116" s="35">
        <v>1</v>
      </c>
      <c r="S116" s="56"/>
      <c r="T116" s="34"/>
      <c r="U116" s="34"/>
      <c r="V116" s="34"/>
      <c r="W116" s="29" t="s">
        <v>70</v>
      </c>
      <c r="X116" s="28">
        <v>24</v>
      </c>
      <c r="Y116" s="28">
        <v>1</v>
      </c>
      <c r="Z116" s="28">
        <v>1</v>
      </c>
      <c r="AA116" s="28">
        <v>1</v>
      </c>
      <c r="AB116" s="28">
        <v>1</v>
      </c>
      <c r="AC116" s="28">
        <v>2</v>
      </c>
      <c r="AD116" s="28">
        <v>2</v>
      </c>
      <c r="AE116" s="28">
        <v>4</v>
      </c>
      <c r="AF116" s="28">
        <v>2</v>
      </c>
      <c r="AG116" s="28">
        <v>2</v>
      </c>
      <c r="AH116" s="29" t="s">
        <v>2953</v>
      </c>
      <c r="AI116" s="36">
        <f>IF(OR(AND(K116&lt;32, J116&lt;2), O116=1, P116=1, Q116=1, R116=1, S116=1, T116=1, U116=1, AND(W116&lt;&gt;"", W116&lt;&gt;"Oxygen", W116&lt;&gt;"LowFlow")), "Intensive", "Intermediate")</f>
      </c>
      <c r="AJ116" s="57">
        <f>IF(OR(LEFT(AH116, 1)="X", LEFT(AH116, 1)="Y", LEFT(AH116, 3)="J49M"), "CUSM", "No Match")</f>
      </c>
      <c r="AK116" s="57">
        <f>IF(AND(OR(O116=3, P116=1, Q116=1, T116=1), AJ116="no Match"), "CUSM, CHU SJ, CHUQ", "")</f>
      </c>
      <c r="AL116" s="57">
        <f>IF(AND(O116=2, ISBLANK(P116), ISBLANK(Q116), ISBLANK(R116), ISBLANK(S116), ISBLANK(T116)), "CUSM, CHU SJ, CHUS, CHUQ", "")</f>
      </c>
      <c r="AM116" s="57">
        <f>IF(AND(AJ116="no match", AK116="", AL116="", K116&lt;26), "CUSM, CHU SJ, HGJ, CHUQ, CHUS", "")</f>
      </c>
      <c r="AN116" s="57">
        <f>IF(AND(AJ116="no match", AK116="", AL116="", K116&gt;26), "CUSM, CHU SJ, HGJ, CHUQ, CHUS, HMR", "")</f>
      </c>
    </row>
    <row x14ac:dyDescent="0.25" r="117" customHeight="1" ht="17.25">
      <c r="A117" s="41" t="s">
        <v>2954</v>
      </c>
      <c r="B117" s="28">
        <v>2</v>
      </c>
      <c r="C117" s="35">
        <v>839</v>
      </c>
      <c r="D117" s="29" t="s">
        <v>53</v>
      </c>
      <c r="E117" s="30" t="s">
        <v>50</v>
      </c>
      <c r="F117" s="31">
        <v>44988</v>
      </c>
      <c r="G117" s="32">
        <v>4.124305555555555</v>
      </c>
      <c r="H117" s="31">
        <v>44987</v>
      </c>
      <c r="I117" s="32">
        <v>4.927083333333334</v>
      </c>
      <c r="J117" s="33">
        <f>F117-H117</f>
      </c>
      <c r="K117" s="28">
        <v>41</v>
      </c>
      <c r="L117" s="28">
        <v>0</v>
      </c>
      <c r="M117" s="28">
        <v>2</v>
      </c>
      <c r="N117" s="34"/>
      <c r="O117" s="34"/>
      <c r="P117" s="34"/>
      <c r="Q117" s="34"/>
      <c r="R117" s="34"/>
      <c r="S117" s="56"/>
      <c r="T117" s="34"/>
      <c r="U117" s="34"/>
      <c r="V117" s="34"/>
      <c r="W117" s="29" t="s">
        <v>74</v>
      </c>
      <c r="X117" s="28">
        <v>34</v>
      </c>
      <c r="Y117" s="28">
        <v>1</v>
      </c>
      <c r="Z117" s="28">
        <v>1</v>
      </c>
      <c r="AA117" s="28">
        <v>1</v>
      </c>
      <c r="AB117" s="28">
        <v>1</v>
      </c>
      <c r="AC117" s="28">
        <v>2</v>
      </c>
      <c r="AD117" s="28">
        <v>2</v>
      </c>
      <c r="AE117" s="28">
        <v>4</v>
      </c>
      <c r="AF117" s="28">
        <v>1</v>
      </c>
      <c r="AG117" s="28">
        <v>2</v>
      </c>
      <c r="AH117" s="29" t="s">
        <v>2955</v>
      </c>
      <c r="AI117" s="36">
        <f>IF(OR(AND(K117&lt;32, J117&lt;2), O117=1, P117=1, Q117=1, R117=1, S117=1, T117=1, U117=1, AND(W117&lt;&gt;"", W117&lt;&gt;"Oxygen", W117&lt;&gt;"LowFlow")), "Intensive", "Intermediate")</f>
      </c>
      <c r="AJ117" s="57">
        <f>IF(OR(LEFT(AH117, 1)="X", LEFT(AH117, 1)="Y", LEFT(AH117, 3)="J50M"), "CUSM", "No Match")</f>
      </c>
      <c r="AK117" s="57">
        <f>IF(AND(OR(O117=3, P117=1, Q117=1, T117=1), AJ117="no Match"), "CUSM, CHU SJ, CHUQ", "")</f>
      </c>
      <c r="AL117" s="57">
        <f>IF(AND(O117=2, ISBLANK(P117), ISBLANK(Q117), ISBLANK(R117), ISBLANK(S117), ISBLANK(T117)), "CUSM, CHU SJ, CHUS, CHUQ", "")</f>
      </c>
      <c r="AM117" s="57">
        <f>IF(AND(AJ117="no match", AK117="", AL117="", K117&lt;26), "CUSM, CHU SJ, HGJ, CHUQ, CHUS", "")</f>
      </c>
      <c r="AN117" s="57">
        <f>IF(AND(AJ117="no match", AK117="", AL117="", K117&gt;26), "CUSM, CHU SJ, HGJ, CHUQ, CHUS, HMR", "")</f>
      </c>
    </row>
    <row x14ac:dyDescent="0.25" r="118" customHeight="1" ht="17.25">
      <c r="A118" s="41" t="s">
        <v>2956</v>
      </c>
      <c r="B118" s="28">
        <v>2</v>
      </c>
      <c r="C118" s="35">
        <v>779</v>
      </c>
      <c r="D118" s="29" t="s">
        <v>136</v>
      </c>
      <c r="E118" s="30" t="s">
        <v>50</v>
      </c>
      <c r="F118" s="31">
        <v>44988</v>
      </c>
      <c r="G118" s="32">
        <v>4.947916666666666</v>
      </c>
      <c r="H118" s="31">
        <v>44987</v>
      </c>
      <c r="I118" s="39"/>
      <c r="J118" s="33">
        <f>F118-H118</f>
      </c>
      <c r="K118" s="28">
        <v>39</v>
      </c>
      <c r="L118" s="28">
        <v>0</v>
      </c>
      <c r="M118" s="28">
        <v>1</v>
      </c>
      <c r="N118" s="34"/>
      <c r="O118" s="35">
        <v>2</v>
      </c>
      <c r="P118" s="34"/>
      <c r="Q118" s="34"/>
      <c r="R118" s="34"/>
      <c r="S118" s="56"/>
      <c r="T118" s="34"/>
      <c r="U118" s="34"/>
      <c r="V118" s="34"/>
      <c r="W118" s="29"/>
      <c r="X118" s="28">
        <v>39</v>
      </c>
      <c r="Y118" s="28">
        <v>1</v>
      </c>
      <c r="Z118" s="28">
        <v>1</v>
      </c>
      <c r="AA118" s="28">
        <v>3</v>
      </c>
      <c r="AB118" s="28">
        <v>4</v>
      </c>
      <c r="AC118" s="28">
        <v>3</v>
      </c>
      <c r="AD118" s="28">
        <v>1</v>
      </c>
      <c r="AE118" s="28">
        <v>4</v>
      </c>
      <c r="AF118" s="28">
        <v>3</v>
      </c>
      <c r="AG118" s="28">
        <v>3</v>
      </c>
      <c r="AH118" s="29" t="s">
        <v>2957</v>
      </c>
      <c r="AI118" s="36">
        <f>IF(OR(AND(K118&lt;32, J118&lt;2), O118=1, P118=1, Q118=1, R118=1, S118=1, T118=1, U118=1, AND(W118&lt;&gt;"", W118&lt;&gt;"Oxygen", W118&lt;&gt;"LowFlow")), "Intensive", "Intermediate")</f>
      </c>
      <c r="AJ118" s="57">
        <f>IF(OR(LEFT(AH118, 1)="X", LEFT(AH118, 1)="Y", LEFT(AH118, 3)="J51M"), "CUSM", "No Match")</f>
      </c>
      <c r="AK118" s="57">
        <f>IF(AND(OR(O118=3, P118=1, Q118=1, T118=1), AJ118="no Match"), "CUSM, CHU SJ, CHUQ", "")</f>
      </c>
      <c r="AL118" s="57">
        <f>IF(AND(O118=2, ISBLANK(P118), ISBLANK(Q118), ISBLANK(R118), ISBLANK(S118), ISBLANK(T118)), "CUSM, CHU SJ, CHUS, CHUQ", "")</f>
      </c>
      <c r="AM118" s="57">
        <f>IF(AND(AJ118="no match", AK118="", AL118="", K118&lt;26), "CUSM, CHU SJ, HGJ, CHUQ, CHUS", "")</f>
      </c>
      <c r="AN118" s="57">
        <f>IF(AND(AJ118="no match", AK118="", AL118="", K118&gt;26), "CUSM, CHU SJ, HGJ, CHUQ, CHUS, HMR", "")</f>
      </c>
    </row>
    <row x14ac:dyDescent="0.25" r="119" customHeight="1" ht="17.25">
      <c r="A119" s="41" t="s">
        <v>2958</v>
      </c>
      <c r="B119" s="28">
        <v>2</v>
      </c>
      <c r="C119" s="35">
        <v>730</v>
      </c>
      <c r="D119" s="29" t="s">
        <v>81</v>
      </c>
      <c r="E119" s="30" t="s">
        <v>50</v>
      </c>
      <c r="F119" s="31">
        <v>44988</v>
      </c>
      <c r="G119" s="32">
        <v>4.631944444444445</v>
      </c>
      <c r="H119" s="31">
        <v>44987</v>
      </c>
      <c r="I119" s="32">
        <v>4.019444444444444</v>
      </c>
      <c r="J119" s="33">
        <f>F119-H119</f>
      </c>
      <c r="K119" s="28">
        <v>41</v>
      </c>
      <c r="L119" s="28">
        <v>0</v>
      </c>
      <c r="M119" s="28">
        <v>2</v>
      </c>
      <c r="N119" s="34"/>
      <c r="O119" s="34"/>
      <c r="P119" s="34"/>
      <c r="Q119" s="34"/>
      <c r="R119" s="34"/>
      <c r="S119" s="56"/>
      <c r="T119" s="34"/>
      <c r="U119" s="34"/>
      <c r="V119" s="34"/>
      <c r="W119" s="29"/>
      <c r="X119" s="28">
        <v>33</v>
      </c>
      <c r="Y119" s="28">
        <v>1</v>
      </c>
      <c r="Z119" s="28">
        <v>1</v>
      </c>
      <c r="AA119" s="28">
        <v>3</v>
      </c>
      <c r="AB119" s="28">
        <v>1</v>
      </c>
      <c r="AC119" s="28">
        <v>2</v>
      </c>
      <c r="AD119" s="28">
        <v>2</v>
      </c>
      <c r="AE119" s="28">
        <v>4</v>
      </c>
      <c r="AF119" s="28">
        <v>3</v>
      </c>
      <c r="AG119" s="28">
        <v>3</v>
      </c>
      <c r="AH119" s="29" t="s">
        <v>2959</v>
      </c>
      <c r="AI119" s="36">
        <f>IF(OR(AND(K119&lt;32, J119&lt;2), O119=1, P119=1, Q119=1, R119=1, S119=1, T119=1, U119=1, AND(W119&lt;&gt;"", W119&lt;&gt;"Oxygen", W119&lt;&gt;"LowFlow")), "Intensive", "Intermediate")</f>
      </c>
      <c r="AJ119" s="57">
        <f>IF(OR(LEFT(AH119, 1)="X", LEFT(AH119, 1)="Y", LEFT(AH119, 3)="J52M"), "CUSM", "No Match")</f>
      </c>
      <c r="AK119" s="57">
        <f>IF(AND(OR(O119=3, P119=1, Q119=1, T119=1), AJ119="no Match"), "CUSM, CHU SJ, CHUQ", "")</f>
      </c>
      <c r="AL119" s="57">
        <f>IF(AND(O119=2, ISBLANK(P119), ISBLANK(Q119), ISBLANK(R119), ISBLANK(S119), ISBLANK(T119)), "CUSM, CHU SJ, CHUS, CHUQ", "")</f>
      </c>
      <c r="AM119" s="57">
        <f>IF(AND(AJ119="no match", AK119="", AL119="", K119&lt;26), "CUSM, CHU SJ, HGJ, CHUQ, CHUS", "")</f>
      </c>
      <c r="AN119" s="57">
        <f>IF(AND(AJ119="no match", AK119="", AL119="", K119&gt;26), "CUSM, CHU SJ, HGJ, CHUQ, CHUS, HMR", "")</f>
      </c>
    </row>
    <row x14ac:dyDescent="0.25" r="120" customHeight="1" ht="17.25">
      <c r="A120" s="41" t="s">
        <v>2960</v>
      </c>
      <c r="B120" s="28">
        <v>2</v>
      </c>
      <c r="C120" s="35">
        <v>824</v>
      </c>
      <c r="D120" s="29" t="s">
        <v>57</v>
      </c>
      <c r="E120" s="30" t="s">
        <v>54</v>
      </c>
      <c r="F120" s="31">
        <v>44989</v>
      </c>
      <c r="G120" s="32">
        <v>4.923611111111111</v>
      </c>
      <c r="H120" s="31">
        <v>44989</v>
      </c>
      <c r="I120" s="32">
        <v>4.713888888888889</v>
      </c>
      <c r="J120" s="33">
        <f>F120-H120</f>
      </c>
      <c r="K120" s="28">
        <v>41</v>
      </c>
      <c r="L120" s="28">
        <v>3</v>
      </c>
      <c r="M120" s="28">
        <v>1</v>
      </c>
      <c r="N120" s="34"/>
      <c r="O120" s="34"/>
      <c r="P120" s="34"/>
      <c r="Q120" s="34"/>
      <c r="R120" s="34"/>
      <c r="S120" s="56"/>
      <c r="T120" s="35">
        <v>1</v>
      </c>
      <c r="U120" s="34"/>
      <c r="V120" s="34"/>
      <c r="W120" s="29" t="s">
        <v>58</v>
      </c>
      <c r="X120" s="28">
        <v>27</v>
      </c>
      <c r="Y120" s="28">
        <v>1</v>
      </c>
      <c r="Z120" s="28">
        <v>1</v>
      </c>
      <c r="AA120" s="28">
        <v>3</v>
      </c>
      <c r="AB120" s="28">
        <v>4</v>
      </c>
      <c r="AC120" s="28">
        <v>2</v>
      </c>
      <c r="AD120" s="28">
        <v>2</v>
      </c>
      <c r="AE120" s="28">
        <v>4</v>
      </c>
      <c r="AF120" s="28">
        <v>2</v>
      </c>
      <c r="AG120" s="28">
        <v>2</v>
      </c>
      <c r="AH120" s="29" t="s">
        <v>2961</v>
      </c>
      <c r="AI120" s="36">
        <f>IF(OR(AND(K120&lt;32, J120&lt;2), O120=1, P120=1, Q120=1, R120=1, S120=1, T120=1, U120=1, AND(W120&lt;&gt;"", W120&lt;&gt;"Oxygen", W120&lt;&gt;"LowFlow")), "Intensive", "Intermediate")</f>
      </c>
      <c r="AJ120" s="57">
        <f>IF(OR(LEFT(AH120, 1)="X", LEFT(AH120, 1)="Y", LEFT(AH120, 3)="J53M"), "CUSM", "No Match")</f>
      </c>
      <c r="AK120" s="57">
        <f>IF(AND(OR(O120=3, P120=1, Q120=1, T120=1), AJ120="no Match"), "CUSM, CHU SJ, CHUQ", "")</f>
      </c>
      <c r="AL120" s="57">
        <f>IF(AND(O120=2, ISBLANK(P120), ISBLANK(Q120), ISBLANK(R120), ISBLANK(S120), ISBLANK(T120)), "CUSM, CHU SJ, CHUS, CHUQ", "")</f>
      </c>
      <c r="AM120" s="57">
        <f>IF(AND(AJ120="no match", AK120="", AL120="", K120&lt;26), "CUSM, CHU SJ, HGJ, CHUQ, CHUS", "")</f>
      </c>
      <c r="AN120" s="57">
        <f>IF(AND(AJ120="no match", AK120="", AL120="", K120&gt;26), "CUSM, CHU SJ, HGJ, CHUQ, CHUS, HMR", "")</f>
      </c>
    </row>
    <row x14ac:dyDescent="0.25" r="121" customHeight="1" ht="17.25">
      <c r="A121" s="41" t="s">
        <v>2962</v>
      </c>
      <c r="B121" s="28">
        <v>2</v>
      </c>
      <c r="C121" s="35">
        <v>833</v>
      </c>
      <c r="D121" s="29" t="s">
        <v>376</v>
      </c>
      <c r="E121" s="30" t="s">
        <v>78</v>
      </c>
      <c r="F121" s="31">
        <v>44989</v>
      </c>
      <c r="G121" s="32">
        <v>4.479166666666666</v>
      </c>
      <c r="H121" s="31">
        <v>44989</v>
      </c>
      <c r="I121" s="32">
        <v>4.125</v>
      </c>
      <c r="J121" s="33">
        <f>F121-H121</f>
      </c>
      <c r="K121" s="28">
        <v>38</v>
      </c>
      <c r="L121" s="28">
        <v>0</v>
      </c>
      <c r="M121" s="28">
        <v>1</v>
      </c>
      <c r="N121" s="34"/>
      <c r="O121" s="34"/>
      <c r="P121" s="34"/>
      <c r="Q121" s="34"/>
      <c r="R121" s="34"/>
      <c r="S121" s="56"/>
      <c r="T121" s="34"/>
      <c r="U121" s="34"/>
      <c r="V121" s="34"/>
      <c r="W121" s="29" t="s">
        <v>58</v>
      </c>
      <c r="X121" s="28">
        <v>29</v>
      </c>
      <c r="Y121" s="28">
        <v>1</v>
      </c>
      <c r="Z121" s="28">
        <v>3</v>
      </c>
      <c r="AA121" s="28">
        <v>3</v>
      </c>
      <c r="AB121" s="28">
        <v>4</v>
      </c>
      <c r="AC121" s="28">
        <v>3</v>
      </c>
      <c r="AD121" s="28">
        <v>3</v>
      </c>
      <c r="AE121" s="28">
        <v>4</v>
      </c>
      <c r="AF121" s="28">
        <v>3</v>
      </c>
      <c r="AG121" s="28">
        <v>2</v>
      </c>
      <c r="AH121" s="29" t="s">
        <v>2963</v>
      </c>
      <c r="AI121" s="36">
        <f>IF(OR(AND(K121&lt;32, J121&lt;2), O121=1, P121=1, Q121=1, R121=1, S121=1, T121=1, U121=1, AND(W121&lt;&gt;"", W121&lt;&gt;"Oxygen", W121&lt;&gt;"LowFlow")), "Intensive", "Intermediate")</f>
      </c>
      <c r="AJ121" s="57">
        <f>IF(OR(LEFT(AH121, 1)="X", LEFT(AH121, 1)="Y", LEFT(AH121, 3)="J54M"), "CUSM", "No Match")</f>
      </c>
      <c r="AK121" s="57">
        <f>IF(AND(OR(O121=3, P121=1, Q121=1, T121=1), AJ121="no Match"), "CUSM, CHU SJ, CHUQ", "")</f>
      </c>
      <c r="AL121" s="57">
        <f>IF(AND(O121=2, ISBLANK(P121), ISBLANK(Q121), ISBLANK(R121), ISBLANK(S121), ISBLANK(T121)), "CUSM, CHU SJ, CHUS, CHUQ", "")</f>
      </c>
      <c r="AM121" s="57">
        <f>IF(AND(AJ121="no match", AK121="", AL121="", K121&lt;26), "CUSM, CHU SJ, HGJ, CHUQ, CHUS", "")</f>
      </c>
      <c r="AN121" s="57">
        <f>IF(AND(AJ121="no match", AK121="", AL121="", K121&gt;26), "CUSM, CHU SJ, HGJ, CHUQ, CHUS, HMR", "")</f>
      </c>
    </row>
    <row x14ac:dyDescent="0.25" r="122" customHeight="1" ht="17.25">
      <c r="A122" s="41" t="s">
        <v>2964</v>
      </c>
      <c r="B122" s="28">
        <v>2</v>
      </c>
      <c r="C122" s="35">
        <v>768</v>
      </c>
      <c r="D122" s="29" t="s">
        <v>160</v>
      </c>
      <c r="E122" s="30" t="s">
        <v>50</v>
      </c>
      <c r="F122" s="31">
        <v>44989</v>
      </c>
      <c r="G122" s="32">
        <v>4.029166666666667</v>
      </c>
      <c r="H122" s="31">
        <v>44988</v>
      </c>
      <c r="I122" s="32">
        <v>4.85625</v>
      </c>
      <c r="J122" s="33">
        <f>F122-H122</f>
      </c>
      <c r="K122" s="28">
        <v>30</v>
      </c>
      <c r="L122" s="28">
        <v>5</v>
      </c>
      <c r="M122" s="28">
        <v>2</v>
      </c>
      <c r="N122" s="34"/>
      <c r="O122" s="34"/>
      <c r="P122" s="34"/>
      <c r="Q122" s="34"/>
      <c r="R122" s="34"/>
      <c r="S122" s="56"/>
      <c r="T122" s="34"/>
      <c r="U122" s="34"/>
      <c r="V122" s="34"/>
      <c r="W122" s="29" t="s">
        <v>58</v>
      </c>
      <c r="X122" s="28">
        <v>35</v>
      </c>
      <c r="Y122" s="28">
        <v>2</v>
      </c>
      <c r="Z122" s="28">
        <v>1</v>
      </c>
      <c r="AA122" s="28">
        <v>1</v>
      </c>
      <c r="AB122" s="28">
        <v>1</v>
      </c>
      <c r="AC122" s="28">
        <v>2</v>
      </c>
      <c r="AD122" s="28">
        <v>2</v>
      </c>
      <c r="AE122" s="28">
        <v>4</v>
      </c>
      <c r="AF122" s="28">
        <v>3</v>
      </c>
      <c r="AG122" s="28">
        <v>2</v>
      </c>
      <c r="AH122" s="29" t="s">
        <v>2965</v>
      </c>
      <c r="AI122" s="36">
        <f>IF(OR(AND(K122&lt;32, J122&lt;2), O122=1, P122=1, Q122=1, R122=1, S122=1, T122=1, U122=1, AND(W122&lt;&gt;"", W122&lt;&gt;"Oxygen", W122&lt;&gt;"LowFlow")), "Intensive", "Intermediate")</f>
      </c>
      <c r="AJ122" s="57">
        <f>IF(OR(LEFT(AH122, 1)="X", LEFT(AH122, 1)="Y", LEFT(AH122, 3)="J55M"), "CUSM", "No Match")</f>
      </c>
      <c r="AK122" s="57">
        <f>IF(AND(OR(O122=3, P122=1, Q122=1, T122=1), AJ122="no Match"), "CUSM, CHU SJ, CHUQ", "")</f>
      </c>
      <c r="AL122" s="57">
        <f>IF(AND(O122=2, ISBLANK(P122), ISBLANK(Q122), ISBLANK(R122), ISBLANK(S122), ISBLANK(T122)), "CUSM, CHU SJ, CHUS, CHUQ", "")</f>
      </c>
      <c r="AM122" s="57">
        <f>IF(AND(AJ122="no match", AK122="", AL122="", K122&lt;26), "CUSM, CHU SJ, HGJ, CHUQ, CHUS", "")</f>
      </c>
      <c r="AN122" s="57">
        <f>IF(AND(AJ122="no match", AK122="", AL122="", K122&gt;26), "CUSM, CHU SJ, HGJ, CHUQ, CHUS, HMR", "")</f>
      </c>
    </row>
    <row x14ac:dyDescent="0.25" r="123" customHeight="1" ht="17.25">
      <c r="A123" s="41" t="s">
        <v>2966</v>
      </c>
      <c r="B123" s="28">
        <v>2</v>
      </c>
      <c r="C123" s="35">
        <v>768</v>
      </c>
      <c r="D123" s="29" t="s">
        <v>160</v>
      </c>
      <c r="E123" s="30" t="s">
        <v>50</v>
      </c>
      <c r="F123" s="31">
        <v>44989</v>
      </c>
      <c r="G123" s="32">
        <v>4.03125</v>
      </c>
      <c r="H123" s="31">
        <v>44988</v>
      </c>
      <c r="I123" s="32">
        <v>4.8694444444444445</v>
      </c>
      <c r="J123" s="33">
        <f>F123-H123</f>
      </c>
      <c r="K123" s="28">
        <v>30</v>
      </c>
      <c r="L123" s="28">
        <v>5</v>
      </c>
      <c r="M123" s="28">
        <v>2</v>
      </c>
      <c r="N123" s="34"/>
      <c r="O123" s="34"/>
      <c r="P123" s="34"/>
      <c r="Q123" s="34"/>
      <c r="R123" s="34"/>
      <c r="S123" s="56"/>
      <c r="T123" s="34"/>
      <c r="U123" s="34"/>
      <c r="V123" s="34"/>
      <c r="W123" s="29" t="s">
        <v>58</v>
      </c>
      <c r="X123" s="28">
        <v>35</v>
      </c>
      <c r="Y123" s="28">
        <v>2</v>
      </c>
      <c r="Z123" s="28">
        <v>2</v>
      </c>
      <c r="AA123" s="28">
        <v>1</v>
      </c>
      <c r="AB123" s="28">
        <v>1</v>
      </c>
      <c r="AC123" s="28">
        <v>2</v>
      </c>
      <c r="AD123" s="28">
        <v>2</v>
      </c>
      <c r="AE123" s="28">
        <v>4</v>
      </c>
      <c r="AF123" s="28">
        <v>3</v>
      </c>
      <c r="AG123" s="28">
        <v>2</v>
      </c>
      <c r="AH123" s="29" t="s">
        <v>2965</v>
      </c>
      <c r="AI123" s="36">
        <f>IF(OR(AND(K123&lt;32, J123&lt;2), O123=1, P123=1, Q123=1, R123=1, S123=1, T123=1, U123=1, AND(W123&lt;&gt;"", W123&lt;&gt;"Oxygen", W123&lt;&gt;"LowFlow")), "Intensive", "Intermediate")</f>
      </c>
      <c r="AJ123" s="57">
        <f>IF(OR(LEFT(AH123, 1)="X", LEFT(AH123, 1)="Y", LEFT(AH123, 3)="J56M"), "CUSM", "No Match")</f>
      </c>
      <c r="AK123" s="57">
        <f>IF(AND(OR(O123=3, P123=1, Q123=1, T123=1), AJ123="no Match"), "CUSM, CHU SJ, CHUQ", "")</f>
      </c>
      <c r="AL123" s="57">
        <f>IF(AND(O123=2, ISBLANK(P123), ISBLANK(Q123), ISBLANK(R123), ISBLANK(S123), ISBLANK(T123)), "CUSM, CHU SJ, CHUS, CHUQ", "")</f>
      </c>
      <c r="AM123" s="57">
        <f>IF(AND(AJ123="no match", AK123="", AL123="", K123&lt;26), "CUSM, CHU SJ, HGJ, CHUQ, CHUS", "")</f>
      </c>
      <c r="AN123" s="57">
        <f>IF(AND(AJ123="no match", AK123="", AL123="", K123&gt;26), "CUSM, CHU SJ, HGJ, CHUQ, CHUS, HMR", "")</f>
      </c>
    </row>
    <row x14ac:dyDescent="0.25" r="124" customHeight="1" ht="17.25">
      <c r="A124" s="41" t="s">
        <v>2967</v>
      </c>
      <c r="B124" s="28">
        <v>2</v>
      </c>
      <c r="C124" s="35">
        <v>2</v>
      </c>
      <c r="D124" s="29" t="s">
        <v>269</v>
      </c>
      <c r="E124" s="30" t="s">
        <v>50</v>
      </c>
      <c r="F124" s="31">
        <v>44991</v>
      </c>
      <c r="G124" s="32">
        <v>4.179166666666667</v>
      </c>
      <c r="H124" s="31">
        <v>44990</v>
      </c>
      <c r="I124" s="32">
        <v>4.979861111111111</v>
      </c>
      <c r="J124" s="33">
        <f>F124-H124</f>
      </c>
      <c r="K124" s="28">
        <v>38</v>
      </c>
      <c r="L124" s="28">
        <v>6</v>
      </c>
      <c r="M124" s="28">
        <v>1</v>
      </c>
      <c r="N124" s="34"/>
      <c r="O124" s="34"/>
      <c r="P124" s="34"/>
      <c r="Q124" s="34"/>
      <c r="R124" s="34"/>
      <c r="S124" s="56"/>
      <c r="T124" s="34"/>
      <c r="U124" s="34"/>
      <c r="V124" s="34"/>
      <c r="W124" s="29" t="s">
        <v>58</v>
      </c>
      <c r="X124" s="28">
        <v>36</v>
      </c>
      <c r="Y124" s="28">
        <v>1</v>
      </c>
      <c r="Z124" s="28">
        <v>1</v>
      </c>
      <c r="AA124" s="28">
        <v>2</v>
      </c>
      <c r="AB124" s="28">
        <v>1</v>
      </c>
      <c r="AC124" s="28">
        <v>2</v>
      </c>
      <c r="AD124" s="28">
        <v>2</v>
      </c>
      <c r="AE124" s="28">
        <v>4</v>
      </c>
      <c r="AF124" s="28">
        <v>3</v>
      </c>
      <c r="AG124" s="28">
        <v>2</v>
      </c>
      <c r="AH124" s="29" t="s">
        <v>2968</v>
      </c>
      <c r="AI124" s="36">
        <f>IF(OR(AND(K124&lt;32, J124&lt;2), O124=1, P124=1, Q124=1, R124=1, S124=1, T124=1, U124=1, AND(W124&lt;&gt;"", W124&lt;&gt;"Oxygen", W124&lt;&gt;"LowFlow")), "Intensive", "Intermediate")</f>
      </c>
      <c r="AJ124" s="57">
        <f>IF(OR(LEFT(AH124, 1)="X", LEFT(AH124, 1)="Y", LEFT(AH124, 3)="J57M"), "CUSM", "No Match")</f>
      </c>
      <c r="AK124" s="57">
        <f>IF(AND(OR(O124=3, P124=1, Q124=1, T124=1), AJ124="no Match"), "CUSM, CHU SJ, CHUQ", "")</f>
      </c>
      <c r="AL124" s="57">
        <f>IF(AND(O124=2, ISBLANK(P124), ISBLANK(Q124), ISBLANK(R124), ISBLANK(S124), ISBLANK(T124)), "CUSM, CHU SJ, CHUS, CHUQ", "")</f>
      </c>
      <c r="AM124" s="57">
        <f>IF(AND(AJ124="no match", AK124="", AL124="", K124&lt;26), "CUSM, CHU SJ, HGJ, CHUQ, CHUS", "")</f>
      </c>
      <c r="AN124" s="57">
        <f>IF(AND(AJ124="no match", AK124="", AL124="", K124&gt;26), "CUSM, CHU SJ, HGJ, CHUQ, CHUS, HMR", "")</f>
      </c>
    </row>
    <row x14ac:dyDescent="0.25" r="125" customHeight="1" ht="17.25">
      <c r="A125" s="41" t="s">
        <v>2969</v>
      </c>
      <c r="B125" s="28">
        <v>2</v>
      </c>
      <c r="C125" s="35">
        <v>768</v>
      </c>
      <c r="D125" s="29" t="s">
        <v>160</v>
      </c>
      <c r="E125" s="30" t="s">
        <v>118</v>
      </c>
      <c r="F125" s="31">
        <v>44992</v>
      </c>
      <c r="G125" s="32">
        <v>4.708333333333334</v>
      </c>
      <c r="H125" s="31">
        <v>44992</v>
      </c>
      <c r="I125" s="32">
        <v>4.460416666666667</v>
      </c>
      <c r="J125" s="33">
        <f>F125-H125</f>
      </c>
      <c r="K125" s="28">
        <v>35</v>
      </c>
      <c r="L125" s="28">
        <v>3</v>
      </c>
      <c r="M125" s="28">
        <v>1</v>
      </c>
      <c r="N125" s="38"/>
      <c r="O125" s="34"/>
      <c r="P125" s="34"/>
      <c r="Q125" s="34"/>
      <c r="R125" s="34"/>
      <c r="S125" s="56"/>
      <c r="T125" s="35">
        <v>1</v>
      </c>
      <c r="U125" s="34"/>
      <c r="V125" s="34"/>
      <c r="W125" s="29"/>
      <c r="X125" s="28">
        <v>31</v>
      </c>
      <c r="Y125" s="28">
        <v>1</v>
      </c>
      <c r="Z125" s="28">
        <v>2</v>
      </c>
      <c r="AA125" s="28">
        <v>2</v>
      </c>
      <c r="AB125" s="28">
        <v>1</v>
      </c>
      <c r="AC125" s="28">
        <v>2</v>
      </c>
      <c r="AD125" s="28">
        <v>2</v>
      </c>
      <c r="AE125" s="28">
        <v>4</v>
      </c>
      <c r="AF125" s="35">
        <v>3</v>
      </c>
      <c r="AG125" s="28">
        <v>2</v>
      </c>
      <c r="AH125" s="29" t="s">
        <v>346</v>
      </c>
      <c r="AI125" s="36">
        <f>IF(OR(AND(K125&lt;32, J125&lt;2), O125=1, P125=1, Q125=1, R125=1, S125=1, T125=1, U125=1, AND(W125&lt;&gt;"", W125&lt;&gt;"Oxygen", W125&lt;&gt;"LowFlow")), "Intensive", "Intermediate")</f>
      </c>
      <c r="AJ125" s="57">
        <f>IF(OR(LEFT(AH125, 1)="X", LEFT(AH125, 1)="Y", LEFT(AH125, 3)="J58M"), "CUSM", "No Match")</f>
      </c>
      <c r="AK125" s="57">
        <f>IF(AND(OR(O125=3, P125=1, Q125=1, T125=1), AJ125="no Match"), "CUSM, CHU SJ, CHUQ", "")</f>
      </c>
      <c r="AL125" s="57">
        <f>IF(AND(O125=2, ISBLANK(P125), ISBLANK(Q125), ISBLANK(R125), ISBLANK(S125), ISBLANK(T125)), "CUSM, CHU SJ, CHUS, CHUQ", "")</f>
      </c>
      <c r="AM125" s="57">
        <f>IF(AND(AJ125="no match", AK125="", AL125="", K125&lt;26), "CUSM, CHU SJ, HGJ, CHUQ, CHUS", "")</f>
      </c>
      <c r="AN125" s="57">
        <f>IF(AND(AJ125="no match", AK125="", AL125="", K125&gt;26), "CUSM, CHU SJ, HGJ, CHUQ, CHUS, HMR", "")</f>
      </c>
    </row>
    <row x14ac:dyDescent="0.25" r="126" customHeight="1" ht="17.25">
      <c r="A126" s="41" t="s">
        <v>2970</v>
      </c>
      <c r="B126" s="28">
        <v>2</v>
      </c>
      <c r="C126" s="28">
        <v>831</v>
      </c>
      <c r="D126" s="29" t="s">
        <v>313</v>
      </c>
      <c r="E126" s="30" t="s">
        <v>54</v>
      </c>
      <c r="F126" s="31">
        <v>44992</v>
      </c>
      <c r="G126" s="32">
        <v>4.559027777777778</v>
      </c>
      <c r="H126" s="31">
        <v>44992</v>
      </c>
      <c r="I126" s="32">
        <v>4.404861111111111</v>
      </c>
      <c r="J126" s="33">
        <f>F126-H126</f>
      </c>
      <c r="K126" s="28">
        <v>28</v>
      </c>
      <c r="L126" s="28">
        <v>0</v>
      </c>
      <c r="M126" s="28">
        <v>1</v>
      </c>
      <c r="N126" s="38"/>
      <c r="O126" s="38"/>
      <c r="P126" s="38"/>
      <c r="Q126" s="34"/>
      <c r="R126" s="34"/>
      <c r="S126" s="56"/>
      <c r="T126" s="34"/>
      <c r="U126" s="34"/>
      <c r="V126" s="34"/>
      <c r="W126" s="29" t="s">
        <v>74</v>
      </c>
      <c r="X126" s="28">
        <v>26</v>
      </c>
      <c r="Y126" s="28">
        <v>1</v>
      </c>
      <c r="Z126" s="28">
        <v>2</v>
      </c>
      <c r="AA126" s="28">
        <v>2</v>
      </c>
      <c r="AB126" s="28">
        <v>1</v>
      </c>
      <c r="AC126" s="28">
        <v>2</v>
      </c>
      <c r="AD126" s="28">
        <v>2</v>
      </c>
      <c r="AE126" s="28">
        <v>2</v>
      </c>
      <c r="AF126" s="28">
        <v>2</v>
      </c>
      <c r="AG126" s="28">
        <v>2</v>
      </c>
      <c r="AH126" s="29" t="s">
        <v>2971</v>
      </c>
      <c r="AI126" s="36">
        <f>IF(OR(AND(K126&lt;32, J126&lt;2), O126=1, P126=1, Q126=1, R126=1, S126=1, T126=1, U126=1, AND(W126&lt;&gt;"", W126&lt;&gt;"Oxygen", W126&lt;&gt;"LowFlow")), "Intensive", "Intermediate")</f>
      </c>
      <c r="AJ126" s="57">
        <f>IF(OR(LEFT(AH126, 1)="X", LEFT(AH126, 1)="Y", LEFT(AH126, 3)="J59M"), "CUSM", "No Match")</f>
      </c>
      <c r="AK126" s="57">
        <f>IF(AND(OR(O126=3, P126=1, Q126=1, T126=1), AJ126="no Match"), "CUSM, CHU SJ, CHUQ", "")</f>
      </c>
      <c r="AL126" s="57">
        <f>IF(AND(O126=2, ISBLANK(P126), ISBLANK(Q126), ISBLANK(R126), ISBLANK(S126), ISBLANK(T126)), "CUSM, CHU SJ, CHUS, CHUQ", "")</f>
      </c>
      <c r="AM126" s="57">
        <f>IF(AND(AJ126="no match", AK126="", AL126="", K126&lt;26), "CUSM, CHU SJ, HGJ, CHUQ, CHUS", "")</f>
      </c>
      <c r="AN126" s="57">
        <f>IF(AND(AJ126="no match", AK126="", AL126="", K126&gt;26), "CUSM, CHU SJ, HGJ, CHUQ, CHUS, HMR", "")</f>
      </c>
    </row>
    <row x14ac:dyDescent="0.25" r="127" customHeight="1" ht="17.25">
      <c r="A127" s="41" t="s">
        <v>2972</v>
      </c>
      <c r="B127" s="28">
        <v>2</v>
      </c>
      <c r="C127" s="35">
        <v>6</v>
      </c>
      <c r="D127" s="29" t="s">
        <v>131</v>
      </c>
      <c r="E127" s="30" t="s">
        <v>50</v>
      </c>
      <c r="F127" s="31">
        <v>44993</v>
      </c>
      <c r="G127" s="32">
        <v>4.886805555555556</v>
      </c>
      <c r="H127" s="31">
        <v>44991</v>
      </c>
      <c r="I127" s="32">
        <v>4.477083333333333</v>
      </c>
      <c r="J127" s="33">
        <f>F127-H127</f>
      </c>
      <c r="K127" s="28">
        <v>38</v>
      </c>
      <c r="L127" s="28">
        <v>2</v>
      </c>
      <c r="M127" s="28">
        <v>1</v>
      </c>
      <c r="N127" s="34"/>
      <c r="O127" s="34"/>
      <c r="P127" s="34"/>
      <c r="Q127" s="34"/>
      <c r="R127" s="34"/>
      <c r="S127" s="56"/>
      <c r="T127" s="34"/>
      <c r="U127" s="34"/>
      <c r="V127" s="34"/>
      <c r="W127" s="29"/>
      <c r="X127" s="28">
        <v>37</v>
      </c>
      <c r="Y127" s="28">
        <v>1</v>
      </c>
      <c r="Z127" s="28">
        <v>2</v>
      </c>
      <c r="AA127" s="28">
        <v>2</v>
      </c>
      <c r="AB127" s="28">
        <v>1</v>
      </c>
      <c r="AC127" s="28">
        <v>2</v>
      </c>
      <c r="AD127" s="28">
        <v>1</v>
      </c>
      <c r="AE127" s="28">
        <v>4</v>
      </c>
      <c r="AF127" s="28">
        <v>3</v>
      </c>
      <c r="AG127" s="28">
        <v>3</v>
      </c>
      <c r="AH127" s="29" t="s">
        <v>2973</v>
      </c>
      <c r="AI127" s="36">
        <f>IF(OR(AND(K127&lt;32, J127&lt;2), O127=1, P127=1, Q127=1, R127=1, S127=1, T127=1, U127=1, AND(W127&lt;&gt;"", W127&lt;&gt;"Oxygen", W127&lt;&gt;"LowFlow")), "Intensive", "Intermediate")</f>
      </c>
      <c r="AJ127" s="57">
        <f>IF(OR(LEFT(AH127, 1)="X", LEFT(AH127, 1)="Y", LEFT(AH127, 3)="J60M"), "CUSM", "No Match")</f>
      </c>
      <c r="AK127" s="57">
        <f>IF(AND(OR(O127=3, P127=1, Q127=1, T127=1), AJ127="no Match"), "CUSM, CHU SJ, CHUQ", "")</f>
      </c>
      <c r="AL127" s="57">
        <f>IF(AND(O127=2, ISBLANK(P127), ISBLANK(Q127), ISBLANK(R127), ISBLANK(S127), ISBLANK(T127)), "CUSM, CHU SJ, CHUS, CHUQ", "")</f>
      </c>
      <c r="AM127" s="57">
        <f>IF(AND(AJ127="no match", AK127="", AL127="", K127&lt;26), "CUSM, CHU SJ, HGJ, CHUQ, CHUS", "")</f>
      </c>
      <c r="AN127" s="57">
        <f>IF(AND(AJ127="no match", AK127="", AL127="", K127&gt;26), "CUSM, CHU SJ, HGJ, CHUQ, CHUS, HMR", "")</f>
      </c>
    </row>
    <row x14ac:dyDescent="0.25" r="128" customHeight="1" ht="17.25">
      <c r="A128" s="41" t="s">
        <v>2974</v>
      </c>
      <c r="B128" s="28">
        <v>2</v>
      </c>
      <c r="C128" s="35">
        <v>779</v>
      </c>
      <c r="D128" s="29" t="s">
        <v>136</v>
      </c>
      <c r="E128" s="30" t="s">
        <v>78</v>
      </c>
      <c r="F128" s="31">
        <v>44994</v>
      </c>
      <c r="G128" s="32">
        <v>4.680555555555555</v>
      </c>
      <c r="H128" s="31">
        <v>44993</v>
      </c>
      <c r="I128" s="39"/>
      <c r="J128" s="33">
        <f>F128-H128</f>
      </c>
      <c r="K128" s="28">
        <v>34</v>
      </c>
      <c r="L128" s="28">
        <v>0</v>
      </c>
      <c r="M128" s="28">
        <v>1</v>
      </c>
      <c r="N128" s="34"/>
      <c r="O128" s="34"/>
      <c r="P128" s="34"/>
      <c r="Q128" s="34"/>
      <c r="R128" s="34"/>
      <c r="S128" s="56"/>
      <c r="T128" s="34"/>
      <c r="U128" s="34"/>
      <c r="V128" s="34"/>
      <c r="W128" s="29" t="s">
        <v>74</v>
      </c>
      <c r="X128" s="28">
        <v>28</v>
      </c>
      <c r="Y128" s="28">
        <v>1</v>
      </c>
      <c r="Z128" s="28">
        <v>1</v>
      </c>
      <c r="AA128" s="28">
        <v>3</v>
      </c>
      <c r="AB128" s="28">
        <v>4</v>
      </c>
      <c r="AC128" s="28">
        <v>3</v>
      </c>
      <c r="AD128" s="28">
        <v>3</v>
      </c>
      <c r="AE128" s="28">
        <v>4</v>
      </c>
      <c r="AF128" s="28">
        <v>3</v>
      </c>
      <c r="AG128" s="28">
        <v>2</v>
      </c>
      <c r="AH128" s="29" t="s">
        <v>2975</v>
      </c>
      <c r="AI128" s="36">
        <f>IF(OR(AND(K128&lt;32, J128&lt;2), O128=1, P128=1, Q128=1, R128=1, S128=1, T128=1, U128=1, AND(W128&lt;&gt;"", W128&lt;&gt;"Oxygen", W128&lt;&gt;"LowFlow")), "Intensive", "Intermediate")</f>
      </c>
      <c r="AJ128" s="57">
        <f>IF(OR(LEFT(AH128, 1)="X", LEFT(AH128, 1)="Y", LEFT(AH128, 3)="J61M"), "CUSM", "No Match")</f>
      </c>
      <c r="AK128" s="57">
        <f>IF(AND(OR(O128=3, P128=1, Q128=1, T128=1), AJ128="no Match"), "CUSM, CHU SJ, CHUQ", "")</f>
      </c>
      <c r="AL128" s="57">
        <f>IF(AND(O128=2, ISBLANK(P128), ISBLANK(Q128), ISBLANK(R128), ISBLANK(S128), ISBLANK(T128)), "CUSM, CHU SJ, CHUS, CHUQ", "")</f>
      </c>
      <c r="AM128" s="57">
        <f>IF(AND(AJ128="no match", AK128="", AL128="", K128&lt;26), "CUSM, CHU SJ, HGJ, CHUQ, CHUS", "")</f>
      </c>
      <c r="AN128" s="57">
        <f>IF(AND(AJ128="no match", AK128="", AL128="", K128&gt;26), "CUSM, CHU SJ, HGJ, CHUQ, CHUS, HMR", "")</f>
      </c>
    </row>
    <row x14ac:dyDescent="0.25" r="129" customHeight="1" ht="17.25">
      <c r="A129" s="41" t="s">
        <v>2976</v>
      </c>
      <c r="B129" s="28">
        <v>2</v>
      </c>
      <c r="C129" s="35">
        <v>782</v>
      </c>
      <c r="D129" s="29" t="s">
        <v>95</v>
      </c>
      <c r="E129" s="30" t="s">
        <v>50</v>
      </c>
      <c r="F129" s="31">
        <v>44994</v>
      </c>
      <c r="G129" s="32">
        <v>4.767361111111111</v>
      </c>
      <c r="H129" s="31">
        <v>44993</v>
      </c>
      <c r="I129" s="32">
        <v>4.797916666666667</v>
      </c>
      <c r="J129" s="33">
        <f>F129-H129</f>
      </c>
      <c r="K129" s="28">
        <v>36</v>
      </c>
      <c r="L129" s="28">
        <v>4</v>
      </c>
      <c r="M129" s="28">
        <v>2</v>
      </c>
      <c r="N129" s="38"/>
      <c r="O129" s="38"/>
      <c r="P129" s="38"/>
      <c r="Q129" s="34"/>
      <c r="R129" s="34"/>
      <c r="S129" s="56"/>
      <c r="T129" s="34"/>
      <c r="U129" s="34"/>
      <c r="V129" s="34"/>
      <c r="W129" s="29"/>
      <c r="X129" s="28">
        <v>42</v>
      </c>
      <c r="Y129" s="28">
        <v>1</v>
      </c>
      <c r="Z129" s="28">
        <v>2</v>
      </c>
      <c r="AA129" s="28">
        <v>2</v>
      </c>
      <c r="AB129" s="28">
        <v>1</v>
      </c>
      <c r="AC129" s="28">
        <v>2</v>
      </c>
      <c r="AD129" s="28">
        <v>2</v>
      </c>
      <c r="AE129" s="28">
        <v>4</v>
      </c>
      <c r="AF129" s="28">
        <v>3</v>
      </c>
      <c r="AG129" s="28">
        <v>2</v>
      </c>
      <c r="AH129" s="29" t="s">
        <v>2977</v>
      </c>
      <c r="AI129" s="36">
        <f>IF(OR(AND(K129&lt;32, J129&lt;2), O129=1, P129=1, Q129=1, R129=1, S129=1, T129=1, U129=1, AND(W129&lt;&gt;"", W129&lt;&gt;"Oxygen", W129&lt;&gt;"LowFlow")), "Intensive", "Intermediate")</f>
      </c>
      <c r="AJ129" s="57">
        <f>IF(OR(LEFT(AH129, 1)="X", LEFT(AH129, 1)="Y", LEFT(AH129, 3)="J62M"), "CUSM", "No Match")</f>
      </c>
      <c r="AK129" s="57">
        <f>IF(AND(OR(O129=3, P129=1, Q129=1, T129=1), AJ129="no Match"), "CUSM, CHU SJ, CHUQ", "")</f>
      </c>
      <c r="AL129" s="57">
        <f>IF(AND(O129=2, ISBLANK(P129), ISBLANK(Q129), ISBLANK(R129), ISBLANK(S129), ISBLANK(T129)), "CUSM, CHU SJ, CHUS, CHUQ", "")</f>
      </c>
      <c r="AM129" s="57">
        <f>IF(AND(AJ129="no match", AK129="", AL129="", K129&lt;26), "CUSM, CHU SJ, HGJ, CHUQ, CHUS", "")</f>
      </c>
      <c r="AN129" s="57">
        <f>IF(AND(AJ129="no match", AK129="", AL129="", K129&gt;26), "CUSM, CHU SJ, HGJ, CHUQ, CHUS, HMR", "")</f>
      </c>
    </row>
    <row x14ac:dyDescent="0.25" r="130" customHeight="1" ht="17.25">
      <c r="A130" s="41" t="s">
        <v>2978</v>
      </c>
      <c r="B130" s="28">
        <v>2</v>
      </c>
      <c r="C130" s="35">
        <v>824</v>
      </c>
      <c r="D130" s="29" t="s">
        <v>57</v>
      </c>
      <c r="E130" s="30" t="s">
        <v>54</v>
      </c>
      <c r="F130" s="31">
        <v>44995</v>
      </c>
      <c r="G130" s="32">
        <v>4.868055555555555</v>
      </c>
      <c r="H130" s="31">
        <v>44991</v>
      </c>
      <c r="I130" s="32">
        <v>4.295138888888889</v>
      </c>
      <c r="J130" s="33">
        <f>F130-H130</f>
      </c>
      <c r="K130" s="28">
        <v>41</v>
      </c>
      <c r="L130" s="28">
        <v>1</v>
      </c>
      <c r="M130" s="28">
        <v>2</v>
      </c>
      <c r="N130" s="34"/>
      <c r="O130" s="34"/>
      <c r="P130" s="34"/>
      <c r="Q130" s="34"/>
      <c r="R130" s="34"/>
      <c r="S130" s="56"/>
      <c r="T130" s="34"/>
      <c r="U130" s="34"/>
      <c r="V130" s="34"/>
      <c r="W130" s="29"/>
      <c r="X130" s="28">
        <v>32</v>
      </c>
      <c r="Y130" s="28">
        <v>1</v>
      </c>
      <c r="Z130" s="28">
        <v>1</v>
      </c>
      <c r="AA130" s="28">
        <v>2</v>
      </c>
      <c r="AB130" s="28">
        <v>1</v>
      </c>
      <c r="AC130" s="28">
        <v>2</v>
      </c>
      <c r="AD130" s="28">
        <v>2</v>
      </c>
      <c r="AE130" s="28">
        <v>4</v>
      </c>
      <c r="AF130" s="35">
        <v>2</v>
      </c>
      <c r="AG130" s="28">
        <v>2</v>
      </c>
      <c r="AH130" s="29" t="s">
        <v>2979</v>
      </c>
      <c r="AI130" s="36">
        <f>IF(OR(AND(K130&lt;32, J130&lt;2), O130=1, P130=1, Q130=1, R130=1, S130=1, T130=1, U130=1, AND(W130&lt;&gt;"", W130&lt;&gt;"Oxygen", W130&lt;&gt;"LowFlow")), "Intensive", "Intermediate")</f>
      </c>
      <c r="AJ130" s="57">
        <f>IF(OR(LEFT(AH130, 1)="X", LEFT(AH130, 1)="Y", LEFT(AH130, 3)="J63M"), "CUSM", "No Match")</f>
      </c>
      <c r="AK130" s="57">
        <f>IF(AND(OR(O130=3, P130=1, Q130=1, T130=1), AJ130="no Match"), "CUSM, CHU SJ, CHUQ", "")</f>
      </c>
      <c r="AL130" s="57">
        <f>IF(AND(O130=2, ISBLANK(P130), ISBLANK(Q130), ISBLANK(R130), ISBLANK(S130), ISBLANK(T130)), "CUSM, CHU SJ, CHUS, CHUQ", "")</f>
      </c>
      <c r="AM130" s="57">
        <f>IF(AND(AJ130="no match", AK130="", AL130="", K130&lt;26), "CUSM, CHU SJ, HGJ, CHUQ, CHUS", "")</f>
      </c>
      <c r="AN130" s="57">
        <f>IF(AND(AJ130="no match", AK130="", AL130="", K130&gt;26), "CUSM, CHU SJ, HGJ, CHUQ, CHUS, HMR", "")</f>
      </c>
    </row>
    <row x14ac:dyDescent="0.25" r="131" customHeight="1" ht="17.25">
      <c r="A131" s="41" t="s">
        <v>2980</v>
      </c>
      <c r="B131" s="28">
        <v>2</v>
      </c>
      <c r="C131" s="28">
        <v>839</v>
      </c>
      <c r="D131" s="29" t="s">
        <v>53</v>
      </c>
      <c r="E131" s="30" t="s">
        <v>54</v>
      </c>
      <c r="F131" s="31">
        <v>44996</v>
      </c>
      <c r="G131" s="32">
        <v>4.666666666666666</v>
      </c>
      <c r="H131" s="31">
        <v>44991</v>
      </c>
      <c r="I131" s="32">
        <v>4.658333333333333</v>
      </c>
      <c r="J131" s="33">
        <f>F131-H131</f>
      </c>
      <c r="K131" s="28">
        <v>38</v>
      </c>
      <c r="L131" s="28">
        <v>3</v>
      </c>
      <c r="M131" s="28">
        <v>1</v>
      </c>
      <c r="N131" s="34"/>
      <c r="O131" s="34"/>
      <c r="P131" s="34"/>
      <c r="Q131" s="34"/>
      <c r="R131" s="34"/>
      <c r="S131" s="56"/>
      <c r="T131" s="34"/>
      <c r="U131" s="34"/>
      <c r="V131" s="34"/>
      <c r="W131" s="29"/>
      <c r="X131" s="28">
        <v>38</v>
      </c>
      <c r="Y131" s="28">
        <v>1</v>
      </c>
      <c r="Z131" s="28">
        <v>1</v>
      </c>
      <c r="AA131" s="28">
        <v>3</v>
      </c>
      <c r="AB131" s="28">
        <v>4</v>
      </c>
      <c r="AC131" s="28">
        <v>2</v>
      </c>
      <c r="AD131" s="28">
        <v>1</v>
      </c>
      <c r="AE131" s="28">
        <v>4</v>
      </c>
      <c r="AF131" s="28">
        <v>2</v>
      </c>
      <c r="AG131" s="28">
        <v>2</v>
      </c>
      <c r="AH131" s="29" t="s">
        <v>2981</v>
      </c>
      <c r="AI131" s="36">
        <f>IF(OR(AND(K131&lt;32, J131&lt;2), O131=1, P131=1, Q131=1, R131=1, S131=1, T131=1, U131=1, AND(W131&lt;&gt;"", W131&lt;&gt;"Oxygen", W131&lt;&gt;"LowFlow")), "Intensive", "Intermediate")</f>
      </c>
      <c r="AJ131" s="57">
        <f>IF(OR(LEFT(AH131, 1)="X", LEFT(AH131, 1)="Y", LEFT(AH131, 3)="J0M"), "CUSM", "No Match")</f>
      </c>
      <c r="AK131" s="57">
        <f>IF(AND(OR(O131=3, P131=1, Q131=1, T131=1), AJ131="no Match"), "CUSM, CHU SJ, CHUQ", "")</f>
      </c>
      <c r="AL131" s="57">
        <f>IF(AND(O131=2, ISBLANK(P131), ISBLANK(Q131), ISBLANK(R131), ISBLANK(S131), ISBLANK(T131)), "CUSM, CHU SJ, CHUS, CHUQ", "")</f>
      </c>
      <c r="AM131" s="57">
        <f>IF(AND(AJ131="no match", AK131="", AL131="", K131&lt;26), "CUSM, CHU SJ, HGJ, CHUQ, CHUS", "")</f>
      </c>
      <c r="AN131" s="57">
        <f>IF(AND(AJ131="no match", AK131="", AL131="", K131&gt;26), "CUSM, CHU SJ, HGJ, CHUQ, CHUS, HMR", "")</f>
      </c>
    </row>
    <row x14ac:dyDescent="0.25" r="132" customHeight="1" ht="17.25">
      <c r="A132" s="41" t="s">
        <v>2982</v>
      </c>
      <c r="B132" s="28">
        <v>2</v>
      </c>
      <c r="C132" s="28">
        <v>824</v>
      </c>
      <c r="D132" s="29" t="s">
        <v>57</v>
      </c>
      <c r="E132" s="30" t="s">
        <v>54</v>
      </c>
      <c r="F132" s="31">
        <v>44996</v>
      </c>
      <c r="G132" s="32">
        <v>4.552083333333334</v>
      </c>
      <c r="H132" s="31">
        <v>44995</v>
      </c>
      <c r="I132" s="32">
        <v>4.979861111111111</v>
      </c>
      <c r="J132" s="33">
        <f>F132-H132</f>
      </c>
      <c r="K132" s="28">
        <v>39</v>
      </c>
      <c r="L132" s="28">
        <v>6</v>
      </c>
      <c r="M132" s="28">
        <v>2</v>
      </c>
      <c r="N132" s="35">
        <v>1</v>
      </c>
      <c r="O132" s="34"/>
      <c r="P132" s="34"/>
      <c r="Q132" s="34"/>
      <c r="R132" s="34"/>
      <c r="S132" s="56"/>
      <c r="T132" s="34"/>
      <c r="U132" s="34"/>
      <c r="V132" s="34"/>
      <c r="W132" s="29"/>
      <c r="X132" s="28">
        <v>38</v>
      </c>
      <c r="Y132" s="28">
        <v>1</v>
      </c>
      <c r="Z132" s="28">
        <v>1</v>
      </c>
      <c r="AA132" s="28">
        <v>2</v>
      </c>
      <c r="AB132" s="28">
        <v>1</v>
      </c>
      <c r="AC132" s="28">
        <v>2</v>
      </c>
      <c r="AD132" s="28">
        <v>1</v>
      </c>
      <c r="AE132" s="28">
        <v>4</v>
      </c>
      <c r="AF132" s="28">
        <v>2</v>
      </c>
      <c r="AG132" s="28">
        <v>2</v>
      </c>
      <c r="AH132" s="29" t="s">
        <v>2983</v>
      </c>
      <c r="AI132" s="36">
        <f>IF(OR(AND(K132&lt;32, J132&lt;2), O132=1, P132=1, Q132=1, R132=1, S132=1, T132=1, U132=1, AND(W132&lt;&gt;"", W132&lt;&gt;"Oxygen", W132&lt;&gt;"LowFlow")), "Intensive", "Intermediate")</f>
      </c>
      <c r="AJ132" s="57">
        <f>IF(OR(LEFT(AH132, 1)="X", LEFT(AH132, 1)="Y", LEFT(AH132, 3)="J1M"), "CUSM", "No Match")</f>
      </c>
      <c r="AK132" s="57">
        <f>IF(AND(OR(O132=3, P132=1, Q132=1, T132=1), AJ132="no Match"), "CUSM, CHU SJ, CHUQ", "")</f>
      </c>
      <c r="AL132" s="57">
        <f>IF(AND(O132=2, ISBLANK(P132), ISBLANK(Q132), ISBLANK(R132), ISBLANK(S132), ISBLANK(T132)), "CUSM, CHU SJ, CHUS, CHUQ", "")</f>
      </c>
      <c r="AM132" s="57">
        <f>IF(AND(AJ132="no match", AK132="", AL132="", K132&lt;26), "CUSM, CHU SJ, HGJ, CHUQ, CHUS", "")</f>
      </c>
      <c r="AN132" s="57">
        <f>IF(AND(AJ132="no match", AK132="", AL132="", K132&gt;26), "CUSM, CHU SJ, HGJ, CHUQ, CHUS, HMR", "")</f>
      </c>
    </row>
    <row x14ac:dyDescent="0.25" r="133" customHeight="1" ht="17.25">
      <c r="A133" s="41" t="s">
        <v>2984</v>
      </c>
      <c r="B133" s="28">
        <v>2</v>
      </c>
      <c r="C133" s="35">
        <v>817</v>
      </c>
      <c r="D133" s="29" t="s">
        <v>163</v>
      </c>
      <c r="E133" s="30" t="s">
        <v>78</v>
      </c>
      <c r="F133" s="31">
        <v>44996</v>
      </c>
      <c r="G133" s="32">
        <v>4.315972222222222</v>
      </c>
      <c r="H133" s="31">
        <v>44996</v>
      </c>
      <c r="I133" s="32">
        <v>4.052083333333334</v>
      </c>
      <c r="J133" s="33">
        <f>F133-H133</f>
      </c>
      <c r="K133" s="28">
        <v>34</v>
      </c>
      <c r="L133" s="28">
        <v>0</v>
      </c>
      <c r="M133" s="28">
        <v>1</v>
      </c>
      <c r="N133" s="34"/>
      <c r="O133" s="34"/>
      <c r="P133" s="34"/>
      <c r="Q133" s="34"/>
      <c r="R133" s="34"/>
      <c r="S133" s="56"/>
      <c r="T133" s="34"/>
      <c r="U133" s="34"/>
      <c r="V133" s="34"/>
      <c r="W133" s="29" t="s">
        <v>58</v>
      </c>
      <c r="X133" s="28">
        <v>40</v>
      </c>
      <c r="Y133" s="28">
        <v>2</v>
      </c>
      <c r="Z133" s="28">
        <v>1</v>
      </c>
      <c r="AA133" s="28">
        <v>2</v>
      </c>
      <c r="AB133" s="28">
        <v>4</v>
      </c>
      <c r="AC133" s="28">
        <v>2</v>
      </c>
      <c r="AD133" s="28">
        <v>1</v>
      </c>
      <c r="AE133" s="28">
        <v>4</v>
      </c>
      <c r="AF133" s="28">
        <v>2</v>
      </c>
      <c r="AG133" s="28">
        <v>2</v>
      </c>
      <c r="AH133" s="29" t="s">
        <v>2985</v>
      </c>
      <c r="AI133" s="36">
        <f>IF(OR(AND(K133&lt;32, J133&lt;2), O133=1, P133=1, Q133=1, R133=1, S133=1, T133=1, U133=1, AND(W133&lt;&gt;"", W133&lt;&gt;"Oxygen", W133&lt;&gt;"LowFlow")), "Intensive", "Intermediate")</f>
      </c>
      <c r="AJ133" s="57">
        <f>IF(OR(LEFT(AH133, 1)="X", LEFT(AH133, 1)="Y", LEFT(AH133, 3)="J2M"), "CUSM", "No Match")</f>
      </c>
      <c r="AK133" s="57">
        <f>IF(AND(OR(O133=3, P133=1, Q133=1, T133=1), AJ133="no Match"), "CUSM, CHU SJ, CHUQ", "")</f>
      </c>
      <c r="AL133" s="57">
        <f>IF(AND(O133=2, ISBLANK(P133), ISBLANK(Q133), ISBLANK(R133), ISBLANK(S133), ISBLANK(T133)), "CUSM, CHU SJ, CHUS, CHUQ", "")</f>
      </c>
      <c r="AM133" s="57">
        <f>IF(AND(AJ133="no match", AK133="", AL133="", K133&lt;26), "CUSM, CHU SJ, HGJ, CHUQ, CHUS", "")</f>
      </c>
      <c r="AN133" s="57">
        <f>IF(AND(AJ133="no match", AK133="", AL133="", K133&gt;26), "CUSM, CHU SJ, HGJ, CHUQ, CHUS, HMR", "")</f>
      </c>
    </row>
    <row x14ac:dyDescent="0.25" r="134" customHeight="1" ht="17.25">
      <c r="A134" s="41" t="s">
        <v>2986</v>
      </c>
      <c r="B134" s="28">
        <v>2</v>
      </c>
      <c r="C134" s="35">
        <v>817</v>
      </c>
      <c r="D134" s="29" t="s">
        <v>163</v>
      </c>
      <c r="E134" s="30" t="s">
        <v>78</v>
      </c>
      <c r="F134" s="31">
        <v>44996</v>
      </c>
      <c r="G134" s="32">
        <v>4.847222222222222</v>
      </c>
      <c r="H134" s="31">
        <v>44995</v>
      </c>
      <c r="I134" s="32">
        <v>4.313194444444445</v>
      </c>
      <c r="J134" s="33">
        <f>F134-H134</f>
      </c>
      <c r="K134" s="28">
        <v>34</v>
      </c>
      <c r="L134" s="28">
        <v>0</v>
      </c>
      <c r="M134" s="28">
        <v>2</v>
      </c>
      <c r="N134" s="34"/>
      <c r="O134" s="34"/>
      <c r="P134" s="34"/>
      <c r="Q134" s="34"/>
      <c r="R134" s="34"/>
      <c r="S134" s="56"/>
      <c r="T134" s="34"/>
      <c r="U134" s="34"/>
      <c r="V134" s="34"/>
      <c r="W134" s="29" t="s">
        <v>74</v>
      </c>
      <c r="X134" s="28">
        <v>42</v>
      </c>
      <c r="Y134" s="28">
        <v>1</v>
      </c>
      <c r="Z134" s="28">
        <v>1</v>
      </c>
      <c r="AA134" s="28">
        <v>2</v>
      </c>
      <c r="AB134" s="28">
        <v>4</v>
      </c>
      <c r="AC134" s="28">
        <v>2</v>
      </c>
      <c r="AD134" s="28">
        <v>1</v>
      </c>
      <c r="AE134" s="28">
        <v>4</v>
      </c>
      <c r="AF134" s="28">
        <v>2</v>
      </c>
      <c r="AG134" s="28">
        <v>2</v>
      </c>
      <c r="AH134" s="29" t="s">
        <v>2987</v>
      </c>
      <c r="AI134" s="36">
        <f>IF(OR(AND(K134&lt;32, J134&lt;2), O134=1, P134=1, Q134=1, R134=1, S134=1, T134=1, U134=1, AND(W134&lt;&gt;"", W134&lt;&gt;"Oxygen", W134&lt;&gt;"LowFlow")), "Intensive", "Intermediate")</f>
      </c>
      <c r="AJ134" s="57">
        <f>IF(OR(LEFT(AH134, 1)="X", LEFT(AH134, 1)="Y", LEFT(AH134, 3)="J3M"), "CUSM", "No Match")</f>
      </c>
      <c r="AK134" s="57">
        <f>IF(AND(OR(O134=3, P134=1, Q134=1, T134=1), AJ134="no Match"), "CUSM, CHU SJ, CHUQ", "")</f>
      </c>
      <c r="AL134" s="57">
        <f>IF(AND(O134=2, ISBLANK(P134), ISBLANK(Q134), ISBLANK(R134), ISBLANK(S134), ISBLANK(T134)), "CUSM, CHU SJ, CHUS, CHUQ", "")</f>
      </c>
      <c r="AM134" s="57">
        <f>IF(AND(AJ134="no match", AK134="", AL134="", K134&lt;26), "CUSM, CHU SJ, HGJ, CHUQ, CHUS", "")</f>
      </c>
      <c r="AN134" s="57">
        <f>IF(AND(AJ134="no match", AK134="", AL134="", K134&gt;26), "CUSM, CHU SJ, HGJ, CHUQ, CHUS, HMR", "")</f>
      </c>
    </row>
    <row x14ac:dyDescent="0.25" r="135" customHeight="1" ht="17.25">
      <c r="A135" s="41" t="s">
        <v>2988</v>
      </c>
      <c r="B135" s="28">
        <v>2</v>
      </c>
      <c r="C135" s="35">
        <v>537</v>
      </c>
      <c r="D135" s="29" t="s">
        <v>2989</v>
      </c>
      <c r="E135" s="30" t="s">
        <v>50</v>
      </c>
      <c r="F135" s="31">
        <v>44996</v>
      </c>
      <c r="G135" s="32">
        <v>4.027777777777778</v>
      </c>
      <c r="H135" s="31">
        <v>44995</v>
      </c>
      <c r="I135" s="32">
        <v>4.35625</v>
      </c>
      <c r="J135" s="33">
        <f>F135-H135</f>
      </c>
      <c r="K135" s="28">
        <v>37</v>
      </c>
      <c r="L135" s="28">
        <v>0</v>
      </c>
      <c r="M135" s="28">
        <v>1</v>
      </c>
      <c r="N135" s="34"/>
      <c r="O135" s="34"/>
      <c r="P135" s="34"/>
      <c r="Q135" s="34"/>
      <c r="R135" s="34"/>
      <c r="S135" s="56"/>
      <c r="T135" s="34"/>
      <c r="U135" s="34"/>
      <c r="V135" s="34"/>
      <c r="W135" s="29" t="s">
        <v>58</v>
      </c>
      <c r="X135" s="28">
        <v>38</v>
      </c>
      <c r="Y135" s="28">
        <v>1</v>
      </c>
      <c r="Z135" s="28">
        <v>2</v>
      </c>
      <c r="AA135" s="28">
        <v>2</v>
      </c>
      <c r="AB135" s="28">
        <v>1</v>
      </c>
      <c r="AC135" s="28">
        <v>2</v>
      </c>
      <c r="AD135" s="28">
        <v>1</v>
      </c>
      <c r="AE135" s="28">
        <v>4</v>
      </c>
      <c r="AF135" s="28">
        <v>3</v>
      </c>
      <c r="AG135" s="28">
        <v>2</v>
      </c>
      <c r="AH135" s="29" t="s">
        <v>2990</v>
      </c>
      <c r="AI135" s="36">
        <f>IF(OR(AND(K135&lt;32, J135&lt;2), O135=1, P135=1, Q135=1, R135=1, S135=1, T135=1, U135=1, AND(W135&lt;&gt;"", W135&lt;&gt;"Oxygen", W135&lt;&gt;"LowFlow")), "Intensive", "Intermediate")</f>
      </c>
      <c r="AJ135" s="57">
        <f>IF(OR(LEFT(AH135, 1)="X", LEFT(AH135, 1)="Y", LEFT(AH135, 3)="J4M"), "CUSM", "No Match")</f>
      </c>
      <c r="AK135" s="57">
        <f>IF(AND(OR(O135=3, P135=1, Q135=1, T135=1), AJ135="no Match"), "CUSM, CHU SJ, CHUQ", "")</f>
      </c>
      <c r="AL135" s="57">
        <f>IF(AND(O135=2, ISBLANK(P135), ISBLANK(Q135), ISBLANK(R135), ISBLANK(S135), ISBLANK(T135)), "CUSM, CHU SJ, CHUS, CHUQ", "")</f>
      </c>
      <c r="AM135" s="57">
        <f>IF(AND(AJ135="no match", AK135="", AL135="", K135&lt;26), "CUSM, CHU SJ, HGJ, CHUQ, CHUS", "")</f>
      </c>
      <c r="AN135" s="57">
        <f>IF(AND(AJ135="no match", AK135="", AL135="", K135&gt;26), "CUSM, CHU SJ, HGJ, CHUQ, CHUS, HMR", "")</f>
      </c>
    </row>
    <row x14ac:dyDescent="0.25" r="136" customHeight="1" ht="17.25">
      <c r="A136" s="41" t="s">
        <v>2991</v>
      </c>
      <c r="B136" s="28">
        <v>2</v>
      </c>
      <c r="C136" s="28">
        <v>839</v>
      </c>
      <c r="D136" s="29" t="s">
        <v>53</v>
      </c>
      <c r="E136" s="30" t="s">
        <v>54</v>
      </c>
      <c r="F136" s="31">
        <v>44998</v>
      </c>
      <c r="G136" s="32">
        <v>4.920138888888889</v>
      </c>
      <c r="H136" s="31">
        <v>44998</v>
      </c>
      <c r="I136" s="32">
        <v>4.781944444444445</v>
      </c>
      <c r="J136" s="33">
        <f>F136-H136</f>
      </c>
      <c r="K136" s="28">
        <v>37</v>
      </c>
      <c r="L136" s="28">
        <v>0</v>
      </c>
      <c r="M136" s="28">
        <v>1</v>
      </c>
      <c r="N136" s="35">
        <v>1</v>
      </c>
      <c r="O136" s="34"/>
      <c r="P136" s="35">
        <v>1</v>
      </c>
      <c r="Q136" s="34"/>
      <c r="R136" s="34"/>
      <c r="S136" s="56"/>
      <c r="T136" s="38"/>
      <c r="U136" s="34"/>
      <c r="V136" s="34"/>
      <c r="W136" s="29"/>
      <c r="X136" s="28">
        <v>30</v>
      </c>
      <c r="Y136" s="28">
        <v>1</v>
      </c>
      <c r="Z136" s="28">
        <v>2</v>
      </c>
      <c r="AA136" s="28">
        <v>3</v>
      </c>
      <c r="AB136" s="28">
        <v>1</v>
      </c>
      <c r="AC136" s="28">
        <v>2</v>
      </c>
      <c r="AD136" s="28">
        <v>1</v>
      </c>
      <c r="AE136" s="28">
        <v>4</v>
      </c>
      <c r="AF136" s="28">
        <v>2</v>
      </c>
      <c r="AG136" s="28">
        <v>2</v>
      </c>
      <c r="AH136" s="29" t="s">
        <v>2992</v>
      </c>
      <c r="AI136" s="36">
        <f>IF(OR(AND(K136&lt;32, J136&lt;2), O136=1, P136=1, Q136=1, R136=1, S136=1, T136=1, U136=1, AND(W136&lt;&gt;"", W136&lt;&gt;"Oxygen", W136&lt;&gt;"LowFlow")), "Intensive", "Intermediate")</f>
      </c>
      <c r="AJ136" s="57">
        <f>IF(OR(LEFT(AH136, 1)="X", LEFT(AH136, 1)="Y", LEFT(AH136, 3)="J5M"), "CUSM", "No Match")</f>
      </c>
      <c r="AK136" s="57">
        <f>IF(AND(OR(O136=3, P136=1, Q136=1, T136=1), AJ136="no Match"), "CUSM, CHU SJ, CHUQ", "")</f>
      </c>
      <c r="AL136" s="57">
        <f>IF(AND(O136=2, ISBLANK(P136), ISBLANK(Q136), ISBLANK(R136), ISBLANK(S136), ISBLANK(T136)), "CUSM, CHU SJ, CHUS, CHUQ", "")</f>
      </c>
      <c r="AM136" s="57">
        <f>IF(AND(AJ136="no match", AK136="", AL136="", K136&lt;26), "CUSM, CHU SJ, HGJ, CHUQ, CHUS", "")</f>
      </c>
      <c r="AN136" s="57">
        <f>IF(AND(AJ136="no match", AK136="", AL136="", K136&gt;26), "CUSM, CHU SJ, HGJ, CHUQ, CHUS, HMR", "")</f>
      </c>
    </row>
    <row x14ac:dyDescent="0.25" r="137" customHeight="1" ht="17.25">
      <c r="A137" s="41" t="s">
        <v>2993</v>
      </c>
      <c r="B137" s="28">
        <v>2</v>
      </c>
      <c r="C137" s="35">
        <v>780</v>
      </c>
      <c r="D137" s="29" t="s">
        <v>190</v>
      </c>
      <c r="E137" s="30" t="s">
        <v>54</v>
      </c>
      <c r="F137" s="31">
        <v>44998</v>
      </c>
      <c r="G137" s="32">
        <v>4.350694444444445</v>
      </c>
      <c r="H137" s="31">
        <v>44997</v>
      </c>
      <c r="I137" s="32">
        <v>4.993055555555555</v>
      </c>
      <c r="J137" s="33">
        <f>F137-H137</f>
      </c>
      <c r="K137" s="28">
        <v>38</v>
      </c>
      <c r="L137" s="28">
        <v>4</v>
      </c>
      <c r="M137" s="28">
        <v>1</v>
      </c>
      <c r="N137" s="38"/>
      <c r="O137" s="34"/>
      <c r="P137" s="38"/>
      <c r="Q137" s="34"/>
      <c r="R137" s="34"/>
      <c r="S137" s="56"/>
      <c r="T137" s="34"/>
      <c r="U137" s="34"/>
      <c r="V137" s="34"/>
      <c r="W137" s="29"/>
      <c r="X137" s="28">
        <v>27</v>
      </c>
      <c r="Y137" s="28">
        <v>1</v>
      </c>
      <c r="Z137" s="28">
        <v>1</v>
      </c>
      <c r="AA137" s="28">
        <v>1</v>
      </c>
      <c r="AB137" s="28">
        <v>2</v>
      </c>
      <c r="AC137" s="28">
        <v>2</v>
      </c>
      <c r="AD137" s="28">
        <v>1</v>
      </c>
      <c r="AE137" s="28">
        <v>4</v>
      </c>
      <c r="AF137" s="28">
        <v>1</v>
      </c>
      <c r="AG137" s="28">
        <v>2</v>
      </c>
      <c r="AH137" s="29" t="s">
        <v>2994</v>
      </c>
      <c r="AI137" s="36">
        <f>IF(OR(AND(K137&lt;32, J137&lt;2), O137=1, P137=1, Q137=1, R137=1, S137=1, T137=1, U137=1, AND(W137&lt;&gt;"", W137&lt;&gt;"Oxygen", W137&lt;&gt;"LowFlow")), "Intensive", "Intermediate")</f>
      </c>
      <c r="AJ137" s="57">
        <f>IF(OR(LEFT(AH137, 1)="X", LEFT(AH137, 1)="Y", LEFT(AH137, 3)="J6M"), "CUSM", "No Match")</f>
      </c>
      <c r="AK137" s="57">
        <f>IF(AND(OR(O137=3, P137=1, Q137=1, T137=1), AJ137="no Match"), "CUSM, CHU SJ, CHUQ", "")</f>
      </c>
      <c r="AL137" s="57">
        <f>IF(AND(O137=2, ISBLANK(P137), ISBLANK(Q137), ISBLANK(R137), ISBLANK(S137), ISBLANK(T137)), "CUSM, CHU SJ, CHUS, CHUQ", "")</f>
      </c>
      <c r="AM137" s="57">
        <f>IF(AND(AJ137="no match", AK137="", AL137="", K137&lt;26), "CUSM, CHU SJ, HGJ, CHUQ, CHUS", "")</f>
      </c>
      <c r="AN137" s="57">
        <f>IF(AND(AJ137="no match", AK137="", AL137="", K137&gt;26), "CUSM, CHU SJ, HGJ, CHUQ, CHUS, HMR", "")</f>
      </c>
    </row>
    <row x14ac:dyDescent="0.25" r="138" customHeight="1" ht="17.25">
      <c r="A138" s="41" t="s">
        <v>2995</v>
      </c>
      <c r="B138" s="28">
        <v>2</v>
      </c>
      <c r="C138" s="28">
        <v>796</v>
      </c>
      <c r="D138" s="29" t="s">
        <v>63</v>
      </c>
      <c r="E138" s="30" t="s">
        <v>54</v>
      </c>
      <c r="F138" s="31">
        <v>44998</v>
      </c>
      <c r="G138" s="32">
        <v>4.541666666666666</v>
      </c>
      <c r="H138" s="31">
        <v>44980</v>
      </c>
      <c r="I138" s="32">
        <v>4.147916666666667</v>
      </c>
      <c r="J138" s="33">
        <f>F138-H138</f>
      </c>
      <c r="K138" s="28">
        <v>40</v>
      </c>
      <c r="L138" s="28">
        <v>5</v>
      </c>
      <c r="M138" s="28">
        <v>1</v>
      </c>
      <c r="N138" s="34"/>
      <c r="O138" s="34"/>
      <c r="P138" s="34"/>
      <c r="Q138" s="34"/>
      <c r="R138" s="34"/>
      <c r="S138" s="56"/>
      <c r="T138" s="34"/>
      <c r="U138" s="34"/>
      <c r="V138" s="34"/>
      <c r="W138" s="29"/>
      <c r="X138" s="28">
        <v>32</v>
      </c>
      <c r="Y138" s="28">
        <v>1</v>
      </c>
      <c r="Z138" s="28">
        <v>1</v>
      </c>
      <c r="AA138" s="28">
        <v>1</v>
      </c>
      <c r="AB138" s="28">
        <v>1</v>
      </c>
      <c r="AC138" s="28">
        <v>2</v>
      </c>
      <c r="AD138" s="28">
        <v>1</v>
      </c>
      <c r="AE138" s="28">
        <v>2</v>
      </c>
      <c r="AF138" s="28">
        <v>2</v>
      </c>
      <c r="AG138" s="28">
        <v>2</v>
      </c>
      <c r="AH138" s="29" t="s">
        <v>2996</v>
      </c>
      <c r="AI138" s="36">
        <f>IF(OR(AND(K138&lt;32, J138&lt;2), O138=1, P138=1, Q138=1, R138=1, S138=1, T138=1, U138=1, AND(W138&lt;&gt;"", W138&lt;&gt;"Oxygen", W138&lt;&gt;"LowFlow")), "Intensive", "Intermediate")</f>
      </c>
      <c r="AJ138" s="57">
        <f>IF(OR(LEFT(AH138, 1)="X", LEFT(AH138, 1)="Y", LEFT(AH138, 3)="J7M"), "CUSM", "No Match")</f>
      </c>
      <c r="AK138" s="57">
        <f>IF(AND(OR(O138=3, P138=1, Q138=1, T138=1), AJ138="no Match"), "CUSM, CHU SJ, CHUQ", "")</f>
      </c>
      <c r="AL138" s="57">
        <f>IF(AND(O138=2, ISBLANK(P138), ISBLANK(Q138), ISBLANK(R138), ISBLANK(S138), ISBLANK(T138)), "CUSM, CHU SJ, CHUS, CHUQ", "")</f>
      </c>
      <c r="AM138" s="57">
        <f>IF(AND(AJ138="no match", AK138="", AL138="", K138&lt;26), "CUSM, CHU SJ, HGJ, CHUQ, CHUS", "")</f>
      </c>
      <c r="AN138" s="57">
        <f>IF(AND(AJ138="no match", AK138="", AL138="", K138&gt;26), "CUSM, CHU SJ, HGJ, CHUQ, CHUS, HMR", "")</f>
      </c>
    </row>
    <row x14ac:dyDescent="0.25" r="139" customHeight="1" ht="17.25">
      <c r="A139" s="41" t="s">
        <v>2997</v>
      </c>
      <c r="B139" s="28">
        <v>2</v>
      </c>
      <c r="C139" s="28">
        <v>845</v>
      </c>
      <c r="D139" s="29" t="s">
        <v>381</v>
      </c>
      <c r="E139" s="30" t="s">
        <v>54</v>
      </c>
      <c r="F139" s="31">
        <v>44998</v>
      </c>
      <c r="G139" s="32">
        <v>4.472222222222222</v>
      </c>
      <c r="H139" s="31">
        <v>44998</v>
      </c>
      <c r="I139" s="32">
        <v>4.261111111111111</v>
      </c>
      <c r="J139" s="33">
        <f>F139-H139</f>
      </c>
      <c r="K139" s="28">
        <v>37</v>
      </c>
      <c r="L139" s="28">
        <v>5</v>
      </c>
      <c r="M139" s="28">
        <v>2</v>
      </c>
      <c r="N139" s="35">
        <v>1</v>
      </c>
      <c r="O139" s="35">
        <v>2</v>
      </c>
      <c r="P139" s="35">
        <v>1</v>
      </c>
      <c r="Q139" s="34"/>
      <c r="R139" s="34"/>
      <c r="S139" s="56"/>
      <c r="T139" s="38"/>
      <c r="U139" s="34"/>
      <c r="V139" s="34"/>
      <c r="W139" s="29"/>
      <c r="X139" s="28">
        <v>29</v>
      </c>
      <c r="Y139" s="28">
        <v>1</v>
      </c>
      <c r="Z139" s="28">
        <v>1</v>
      </c>
      <c r="AA139" s="28">
        <v>2</v>
      </c>
      <c r="AB139" s="28">
        <v>1</v>
      </c>
      <c r="AC139" s="28">
        <v>2</v>
      </c>
      <c r="AD139" s="28">
        <v>2</v>
      </c>
      <c r="AE139" s="28">
        <v>4</v>
      </c>
      <c r="AF139" s="28">
        <v>2</v>
      </c>
      <c r="AG139" s="28">
        <v>2</v>
      </c>
      <c r="AH139" s="29" t="s">
        <v>2998</v>
      </c>
      <c r="AI139" s="36">
        <f>IF(OR(AND(K139&lt;32, J139&lt;2), O139=1, P139=1, Q139=1, R139=1, S139=1, T139=1, U139=1, AND(W139&lt;&gt;"", W139&lt;&gt;"Oxygen", W139&lt;&gt;"LowFlow")), "Intensive", "Intermediate")</f>
      </c>
      <c r="AJ139" s="57">
        <f>IF(OR(LEFT(AH139, 1)="X", LEFT(AH139, 1)="Y", LEFT(AH139, 3)="J8M"), "CUSM", "No Match")</f>
      </c>
      <c r="AK139" s="57">
        <f>IF(AND(OR(O139=3, P139=1, Q139=1, T139=1), AJ139="no Match"), "CUSM, CHU SJ, CHUQ", "")</f>
      </c>
      <c r="AL139" s="57">
        <f>IF(AND(O139=2, ISBLANK(P139), ISBLANK(Q139), ISBLANK(R139), ISBLANK(S139), ISBLANK(T139)), "CUSM, CHU SJ, CHUS, CHUQ", "")</f>
      </c>
      <c r="AM139" s="57">
        <f>IF(AND(AJ139="no match", AK139="", AL139="", K139&lt;26), "CUSM, CHU SJ, HGJ, CHUQ, CHUS", "")</f>
      </c>
      <c r="AN139" s="57">
        <f>IF(AND(AJ139="no match", AK139="", AL139="", K139&gt;26), "CUSM, CHU SJ, HGJ, CHUQ, CHUS, HMR", "")</f>
      </c>
    </row>
    <row x14ac:dyDescent="0.25" r="140" customHeight="1" ht="17.25">
      <c r="A140" s="41" t="s">
        <v>2999</v>
      </c>
      <c r="B140" s="28">
        <v>2</v>
      </c>
      <c r="C140" s="35">
        <v>779</v>
      </c>
      <c r="D140" s="29" t="s">
        <v>136</v>
      </c>
      <c r="E140" s="30" t="s">
        <v>54</v>
      </c>
      <c r="F140" s="31">
        <v>44999</v>
      </c>
      <c r="G140" s="32">
        <v>4.729166666666666</v>
      </c>
      <c r="H140" s="31">
        <v>44993</v>
      </c>
      <c r="I140" s="32">
        <v>4.977083333333333</v>
      </c>
      <c r="J140" s="33">
        <f>F140-H140</f>
      </c>
      <c r="K140" s="28">
        <v>38</v>
      </c>
      <c r="L140" s="28">
        <v>4</v>
      </c>
      <c r="M140" s="28">
        <v>1</v>
      </c>
      <c r="N140" s="34"/>
      <c r="O140" s="34"/>
      <c r="P140" s="34"/>
      <c r="Q140" s="34"/>
      <c r="R140" s="34"/>
      <c r="S140" s="56"/>
      <c r="T140" s="34"/>
      <c r="U140" s="34"/>
      <c r="V140" s="34"/>
      <c r="W140" s="29" t="s">
        <v>106</v>
      </c>
      <c r="X140" s="28">
        <v>32</v>
      </c>
      <c r="Y140" s="28">
        <v>1</v>
      </c>
      <c r="Z140" s="28">
        <v>1</v>
      </c>
      <c r="AA140" s="28">
        <v>3</v>
      </c>
      <c r="AB140" s="28">
        <v>1</v>
      </c>
      <c r="AC140" s="28">
        <v>2</v>
      </c>
      <c r="AD140" s="28">
        <v>1</v>
      </c>
      <c r="AE140" s="28">
        <v>4</v>
      </c>
      <c r="AF140" s="28">
        <v>2</v>
      </c>
      <c r="AG140" s="28">
        <v>2</v>
      </c>
      <c r="AH140" s="29" t="s">
        <v>3000</v>
      </c>
      <c r="AI140" s="36">
        <f>IF(OR(AND(K140&lt;32, J140&lt;2), O140=1, P140=1, Q140=1, R140=1, S140=1, T140=1, U140=1, AND(W140&lt;&gt;"", W140&lt;&gt;"Oxygen", W140&lt;&gt;"LowFlow")), "Intensive", "Intermediate")</f>
      </c>
      <c r="AJ140" s="57">
        <f>IF(OR(LEFT(AH140, 1)="X", LEFT(AH140, 1)="Y", LEFT(AH140, 3)="J9M"), "CUSM", "No Match")</f>
      </c>
      <c r="AK140" s="57">
        <f>IF(AND(OR(O140=3, P140=1, Q140=1, T140=1), AJ140="no Match"), "CUSM, CHU SJ, CHUQ", "")</f>
      </c>
      <c r="AL140" s="57">
        <f>IF(AND(O140=2, ISBLANK(P140), ISBLANK(Q140), ISBLANK(R140), ISBLANK(S140), ISBLANK(T140)), "CUSM, CHU SJ, CHUS, CHUQ", "")</f>
      </c>
      <c r="AM140" s="57">
        <f>IF(AND(AJ140="no match", AK140="", AL140="", K140&lt;26), "CUSM, CHU SJ, HGJ, CHUQ, CHUS", "")</f>
      </c>
      <c r="AN140" s="57">
        <f>IF(AND(AJ140="no match", AK140="", AL140="", K140&gt;26), "CUSM, CHU SJ, HGJ, CHUQ, CHUS, HMR", "")</f>
      </c>
    </row>
    <row x14ac:dyDescent="0.25" r="141" customHeight="1" ht="17.25">
      <c r="A141" s="41" t="s">
        <v>3001</v>
      </c>
      <c r="B141" s="28">
        <v>2</v>
      </c>
      <c r="C141" s="35">
        <v>820</v>
      </c>
      <c r="D141" s="29" t="s">
        <v>69</v>
      </c>
      <c r="E141" s="30" t="s">
        <v>54</v>
      </c>
      <c r="F141" s="31">
        <v>44999</v>
      </c>
      <c r="G141" s="32">
        <v>4.9006944444444445</v>
      </c>
      <c r="H141" s="31">
        <v>44999</v>
      </c>
      <c r="I141" s="32">
        <v>4.757638888888889</v>
      </c>
      <c r="J141" s="33">
        <f>F141-H141</f>
      </c>
      <c r="K141" s="28">
        <v>30</v>
      </c>
      <c r="L141" s="28">
        <v>6</v>
      </c>
      <c r="M141" s="28">
        <v>2</v>
      </c>
      <c r="N141" s="34"/>
      <c r="O141" s="34"/>
      <c r="P141" s="34"/>
      <c r="Q141" s="34"/>
      <c r="R141" s="34"/>
      <c r="S141" s="56"/>
      <c r="T141" s="34"/>
      <c r="U141" s="34"/>
      <c r="V141" s="34"/>
      <c r="W141" s="29" t="s">
        <v>74</v>
      </c>
      <c r="X141" s="28">
        <v>24</v>
      </c>
      <c r="Y141" s="28">
        <v>1</v>
      </c>
      <c r="Z141" s="28">
        <v>2</v>
      </c>
      <c r="AA141" s="28">
        <v>3</v>
      </c>
      <c r="AB141" s="28">
        <v>1</v>
      </c>
      <c r="AC141" s="28">
        <v>1</v>
      </c>
      <c r="AD141" s="28">
        <v>2</v>
      </c>
      <c r="AE141" s="28">
        <v>4</v>
      </c>
      <c r="AF141" s="28">
        <v>2</v>
      </c>
      <c r="AG141" s="28">
        <v>2</v>
      </c>
      <c r="AH141" s="29" t="s">
        <v>3002</v>
      </c>
      <c r="AI141" s="36">
        <f>IF(OR(AND(K141&lt;32, J141&lt;2), O141=1, P141=1, Q141=1, R141=1, S141=1, T141=1, U141=1, AND(W141&lt;&gt;"", W141&lt;&gt;"Oxygen", W141&lt;&gt;"LowFlow")), "Intensive", "Intermediate")</f>
      </c>
      <c r="AJ141" s="57">
        <f>IF(OR(LEFT(AH141, 1)="X", LEFT(AH141, 1)="Y", LEFT(AH141, 3)="J10M"), "CUSM", "No Match")</f>
      </c>
      <c r="AK141" s="57">
        <f>IF(AND(OR(O141=3, P141=1, Q141=1, T141=1), AJ141="no Match"), "CUSM, CHU SJ, CHUQ", "")</f>
      </c>
      <c r="AL141" s="57">
        <f>IF(AND(O141=2, ISBLANK(P141), ISBLANK(Q141), ISBLANK(R141), ISBLANK(S141), ISBLANK(T141)), "CUSM, CHU SJ, CHUS, CHUQ", "")</f>
      </c>
      <c r="AM141" s="57">
        <f>IF(AND(AJ141="no match", AK141="", AL141="", K141&lt;26), "CUSM, CHU SJ, HGJ, CHUQ, CHUS", "")</f>
      </c>
      <c r="AN141" s="57">
        <f>IF(AND(AJ141="no match", AK141="", AL141="", K141&gt;26), "CUSM, CHU SJ, HGJ, CHUQ, CHUS, HMR", "")</f>
      </c>
    </row>
    <row x14ac:dyDescent="0.25" r="142" customHeight="1" ht="17.25">
      <c r="A142" s="41" t="s">
        <v>3003</v>
      </c>
      <c r="B142" s="28">
        <v>2</v>
      </c>
      <c r="C142" s="35">
        <v>780</v>
      </c>
      <c r="D142" s="29" t="s">
        <v>190</v>
      </c>
      <c r="E142" s="30" t="s">
        <v>78</v>
      </c>
      <c r="F142" s="31">
        <v>44999</v>
      </c>
      <c r="G142" s="32">
        <v>4.645833333333334</v>
      </c>
      <c r="H142" s="31">
        <v>44998</v>
      </c>
      <c r="I142" s="32">
        <v>4.354166666666666</v>
      </c>
      <c r="J142" s="33">
        <f>F142-H142</f>
      </c>
      <c r="K142" s="28">
        <v>38</v>
      </c>
      <c r="L142" s="28">
        <v>0</v>
      </c>
      <c r="M142" s="28">
        <v>1</v>
      </c>
      <c r="N142" s="34"/>
      <c r="O142" s="34"/>
      <c r="P142" s="34"/>
      <c r="Q142" s="34"/>
      <c r="R142" s="34"/>
      <c r="S142" s="56"/>
      <c r="T142" s="34"/>
      <c r="U142" s="34"/>
      <c r="V142" s="34"/>
      <c r="W142" s="29" t="s">
        <v>58</v>
      </c>
      <c r="X142" s="28">
        <v>29</v>
      </c>
      <c r="Y142" s="28">
        <v>1</v>
      </c>
      <c r="Z142" s="28">
        <v>1</v>
      </c>
      <c r="AA142" s="28">
        <v>2</v>
      </c>
      <c r="AB142" s="28">
        <v>4</v>
      </c>
      <c r="AC142" s="28">
        <v>2</v>
      </c>
      <c r="AD142" s="28">
        <v>2</v>
      </c>
      <c r="AE142" s="28">
        <v>4</v>
      </c>
      <c r="AF142" s="35">
        <v>3</v>
      </c>
      <c r="AG142" s="28">
        <v>2</v>
      </c>
      <c r="AH142" s="29" t="s">
        <v>3004</v>
      </c>
      <c r="AI142" s="36">
        <f>IF(OR(AND(K142&lt;32, J142&lt;2), O142=1, P142=1, Q142=1, R142=1, S142=1, T142=1, U142=1, AND(W142&lt;&gt;"", W142&lt;&gt;"Oxygen", W142&lt;&gt;"LowFlow")), "Intensive", "Intermediate")</f>
      </c>
      <c r="AJ142" s="57">
        <f>IF(OR(LEFT(AH142, 1)="X", LEFT(AH142, 1)="Y", LEFT(AH142, 3)="J11M"), "CUSM", "No Match")</f>
      </c>
      <c r="AK142" s="57">
        <f>IF(AND(OR(O142=3, P142=1, Q142=1, T142=1), AJ142="no Match"), "CUSM, CHU SJ, CHUQ", "")</f>
      </c>
      <c r="AL142" s="57">
        <f>IF(AND(O142=2, ISBLANK(P142), ISBLANK(Q142), ISBLANK(R142), ISBLANK(S142), ISBLANK(T142)), "CUSM, CHU SJ, CHUS, CHUQ", "")</f>
      </c>
      <c r="AM142" s="57">
        <f>IF(AND(AJ142="no match", AK142="", AL142="", K142&lt;26), "CUSM, CHU SJ, HGJ, CHUQ, CHUS", "")</f>
      </c>
      <c r="AN142" s="57">
        <f>IF(AND(AJ142="no match", AK142="", AL142="", K142&gt;26), "CUSM, CHU SJ, HGJ, CHUQ, CHUS, HMR", "")</f>
      </c>
    </row>
    <row x14ac:dyDescent="0.25" r="143" customHeight="1" ht="17.25">
      <c r="A143" s="41" t="s">
        <v>3005</v>
      </c>
      <c r="B143" s="28">
        <v>2</v>
      </c>
      <c r="C143" s="35">
        <v>796</v>
      </c>
      <c r="D143" s="29" t="s">
        <v>63</v>
      </c>
      <c r="E143" s="30" t="s">
        <v>50</v>
      </c>
      <c r="F143" s="31">
        <v>44999</v>
      </c>
      <c r="G143" s="32">
        <v>4.782638888888889</v>
      </c>
      <c r="H143" s="31">
        <v>44999</v>
      </c>
      <c r="I143" s="32">
        <v>4.586805555555555</v>
      </c>
      <c r="J143" s="33">
        <f>F143-H143</f>
      </c>
      <c r="K143" s="28">
        <v>40</v>
      </c>
      <c r="L143" s="28">
        <v>0</v>
      </c>
      <c r="M143" s="28">
        <v>1</v>
      </c>
      <c r="N143" s="28">
        <v>1</v>
      </c>
      <c r="O143" s="38"/>
      <c r="P143" s="38"/>
      <c r="Q143" s="34"/>
      <c r="R143" s="34"/>
      <c r="S143" s="56"/>
      <c r="T143" s="34"/>
      <c r="U143" s="34"/>
      <c r="V143" s="34"/>
      <c r="W143" s="29"/>
      <c r="X143" s="28">
        <v>36</v>
      </c>
      <c r="Y143" s="28">
        <v>1</v>
      </c>
      <c r="Z143" s="28">
        <v>1</v>
      </c>
      <c r="AA143" s="28">
        <v>2</v>
      </c>
      <c r="AB143" s="28">
        <v>1</v>
      </c>
      <c r="AC143" s="28">
        <v>2</v>
      </c>
      <c r="AD143" s="28">
        <v>2</v>
      </c>
      <c r="AE143" s="28">
        <v>2</v>
      </c>
      <c r="AF143" s="28">
        <v>2</v>
      </c>
      <c r="AG143" s="28">
        <v>2</v>
      </c>
      <c r="AH143" s="29" t="s">
        <v>3006</v>
      </c>
      <c r="AI143" s="36">
        <f>IF(OR(AND(K143&lt;32, J143&lt;2), O143=1, P143=1, Q143=1, R143=1, S143=1, T143=1, U143=1, AND(W143&lt;&gt;"", W143&lt;&gt;"Oxygen", W143&lt;&gt;"LowFlow")), "Intensive", "Intermediate")</f>
      </c>
      <c r="AJ143" s="57">
        <f>IF(OR(LEFT(AH143, 1)="X", LEFT(AH143, 1)="Y", LEFT(AH143, 3)="J12M"), "CUSM", "No Match")</f>
      </c>
      <c r="AK143" s="57">
        <f>IF(AND(OR(O143=3, P143=1, Q143=1, T143=1), AJ143="no Match"), "CUSM, CHU SJ, CHUQ", "")</f>
      </c>
      <c r="AL143" s="57">
        <f>IF(AND(O143=2, ISBLANK(P143), ISBLANK(Q143), ISBLANK(R143), ISBLANK(S143), ISBLANK(T143)), "CUSM, CHU SJ, CHUS, CHUQ", "")</f>
      </c>
      <c r="AM143" s="57">
        <f>IF(AND(AJ143="no match", AK143="", AL143="", K143&lt;26), "CUSM, CHU SJ, HGJ, CHUQ, CHUS", "")</f>
      </c>
      <c r="AN143" s="57">
        <f>IF(AND(AJ143="no match", AK143="", AL143="", K143&gt;26), "CUSM, CHU SJ, HGJ, CHUQ, CHUS, HMR", "")</f>
      </c>
    </row>
    <row x14ac:dyDescent="0.25" r="144" customHeight="1" ht="17.25">
      <c r="A144" s="41" t="s">
        <v>3007</v>
      </c>
      <c r="B144" s="28">
        <v>2</v>
      </c>
      <c r="C144" s="35">
        <v>734</v>
      </c>
      <c r="D144" s="29" t="s">
        <v>264</v>
      </c>
      <c r="E144" s="30" t="s">
        <v>54</v>
      </c>
      <c r="F144" s="31">
        <v>45000</v>
      </c>
      <c r="G144" s="32">
        <v>4.517361111111111</v>
      </c>
      <c r="H144" s="31">
        <v>45000</v>
      </c>
      <c r="I144" s="32">
        <v>4.268055555555556</v>
      </c>
      <c r="J144" s="33">
        <f>F144-H144</f>
      </c>
      <c r="K144" s="28">
        <v>40</v>
      </c>
      <c r="L144" s="28">
        <v>1</v>
      </c>
      <c r="M144" s="28">
        <v>2</v>
      </c>
      <c r="N144" s="34"/>
      <c r="O144" s="34"/>
      <c r="P144" s="34"/>
      <c r="Q144" s="34"/>
      <c r="R144" s="34"/>
      <c r="S144" s="56"/>
      <c r="T144" s="34"/>
      <c r="U144" s="34"/>
      <c r="V144" s="34"/>
      <c r="W144" s="29" t="s">
        <v>58</v>
      </c>
      <c r="X144" s="28">
        <v>35</v>
      </c>
      <c r="Y144" s="28">
        <v>1</v>
      </c>
      <c r="Z144" s="28">
        <v>2</v>
      </c>
      <c r="AA144" s="28">
        <v>2</v>
      </c>
      <c r="AB144" s="28">
        <v>1</v>
      </c>
      <c r="AC144" s="28">
        <v>2</v>
      </c>
      <c r="AD144" s="28">
        <v>2</v>
      </c>
      <c r="AE144" s="28">
        <v>4</v>
      </c>
      <c r="AF144" s="28">
        <v>2</v>
      </c>
      <c r="AG144" s="28">
        <v>2</v>
      </c>
      <c r="AH144" s="29" t="s">
        <v>3008</v>
      </c>
      <c r="AI144" s="36">
        <f>IF(OR(AND(K144&lt;32, J144&lt;2), O144=1, P144=1, Q144=1, R144=1, S144=1, T144=1, U144=1, AND(W144&lt;&gt;"", W144&lt;&gt;"Oxygen", W144&lt;&gt;"LowFlow")), "Intensive", "Intermediate")</f>
      </c>
      <c r="AJ144" s="57">
        <f>IF(OR(LEFT(AH144, 1)="X", LEFT(AH144, 1)="Y", LEFT(AH144, 3)="J13M"), "CUSM", "No Match")</f>
      </c>
      <c r="AK144" s="57">
        <f>IF(AND(OR(O144=3, P144=1, Q144=1, T144=1), AJ144="no Match"), "CUSM, CHU SJ, CHUQ", "")</f>
      </c>
      <c r="AL144" s="57">
        <f>IF(AND(O144=2, ISBLANK(P144), ISBLANK(Q144), ISBLANK(R144), ISBLANK(S144), ISBLANK(T144)), "CUSM, CHU SJ, CHUS, CHUQ", "")</f>
      </c>
      <c r="AM144" s="57">
        <f>IF(AND(AJ144="no match", AK144="", AL144="", K144&lt;26), "CUSM, CHU SJ, HGJ, CHUQ, CHUS", "")</f>
      </c>
      <c r="AN144" s="57">
        <f>IF(AND(AJ144="no match", AK144="", AL144="", K144&gt;26), "CUSM, CHU SJ, HGJ, CHUQ, CHUS, HMR", "")</f>
      </c>
    </row>
    <row x14ac:dyDescent="0.25" r="145" customHeight="1" ht="17.25">
      <c r="A145" s="41" t="s">
        <v>3009</v>
      </c>
      <c r="B145" s="28">
        <v>2</v>
      </c>
      <c r="C145" s="28">
        <v>720</v>
      </c>
      <c r="D145" s="29" t="s">
        <v>626</v>
      </c>
      <c r="E145" s="30" t="s">
        <v>50</v>
      </c>
      <c r="F145" s="31">
        <v>45000</v>
      </c>
      <c r="G145" s="32">
        <v>4.888888888888889</v>
      </c>
      <c r="H145" s="31">
        <v>44999</v>
      </c>
      <c r="I145" s="32">
        <v>4.854861111111111</v>
      </c>
      <c r="J145" s="33">
        <f>F145-H145</f>
      </c>
      <c r="K145" s="28">
        <v>35</v>
      </c>
      <c r="L145" s="28">
        <v>0</v>
      </c>
      <c r="M145" s="28">
        <v>1</v>
      </c>
      <c r="N145" s="28">
        <v>1</v>
      </c>
      <c r="O145" s="38"/>
      <c r="P145" s="28">
        <v>1</v>
      </c>
      <c r="Q145" s="34"/>
      <c r="R145" s="34"/>
      <c r="S145" s="56"/>
      <c r="T145" s="34"/>
      <c r="U145" s="34"/>
      <c r="V145" s="34"/>
      <c r="W145" s="29" t="s">
        <v>74</v>
      </c>
      <c r="X145" s="28">
        <v>22</v>
      </c>
      <c r="Y145" s="28">
        <v>1</v>
      </c>
      <c r="Z145" s="28">
        <v>1</v>
      </c>
      <c r="AA145" s="28">
        <v>2</v>
      </c>
      <c r="AB145" s="28">
        <v>4</v>
      </c>
      <c r="AC145" s="28">
        <v>2</v>
      </c>
      <c r="AD145" s="28">
        <v>2</v>
      </c>
      <c r="AE145" s="28">
        <v>4</v>
      </c>
      <c r="AF145" s="35">
        <v>3</v>
      </c>
      <c r="AG145" s="28">
        <v>1</v>
      </c>
      <c r="AH145" s="29" t="s">
        <v>3010</v>
      </c>
      <c r="AI145" s="36">
        <f>IF(OR(AND(K145&lt;32, J145&lt;2), O145=1, P145=1, Q145=1, R145=1, S145=1, T145=1, U145=1, AND(W145&lt;&gt;"", W145&lt;&gt;"Oxygen", W145&lt;&gt;"LowFlow")), "Intensive", "Intermediate")</f>
      </c>
      <c r="AJ145" s="57">
        <f>IF(OR(LEFT(AH145, 1)="X", LEFT(AH145, 1)="Y", LEFT(AH145, 3)="J14M"), "CUSM", "No Match")</f>
      </c>
      <c r="AK145" s="57">
        <f>IF(AND(OR(O145=3, P145=1, Q145=1, T145=1), AJ145="no Match"), "CUSM, CHU SJ, CHUQ", "")</f>
      </c>
      <c r="AL145" s="57">
        <f>IF(AND(O145=2, ISBLANK(P145), ISBLANK(Q145), ISBLANK(R145), ISBLANK(S145), ISBLANK(T145)), "CUSM, CHU SJ, CHUS, CHUQ", "")</f>
      </c>
      <c r="AM145" s="57">
        <f>IF(AND(AJ145="no match", AK145="", AL145="", K145&lt;26), "CUSM, CHU SJ, HGJ, CHUQ, CHUS", "")</f>
      </c>
      <c r="AN145" s="57">
        <f>IF(AND(AJ145="no match", AK145="", AL145="", K145&gt;26), "CUSM, CHU SJ, HGJ, CHUQ, CHUS, HMR", "")</f>
      </c>
    </row>
    <row x14ac:dyDescent="0.25" r="146" customHeight="1" ht="17.25">
      <c r="A146" s="41" t="s">
        <v>3011</v>
      </c>
      <c r="B146" s="28">
        <v>2</v>
      </c>
      <c r="C146" s="28">
        <v>740</v>
      </c>
      <c r="D146" s="29" t="s">
        <v>409</v>
      </c>
      <c r="E146" s="30" t="s">
        <v>149</v>
      </c>
      <c r="F146" s="31">
        <v>45001</v>
      </c>
      <c r="G146" s="32">
        <v>4.133333333333333</v>
      </c>
      <c r="H146" s="31">
        <v>45001</v>
      </c>
      <c r="I146" s="32">
        <v>4.095833333333333</v>
      </c>
      <c r="J146" s="33">
        <f>F146-H146</f>
      </c>
      <c r="K146" s="28">
        <v>27</v>
      </c>
      <c r="L146" s="28">
        <v>0</v>
      </c>
      <c r="M146" s="28">
        <v>1</v>
      </c>
      <c r="N146" s="34"/>
      <c r="O146" s="34"/>
      <c r="P146" s="34"/>
      <c r="Q146" s="34"/>
      <c r="R146" s="34"/>
      <c r="S146" s="56"/>
      <c r="T146" s="34"/>
      <c r="U146" s="34"/>
      <c r="V146" s="34"/>
      <c r="W146" s="29" t="s">
        <v>164</v>
      </c>
      <c r="X146" s="28">
        <v>33</v>
      </c>
      <c r="Y146" s="28">
        <v>1</v>
      </c>
      <c r="Z146" s="28">
        <v>1</v>
      </c>
      <c r="AA146" s="28">
        <v>3</v>
      </c>
      <c r="AB146" s="28">
        <v>1</v>
      </c>
      <c r="AC146" s="28">
        <v>2</v>
      </c>
      <c r="AD146" s="28">
        <v>2</v>
      </c>
      <c r="AE146" s="28">
        <v>4</v>
      </c>
      <c r="AF146" s="28">
        <v>3</v>
      </c>
      <c r="AG146" s="28">
        <v>2</v>
      </c>
      <c r="AH146" s="29" t="s">
        <v>3012</v>
      </c>
      <c r="AI146" s="36">
        <f>IF(OR(AND(K146&lt;32, J146&lt;2), O146=1, P146=1, Q146=1, R146=1, S146=1, T146=1, U146=1, AND(W146&lt;&gt;"", W146&lt;&gt;"Oxygen", W146&lt;&gt;"LowFlow")), "Intensive", "Intermediate")</f>
      </c>
      <c r="AJ146" s="57">
        <f>IF(OR(LEFT(AH146, 1)="X", LEFT(AH146, 1)="Y", LEFT(AH146, 3)="J15M"), "CUSM", "No Match")</f>
      </c>
      <c r="AK146" s="57">
        <f>IF(AND(OR(O146=3, P146=1, Q146=1, T146=1), AJ146="no Match"), "CUSM, CHU SJ, CHUQ", "")</f>
      </c>
      <c r="AL146" s="57">
        <f>IF(AND(O146=2, ISBLANK(P146), ISBLANK(Q146), ISBLANK(R146), ISBLANK(S146), ISBLANK(T146)), "CUSM, CHU SJ, CHUS, CHUQ", "")</f>
      </c>
      <c r="AM146" s="57">
        <f>IF(AND(AJ146="no match", AK146="", AL146="", K146&lt;26), "CUSM, CHU SJ, HGJ, CHUQ, CHUS", "")</f>
      </c>
      <c r="AN146" s="57">
        <f>IF(AND(AJ146="no match", AK146="", AL146="", K146&gt;26), "CUSM, CHU SJ, HGJ, CHUQ, CHUS, HMR", "")</f>
      </c>
    </row>
    <row x14ac:dyDescent="0.25" r="147" customHeight="1" ht="17.25">
      <c r="A147" s="41" t="s">
        <v>3013</v>
      </c>
      <c r="B147" s="28">
        <v>2</v>
      </c>
      <c r="C147" s="35">
        <v>839</v>
      </c>
      <c r="D147" s="29" t="s">
        <v>53</v>
      </c>
      <c r="E147" s="30" t="s">
        <v>50</v>
      </c>
      <c r="F147" s="31">
        <v>45001</v>
      </c>
      <c r="G147" s="32">
        <v>4.819444444444445</v>
      </c>
      <c r="H147" s="31">
        <v>44995</v>
      </c>
      <c r="I147" s="32">
        <v>4.7034722222222225</v>
      </c>
      <c r="J147" s="33">
        <f>F147-H147</f>
      </c>
      <c r="K147" s="28">
        <v>36</v>
      </c>
      <c r="L147" s="28">
        <v>0</v>
      </c>
      <c r="M147" s="28">
        <v>2</v>
      </c>
      <c r="N147" s="38"/>
      <c r="O147" s="38"/>
      <c r="P147" s="38"/>
      <c r="Q147" s="34"/>
      <c r="R147" s="34"/>
      <c r="S147" s="56"/>
      <c r="T147" s="34"/>
      <c r="U147" s="34"/>
      <c r="V147" s="34"/>
      <c r="W147" s="29"/>
      <c r="X147" s="28">
        <v>33</v>
      </c>
      <c r="Y147" s="28">
        <v>2</v>
      </c>
      <c r="Z147" s="28">
        <v>1</v>
      </c>
      <c r="AA147" s="28">
        <v>1</v>
      </c>
      <c r="AB147" s="28">
        <v>4</v>
      </c>
      <c r="AC147" s="28">
        <v>1</v>
      </c>
      <c r="AD147" s="28">
        <v>1</v>
      </c>
      <c r="AE147" s="28">
        <v>4</v>
      </c>
      <c r="AF147" s="28">
        <v>3</v>
      </c>
      <c r="AG147" s="28">
        <v>2</v>
      </c>
      <c r="AH147" s="29" t="s">
        <v>2919</v>
      </c>
      <c r="AI147" s="36">
        <f>IF(OR(AND(K147&lt;32, J147&lt;2), O147=1, P147=1, Q147=1, R147=1, S147=1, T147=1, U147=1, AND(W147&lt;&gt;"", W147&lt;&gt;"Oxygen", W147&lt;&gt;"LowFlow")), "Intensive", "Intermediate")</f>
      </c>
      <c r="AJ147" s="57">
        <f>IF(OR(LEFT(AH147, 1)="X", LEFT(AH147, 1)="Y", LEFT(AH147, 3)="J16M"), "CUSM", "No Match")</f>
      </c>
      <c r="AK147" s="57">
        <f>IF(AND(OR(O147=3, P147=1, Q147=1, T147=1), AJ147="no Match"), "CUSM, CHU SJ, CHUQ", "")</f>
      </c>
      <c r="AL147" s="57">
        <f>IF(AND(O147=2, ISBLANK(P147), ISBLANK(Q147), ISBLANK(R147), ISBLANK(S147), ISBLANK(T147)), "CUSM, CHU SJ, CHUS, CHUQ", "")</f>
      </c>
      <c r="AM147" s="57">
        <f>IF(AND(AJ147="no match", AK147="", AL147="", K147&lt;26), "CUSM, CHU SJ, HGJ, CHUQ, CHUS", "")</f>
      </c>
      <c r="AN147" s="57">
        <f>IF(AND(AJ147="no match", AK147="", AL147="", K147&gt;26), "CUSM, CHU SJ, HGJ, CHUQ, CHUS, HMR", "")</f>
      </c>
    </row>
    <row x14ac:dyDescent="0.25" r="148" customHeight="1" ht="17.25">
      <c r="A148" s="41" t="s">
        <v>3014</v>
      </c>
      <c r="B148" s="28">
        <v>2</v>
      </c>
      <c r="C148" s="35">
        <v>815</v>
      </c>
      <c r="D148" s="29" t="s">
        <v>100</v>
      </c>
      <c r="E148" s="30" t="s">
        <v>50</v>
      </c>
      <c r="F148" s="31">
        <v>45001</v>
      </c>
      <c r="G148" s="32">
        <v>4.475694444444445</v>
      </c>
      <c r="H148" s="31">
        <v>44999</v>
      </c>
      <c r="I148" s="32">
        <v>4.727083333333333</v>
      </c>
      <c r="J148" s="33">
        <f>F148-H148</f>
      </c>
      <c r="K148" s="28">
        <v>34</v>
      </c>
      <c r="L148" s="28">
        <v>1</v>
      </c>
      <c r="M148" s="28">
        <v>2</v>
      </c>
      <c r="N148" s="38"/>
      <c r="O148" s="34"/>
      <c r="P148" s="38"/>
      <c r="Q148" s="34"/>
      <c r="R148" s="34"/>
      <c r="S148" s="56"/>
      <c r="T148" s="34"/>
      <c r="U148" s="34"/>
      <c r="V148" s="34"/>
      <c r="W148" s="29" t="s">
        <v>74</v>
      </c>
      <c r="X148" s="28">
        <v>25</v>
      </c>
      <c r="Y148" s="28">
        <v>1</v>
      </c>
      <c r="Z148" s="28">
        <v>2</v>
      </c>
      <c r="AA148" s="28">
        <v>3</v>
      </c>
      <c r="AB148" s="28">
        <v>1</v>
      </c>
      <c r="AC148" s="28">
        <v>2</v>
      </c>
      <c r="AD148" s="28">
        <v>2</v>
      </c>
      <c r="AE148" s="28">
        <v>4</v>
      </c>
      <c r="AF148" s="28">
        <v>3</v>
      </c>
      <c r="AG148" s="28">
        <v>2</v>
      </c>
      <c r="AH148" s="29" t="s">
        <v>3015</v>
      </c>
      <c r="AI148" s="36">
        <f>IF(OR(AND(K148&lt;32, J148&lt;2), O148=1, P148=1, Q148=1, R148=1, S148=1, T148=1, U148=1, AND(W148&lt;&gt;"", W148&lt;&gt;"Oxygen", W148&lt;&gt;"LowFlow")), "Intensive", "Intermediate")</f>
      </c>
      <c r="AJ148" s="57">
        <f>IF(OR(LEFT(AH148, 1)="X", LEFT(AH148, 1)="Y", LEFT(AH148, 3)="J17M"), "CUSM", "No Match")</f>
      </c>
      <c r="AK148" s="57">
        <f>IF(AND(OR(O148=3, P148=1, Q148=1, T148=1), AJ148="no Match"), "CUSM, CHU SJ, CHUQ", "")</f>
      </c>
      <c r="AL148" s="57">
        <f>IF(AND(O148=2, ISBLANK(P148), ISBLANK(Q148), ISBLANK(R148), ISBLANK(S148), ISBLANK(T148)), "CUSM, CHU SJ, CHUS, CHUQ", "")</f>
      </c>
      <c r="AM148" s="57">
        <f>IF(AND(AJ148="no match", AK148="", AL148="", K148&lt;26), "CUSM, CHU SJ, HGJ, CHUQ, CHUS", "")</f>
      </c>
      <c r="AN148" s="57">
        <f>IF(AND(AJ148="no match", AK148="", AL148="", K148&gt;26), "CUSM, CHU SJ, HGJ, CHUQ, CHUS, HMR", "")</f>
      </c>
    </row>
    <row x14ac:dyDescent="0.25" r="149" customHeight="1" ht="17.25">
      <c r="A149" s="41" t="s">
        <v>3016</v>
      </c>
      <c r="B149" s="28">
        <v>2</v>
      </c>
      <c r="C149" s="35">
        <v>851</v>
      </c>
      <c r="D149" s="29" t="s">
        <v>1085</v>
      </c>
      <c r="E149" s="30" t="s">
        <v>149</v>
      </c>
      <c r="F149" s="31">
        <v>45002</v>
      </c>
      <c r="G149" s="32">
        <v>4.416666666666666</v>
      </c>
      <c r="H149" s="31">
        <v>45001</v>
      </c>
      <c r="I149" s="32">
        <v>4.504166666666666</v>
      </c>
      <c r="J149" s="33">
        <f>F149-H149</f>
      </c>
      <c r="K149" s="28">
        <v>32</v>
      </c>
      <c r="L149" s="28">
        <v>0</v>
      </c>
      <c r="M149" s="28">
        <v>1</v>
      </c>
      <c r="N149" s="34"/>
      <c r="O149" s="34"/>
      <c r="P149" s="34"/>
      <c r="Q149" s="34"/>
      <c r="R149" s="34"/>
      <c r="S149" s="56"/>
      <c r="T149" s="34"/>
      <c r="U149" s="34"/>
      <c r="V149" s="34"/>
      <c r="W149" s="29" t="s">
        <v>58</v>
      </c>
      <c r="X149" s="28">
        <v>25</v>
      </c>
      <c r="Y149" s="28">
        <v>1</v>
      </c>
      <c r="Z149" s="28">
        <v>1</v>
      </c>
      <c r="AA149" s="28">
        <v>1</v>
      </c>
      <c r="AB149" s="28">
        <v>1</v>
      </c>
      <c r="AC149" s="28">
        <v>2</v>
      </c>
      <c r="AD149" s="28">
        <v>2</v>
      </c>
      <c r="AE149" s="28">
        <v>4</v>
      </c>
      <c r="AF149" s="28">
        <v>3</v>
      </c>
      <c r="AG149" s="28">
        <v>2</v>
      </c>
      <c r="AH149" s="29" t="s">
        <v>3017</v>
      </c>
      <c r="AI149" s="36">
        <f>IF(OR(AND(K149&lt;32, J149&lt;2), O149=1, P149=1, Q149=1, R149=1, S149=1, T149=1, U149=1, AND(W149&lt;&gt;"", W149&lt;&gt;"Oxygen", W149&lt;&gt;"LowFlow")), "Intensive", "Intermediate")</f>
      </c>
      <c r="AJ149" s="57">
        <f>IF(OR(LEFT(AH149, 1)="X", LEFT(AH149, 1)="Y", LEFT(AH149, 3)="J18M"), "CUSM", "No Match")</f>
      </c>
      <c r="AK149" s="57">
        <f>IF(AND(OR(O149=3, P149=1, Q149=1, T149=1), AJ149="no Match"), "CUSM, CHU SJ, CHUQ", "")</f>
      </c>
      <c r="AL149" s="57">
        <f>IF(AND(O149=2, ISBLANK(P149), ISBLANK(Q149), ISBLANK(R149), ISBLANK(S149), ISBLANK(T149)), "CUSM, CHU SJ, CHUS, CHUQ", "")</f>
      </c>
      <c r="AM149" s="57">
        <f>IF(AND(AJ149="no match", AK149="", AL149="", K149&lt;26), "CUSM, CHU SJ, HGJ, CHUQ, CHUS", "")</f>
      </c>
      <c r="AN149" s="57">
        <f>IF(AND(AJ149="no match", AK149="", AL149="", K149&gt;26), "CUSM, CHU SJ, HGJ, CHUQ, CHUS, HMR", "")</f>
      </c>
    </row>
    <row x14ac:dyDescent="0.25" r="150" customHeight="1" ht="17.25">
      <c r="A150" s="41" t="s">
        <v>3018</v>
      </c>
      <c r="B150" s="28">
        <v>2</v>
      </c>
      <c r="C150" s="35">
        <v>737</v>
      </c>
      <c r="D150" s="29" t="s">
        <v>202</v>
      </c>
      <c r="E150" s="30" t="s">
        <v>54</v>
      </c>
      <c r="F150" s="31">
        <v>45003</v>
      </c>
      <c r="G150" s="32">
        <v>4.899305555555555</v>
      </c>
      <c r="H150" s="31">
        <v>44996</v>
      </c>
      <c r="I150" s="32">
        <v>4.302083333333334</v>
      </c>
      <c r="J150" s="33">
        <f>F150-H150</f>
      </c>
      <c r="K150" s="28">
        <v>36</v>
      </c>
      <c r="L150" s="28">
        <v>6</v>
      </c>
      <c r="M150" s="28">
        <v>1</v>
      </c>
      <c r="N150" s="34"/>
      <c r="O150" s="34"/>
      <c r="P150" s="34"/>
      <c r="Q150" s="34"/>
      <c r="R150" s="34"/>
      <c r="S150" s="56"/>
      <c r="T150" s="34"/>
      <c r="U150" s="34"/>
      <c r="V150" s="34"/>
      <c r="W150" s="29"/>
      <c r="X150" s="28">
        <v>30</v>
      </c>
      <c r="Y150" s="28">
        <v>1</v>
      </c>
      <c r="Z150" s="28">
        <v>1</v>
      </c>
      <c r="AA150" s="28">
        <v>3</v>
      </c>
      <c r="AB150" s="28">
        <v>1</v>
      </c>
      <c r="AC150" s="28">
        <v>3</v>
      </c>
      <c r="AD150" s="28">
        <v>3</v>
      </c>
      <c r="AE150" s="28">
        <v>4</v>
      </c>
      <c r="AF150" s="28">
        <v>2</v>
      </c>
      <c r="AG150" s="28">
        <v>2</v>
      </c>
      <c r="AH150" s="29" t="s">
        <v>3019</v>
      </c>
      <c r="AI150" s="36">
        <f>IF(OR(AND(K150&lt;32, J150&lt;2), O150=1, P150=1, Q150=1, R150=1, S150=1, T150=1, U150=1, AND(W150&lt;&gt;"", W150&lt;&gt;"Oxygen", W150&lt;&gt;"LowFlow")), "Intensive", "Intermediate")</f>
      </c>
      <c r="AJ150" s="57">
        <f>IF(OR(LEFT(AH150, 1)="X", LEFT(AH150, 1)="Y", LEFT(AH150, 3)="J19M"), "CUSM", "No Match")</f>
      </c>
      <c r="AK150" s="57">
        <f>IF(AND(OR(O150=3, P150=1, Q150=1, T150=1), AJ150="no Match"), "CUSM, CHU SJ, CHUQ", "")</f>
      </c>
      <c r="AL150" s="57">
        <f>IF(AND(O150=2, ISBLANK(P150), ISBLANK(Q150), ISBLANK(R150), ISBLANK(S150), ISBLANK(T150)), "CUSM, CHU SJ, CHUS, CHUQ", "")</f>
      </c>
      <c r="AM150" s="57">
        <f>IF(AND(AJ150="no match", AK150="", AL150="", K150&lt;26), "CUSM, CHU SJ, HGJ, CHUQ, CHUS", "")</f>
      </c>
      <c r="AN150" s="57">
        <f>IF(AND(AJ150="no match", AK150="", AL150="", K150&gt;26), "CUSM, CHU SJ, HGJ, CHUQ, CHUS, HMR", "")</f>
      </c>
    </row>
    <row x14ac:dyDescent="0.25" r="151" customHeight="1" ht="17.25">
      <c r="A151" s="41" t="s">
        <v>3020</v>
      </c>
      <c r="B151" s="28">
        <v>2</v>
      </c>
      <c r="C151" s="35">
        <v>779</v>
      </c>
      <c r="D151" s="29" t="s">
        <v>136</v>
      </c>
      <c r="E151" s="30" t="s">
        <v>54</v>
      </c>
      <c r="F151" s="31">
        <v>45003</v>
      </c>
      <c r="G151" s="32">
        <v>4.614583333333334</v>
      </c>
      <c r="H151" s="31">
        <v>45003</v>
      </c>
      <c r="I151" s="32">
        <v>4.395833333333334</v>
      </c>
      <c r="J151" s="33">
        <f>F151-H151</f>
      </c>
      <c r="K151" s="28">
        <v>38</v>
      </c>
      <c r="L151" s="28">
        <v>4</v>
      </c>
      <c r="M151" s="28">
        <v>1</v>
      </c>
      <c r="N151" s="28">
        <v>1</v>
      </c>
      <c r="O151" s="34"/>
      <c r="P151" s="28">
        <v>1</v>
      </c>
      <c r="Q151" s="34"/>
      <c r="R151" s="34"/>
      <c r="S151" s="56"/>
      <c r="T151" s="35">
        <v>1</v>
      </c>
      <c r="U151" s="35">
        <v>1</v>
      </c>
      <c r="V151" s="35">
        <v>1</v>
      </c>
      <c r="W151" s="29" t="s">
        <v>70</v>
      </c>
      <c r="X151" s="28">
        <v>32</v>
      </c>
      <c r="Y151" s="28">
        <v>1</v>
      </c>
      <c r="Z151" s="28">
        <v>1</v>
      </c>
      <c r="AA151" s="28">
        <v>1</v>
      </c>
      <c r="AB151" s="28">
        <v>1</v>
      </c>
      <c r="AC151" s="28">
        <v>2</v>
      </c>
      <c r="AD151" s="28">
        <v>2</v>
      </c>
      <c r="AE151" s="28">
        <v>3</v>
      </c>
      <c r="AF151" s="28">
        <v>2</v>
      </c>
      <c r="AG151" s="28">
        <v>2</v>
      </c>
      <c r="AH151" s="29" t="s">
        <v>3021</v>
      </c>
      <c r="AI151" s="36">
        <f>IF(OR(AND(K151&lt;32, J151&lt;2), O151=1, P151=1, Q151=1, R151=1, S151=1, T151=1, U151=1, AND(W151&lt;&gt;"", W151&lt;&gt;"Oxygen", W151&lt;&gt;"LowFlow")), "Intensive", "Intermediate")</f>
      </c>
      <c r="AJ151" s="57">
        <f>IF(OR(LEFT(AH151, 1)="X", LEFT(AH151, 1)="Y", LEFT(AH151, 3)="J20M"), "CUSM", "No Match")</f>
      </c>
      <c r="AK151" s="57">
        <f>IF(AND(OR(O151=3, P151=1, Q151=1, T151=1), AJ151="no Match"), "CUSM, CHU SJ, CHUQ", "")</f>
      </c>
      <c r="AL151" s="57">
        <f>IF(AND(O151=2, ISBLANK(P151), ISBLANK(Q151), ISBLANK(R151), ISBLANK(S151), ISBLANK(T151)), "CUSM, CHU SJ, CHUS, CHUQ", "")</f>
      </c>
      <c r="AM151" s="57">
        <f>IF(AND(AJ151="no match", AK151="", AL151="", K151&lt;26), "CUSM, CHU SJ, HGJ, CHUQ, CHUS", "")</f>
      </c>
      <c r="AN151" s="57">
        <f>IF(AND(AJ151="no match", AK151="", AL151="", K151&gt;26), "CUSM, CHU SJ, HGJ, CHUQ, CHUS, HMR", "")</f>
      </c>
    </row>
    <row x14ac:dyDescent="0.25" r="152" customHeight="1" ht="17.25">
      <c r="A152" s="41" t="s">
        <v>3022</v>
      </c>
      <c r="B152" s="28">
        <v>2</v>
      </c>
      <c r="C152" s="28">
        <v>782</v>
      </c>
      <c r="D152" s="29" t="s">
        <v>95</v>
      </c>
      <c r="E152" s="30" t="s">
        <v>50</v>
      </c>
      <c r="F152" s="31">
        <v>45004</v>
      </c>
      <c r="G152" s="32">
        <v>4.940972222222222</v>
      </c>
      <c r="H152" s="31">
        <v>45004</v>
      </c>
      <c r="I152" s="32">
        <v>4.725694444444445</v>
      </c>
      <c r="J152" s="33">
        <f>F152-H152</f>
      </c>
      <c r="K152" s="28">
        <v>41</v>
      </c>
      <c r="L152" s="28">
        <v>0</v>
      </c>
      <c r="M152" s="28">
        <v>1</v>
      </c>
      <c r="N152" s="34"/>
      <c r="O152" s="34"/>
      <c r="P152" s="34"/>
      <c r="Q152" s="34"/>
      <c r="R152" s="34"/>
      <c r="S152" s="56"/>
      <c r="T152" s="34"/>
      <c r="U152" s="34"/>
      <c r="V152" s="34"/>
      <c r="W152" s="29"/>
      <c r="X152" s="28">
        <v>29</v>
      </c>
      <c r="Y152" s="28">
        <v>1</v>
      </c>
      <c r="Z152" s="28">
        <v>1</v>
      </c>
      <c r="AA152" s="28">
        <v>3</v>
      </c>
      <c r="AB152" s="28">
        <v>1</v>
      </c>
      <c r="AC152" s="28">
        <v>2</v>
      </c>
      <c r="AD152" s="28">
        <v>2</v>
      </c>
      <c r="AE152" s="28">
        <v>4</v>
      </c>
      <c r="AF152" s="28">
        <v>3</v>
      </c>
      <c r="AG152" s="28">
        <v>2</v>
      </c>
      <c r="AH152" s="29" t="s">
        <v>154</v>
      </c>
      <c r="AI152" s="36">
        <f>IF(OR(AND(K152&lt;32, J152&lt;2), O152=1, P152=1, Q152=1, R152=1, S152=1, T152=1, U152=1, AND(W152&lt;&gt;"", W152&lt;&gt;"Oxygen", W152&lt;&gt;"LowFlow")), "Intensive", "Intermediate")</f>
      </c>
      <c r="AJ152" s="57">
        <f>IF(OR(LEFT(AH152, 1)="X", LEFT(AH152, 1)="Y", LEFT(AH152, 3)="J21M"), "CUSM", "No Match")</f>
      </c>
      <c r="AK152" s="57">
        <f>IF(AND(OR(O152=3, P152=1, Q152=1, T152=1), AJ152="no Match"), "CUSM, CHU SJ, CHUQ", "")</f>
      </c>
      <c r="AL152" s="57">
        <f>IF(AND(O152=2, ISBLANK(P152), ISBLANK(Q152), ISBLANK(R152), ISBLANK(S152), ISBLANK(T152)), "CUSM, CHU SJ, CHUS, CHUQ", "")</f>
      </c>
      <c r="AM152" s="57">
        <f>IF(AND(AJ152="no match", AK152="", AL152="", K152&lt;26), "CUSM, CHU SJ, HGJ, CHUQ, CHUS", "")</f>
      </c>
      <c r="AN152" s="57">
        <f>IF(AND(AJ152="no match", AK152="", AL152="", K152&gt;26), "CUSM, CHU SJ, HGJ, CHUQ, CHUS, HMR", "")</f>
      </c>
    </row>
    <row x14ac:dyDescent="0.25" r="153" customHeight="1" ht="17.25">
      <c r="A153" s="41" t="s">
        <v>3023</v>
      </c>
      <c r="B153" s="28">
        <v>2</v>
      </c>
      <c r="C153" s="35">
        <v>731</v>
      </c>
      <c r="D153" s="29" t="s">
        <v>103</v>
      </c>
      <c r="E153" s="30" t="s">
        <v>50</v>
      </c>
      <c r="F153" s="31">
        <v>45004</v>
      </c>
      <c r="G153" s="32">
        <v>4.795138888888889</v>
      </c>
      <c r="H153" s="31">
        <v>45002</v>
      </c>
      <c r="I153" s="32">
        <v>4.95625</v>
      </c>
      <c r="J153" s="33">
        <f>F153-H153</f>
      </c>
      <c r="K153" s="28">
        <v>34</v>
      </c>
      <c r="L153" s="28">
        <v>6</v>
      </c>
      <c r="M153" s="28">
        <v>1</v>
      </c>
      <c r="N153" s="34"/>
      <c r="O153" s="34"/>
      <c r="P153" s="34"/>
      <c r="Q153" s="34"/>
      <c r="R153" s="34"/>
      <c r="S153" s="56"/>
      <c r="T153" s="34"/>
      <c r="U153" s="34"/>
      <c r="V153" s="34"/>
      <c r="W153" s="29" t="s">
        <v>74</v>
      </c>
      <c r="X153" s="28">
        <v>25</v>
      </c>
      <c r="Y153" s="28">
        <v>1</v>
      </c>
      <c r="Z153" s="28">
        <v>1</v>
      </c>
      <c r="AA153" s="28">
        <v>3</v>
      </c>
      <c r="AB153" s="28">
        <v>1</v>
      </c>
      <c r="AC153" s="28">
        <v>1</v>
      </c>
      <c r="AD153" s="28">
        <v>2</v>
      </c>
      <c r="AE153" s="28">
        <v>4</v>
      </c>
      <c r="AF153" s="28">
        <v>3</v>
      </c>
      <c r="AG153" s="28">
        <v>2</v>
      </c>
      <c r="AH153" s="29" t="s">
        <v>3024</v>
      </c>
      <c r="AI153" s="36">
        <f>IF(OR(AND(K153&lt;32, J153&lt;2), O153=1, P153=1, Q153=1, R153=1, S153=1, T153=1, U153=1, AND(W153&lt;&gt;"", W153&lt;&gt;"Oxygen", W153&lt;&gt;"LowFlow")), "Intensive", "Intermediate")</f>
      </c>
      <c r="AJ153" s="57">
        <f>IF(OR(LEFT(AH153, 1)="X", LEFT(AH153, 1)="Y", LEFT(AH153, 3)="J22M"), "CUSM", "No Match")</f>
      </c>
      <c r="AK153" s="57">
        <f>IF(AND(OR(O153=3, P153=1, Q153=1, T153=1), AJ153="no Match"), "CUSM, CHU SJ, CHUQ", "")</f>
      </c>
      <c r="AL153" s="57">
        <f>IF(AND(O153=2, ISBLANK(P153), ISBLANK(Q153), ISBLANK(R153), ISBLANK(S153), ISBLANK(T153)), "CUSM, CHU SJ, CHUS, CHUQ", "")</f>
      </c>
      <c r="AM153" s="57">
        <f>IF(AND(AJ153="no match", AK153="", AL153="", K153&lt;26), "CUSM, CHU SJ, HGJ, CHUQ, CHUS", "")</f>
      </c>
      <c r="AN153" s="57">
        <f>IF(AND(AJ153="no match", AK153="", AL153="", K153&gt;26), "CUSM, CHU SJ, HGJ, CHUQ, CHUS, HMR", "")</f>
      </c>
    </row>
    <row x14ac:dyDescent="0.25" r="154" customHeight="1" ht="17.25">
      <c r="A154" s="41" t="s">
        <v>3025</v>
      </c>
      <c r="B154" s="28">
        <v>2</v>
      </c>
      <c r="C154" s="35">
        <v>796</v>
      </c>
      <c r="D154" s="29" t="s">
        <v>63</v>
      </c>
      <c r="E154" s="30" t="s">
        <v>78</v>
      </c>
      <c r="F154" s="31">
        <v>45005</v>
      </c>
      <c r="G154" s="32">
        <v>4.90625</v>
      </c>
      <c r="H154" s="31">
        <v>45005</v>
      </c>
      <c r="I154" s="32">
        <v>4.636805555555556</v>
      </c>
      <c r="J154" s="33">
        <f>F154-H154</f>
      </c>
      <c r="K154" s="28">
        <v>36</v>
      </c>
      <c r="L154" s="28">
        <v>0</v>
      </c>
      <c r="M154" s="28">
        <v>2</v>
      </c>
      <c r="N154" s="38"/>
      <c r="O154" s="34"/>
      <c r="P154" s="34"/>
      <c r="Q154" s="34"/>
      <c r="R154" s="34"/>
      <c r="S154" s="56"/>
      <c r="T154" s="34"/>
      <c r="U154" s="34"/>
      <c r="V154" s="34"/>
      <c r="W154" s="29" t="s">
        <v>58</v>
      </c>
      <c r="X154" s="28">
        <v>27</v>
      </c>
      <c r="Y154" s="28">
        <v>2</v>
      </c>
      <c r="Z154" s="28">
        <v>2</v>
      </c>
      <c r="AA154" s="28">
        <v>3</v>
      </c>
      <c r="AB154" s="28">
        <v>1</v>
      </c>
      <c r="AC154" s="28">
        <v>2</v>
      </c>
      <c r="AD154" s="28">
        <v>2</v>
      </c>
      <c r="AE154" s="28">
        <v>4</v>
      </c>
      <c r="AF154" s="28">
        <v>3</v>
      </c>
      <c r="AG154" s="28">
        <v>2</v>
      </c>
      <c r="AH154" s="29" t="s">
        <v>3026</v>
      </c>
      <c r="AI154" s="36">
        <f>IF(OR(AND(K154&lt;32, J154&lt;2), O154=1, P154=1, Q154=1, R154=1, S154=1, T154=1, U154=1, AND(W154&lt;&gt;"", W154&lt;&gt;"Oxygen", W154&lt;&gt;"LowFlow")), "Intensive", "Intermediate")</f>
      </c>
      <c r="AJ154" s="57">
        <f>IF(OR(LEFT(AH154, 1)="X", LEFT(AH154, 1)="Y", LEFT(AH154, 3)="J23M"), "CUSM", "No Match")</f>
      </c>
      <c r="AK154" s="57">
        <f>IF(AND(OR(O154=3, P154=1, Q154=1, T154=1), AJ154="no Match"), "CUSM, CHU SJ, CHUQ", "")</f>
      </c>
      <c r="AL154" s="57">
        <f>IF(AND(O154=2, ISBLANK(P154), ISBLANK(Q154), ISBLANK(R154), ISBLANK(S154), ISBLANK(T154)), "CUSM, CHU SJ, CHUS, CHUQ", "")</f>
      </c>
      <c r="AM154" s="57">
        <f>IF(AND(AJ154="no match", AK154="", AL154="", K154&lt;26), "CUSM, CHU SJ, HGJ, CHUQ, CHUS", "")</f>
      </c>
      <c r="AN154" s="57">
        <f>IF(AND(AJ154="no match", AK154="", AL154="", K154&gt;26), "CUSM, CHU SJ, HGJ, CHUQ, CHUS, HMR", "")</f>
      </c>
    </row>
    <row x14ac:dyDescent="0.25" r="155" customHeight="1" ht="17.25">
      <c r="A155" s="41" t="s">
        <v>3027</v>
      </c>
      <c r="B155" s="28">
        <v>2</v>
      </c>
      <c r="C155" s="35">
        <v>796</v>
      </c>
      <c r="D155" s="29" t="s">
        <v>63</v>
      </c>
      <c r="E155" s="30" t="s">
        <v>78</v>
      </c>
      <c r="F155" s="31">
        <v>45005</v>
      </c>
      <c r="G155" s="32">
        <v>4.9375</v>
      </c>
      <c r="H155" s="31">
        <v>45005</v>
      </c>
      <c r="I155" s="32">
        <v>4.645833333333334</v>
      </c>
      <c r="J155" s="33">
        <f>F155-H155</f>
      </c>
      <c r="K155" s="28">
        <v>36</v>
      </c>
      <c r="L155" s="28">
        <v>0</v>
      </c>
      <c r="M155" s="28">
        <v>1</v>
      </c>
      <c r="N155" s="38"/>
      <c r="O155" s="34"/>
      <c r="P155" s="34"/>
      <c r="Q155" s="34"/>
      <c r="R155" s="34"/>
      <c r="S155" s="56"/>
      <c r="T155" s="34"/>
      <c r="U155" s="34"/>
      <c r="V155" s="34"/>
      <c r="W155" s="29" t="s">
        <v>58</v>
      </c>
      <c r="X155" s="28">
        <v>27</v>
      </c>
      <c r="Y155" s="28">
        <v>2</v>
      </c>
      <c r="Z155" s="28">
        <v>1</v>
      </c>
      <c r="AA155" s="28">
        <v>3</v>
      </c>
      <c r="AB155" s="28">
        <v>4</v>
      </c>
      <c r="AC155" s="28">
        <v>2</v>
      </c>
      <c r="AD155" s="28">
        <v>2</v>
      </c>
      <c r="AE155" s="28">
        <v>4</v>
      </c>
      <c r="AF155" s="28">
        <v>2</v>
      </c>
      <c r="AG155" s="28">
        <v>2</v>
      </c>
      <c r="AH155" s="29" t="s">
        <v>3026</v>
      </c>
      <c r="AI155" s="36">
        <f>IF(OR(AND(K155&lt;32, J155&lt;2), O155=1, P155=1, Q155=1, R155=1, S155=1, T155=1, U155=1, AND(W155&lt;&gt;"", W155&lt;&gt;"Oxygen", W155&lt;&gt;"LowFlow")), "Intensive", "Intermediate")</f>
      </c>
      <c r="AJ155" s="57">
        <f>IF(OR(LEFT(AH155, 1)="X", LEFT(AH155, 1)="Y", LEFT(AH155, 3)="J24M"), "CUSM", "No Match")</f>
      </c>
      <c r="AK155" s="57">
        <f>IF(AND(OR(O155=3, P155=1, Q155=1, T155=1), AJ155="no Match"), "CUSM, CHU SJ, CHUQ", "")</f>
      </c>
      <c r="AL155" s="57">
        <f>IF(AND(O155=2, ISBLANK(P155), ISBLANK(Q155), ISBLANK(R155), ISBLANK(S155), ISBLANK(T155)), "CUSM, CHU SJ, CHUS, CHUQ", "")</f>
      </c>
      <c r="AM155" s="57">
        <f>IF(AND(AJ155="no match", AK155="", AL155="", K155&lt;26), "CUSM, CHU SJ, HGJ, CHUQ, CHUS", "")</f>
      </c>
      <c r="AN155" s="57">
        <f>IF(AND(AJ155="no match", AK155="", AL155="", K155&gt;26), "CUSM, CHU SJ, HGJ, CHUQ, CHUS, HMR", "")</f>
      </c>
    </row>
    <row x14ac:dyDescent="0.25" r="156" customHeight="1" ht="17.25">
      <c r="A156" s="41" t="s">
        <v>3028</v>
      </c>
      <c r="B156" s="28">
        <v>2</v>
      </c>
      <c r="C156" s="35">
        <v>756</v>
      </c>
      <c r="D156" s="29" t="s">
        <v>66</v>
      </c>
      <c r="E156" s="30" t="s">
        <v>50</v>
      </c>
      <c r="F156" s="31">
        <v>45005</v>
      </c>
      <c r="G156" s="32">
        <v>4.083333333333334</v>
      </c>
      <c r="H156" s="31">
        <v>45002</v>
      </c>
      <c r="I156" s="32">
        <v>4.356944444444444</v>
      </c>
      <c r="J156" s="33">
        <f>F156-H156</f>
      </c>
      <c r="K156" s="28">
        <v>37</v>
      </c>
      <c r="L156" s="28">
        <v>6</v>
      </c>
      <c r="M156" s="28">
        <v>2</v>
      </c>
      <c r="N156" s="34"/>
      <c r="O156" s="34"/>
      <c r="P156" s="34"/>
      <c r="Q156" s="34"/>
      <c r="R156" s="34"/>
      <c r="S156" s="56"/>
      <c r="T156" s="34"/>
      <c r="U156" s="34"/>
      <c r="V156" s="34"/>
      <c r="W156" s="29"/>
      <c r="X156" s="28">
        <v>36</v>
      </c>
      <c r="Y156" s="28">
        <v>1</v>
      </c>
      <c r="Z156" s="28">
        <v>2</v>
      </c>
      <c r="AA156" s="28">
        <v>3</v>
      </c>
      <c r="AB156" s="28">
        <v>1</v>
      </c>
      <c r="AC156" s="28">
        <v>2</v>
      </c>
      <c r="AD156" s="28">
        <v>1</v>
      </c>
      <c r="AE156" s="28">
        <v>4</v>
      </c>
      <c r="AF156" s="28">
        <v>3</v>
      </c>
      <c r="AG156" s="28">
        <v>2</v>
      </c>
      <c r="AH156" s="29" t="s">
        <v>3029</v>
      </c>
      <c r="AI156" s="36">
        <f>IF(OR(AND(K156&lt;32, J156&lt;2), O156=1, P156=1, Q156=1, R156=1, S156=1, T156=1, U156=1, AND(W156&lt;&gt;"", W156&lt;&gt;"Oxygen", W156&lt;&gt;"LowFlow")), "Intensive", "Intermediate")</f>
      </c>
      <c r="AJ156" s="57">
        <f>IF(OR(LEFT(AH156, 1)="X", LEFT(AH156, 1)="Y", LEFT(AH156, 3)="J25M"), "CUSM", "No Match")</f>
      </c>
      <c r="AK156" s="57">
        <f>IF(AND(OR(O156=3, P156=1, Q156=1, T156=1), AJ156="no Match"), "CUSM, CHU SJ, CHUQ", "")</f>
      </c>
      <c r="AL156" s="57">
        <f>IF(AND(O156=2, ISBLANK(P156), ISBLANK(Q156), ISBLANK(R156), ISBLANK(S156), ISBLANK(T156)), "CUSM, CHU SJ, CHUS, CHUQ", "")</f>
      </c>
      <c r="AM156" s="57">
        <f>IF(AND(AJ156="no match", AK156="", AL156="", K156&lt;26), "CUSM, CHU SJ, HGJ, CHUQ, CHUS", "")</f>
      </c>
      <c r="AN156" s="57">
        <f>IF(AND(AJ156="no match", AK156="", AL156="", K156&gt;26), "CUSM, CHU SJ, HGJ, CHUQ, CHUS, HMR", "")</f>
      </c>
    </row>
    <row x14ac:dyDescent="0.25" r="157" customHeight="1" ht="17.25">
      <c r="A157" s="41" t="s">
        <v>3030</v>
      </c>
      <c r="B157" s="28">
        <v>2</v>
      </c>
      <c r="C157" s="35">
        <v>825</v>
      </c>
      <c r="D157" s="29" t="s">
        <v>77</v>
      </c>
      <c r="E157" s="30" t="s">
        <v>54</v>
      </c>
      <c r="F157" s="31">
        <v>45007</v>
      </c>
      <c r="G157" s="32">
        <v>4.521527777777777</v>
      </c>
      <c r="H157" s="31">
        <v>45003</v>
      </c>
      <c r="I157" s="32">
        <v>4.285416666666666</v>
      </c>
      <c r="J157" s="33">
        <f>F157-H157</f>
      </c>
      <c r="K157" s="28">
        <v>41</v>
      </c>
      <c r="L157" s="28">
        <v>2</v>
      </c>
      <c r="M157" s="28">
        <v>1</v>
      </c>
      <c r="N157" s="35">
        <v>1</v>
      </c>
      <c r="O157" s="34"/>
      <c r="P157" s="34"/>
      <c r="Q157" s="34"/>
      <c r="R157" s="34"/>
      <c r="S157" s="56"/>
      <c r="T157" s="34"/>
      <c r="U157" s="34"/>
      <c r="V157" s="34"/>
      <c r="W157" s="29"/>
      <c r="X157" s="28">
        <v>33</v>
      </c>
      <c r="Y157" s="28">
        <v>1</v>
      </c>
      <c r="Z157" s="28">
        <v>1</v>
      </c>
      <c r="AA157" s="28">
        <v>2</v>
      </c>
      <c r="AB157" s="28">
        <v>1</v>
      </c>
      <c r="AC157" s="28">
        <v>2</v>
      </c>
      <c r="AD157" s="28">
        <v>2</v>
      </c>
      <c r="AE157" s="28">
        <v>4</v>
      </c>
      <c r="AF157" s="28">
        <v>2</v>
      </c>
      <c r="AG157" s="28">
        <v>2</v>
      </c>
      <c r="AH157" s="29" t="s">
        <v>3031</v>
      </c>
      <c r="AI157" s="36">
        <f>IF(OR(AND(K157&lt;32, J157&lt;2), O157=1, P157=1, Q157=1, R157=1, S157=1, T157=1, U157=1, AND(W157&lt;&gt;"", W157&lt;&gt;"Oxygen", W157&lt;&gt;"LowFlow")), "Intensive", "Intermediate")</f>
      </c>
      <c r="AJ157" s="57">
        <f>IF(OR(LEFT(AH157, 1)="X", LEFT(AH157, 1)="Y", LEFT(AH157, 3)="J26M"), "CUSM", "No Match")</f>
      </c>
      <c r="AK157" s="57">
        <f>IF(AND(OR(O157=3, P157=1, Q157=1, T157=1), AJ157="no Match"), "CUSM, CHU SJ, CHUQ", "")</f>
      </c>
      <c r="AL157" s="57">
        <f>IF(AND(O157=2, ISBLANK(P157), ISBLANK(Q157), ISBLANK(R157), ISBLANK(S157), ISBLANK(T157)), "CUSM, CHU SJ, CHUS, CHUQ", "")</f>
      </c>
      <c r="AM157" s="57">
        <f>IF(AND(AJ157="no match", AK157="", AL157="", K157&lt;26), "CUSM, CHU SJ, HGJ, CHUQ, CHUS", "")</f>
      </c>
      <c r="AN157" s="57">
        <f>IF(AND(AJ157="no match", AK157="", AL157="", K157&gt;26), "CUSM, CHU SJ, HGJ, CHUQ, CHUS, HMR", "")</f>
      </c>
    </row>
    <row x14ac:dyDescent="0.25" r="158" customHeight="1" ht="17.25">
      <c r="A158" s="41" t="s">
        <v>3032</v>
      </c>
      <c r="B158" s="28">
        <v>2</v>
      </c>
      <c r="C158" s="28">
        <v>782</v>
      </c>
      <c r="D158" s="29" t="s">
        <v>95</v>
      </c>
      <c r="E158" s="30" t="s">
        <v>50</v>
      </c>
      <c r="F158" s="31">
        <v>45008</v>
      </c>
      <c r="G158" s="32">
        <v>4.267361111111111</v>
      </c>
      <c r="H158" s="31">
        <v>45008</v>
      </c>
      <c r="I158" s="32">
        <v>4.061111111111111</v>
      </c>
      <c r="J158" s="33">
        <f>F158-H158</f>
      </c>
      <c r="K158" s="28">
        <v>38</v>
      </c>
      <c r="L158" s="28">
        <v>1</v>
      </c>
      <c r="M158" s="28">
        <v>1</v>
      </c>
      <c r="N158" s="35">
        <v>1</v>
      </c>
      <c r="O158" s="34"/>
      <c r="P158" s="35">
        <v>1</v>
      </c>
      <c r="Q158" s="34"/>
      <c r="R158" s="34"/>
      <c r="S158" s="56"/>
      <c r="T158" s="34"/>
      <c r="U158" s="34"/>
      <c r="V158" s="35">
        <v>1</v>
      </c>
      <c r="W158" s="29" t="s">
        <v>164</v>
      </c>
      <c r="X158" s="28">
        <v>27</v>
      </c>
      <c r="Y158" s="28">
        <v>1</v>
      </c>
      <c r="Z158" s="28">
        <v>1</v>
      </c>
      <c r="AA158" s="28">
        <v>1</v>
      </c>
      <c r="AB158" s="28">
        <v>1</v>
      </c>
      <c r="AC158" s="28">
        <v>2</v>
      </c>
      <c r="AD158" s="28">
        <v>2</v>
      </c>
      <c r="AE158" s="28">
        <v>4</v>
      </c>
      <c r="AF158" s="28">
        <v>3</v>
      </c>
      <c r="AG158" s="28">
        <v>2</v>
      </c>
      <c r="AH158" s="29" t="s">
        <v>205</v>
      </c>
      <c r="AI158" s="36">
        <f>IF(OR(AND(K158&lt;32, J158&lt;2), O158=1, P158=1, Q158=1, R158=1, S158=1, T158=1, U158=1, AND(W158&lt;&gt;"", W158&lt;&gt;"Oxygen", W158&lt;&gt;"LowFlow")), "Intensive", "Intermediate")</f>
      </c>
      <c r="AJ158" s="57">
        <f>IF(OR(LEFT(AH158, 1)="X", LEFT(AH158, 1)="Y", LEFT(AH158, 3)="J27M"), "CUSM", "No Match")</f>
      </c>
      <c r="AK158" s="57">
        <f>IF(AND(OR(O158=3, P158=1, Q158=1, T158=1), AJ158="no Match"), "CUSM, CHU SJ, CHUQ", "")</f>
      </c>
      <c r="AL158" s="57">
        <f>IF(AND(O158=2, ISBLANK(P158), ISBLANK(Q158), ISBLANK(R158), ISBLANK(S158), ISBLANK(T158)), "CUSM, CHU SJ, CHUS, CHUQ", "")</f>
      </c>
      <c r="AM158" s="57">
        <f>IF(AND(AJ158="no match", AK158="", AL158="", K158&lt;26), "CUSM, CHU SJ, HGJ, CHUQ, CHUS", "")</f>
      </c>
      <c r="AN158" s="57">
        <f>IF(AND(AJ158="no match", AK158="", AL158="", K158&gt;26), "CUSM, CHU SJ, HGJ, CHUQ, CHUS, HMR", "")</f>
      </c>
    </row>
    <row x14ac:dyDescent="0.25" r="159" customHeight="1" ht="17.25">
      <c r="A159" s="41" t="s">
        <v>3033</v>
      </c>
      <c r="B159" s="28">
        <v>2</v>
      </c>
      <c r="C159" s="28">
        <v>730</v>
      </c>
      <c r="D159" s="29" t="s">
        <v>81</v>
      </c>
      <c r="E159" s="30" t="s">
        <v>50</v>
      </c>
      <c r="F159" s="31">
        <v>45008</v>
      </c>
      <c r="G159" s="32">
        <v>4.628472222222222</v>
      </c>
      <c r="H159" s="31">
        <v>45005</v>
      </c>
      <c r="I159" s="32">
        <v>4.090972222222222</v>
      </c>
      <c r="J159" s="33">
        <f>F159-H159</f>
      </c>
      <c r="K159" s="28">
        <v>38</v>
      </c>
      <c r="L159" s="28">
        <v>0</v>
      </c>
      <c r="M159" s="28">
        <v>1</v>
      </c>
      <c r="N159" s="34"/>
      <c r="O159" s="34"/>
      <c r="P159" s="34"/>
      <c r="Q159" s="34"/>
      <c r="R159" s="34"/>
      <c r="S159" s="56"/>
      <c r="T159" s="34"/>
      <c r="U159" s="34"/>
      <c r="V159" s="34"/>
      <c r="W159" s="29"/>
      <c r="X159" s="28">
        <v>24</v>
      </c>
      <c r="Y159" s="28">
        <v>1</v>
      </c>
      <c r="Z159" s="28">
        <v>1</v>
      </c>
      <c r="AA159" s="28">
        <v>3</v>
      </c>
      <c r="AB159" s="28">
        <v>2</v>
      </c>
      <c r="AC159" s="28">
        <v>2</v>
      </c>
      <c r="AD159" s="28">
        <v>2</v>
      </c>
      <c r="AE159" s="28">
        <v>2</v>
      </c>
      <c r="AF159" s="28">
        <v>3</v>
      </c>
      <c r="AG159" s="28">
        <v>2</v>
      </c>
      <c r="AH159" s="29" t="s">
        <v>3034</v>
      </c>
      <c r="AI159" s="36">
        <f>IF(OR(AND(K159&lt;32, J159&lt;2), O159=1, P159=1, Q159=1, R159=1, S159=1, T159=1, U159=1, AND(W159&lt;&gt;"", W159&lt;&gt;"Oxygen", W159&lt;&gt;"LowFlow")), "Intensive", "Intermediate")</f>
      </c>
      <c r="AJ159" s="57">
        <f>IF(OR(LEFT(AH159, 1)="X", LEFT(AH159, 1)="Y", LEFT(AH159, 3)="J28M"), "CUSM", "No Match")</f>
      </c>
      <c r="AK159" s="57">
        <f>IF(AND(OR(O159=3, P159=1, Q159=1, T159=1), AJ159="no Match"), "CUSM, CHU SJ, CHUQ", "")</f>
      </c>
      <c r="AL159" s="57">
        <f>IF(AND(O159=2, ISBLANK(P159), ISBLANK(Q159), ISBLANK(R159), ISBLANK(S159), ISBLANK(T159)), "CUSM, CHU SJ, CHUS, CHUQ", "")</f>
      </c>
      <c r="AM159" s="57">
        <f>IF(AND(AJ159="no match", AK159="", AL159="", K159&lt;26), "CUSM, CHU SJ, HGJ, CHUQ, CHUS", "")</f>
      </c>
      <c r="AN159" s="57">
        <f>IF(AND(AJ159="no match", AK159="", AL159="", K159&gt;26), "CUSM, CHU SJ, HGJ, CHUQ, CHUS, HMR", "")</f>
      </c>
    </row>
    <row x14ac:dyDescent="0.25" r="160" customHeight="1" ht="17.25">
      <c r="A160" s="41" t="s">
        <v>3035</v>
      </c>
      <c r="B160" s="28">
        <v>2</v>
      </c>
      <c r="C160" s="35">
        <v>831</v>
      </c>
      <c r="D160" s="29" t="s">
        <v>313</v>
      </c>
      <c r="E160" s="30" t="s">
        <v>54</v>
      </c>
      <c r="F160" s="31">
        <v>45009</v>
      </c>
      <c r="G160" s="32">
        <v>4.677083333333334</v>
      </c>
      <c r="H160" s="31">
        <v>45005</v>
      </c>
      <c r="I160" s="32">
        <v>4.6715277777777775</v>
      </c>
      <c r="J160" s="33">
        <f>F160-H160</f>
      </c>
      <c r="K160" s="28">
        <v>38</v>
      </c>
      <c r="L160" s="28">
        <v>6</v>
      </c>
      <c r="M160" s="28">
        <v>2</v>
      </c>
      <c r="N160" s="38"/>
      <c r="O160" s="34"/>
      <c r="P160" s="38"/>
      <c r="Q160" s="34"/>
      <c r="R160" s="34"/>
      <c r="S160" s="56"/>
      <c r="T160" s="34"/>
      <c r="U160" s="34"/>
      <c r="V160" s="34"/>
      <c r="W160" s="29"/>
      <c r="X160" s="28">
        <v>26</v>
      </c>
      <c r="Y160" s="28">
        <v>1</v>
      </c>
      <c r="Z160" s="28">
        <v>1</v>
      </c>
      <c r="AA160" s="28">
        <v>2</v>
      </c>
      <c r="AB160" s="28">
        <v>1</v>
      </c>
      <c r="AC160" s="28">
        <v>2</v>
      </c>
      <c r="AD160" s="28">
        <v>2</v>
      </c>
      <c r="AE160" s="28">
        <v>4</v>
      </c>
      <c r="AF160" s="28">
        <v>2</v>
      </c>
      <c r="AG160" s="28">
        <v>2</v>
      </c>
      <c r="AH160" s="29" t="s">
        <v>3036</v>
      </c>
      <c r="AI160" s="36">
        <f>IF(OR(AND(K160&lt;32, J160&lt;2), O160=1, P160=1, Q160=1, R160=1, S160=1, T160=1, U160=1, AND(W160&lt;&gt;"", W160&lt;&gt;"Oxygen", W160&lt;&gt;"LowFlow")), "Intensive", "Intermediate")</f>
      </c>
      <c r="AJ160" s="57">
        <f>IF(OR(LEFT(AH160, 1)="X", LEFT(AH160, 1)="Y", LEFT(AH160, 3)="J29M"), "CUSM", "No Match")</f>
      </c>
      <c r="AK160" s="57">
        <f>IF(AND(OR(O160=3, P160=1, Q160=1, T160=1), AJ160="no Match"), "CUSM, CHU SJ, CHUQ", "")</f>
      </c>
      <c r="AL160" s="57">
        <f>IF(AND(O160=2, ISBLANK(P160), ISBLANK(Q160), ISBLANK(R160), ISBLANK(S160), ISBLANK(T160)), "CUSM, CHU SJ, CHUS, CHUQ", "")</f>
      </c>
      <c r="AM160" s="57">
        <f>IF(AND(AJ160="no match", AK160="", AL160="", K160&lt;26), "CUSM, CHU SJ, HGJ, CHUQ, CHUS", "")</f>
      </c>
      <c r="AN160" s="57">
        <f>IF(AND(AJ160="no match", AK160="", AL160="", K160&gt;26), "CUSM, CHU SJ, HGJ, CHUQ, CHUS, HMR", "")</f>
      </c>
    </row>
    <row x14ac:dyDescent="0.25" r="161" customHeight="1" ht="17.25">
      <c r="A161" s="41" t="s">
        <v>3037</v>
      </c>
      <c r="B161" s="28">
        <v>2</v>
      </c>
      <c r="C161" s="35">
        <v>779</v>
      </c>
      <c r="D161" s="29" t="s">
        <v>136</v>
      </c>
      <c r="E161" s="30" t="s">
        <v>50</v>
      </c>
      <c r="F161" s="31">
        <v>45009</v>
      </c>
      <c r="G161" s="32">
        <v>4.14375</v>
      </c>
      <c r="H161" s="31">
        <v>45008</v>
      </c>
      <c r="I161" s="32">
        <v>4.958333333333334</v>
      </c>
      <c r="J161" s="33">
        <f>F161-H161</f>
      </c>
      <c r="K161" s="28">
        <v>38</v>
      </c>
      <c r="L161" s="28">
        <v>4</v>
      </c>
      <c r="M161" s="28">
        <v>1</v>
      </c>
      <c r="N161" s="34"/>
      <c r="O161" s="34"/>
      <c r="P161" s="34"/>
      <c r="Q161" s="34"/>
      <c r="R161" s="34"/>
      <c r="S161" s="56"/>
      <c r="T161" s="35">
        <v>1</v>
      </c>
      <c r="U161" s="34"/>
      <c r="V161" s="34"/>
      <c r="W161" s="29"/>
      <c r="X161" s="28">
        <v>30</v>
      </c>
      <c r="Y161" s="28">
        <v>1</v>
      </c>
      <c r="Z161" s="28">
        <v>1</v>
      </c>
      <c r="AA161" s="28">
        <v>2</v>
      </c>
      <c r="AB161" s="28">
        <v>1</v>
      </c>
      <c r="AC161" s="28">
        <v>1</v>
      </c>
      <c r="AD161" s="28">
        <v>2</v>
      </c>
      <c r="AE161" s="28">
        <v>1</v>
      </c>
      <c r="AF161" s="34"/>
      <c r="AG161" s="28">
        <v>2</v>
      </c>
      <c r="AH161" s="29" t="s">
        <v>3038</v>
      </c>
      <c r="AI161" s="36">
        <f>IF(OR(AND(K161&lt;32, J161&lt;2), O161=1, P161=1, Q161=1, R161=1, S161=1, T161=1, U161=1, AND(W161&lt;&gt;"", W161&lt;&gt;"Oxygen", W161&lt;&gt;"LowFlow")), "Intensive", "Intermediate")</f>
      </c>
      <c r="AJ161" s="57">
        <f>IF(OR(LEFT(AH161, 1)="X", LEFT(AH161, 1)="Y", LEFT(AH161, 3)="J30M"), "CUSM", "No Match")</f>
      </c>
      <c r="AK161" s="57">
        <f>IF(AND(OR(O161=3, P161=1, Q161=1, T161=1), AJ161="no Match"), "CUSM, CHU SJ, CHUQ", "")</f>
      </c>
      <c r="AL161" s="57">
        <f>IF(AND(O161=2, ISBLANK(P161), ISBLANK(Q161), ISBLANK(R161), ISBLANK(S161), ISBLANK(T161)), "CUSM, CHU SJ, CHUS, CHUQ", "")</f>
      </c>
      <c r="AM161" s="57">
        <f>IF(AND(AJ161="no match", AK161="", AL161="", K161&lt;26), "CUSM, CHU SJ, HGJ, CHUQ, CHUS", "")</f>
      </c>
      <c r="AN161" s="57">
        <f>IF(AND(AJ161="no match", AK161="", AL161="", K161&gt;26), "CUSM, CHU SJ, HGJ, CHUQ, CHUS, HMR", "")</f>
      </c>
    </row>
    <row x14ac:dyDescent="0.25" r="162" customHeight="1" ht="17.25">
      <c r="A162" s="41" t="s">
        <v>3039</v>
      </c>
      <c r="B162" s="28">
        <v>2</v>
      </c>
      <c r="C162" s="35">
        <v>730</v>
      </c>
      <c r="D162" s="29" t="s">
        <v>81</v>
      </c>
      <c r="E162" s="30" t="s">
        <v>50</v>
      </c>
      <c r="F162" s="31">
        <v>45009</v>
      </c>
      <c r="G162" s="32">
        <v>4.548611111111111</v>
      </c>
      <c r="H162" s="31">
        <v>45008</v>
      </c>
      <c r="I162" s="32">
        <v>4.98125</v>
      </c>
      <c r="J162" s="33">
        <f>F162-H162</f>
      </c>
      <c r="K162" s="28">
        <v>38</v>
      </c>
      <c r="L162" s="28">
        <v>5</v>
      </c>
      <c r="M162" s="28">
        <v>2</v>
      </c>
      <c r="N162" s="38"/>
      <c r="O162" s="38"/>
      <c r="P162" s="38"/>
      <c r="Q162" s="34"/>
      <c r="R162" s="34"/>
      <c r="S162" s="56"/>
      <c r="T162" s="34"/>
      <c r="U162" s="34"/>
      <c r="V162" s="34"/>
      <c r="W162" s="29" t="s">
        <v>58</v>
      </c>
      <c r="X162" s="28">
        <v>28</v>
      </c>
      <c r="Y162" s="28">
        <v>1</v>
      </c>
      <c r="Z162" s="28">
        <v>1</v>
      </c>
      <c r="AA162" s="28">
        <v>2</v>
      </c>
      <c r="AB162" s="28">
        <v>1</v>
      </c>
      <c r="AC162" s="28">
        <v>2</v>
      </c>
      <c r="AD162" s="28">
        <v>2</v>
      </c>
      <c r="AE162" s="28">
        <v>2</v>
      </c>
      <c r="AF162" s="28">
        <v>2</v>
      </c>
      <c r="AG162" s="28">
        <v>2</v>
      </c>
      <c r="AH162" s="29" t="s">
        <v>3040</v>
      </c>
      <c r="AI162" s="36">
        <f>IF(OR(AND(K162&lt;32, J162&lt;2), O162=1, P162=1, Q162=1, R162=1, S162=1, T162=1, U162=1, AND(W162&lt;&gt;"", W162&lt;&gt;"Oxygen", W162&lt;&gt;"LowFlow")), "Intensive", "Intermediate")</f>
      </c>
      <c r="AJ162" s="57">
        <f>IF(OR(LEFT(AH162, 1)="X", LEFT(AH162, 1)="Y", LEFT(AH162, 3)="J31M"), "CUSM", "No Match")</f>
      </c>
      <c r="AK162" s="57">
        <f>IF(AND(OR(O162=3, P162=1, Q162=1, T162=1), AJ162="no Match"), "CUSM, CHU SJ, CHUQ", "")</f>
      </c>
      <c r="AL162" s="57">
        <f>IF(AND(O162=2, ISBLANK(P162), ISBLANK(Q162), ISBLANK(R162), ISBLANK(S162), ISBLANK(T162)), "CUSM, CHU SJ, CHUS, CHUQ", "")</f>
      </c>
      <c r="AM162" s="57">
        <f>IF(AND(AJ162="no match", AK162="", AL162="", K162&lt;26), "CUSM, CHU SJ, HGJ, CHUQ, CHUS", "")</f>
      </c>
      <c r="AN162" s="57">
        <f>IF(AND(AJ162="no match", AK162="", AL162="", K162&gt;26), "CUSM, CHU SJ, HGJ, CHUQ, CHUS, HMR", "")</f>
      </c>
    </row>
    <row x14ac:dyDescent="0.25" r="163" customHeight="1" ht="17.25">
      <c r="A163" s="41" t="s">
        <v>3041</v>
      </c>
      <c r="B163" s="28">
        <v>2</v>
      </c>
      <c r="C163" s="35">
        <v>733</v>
      </c>
      <c r="D163" s="29" t="s">
        <v>433</v>
      </c>
      <c r="E163" s="30" t="s">
        <v>54</v>
      </c>
      <c r="F163" s="31">
        <v>45010</v>
      </c>
      <c r="G163" s="32">
        <v>4.135416666666666</v>
      </c>
      <c r="H163" s="31">
        <v>45010</v>
      </c>
      <c r="I163" s="32">
        <v>4.041666666666666</v>
      </c>
      <c r="J163" s="33">
        <f>F163-H163</f>
      </c>
      <c r="K163" s="28">
        <v>30</v>
      </c>
      <c r="L163" s="28">
        <v>5</v>
      </c>
      <c r="M163" s="28">
        <v>2</v>
      </c>
      <c r="N163" s="38"/>
      <c r="O163" s="34"/>
      <c r="P163" s="38"/>
      <c r="Q163" s="34"/>
      <c r="R163" s="34"/>
      <c r="S163" s="56"/>
      <c r="T163" s="34"/>
      <c r="U163" s="34"/>
      <c r="V163" s="34"/>
      <c r="W163" s="29" t="s">
        <v>58</v>
      </c>
      <c r="X163" s="28">
        <v>31</v>
      </c>
      <c r="Y163" s="28">
        <v>1</v>
      </c>
      <c r="Z163" s="28">
        <v>2</v>
      </c>
      <c r="AA163" s="28">
        <v>3</v>
      </c>
      <c r="AB163" s="28">
        <v>3</v>
      </c>
      <c r="AC163" s="28">
        <v>3</v>
      </c>
      <c r="AD163" s="28">
        <v>3</v>
      </c>
      <c r="AE163" s="28">
        <v>4</v>
      </c>
      <c r="AF163" s="35">
        <v>3</v>
      </c>
      <c r="AG163" s="28">
        <v>2</v>
      </c>
      <c r="AH163" s="29" t="s">
        <v>3042</v>
      </c>
      <c r="AI163" s="36">
        <f>IF(OR(AND(K163&lt;32, J163&lt;2), O163=1, P163=1, Q163=1, R163=1, S163=1, T163=1, U163=1, AND(W163&lt;&gt;"", W163&lt;&gt;"Oxygen", W163&lt;&gt;"LowFlow")), "Intensive", "Intermediate")</f>
      </c>
      <c r="AJ163" s="57">
        <f>IF(OR(LEFT(AH163, 1)="X", LEFT(AH163, 1)="Y", LEFT(AH163, 3)="J32M"), "CUSM", "No Match")</f>
      </c>
      <c r="AK163" s="57">
        <f>IF(AND(OR(O163=3, P163=1, Q163=1, T163=1), AJ163="no Match"), "CUSM, CHU SJ, CHUQ", "")</f>
      </c>
      <c r="AL163" s="57">
        <f>IF(AND(O163=2, ISBLANK(P163), ISBLANK(Q163), ISBLANK(R163), ISBLANK(S163), ISBLANK(T163)), "CUSM, CHU SJ, CHUS, CHUQ", "")</f>
      </c>
      <c r="AM163" s="57">
        <f>IF(AND(AJ163="no match", AK163="", AL163="", K163&lt;26), "CUSM, CHU SJ, HGJ, CHUQ, CHUS", "")</f>
      </c>
      <c r="AN163" s="57">
        <f>IF(AND(AJ163="no match", AK163="", AL163="", K163&gt;26), "CUSM, CHU SJ, HGJ, CHUQ, CHUS, HMR", "")</f>
      </c>
    </row>
    <row x14ac:dyDescent="0.25" r="164" customHeight="1" ht="17.25">
      <c r="A164" s="41" t="s">
        <v>3043</v>
      </c>
      <c r="B164" s="28">
        <v>2</v>
      </c>
      <c r="C164" s="28">
        <v>820</v>
      </c>
      <c r="D164" s="29" t="s">
        <v>69</v>
      </c>
      <c r="E164" s="30" t="s">
        <v>50</v>
      </c>
      <c r="F164" s="31">
        <v>45010</v>
      </c>
      <c r="G164" s="32">
        <v>4.847222222222222</v>
      </c>
      <c r="H164" s="31">
        <v>45010</v>
      </c>
      <c r="I164" s="32">
        <v>4.581944444444444</v>
      </c>
      <c r="J164" s="33">
        <f>F164-H164</f>
      </c>
      <c r="K164" s="28">
        <v>37</v>
      </c>
      <c r="L164" s="28">
        <v>0</v>
      </c>
      <c r="M164" s="28">
        <v>1</v>
      </c>
      <c r="N164" s="38"/>
      <c r="O164" s="34"/>
      <c r="P164" s="34"/>
      <c r="Q164" s="34"/>
      <c r="R164" s="34"/>
      <c r="S164" s="56"/>
      <c r="T164" s="34"/>
      <c r="U164" s="34"/>
      <c r="V164" s="34"/>
      <c r="W164" s="29" t="s">
        <v>74</v>
      </c>
      <c r="X164" s="28">
        <v>32</v>
      </c>
      <c r="Y164" s="28">
        <v>1</v>
      </c>
      <c r="Z164" s="28">
        <v>1</v>
      </c>
      <c r="AA164" s="28">
        <v>3</v>
      </c>
      <c r="AB164" s="28">
        <v>1</v>
      </c>
      <c r="AC164" s="28">
        <v>1</v>
      </c>
      <c r="AD164" s="28">
        <v>2</v>
      </c>
      <c r="AE164" s="28">
        <v>4</v>
      </c>
      <c r="AF164" s="28">
        <v>3</v>
      </c>
      <c r="AG164" s="28">
        <v>2</v>
      </c>
      <c r="AH164" s="29" t="s">
        <v>839</v>
      </c>
      <c r="AI164" s="36">
        <f>IF(OR(AND(K164&lt;32, J164&lt;2), O164=1, P164=1, Q164=1, R164=1, S164=1, T164=1, U164=1, AND(W164&lt;&gt;"", W164&lt;&gt;"Oxygen", W164&lt;&gt;"LowFlow")), "Intensive", "Intermediate")</f>
      </c>
      <c r="AJ164" s="57">
        <f>IF(OR(LEFT(AH164, 1)="X", LEFT(AH164, 1)="Y", LEFT(AH164, 3)="J33M"), "CUSM", "No Match")</f>
      </c>
      <c r="AK164" s="57">
        <f>IF(AND(OR(O164=3, P164=1, Q164=1, T164=1), AJ164="no Match"), "CUSM, CHU SJ, CHUQ", "")</f>
      </c>
      <c r="AL164" s="57">
        <f>IF(AND(O164=2, ISBLANK(P164), ISBLANK(Q164), ISBLANK(R164), ISBLANK(S164), ISBLANK(T164)), "CUSM, CHU SJ, CHUS, CHUQ", "")</f>
      </c>
      <c r="AM164" s="57">
        <f>IF(AND(AJ164="no match", AK164="", AL164="", K164&lt;26), "CUSM, CHU SJ, HGJ, CHUQ, CHUS", "")</f>
      </c>
      <c r="AN164" s="57">
        <f>IF(AND(AJ164="no match", AK164="", AL164="", K164&gt;26), "CUSM, CHU SJ, HGJ, CHUQ, CHUS, HMR", "")</f>
      </c>
    </row>
    <row x14ac:dyDescent="0.25" r="165" customHeight="1" ht="17.25">
      <c r="A165" s="41" t="s">
        <v>3044</v>
      </c>
      <c r="B165" s="28">
        <v>2</v>
      </c>
      <c r="C165" s="35">
        <v>825</v>
      </c>
      <c r="D165" s="29" t="s">
        <v>77</v>
      </c>
      <c r="E165" s="30" t="s">
        <v>50</v>
      </c>
      <c r="F165" s="31">
        <v>45010</v>
      </c>
      <c r="G165" s="32">
        <v>4.643055555555556</v>
      </c>
      <c r="H165" s="31">
        <v>45010</v>
      </c>
      <c r="I165" s="32">
        <v>4.058333333333334</v>
      </c>
      <c r="J165" s="33">
        <f>F165-H165</f>
      </c>
      <c r="K165" s="28">
        <v>39</v>
      </c>
      <c r="L165" s="28">
        <v>5</v>
      </c>
      <c r="M165" s="28">
        <v>2</v>
      </c>
      <c r="N165" s="34"/>
      <c r="O165" s="34"/>
      <c r="P165" s="34"/>
      <c r="Q165" s="34"/>
      <c r="R165" s="34"/>
      <c r="S165" s="56"/>
      <c r="T165" s="34"/>
      <c r="U165" s="34"/>
      <c r="V165" s="38"/>
      <c r="W165" s="29"/>
      <c r="X165" s="28">
        <v>36</v>
      </c>
      <c r="Y165" s="28">
        <v>1</v>
      </c>
      <c r="Z165" s="28">
        <v>1</v>
      </c>
      <c r="AA165" s="28">
        <v>1</v>
      </c>
      <c r="AB165" s="28">
        <v>1</v>
      </c>
      <c r="AC165" s="28">
        <v>2</v>
      </c>
      <c r="AD165" s="28">
        <v>1</v>
      </c>
      <c r="AE165" s="28">
        <v>4</v>
      </c>
      <c r="AF165" s="35">
        <v>3</v>
      </c>
      <c r="AG165" s="28">
        <v>2</v>
      </c>
      <c r="AH165" s="29" t="s">
        <v>3045</v>
      </c>
      <c r="AI165" s="36">
        <f>IF(OR(AND(K165&lt;32, J165&lt;2), O165=1, P165=1, Q165=1, R165=1, S165=1, T165=1, U165=1, AND(W165&lt;&gt;"", W165&lt;&gt;"Oxygen", W165&lt;&gt;"LowFlow")), "Intensive", "Intermediate")</f>
      </c>
      <c r="AJ165" s="57">
        <f>IF(OR(LEFT(AH165, 1)="X", LEFT(AH165, 1)="Y", LEFT(AH165, 3)="J34M"), "CUSM", "No Match")</f>
      </c>
      <c r="AK165" s="57">
        <f>IF(AND(OR(O165=3, P165=1, Q165=1, T165=1), AJ165="no Match"), "CUSM, CHU SJ, CHUQ", "")</f>
      </c>
      <c r="AL165" s="57">
        <f>IF(AND(O165=2, ISBLANK(P165), ISBLANK(Q165), ISBLANK(R165), ISBLANK(S165), ISBLANK(T165)), "CUSM, CHU SJ, CHUS, CHUQ", "")</f>
      </c>
      <c r="AM165" s="57">
        <f>IF(AND(AJ165="no match", AK165="", AL165="", K165&lt;26), "CUSM, CHU SJ, HGJ, CHUQ, CHUS", "")</f>
      </c>
      <c r="AN165" s="57">
        <f>IF(AND(AJ165="no match", AK165="", AL165="", K165&gt;26), "CUSM, CHU SJ, HGJ, CHUQ, CHUS, HMR", "")</f>
      </c>
    </row>
    <row x14ac:dyDescent="0.25" r="166" customHeight="1" ht="17.25">
      <c r="A166" s="41" t="s">
        <v>3046</v>
      </c>
      <c r="B166" s="28">
        <v>2</v>
      </c>
      <c r="C166" s="28">
        <v>768</v>
      </c>
      <c r="D166" s="29" t="s">
        <v>160</v>
      </c>
      <c r="E166" s="30" t="s">
        <v>118</v>
      </c>
      <c r="F166" s="31">
        <v>45013</v>
      </c>
      <c r="G166" s="32">
        <v>4.381944444444445</v>
      </c>
      <c r="H166" s="31">
        <v>45013</v>
      </c>
      <c r="I166" s="32">
        <v>4.219444444444445</v>
      </c>
      <c r="J166" s="33">
        <f>F166-H166</f>
      </c>
      <c r="K166" s="28">
        <v>30</v>
      </c>
      <c r="L166" s="28">
        <v>6</v>
      </c>
      <c r="M166" s="28">
        <v>2</v>
      </c>
      <c r="N166" s="38"/>
      <c r="O166" s="34"/>
      <c r="P166" s="38"/>
      <c r="Q166" s="34"/>
      <c r="R166" s="34"/>
      <c r="S166" s="56"/>
      <c r="T166" s="34"/>
      <c r="U166" s="38"/>
      <c r="V166" s="38"/>
      <c r="W166" s="29" t="s">
        <v>58</v>
      </c>
      <c r="X166" s="28">
        <v>31</v>
      </c>
      <c r="Y166" s="28">
        <v>1</v>
      </c>
      <c r="Z166" s="28">
        <v>2</v>
      </c>
      <c r="AA166" s="28">
        <v>3</v>
      </c>
      <c r="AB166" s="28">
        <v>1</v>
      </c>
      <c r="AC166" s="28">
        <v>2</v>
      </c>
      <c r="AD166" s="28">
        <v>1</v>
      </c>
      <c r="AE166" s="28">
        <v>4</v>
      </c>
      <c r="AF166" s="28">
        <v>3</v>
      </c>
      <c r="AG166" s="28">
        <v>2</v>
      </c>
      <c r="AH166" s="29" t="s">
        <v>3047</v>
      </c>
      <c r="AI166" s="36">
        <f>IF(OR(AND(K166&lt;32, J166&lt;2), O166=1, P166=1, Q166=1, R166=1, S166=1, T166=1, U166=1, AND(W166&lt;&gt;"", W166&lt;&gt;"Oxygen", W166&lt;&gt;"LowFlow")), "Intensive", "Intermediate")</f>
      </c>
      <c r="AJ166" s="57">
        <f>IF(OR(LEFT(AH166, 1)="X", LEFT(AH166, 1)="Y", LEFT(AH166, 3)="J35M"), "CUSM", "No Match")</f>
      </c>
      <c r="AK166" s="57">
        <f>IF(AND(OR(O166=3, P166=1, Q166=1, T166=1), AJ166="no Match"), "CUSM, CHU SJ, CHUQ", "")</f>
      </c>
      <c r="AL166" s="57">
        <f>IF(AND(O166=2, ISBLANK(P166), ISBLANK(Q166), ISBLANK(R166), ISBLANK(S166), ISBLANK(T166)), "CUSM, CHU SJ, CHUS, CHUQ", "")</f>
      </c>
      <c r="AM166" s="57">
        <f>IF(AND(AJ166="no match", AK166="", AL166="", K166&lt;26), "CUSM, CHU SJ, HGJ, CHUQ, CHUS", "")</f>
      </c>
      <c r="AN166" s="57">
        <f>IF(AND(AJ166="no match", AK166="", AL166="", K166&gt;26), "CUSM, CHU SJ, HGJ, CHUQ, CHUS, HMR", "")</f>
      </c>
    </row>
    <row x14ac:dyDescent="0.25" r="167" customHeight="1" ht="17.25">
      <c r="A167" s="41" t="s">
        <v>3048</v>
      </c>
      <c r="B167" s="28">
        <v>2</v>
      </c>
      <c r="C167" s="35">
        <v>835</v>
      </c>
      <c r="D167" s="29" t="s">
        <v>170</v>
      </c>
      <c r="E167" s="30" t="s">
        <v>50</v>
      </c>
      <c r="F167" s="31">
        <v>45013</v>
      </c>
      <c r="G167" s="32">
        <v>4.213888888888889</v>
      </c>
      <c r="H167" s="31">
        <v>45013</v>
      </c>
      <c r="I167" s="32">
        <v>4.0368055555555555</v>
      </c>
      <c r="J167" s="33">
        <f>F167-H167</f>
      </c>
      <c r="K167" s="28">
        <v>35</v>
      </c>
      <c r="L167" s="28">
        <v>2</v>
      </c>
      <c r="M167" s="28">
        <v>1</v>
      </c>
      <c r="N167" s="38"/>
      <c r="O167" s="34"/>
      <c r="P167" s="34"/>
      <c r="Q167" s="34"/>
      <c r="R167" s="34"/>
      <c r="S167" s="56"/>
      <c r="T167" s="34"/>
      <c r="U167" s="34"/>
      <c r="V167" s="34"/>
      <c r="W167" s="29" t="s">
        <v>58</v>
      </c>
      <c r="X167" s="28">
        <v>37</v>
      </c>
      <c r="Y167" s="28">
        <v>1</v>
      </c>
      <c r="Z167" s="28">
        <v>2</v>
      </c>
      <c r="AA167" s="28">
        <v>2</v>
      </c>
      <c r="AB167" s="28">
        <v>2</v>
      </c>
      <c r="AC167" s="28">
        <v>2</v>
      </c>
      <c r="AD167" s="28">
        <v>2</v>
      </c>
      <c r="AE167" s="28">
        <v>4</v>
      </c>
      <c r="AF167" s="28">
        <v>2</v>
      </c>
      <c r="AG167" s="28">
        <v>2</v>
      </c>
      <c r="AH167" s="29" t="s">
        <v>3049</v>
      </c>
      <c r="AI167" s="36">
        <f>IF(OR(AND(K167&lt;32, J167&lt;2), O167=1, P167=1, Q167=1, R167=1, S167=1, T167=1, U167=1, AND(W167&lt;&gt;"", W167&lt;&gt;"Oxygen", W167&lt;&gt;"LowFlow")), "Intensive", "Intermediate")</f>
      </c>
      <c r="AJ167" s="57">
        <f>IF(OR(LEFT(AH167, 1)="X", LEFT(AH167, 1)="Y", LEFT(AH167, 3)="J36M"), "CUSM", "No Match")</f>
      </c>
      <c r="AK167" s="57">
        <f>IF(AND(OR(O167=3, P167=1, Q167=1, T167=1), AJ167="no Match"), "CUSM, CHU SJ, CHUQ", "")</f>
      </c>
      <c r="AL167" s="57">
        <f>IF(AND(O167=2, ISBLANK(P167), ISBLANK(Q167), ISBLANK(R167), ISBLANK(S167), ISBLANK(T167)), "CUSM, CHU SJ, CHUS, CHUQ", "")</f>
      </c>
      <c r="AM167" s="57">
        <f>IF(AND(AJ167="no match", AK167="", AL167="", K167&lt;26), "CUSM, CHU SJ, HGJ, CHUQ, CHUS", "")</f>
      </c>
      <c r="AN167" s="57">
        <f>IF(AND(AJ167="no match", AK167="", AL167="", K167&gt;26), "CUSM, CHU SJ, HGJ, CHUQ, CHUS, HMR", "")</f>
      </c>
    </row>
    <row x14ac:dyDescent="0.25" r="168" customHeight="1" ht="17.25">
      <c r="A168" s="41" t="s">
        <v>3050</v>
      </c>
      <c r="B168" s="28">
        <v>2</v>
      </c>
      <c r="C168" s="28">
        <v>734</v>
      </c>
      <c r="D168" s="29" t="s">
        <v>264</v>
      </c>
      <c r="E168" s="30" t="s">
        <v>50</v>
      </c>
      <c r="F168" s="31">
        <v>45013</v>
      </c>
      <c r="G168" s="32">
        <v>4.555555555555555</v>
      </c>
      <c r="H168" s="31">
        <v>45012</v>
      </c>
      <c r="I168" s="32">
        <v>4.44375</v>
      </c>
      <c r="J168" s="33">
        <f>F168-H168</f>
      </c>
      <c r="K168" s="28">
        <v>36</v>
      </c>
      <c r="L168" s="28">
        <v>3</v>
      </c>
      <c r="M168" s="28">
        <v>2</v>
      </c>
      <c r="N168" s="38"/>
      <c r="O168" s="34"/>
      <c r="P168" s="34"/>
      <c r="Q168" s="34"/>
      <c r="R168" s="34"/>
      <c r="S168" s="56"/>
      <c r="T168" s="34"/>
      <c r="U168" s="34"/>
      <c r="V168" s="34"/>
      <c r="W168" s="29" t="s">
        <v>74</v>
      </c>
      <c r="X168" s="28">
        <v>35</v>
      </c>
      <c r="Y168" s="28">
        <v>1</v>
      </c>
      <c r="Z168" s="28">
        <v>1</v>
      </c>
      <c r="AA168" s="28">
        <v>3</v>
      </c>
      <c r="AB168" s="28">
        <v>2</v>
      </c>
      <c r="AC168" s="28">
        <v>1</v>
      </c>
      <c r="AD168" s="28">
        <v>1</v>
      </c>
      <c r="AE168" s="28">
        <v>4</v>
      </c>
      <c r="AF168" s="28">
        <v>3</v>
      </c>
      <c r="AG168" s="28">
        <v>3</v>
      </c>
      <c r="AH168" s="29" t="s">
        <v>3051</v>
      </c>
      <c r="AI168" s="36">
        <f>IF(OR(AND(K168&lt;32, J168&lt;2), O168=1, P168=1, Q168=1, R168=1, S168=1, T168=1, U168=1, AND(W168&lt;&gt;"", W168&lt;&gt;"Oxygen", W168&lt;&gt;"LowFlow")), "Intensive", "Intermediate")</f>
      </c>
      <c r="AJ168" s="57">
        <f>IF(OR(LEFT(AH168, 1)="X", LEFT(AH168, 1)="Y", LEFT(AH168, 3)="J37M"), "CUSM", "No Match")</f>
      </c>
      <c r="AK168" s="57">
        <f>IF(AND(OR(O168=3, P168=1, Q168=1, T168=1), AJ168="no Match"), "CUSM, CHU SJ, CHUQ", "")</f>
      </c>
      <c r="AL168" s="57">
        <f>IF(AND(O168=2, ISBLANK(P168), ISBLANK(Q168), ISBLANK(R168), ISBLANK(S168), ISBLANK(T168)), "CUSM, CHU SJ, CHUS, CHUQ", "")</f>
      </c>
      <c r="AM168" s="57">
        <f>IF(AND(AJ168="no match", AK168="", AL168="", K168&lt;26), "CUSM, CHU SJ, HGJ, CHUQ, CHUS", "")</f>
      </c>
      <c r="AN168" s="57">
        <f>IF(AND(AJ168="no match", AK168="", AL168="", K168&gt;26), "CUSM, CHU SJ, HGJ, CHUQ, CHUS, HMR", "")</f>
      </c>
    </row>
    <row x14ac:dyDescent="0.25" r="169" customHeight="1" ht="17.25">
      <c r="A169" s="41" t="s">
        <v>3052</v>
      </c>
      <c r="B169" s="28">
        <v>2</v>
      </c>
      <c r="C169" s="35">
        <v>782</v>
      </c>
      <c r="D169" s="29" t="s">
        <v>95</v>
      </c>
      <c r="E169" s="30" t="s">
        <v>50</v>
      </c>
      <c r="F169" s="31">
        <v>45013</v>
      </c>
      <c r="G169" s="32">
        <v>4.479166666666666</v>
      </c>
      <c r="H169" s="31">
        <v>45013</v>
      </c>
      <c r="I169" s="32">
        <v>4.2965277777777775</v>
      </c>
      <c r="J169" s="33">
        <f>F169-H169</f>
      </c>
      <c r="K169" s="28">
        <v>38</v>
      </c>
      <c r="L169" s="28">
        <v>5</v>
      </c>
      <c r="M169" s="28">
        <v>1</v>
      </c>
      <c r="N169" s="35">
        <v>1</v>
      </c>
      <c r="O169" s="35">
        <v>2</v>
      </c>
      <c r="P169" s="35">
        <v>1</v>
      </c>
      <c r="Q169" s="34"/>
      <c r="R169" s="35">
        <v>1</v>
      </c>
      <c r="S169" s="56"/>
      <c r="T169" s="34"/>
      <c r="U169" s="34"/>
      <c r="V169" s="34"/>
      <c r="W169" s="29" t="s">
        <v>74</v>
      </c>
      <c r="X169" s="28">
        <v>30</v>
      </c>
      <c r="Y169" s="28">
        <v>1</v>
      </c>
      <c r="Z169" s="28">
        <v>1</v>
      </c>
      <c r="AA169" s="28">
        <v>2</v>
      </c>
      <c r="AB169" s="28">
        <v>1</v>
      </c>
      <c r="AC169" s="28">
        <v>2</v>
      </c>
      <c r="AD169" s="28">
        <v>2</v>
      </c>
      <c r="AE169" s="28">
        <v>4</v>
      </c>
      <c r="AF169" s="28">
        <v>3</v>
      </c>
      <c r="AG169" s="28">
        <v>2</v>
      </c>
      <c r="AH169" s="29" t="s">
        <v>3053</v>
      </c>
      <c r="AI169" s="36">
        <f>IF(OR(AND(K169&lt;32, J169&lt;2), O169=1, P169=1, Q169=1, R169=1, S169=1, T169=1, U169=1, AND(W169&lt;&gt;"", W169&lt;&gt;"Oxygen", W169&lt;&gt;"LowFlow")), "Intensive", "Intermediate")</f>
      </c>
      <c r="AJ169" s="57">
        <f>IF(OR(LEFT(AH169, 1)="X", LEFT(AH169, 1)="Y", LEFT(AH169, 3)="J38M"), "CUSM", "No Match")</f>
      </c>
      <c r="AK169" s="57">
        <f>IF(AND(OR(O169=3, P169=1, Q169=1, T169=1), AJ169="no Match"), "CUSM, CHU SJ, CHUQ", "")</f>
      </c>
      <c r="AL169" s="57">
        <f>IF(AND(O169=2, ISBLANK(P169), ISBLANK(Q169), ISBLANK(R169), ISBLANK(S169), ISBLANK(T169)), "CUSM, CHU SJ, CHUS, CHUQ", "")</f>
      </c>
      <c r="AM169" s="57">
        <f>IF(AND(AJ169="no match", AK169="", AL169="", K169&lt;26), "CUSM, CHU SJ, HGJ, CHUQ, CHUS", "")</f>
      </c>
      <c r="AN169" s="57">
        <f>IF(AND(AJ169="no match", AK169="", AL169="", K169&gt;26), "CUSM, CHU SJ, HGJ, CHUQ, CHUS, HMR", "")</f>
      </c>
    </row>
    <row x14ac:dyDescent="0.25" r="170" customHeight="1" ht="17.25">
      <c r="A170" s="41" t="s">
        <v>3054</v>
      </c>
      <c r="B170" s="28">
        <v>2</v>
      </c>
      <c r="C170" s="35">
        <v>780</v>
      </c>
      <c r="D170" s="29" t="s">
        <v>190</v>
      </c>
      <c r="E170" s="30" t="s">
        <v>50</v>
      </c>
      <c r="F170" s="31">
        <v>45013</v>
      </c>
      <c r="G170" s="32">
        <v>4.368055555555555</v>
      </c>
      <c r="H170" s="31">
        <v>45012</v>
      </c>
      <c r="I170" s="32">
        <v>4.826388888888889</v>
      </c>
      <c r="J170" s="33">
        <f>F170-H170</f>
      </c>
      <c r="K170" s="28">
        <v>41</v>
      </c>
      <c r="L170" s="28">
        <v>2</v>
      </c>
      <c r="M170" s="28">
        <v>1</v>
      </c>
      <c r="N170" s="34"/>
      <c r="O170" s="34"/>
      <c r="P170" s="34"/>
      <c r="Q170" s="34"/>
      <c r="R170" s="34"/>
      <c r="S170" s="56"/>
      <c r="T170" s="34"/>
      <c r="U170" s="34"/>
      <c r="V170" s="34"/>
      <c r="W170" s="29"/>
      <c r="X170" s="28">
        <v>23</v>
      </c>
      <c r="Y170" s="28">
        <v>1</v>
      </c>
      <c r="Z170" s="28">
        <v>1</v>
      </c>
      <c r="AA170" s="28">
        <v>2</v>
      </c>
      <c r="AB170" s="28">
        <v>1</v>
      </c>
      <c r="AC170" s="28">
        <v>2</v>
      </c>
      <c r="AD170" s="28">
        <v>2</v>
      </c>
      <c r="AE170" s="28">
        <v>4</v>
      </c>
      <c r="AF170" s="28">
        <v>2</v>
      </c>
      <c r="AG170" s="28">
        <v>3</v>
      </c>
      <c r="AH170" s="29" t="s">
        <v>3055</v>
      </c>
      <c r="AI170" s="36">
        <f>IF(OR(AND(K170&lt;32, J170&lt;2), O170=1, P170=1, Q170=1, R170=1, S170=1, T170=1, U170=1, AND(W170&lt;&gt;"", W170&lt;&gt;"Oxygen", W170&lt;&gt;"LowFlow")), "Intensive", "Intermediate")</f>
      </c>
      <c r="AJ170" s="57">
        <f>IF(OR(LEFT(AH170, 1)="X", LEFT(AH170, 1)="Y", LEFT(AH170, 3)="J39M"), "CUSM", "No Match")</f>
      </c>
      <c r="AK170" s="57">
        <f>IF(AND(OR(O170=3, P170=1, Q170=1, T170=1), AJ170="no Match"), "CUSM, CHU SJ, CHUQ", "")</f>
      </c>
      <c r="AL170" s="57">
        <f>IF(AND(O170=2, ISBLANK(P170), ISBLANK(Q170), ISBLANK(R170), ISBLANK(S170), ISBLANK(T170)), "CUSM, CHU SJ, CHUS, CHUQ", "")</f>
      </c>
      <c r="AM170" s="57">
        <f>IF(AND(AJ170="no match", AK170="", AL170="", K170&lt;26), "CUSM, CHU SJ, HGJ, CHUQ, CHUS", "")</f>
      </c>
      <c r="AN170" s="57">
        <f>IF(AND(AJ170="no match", AK170="", AL170="", K170&gt;26), "CUSM, CHU SJ, HGJ, CHUQ, CHUS, HMR", "")</f>
      </c>
    </row>
    <row x14ac:dyDescent="0.25" r="171" customHeight="1" ht="17.25">
      <c r="A171" s="41" t="s">
        <v>3056</v>
      </c>
      <c r="B171" s="28">
        <v>2</v>
      </c>
      <c r="C171" s="28">
        <v>796</v>
      </c>
      <c r="D171" s="29" t="s">
        <v>63</v>
      </c>
      <c r="E171" s="30" t="s">
        <v>54</v>
      </c>
      <c r="F171" s="31">
        <v>45014</v>
      </c>
      <c r="G171" s="32">
        <v>4.527777777777778</v>
      </c>
      <c r="H171" s="31">
        <v>45012</v>
      </c>
      <c r="I171" s="32">
        <v>4.740277777777777</v>
      </c>
      <c r="J171" s="33">
        <f>F171-H171</f>
      </c>
      <c r="K171" s="28">
        <v>37</v>
      </c>
      <c r="L171" s="28">
        <v>1</v>
      </c>
      <c r="M171" s="28">
        <v>1</v>
      </c>
      <c r="N171" s="34"/>
      <c r="O171" s="34"/>
      <c r="P171" s="34"/>
      <c r="Q171" s="34"/>
      <c r="R171" s="34"/>
      <c r="S171" s="56"/>
      <c r="T171" s="38"/>
      <c r="U171" s="34"/>
      <c r="V171" s="34"/>
      <c r="W171" s="29" t="s">
        <v>74</v>
      </c>
      <c r="X171" s="28">
        <v>29</v>
      </c>
      <c r="Y171" s="28">
        <v>1</v>
      </c>
      <c r="Z171" s="28">
        <v>1</v>
      </c>
      <c r="AA171" s="28">
        <v>2</v>
      </c>
      <c r="AB171" s="28">
        <v>1</v>
      </c>
      <c r="AC171" s="28">
        <v>1</v>
      </c>
      <c r="AD171" s="28">
        <v>1</v>
      </c>
      <c r="AE171" s="28">
        <v>4</v>
      </c>
      <c r="AF171" s="28">
        <v>2</v>
      </c>
      <c r="AG171" s="28">
        <v>2</v>
      </c>
      <c r="AH171" s="29" t="s">
        <v>3057</v>
      </c>
      <c r="AI171" s="36">
        <f>IF(OR(AND(K171&lt;32, J171&lt;2), O171=1, P171=1, Q171=1, R171=1, S171=1, T171=1, U171=1, AND(W171&lt;&gt;"", W171&lt;&gt;"Oxygen", W171&lt;&gt;"LowFlow")), "Intensive", "Intermediate")</f>
      </c>
      <c r="AJ171" s="57">
        <f>IF(OR(LEFT(AH171, 1)="X", LEFT(AH171, 1)="Y", LEFT(AH171, 3)="J40M"), "CUSM", "No Match")</f>
      </c>
      <c r="AK171" s="57">
        <f>IF(AND(OR(O171=3, P171=1, Q171=1, T171=1), AJ171="no Match"), "CUSM, CHU SJ, CHUQ", "")</f>
      </c>
      <c r="AL171" s="57">
        <f>IF(AND(O171=2, ISBLANK(P171), ISBLANK(Q171), ISBLANK(R171), ISBLANK(S171), ISBLANK(T171)), "CUSM, CHU SJ, CHUS, CHUQ", "")</f>
      </c>
      <c r="AM171" s="57">
        <f>IF(AND(AJ171="no match", AK171="", AL171="", K171&lt;26), "CUSM, CHU SJ, HGJ, CHUQ, CHUS", "")</f>
      </c>
      <c r="AN171" s="57">
        <f>IF(AND(AJ171="no match", AK171="", AL171="", K171&gt;26), "CUSM, CHU SJ, HGJ, CHUQ, CHUS, HMR", "")</f>
      </c>
    </row>
    <row x14ac:dyDescent="0.25" r="172" customHeight="1" ht="17.25">
      <c r="A172" s="41" t="s">
        <v>3058</v>
      </c>
      <c r="B172" s="28">
        <v>2</v>
      </c>
      <c r="C172" s="35">
        <v>809</v>
      </c>
      <c r="D172" s="29" t="s">
        <v>117</v>
      </c>
      <c r="E172" s="30" t="s">
        <v>118</v>
      </c>
      <c r="F172" s="31">
        <v>45016</v>
      </c>
      <c r="G172" s="32">
        <v>4.276388888888889</v>
      </c>
      <c r="H172" s="31">
        <v>45016</v>
      </c>
      <c r="I172" s="32">
        <v>4.0680555555555555</v>
      </c>
      <c r="J172" s="33">
        <f>F172-H172</f>
      </c>
      <c r="K172" s="28">
        <v>39</v>
      </c>
      <c r="L172" s="28">
        <v>6</v>
      </c>
      <c r="M172" s="28">
        <v>1</v>
      </c>
      <c r="N172" s="38"/>
      <c r="O172" s="34"/>
      <c r="P172" s="38"/>
      <c r="Q172" s="34"/>
      <c r="R172" s="34"/>
      <c r="S172" s="56"/>
      <c r="T172" s="35">
        <v>1</v>
      </c>
      <c r="U172" s="35">
        <v>1</v>
      </c>
      <c r="V172" s="35">
        <v>1</v>
      </c>
      <c r="W172" s="29" t="s">
        <v>74</v>
      </c>
      <c r="X172" s="28">
        <v>26</v>
      </c>
      <c r="Y172" s="28">
        <v>1</v>
      </c>
      <c r="Z172" s="28">
        <v>1</v>
      </c>
      <c r="AA172" s="28">
        <v>3</v>
      </c>
      <c r="AB172" s="28">
        <v>1</v>
      </c>
      <c r="AC172" s="28">
        <v>2</v>
      </c>
      <c r="AD172" s="28">
        <v>1</v>
      </c>
      <c r="AE172" s="28">
        <v>4</v>
      </c>
      <c r="AF172" s="28">
        <v>2</v>
      </c>
      <c r="AG172" s="28">
        <v>2</v>
      </c>
      <c r="AH172" s="29" t="s">
        <v>3059</v>
      </c>
      <c r="AI172" s="36">
        <f>IF(OR(AND(K172&lt;32, J172&lt;2), O172=1, P172=1, Q172=1, R172=1, S172=1, T172=1, U172=1, AND(W172&lt;&gt;"", W172&lt;&gt;"Oxygen", W172&lt;&gt;"LowFlow")), "Intensive", "Intermediate")</f>
      </c>
      <c r="AJ172" s="57">
        <f>IF(OR(LEFT(AH172, 1)="X", LEFT(AH172, 1)="Y", LEFT(AH172, 3)="J41M"), "CUSM", "No Match")</f>
      </c>
      <c r="AK172" s="57">
        <f>IF(AND(OR(O172=3, P172=1, Q172=1, T172=1), AJ172="no Match"), "CUSM, CHU SJ, CHUQ", "")</f>
      </c>
      <c r="AL172" s="57">
        <f>IF(AND(O172=2, ISBLANK(P172), ISBLANK(Q172), ISBLANK(R172), ISBLANK(S172), ISBLANK(T172)), "CUSM, CHU SJ, CHUS, CHUQ", "")</f>
      </c>
      <c r="AM172" s="57">
        <f>IF(AND(AJ172="no match", AK172="", AL172="", K172&lt;26), "CUSM, CHU SJ, HGJ, CHUQ, CHUS", "")</f>
      </c>
      <c r="AN172" s="57">
        <f>IF(AND(AJ172="no match", AK172="", AL172="", K172&gt;26), "CUSM, CHU SJ, HGJ, CHUQ, CHUS, HMR", "")</f>
      </c>
    </row>
    <row x14ac:dyDescent="0.25" r="173" customHeight="1" ht="17.25">
      <c r="A173" s="41" t="s">
        <v>3060</v>
      </c>
      <c r="B173" s="28">
        <v>2</v>
      </c>
      <c r="C173" s="28">
        <v>740</v>
      </c>
      <c r="D173" s="29" t="s">
        <v>409</v>
      </c>
      <c r="E173" s="30" t="s">
        <v>149</v>
      </c>
      <c r="F173" s="31">
        <v>45017</v>
      </c>
      <c r="G173" s="32">
        <v>4.0777777777777775</v>
      </c>
      <c r="H173" s="31">
        <v>45016</v>
      </c>
      <c r="I173" s="32">
        <v>4.9222222222222225</v>
      </c>
      <c r="J173" s="33">
        <f>F173-H173</f>
      </c>
      <c r="K173" s="28">
        <v>40</v>
      </c>
      <c r="L173" s="28">
        <v>0</v>
      </c>
      <c r="M173" s="28">
        <v>1</v>
      </c>
      <c r="N173" s="34"/>
      <c r="O173" s="34"/>
      <c r="P173" s="34"/>
      <c r="Q173" s="34"/>
      <c r="R173" s="34"/>
      <c r="S173" s="56"/>
      <c r="T173" s="28">
        <v>1</v>
      </c>
      <c r="U173" s="34"/>
      <c r="V173" s="34"/>
      <c r="W173" s="29" t="s">
        <v>58</v>
      </c>
      <c r="X173" s="28">
        <v>30</v>
      </c>
      <c r="Y173" s="28">
        <v>1</v>
      </c>
      <c r="Z173" s="28">
        <v>2</v>
      </c>
      <c r="AA173" s="28">
        <v>3</v>
      </c>
      <c r="AB173" s="28">
        <v>4</v>
      </c>
      <c r="AC173" s="28">
        <v>2</v>
      </c>
      <c r="AD173" s="28">
        <v>2</v>
      </c>
      <c r="AE173" s="28">
        <v>4</v>
      </c>
      <c r="AF173" s="28">
        <v>3</v>
      </c>
      <c r="AG173" s="28">
        <v>2</v>
      </c>
      <c r="AH173" s="29" t="s">
        <v>3061</v>
      </c>
      <c r="AI173" s="36">
        <f>IF(OR(AND(K173&lt;32, J173&lt;2), O173=1, P173=1, Q173=1, R173=1, S173=1, T173=1, U173=1, AND(W173&lt;&gt;"", W173&lt;&gt;"Oxygen", W173&lt;&gt;"LowFlow")), "Intensive", "Intermediate")</f>
      </c>
      <c r="AJ173" s="57">
        <f>IF(OR(LEFT(AH173, 1)="X", LEFT(AH173, 1)="Y", LEFT(AH173, 3)="J42M"), "CUSM", "No Match")</f>
      </c>
      <c r="AK173" s="57">
        <f>IF(AND(OR(O173=3, P173=1, Q173=1, T173=1), AJ173="no Match"), "CUSM, CHU SJ, CHUQ", "")</f>
      </c>
      <c r="AL173" s="57">
        <f>IF(AND(O173=2, ISBLANK(P173), ISBLANK(Q173), ISBLANK(R173), ISBLANK(S173), ISBLANK(T173)), "CUSM, CHU SJ, CHUS, CHUQ", "")</f>
      </c>
      <c r="AM173" s="57">
        <f>IF(AND(AJ173="no match", AK173="", AL173="", K173&lt;26), "CUSM, CHU SJ, HGJ, CHUQ, CHUS", "")</f>
      </c>
      <c r="AN173" s="57">
        <f>IF(AND(AJ173="no match", AK173="", AL173="", K173&gt;26), "CUSM, CHU SJ, HGJ, CHUQ, CHUS, HMR", "")</f>
      </c>
    </row>
    <row x14ac:dyDescent="0.25" r="174" customHeight="1" ht="17.25">
      <c r="A174" s="41" t="s">
        <v>3062</v>
      </c>
      <c r="B174" s="28">
        <v>2</v>
      </c>
      <c r="C174" s="35">
        <v>832</v>
      </c>
      <c r="D174" s="29" t="s">
        <v>308</v>
      </c>
      <c r="E174" s="30" t="s">
        <v>50</v>
      </c>
      <c r="F174" s="31">
        <v>45017</v>
      </c>
      <c r="G174" s="32">
        <v>4.927083333333334</v>
      </c>
      <c r="H174" s="31">
        <v>45017</v>
      </c>
      <c r="I174" s="32">
        <v>4.465277777777778</v>
      </c>
      <c r="J174" s="33">
        <f>F174-H174</f>
      </c>
      <c r="K174" s="28">
        <v>36</v>
      </c>
      <c r="L174" s="28">
        <v>0</v>
      </c>
      <c r="M174" s="28">
        <v>2</v>
      </c>
      <c r="N174" s="35">
        <v>1</v>
      </c>
      <c r="O174" s="34"/>
      <c r="P174" s="35">
        <v>1</v>
      </c>
      <c r="Q174" s="34"/>
      <c r="R174" s="34"/>
      <c r="S174" s="56"/>
      <c r="T174" s="34"/>
      <c r="U174" s="34"/>
      <c r="V174" s="34"/>
      <c r="W174" s="29" t="s">
        <v>74</v>
      </c>
      <c r="X174" s="28">
        <v>36</v>
      </c>
      <c r="Y174" s="28">
        <v>2</v>
      </c>
      <c r="Z174" s="28">
        <v>2</v>
      </c>
      <c r="AA174" s="28">
        <v>1</v>
      </c>
      <c r="AB174" s="28">
        <v>4</v>
      </c>
      <c r="AC174" s="28">
        <v>3</v>
      </c>
      <c r="AD174" s="28">
        <v>3</v>
      </c>
      <c r="AE174" s="28">
        <v>4</v>
      </c>
      <c r="AF174" s="28">
        <v>2</v>
      </c>
      <c r="AG174" s="28">
        <v>2</v>
      </c>
      <c r="AH174" s="29" t="s">
        <v>3063</v>
      </c>
      <c r="AI174" s="36">
        <f>IF(OR(AND(K174&lt;32, J174&lt;2), O174=1, P174=1, Q174=1, R174=1, S174=1, T174=1, U174=1, AND(W174&lt;&gt;"", W174&lt;&gt;"Oxygen", W174&lt;&gt;"LowFlow")), "Intensive", "Intermediate")</f>
      </c>
      <c r="AJ174" s="57">
        <f>IF(OR(LEFT(AH174, 1)="X", LEFT(AH174, 1)="Y", LEFT(AH174, 3)="J43M"), "CUSM", "No Match")</f>
      </c>
      <c r="AK174" s="57">
        <f>IF(AND(OR(O174=3, P174=1, Q174=1, T174=1), AJ174="no Match"), "CUSM, CHU SJ, CHUQ", "")</f>
      </c>
      <c r="AL174" s="57">
        <f>IF(AND(O174=2, ISBLANK(P174), ISBLANK(Q174), ISBLANK(R174), ISBLANK(S174), ISBLANK(T174)), "CUSM, CHU SJ, CHUS, CHUQ", "")</f>
      </c>
      <c r="AM174" s="57">
        <f>IF(AND(AJ174="no match", AK174="", AL174="", K174&lt;26), "CUSM, CHU SJ, HGJ, CHUQ, CHUS", "")</f>
      </c>
      <c r="AN174" s="57">
        <f>IF(AND(AJ174="no match", AK174="", AL174="", K174&gt;26), "CUSM, CHU SJ, HGJ, CHUQ, CHUS, HMR", "")</f>
      </c>
    </row>
    <row x14ac:dyDescent="0.25" r="175" customHeight="1" ht="17.25">
      <c r="A175" s="41" t="s">
        <v>3064</v>
      </c>
      <c r="B175" s="28">
        <v>2</v>
      </c>
      <c r="C175" s="28">
        <v>831</v>
      </c>
      <c r="D175" s="29" t="s">
        <v>313</v>
      </c>
      <c r="E175" s="30" t="s">
        <v>50</v>
      </c>
      <c r="F175" s="31">
        <v>45017</v>
      </c>
      <c r="G175" s="32">
        <v>4.333333333333334</v>
      </c>
      <c r="H175" s="31">
        <v>45017</v>
      </c>
      <c r="I175" s="32">
        <v>4.13125</v>
      </c>
      <c r="J175" s="33">
        <f>F175-H175</f>
      </c>
      <c r="K175" s="28">
        <v>40</v>
      </c>
      <c r="L175" s="28">
        <v>5</v>
      </c>
      <c r="M175" s="28">
        <v>1</v>
      </c>
      <c r="N175" s="38"/>
      <c r="O175" s="34"/>
      <c r="P175" s="38"/>
      <c r="Q175" s="34"/>
      <c r="R175" s="34"/>
      <c r="S175" s="56"/>
      <c r="T175" s="35">
        <v>1</v>
      </c>
      <c r="U175" s="34"/>
      <c r="V175" s="34"/>
      <c r="W175" s="29" t="s">
        <v>74</v>
      </c>
      <c r="X175" s="28">
        <v>27</v>
      </c>
      <c r="Y175" s="28">
        <v>1</v>
      </c>
      <c r="Z175" s="28">
        <v>1</v>
      </c>
      <c r="AA175" s="28">
        <v>2</v>
      </c>
      <c r="AB175" s="28">
        <v>1</v>
      </c>
      <c r="AC175" s="28">
        <v>1</v>
      </c>
      <c r="AD175" s="28">
        <v>2</v>
      </c>
      <c r="AE175" s="28">
        <v>4</v>
      </c>
      <c r="AF175" s="28">
        <v>2</v>
      </c>
      <c r="AG175" s="28">
        <v>2</v>
      </c>
      <c r="AH175" s="29" t="s">
        <v>3065</v>
      </c>
      <c r="AI175" s="36">
        <f>IF(OR(AND(K175&lt;32, J175&lt;2), O175=1, P175=1, Q175=1, R175=1, S175=1, T175=1, U175=1, AND(W175&lt;&gt;"", W175&lt;&gt;"Oxygen", W175&lt;&gt;"LowFlow")), "Intensive", "Intermediate")</f>
      </c>
      <c r="AJ175" s="57">
        <f>IF(OR(LEFT(AH175, 1)="X", LEFT(AH175, 1)="Y", LEFT(AH175, 3)="J44M"), "CUSM", "No Match")</f>
      </c>
      <c r="AK175" s="57">
        <f>IF(AND(OR(O175=3, P175=1, Q175=1, T175=1), AJ175="no Match"), "CUSM, CHU SJ, CHUQ", "")</f>
      </c>
      <c r="AL175" s="57">
        <f>IF(AND(O175=2, ISBLANK(P175), ISBLANK(Q175), ISBLANK(R175), ISBLANK(S175), ISBLANK(T175)), "CUSM, CHU SJ, CHUS, CHUQ", "")</f>
      </c>
      <c r="AM175" s="57">
        <f>IF(AND(AJ175="no match", AK175="", AL175="", K175&lt;26), "CUSM, CHU SJ, HGJ, CHUQ, CHUS", "")</f>
      </c>
      <c r="AN175" s="57">
        <f>IF(AND(AJ175="no match", AK175="", AL175="", K175&gt;26), "CUSM, CHU SJ, HGJ, CHUQ, CHUS, HMR", "")</f>
      </c>
    </row>
    <row x14ac:dyDescent="0.25" r="176" customHeight="1" ht="17.25">
      <c r="A176" s="41" t="s">
        <v>3066</v>
      </c>
      <c r="B176" s="28">
        <v>2</v>
      </c>
      <c r="C176" s="35">
        <v>825</v>
      </c>
      <c r="D176" s="29" t="s">
        <v>77</v>
      </c>
      <c r="E176" s="30" t="s">
        <v>50</v>
      </c>
      <c r="F176" s="31">
        <v>45017</v>
      </c>
      <c r="G176" s="32">
        <v>4.197916666666666</v>
      </c>
      <c r="H176" s="31">
        <v>45016</v>
      </c>
      <c r="I176" s="32">
        <v>4.913194444444445</v>
      </c>
      <c r="J176" s="33">
        <f>F176-H176</f>
      </c>
      <c r="K176" s="28">
        <v>41</v>
      </c>
      <c r="L176" s="28">
        <v>3</v>
      </c>
      <c r="M176" s="28">
        <v>2</v>
      </c>
      <c r="N176" s="34"/>
      <c r="O176" s="34"/>
      <c r="P176" s="34"/>
      <c r="Q176" s="34"/>
      <c r="R176" s="34"/>
      <c r="S176" s="56"/>
      <c r="T176" s="35">
        <v>1</v>
      </c>
      <c r="U176" s="34"/>
      <c r="V176" s="34"/>
      <c r="W176" s="29" t="s">
        <v>58</v>
      </c>
      <c r="X176" s="28">
        <v>30</v>
      </c>
      <c r="Y176" s="28">
        <v>1</v>
      </c>
      <c r="Z176" s="28">
        <v>1</v>
      </c>
      <c r="AA176" s="28">
        <v>2</v>
      </c>
      <c r="AB176" s="28">
        <v>1</v>
      </c>
      <c r="AC176" s="28">
        <v>2</v>
      </c>
      <c r="AD176" s="28">
        <v>2</v>
      </c>
      <c r="AE176" s="28">
        <v>4</v>
      </c>
      <c r="AF176" s="28">
        <v>1</v>
      </c>
      <c r="AG176" s="28">
        <v>2</v>
      </c>
      <c r="AH176" s="29" t="s">
        <v>2346</v>
      </c>
      <c r="AI176" s="36">
        <f>IF(OR(AND(K176&lt;32, J176&lt;2), O176=1, P176=1, Q176=1, R176=1, S176=1, T176=1, U176=1, AND(W176&lt;&gt;"", W176&lt;&gt;"Oxygen", W176&lt;&gt;"LowFlow")), "Intensive", "Intermediate")</f>
      </c>
      <c r="AJ176" s="57">
        <f>IF(OR(LEFT(AH176, 1)="X", LEFT(AH176, 1)="Y", LEFT(AH176, 3)="J45M"), "CUSM", "No Match")</f>
      </c>
      <c r="AK176" s="57">
        <f>IF(AND(OR(O176=3, P176=1, Q176=1, T176=1), AJ176="no Match"), "CUSM, CHU SJ, CHUQ", "")</f>
      </c>
      <c r="AL176" s="57">
        <f>IF(AND(O176=2, ISBLANK(P176), ISBLANK(Q176), ISBLANK(R176), ISBLANK(S176), ISBLANK(T176)), "CUSM, CHU SJ, CHUS, CHUQ", "")</f>
      </c>
      <c r="AM176" s="57">
        <f>IF(AND(AJ176="no match", AK176="", AL176="", K176&lt;26), "CUSM, CHU SJ, HGJ, CHUQ, CHUS", "")</f>
      </c>
      <c r="AN176" s="57">
        <f>IF(AND(AJ176="no match", AK176="", AL176="", K176&gt;26), "CUSM, CHU SJ, HGJ, CHUQ, CHUS, HMR", "")</f>
      </c>
    </row>
    <row x14ac:dyDescent="0.25" r="177" customHeight="1" ht="17.25">
      <c r="A177" s="41" t="s">
        <v>3067</v>
      </c>
      <c r="B177" s="28">
        <v>2</v>
      </c>
      <c r="C177" s="35">
        <v>734</v>
      </c>
      <c r="D177" s="29" t="s">
        <v>264</v>
      </c>
      <c r="E177" s="30" t="s">
        <v>78</v>
      </c>
      <c r="F177" s="31">
        <v>45018</v>
      </c>
      <c r="G177" s="32">
        <v>4.225694444444445</v>
      </c>
      <c r="H177" s="31">
        <v>45018</v>
      </c>
      <c r="I177" s="32">
        <v>4.122222222222222</v>
      </c>
      <c r="J177" s="33">
        <f>F177-H177</f>
      </c>
      <c r="K177" s="28">
        <v>31</v>
      </c>
      <c r="L177" s="28">
        <v>3</v>
      </c>
      <c r="M177" s="28">
        <v>1</v>
      </c>
      <c r="N177" s="35">
        <v>1</v>
      </c>
      <c r="O177" s="34"/>
      <c r="P177" s="34"/>
      <c r="Q177" s="34"/>
      <c r="R177" s="34"/>
      <c r="S177" s="56"/>
      <c r="T177" s="34"/>
      <c r="U177" s="34"/>
      <c r="V177" s="34"/>
      <c r="W177" s="29" t="s">
        <v>58</v>
      </c>
      <c r="X177" s="28">
        <v>35</v>
      </c>
      <c r="Y177" s="28">
        <v>1</v>
      </c>
      <c r="Z177" s="28">
        <v>2</v>
      </c>
      <c r="AA177" s="28">
        <v>3</v>
      </c>
      <c r="AB177" s="28">
        <v>1</v>
      </c>
      <c r="AC177" s="28">
        <v>1</v>
      </c>
      <c r="AD177" s="28">
        <v>1</v>
      </c>
      <c r="AE177" s="28">
        <v>4</v>
      </c>
      <c r="AF177" s="28">
        <v>3</v>
      </c>
      <c r="AG177" s="28">
        <v>2</v>
      </c>
      <c r="AH177" s="29" t="s">
        <v>3068</v>
      </c>
      <c r="AI177" s="36">
        <f>IF(OR(AND(K177&lt;32, J177&lt;2), O177=1, P177=1, Q177=1, R177=1, S177=1, T177=1, U177=1, AND(W177&lt;&gt;"", W177&lt;&gt;"Oxygen", W177&lt;&gt;"LowFlow")), "Intensive", "Intermediate")</f>
      </c>
      <c r="AJ177" s="57">
        <f>IF(OR(LEFT(AH177, 1)="X", LEFT(AH177, 1)="Y", LEFT(AH177, 3)="J46M"), "CUSM", "No Match")</f>
      </c>
      <c r="AK177" s="57">
        <f>IF(AND(OR(O177=3, P177=1, Q177=1, T177=1), AJ177="no Match"), "CUSM, CHU SJ, CHUQ", "")</f>
      </c>
      <c r="AL177" s="57">
        <f>IF(AND(O177=2, ISBLANK(P177), ISBLANK(Q177), ISBLANK(R177), ISBLANK(S177), ISBLANK(T177)), "CUSM, CHU SJ, CHUS, CHUQ", "")</f>
      </c>
      <c r="AM177" s="57">
        <f>IF(AND(AJ177="no match", AK177="", AL177="", K177&lt;26), "CUSM, CHU SJ, HGJ, CHUQ, CHUS", "")</f>
      </c>
      <c r="AN177" s="57">
        <f>IF(AND(AJ177="no match", AK177="", AL177="", K177&gt;26), "CUSM, CHU SJ, HGJ, CHUQ, CHUS, HMR", "")</f>
      </c>
    </row>
    <row x14ac:dyDescent="0.25" r="178" customHeight="1" ht="17.25">
      <c r="A178" s="41" t="s">
        <v>3069</v>
      </c>
      <c r="B178" s="28">
        <v>2</v>
      </c>
      <c r="C178" s="28">
        <v>795</v>
      </c>
      <c r="D178" s="29" t="s">
        <v>73</v>
      </c>
      <c r="E178" s="30" t="s">
        <v>50</v>
      </c>
      <c r="F178" s="31">
        <v>45018</v>
      </c>
      <c r="G178" s="32">
        <v>4.486111111111111</v>
      </c>
      <c r="H178" s="31">
        <v>45017</v>
      </c>
      <c r="I178" s="32">
        <v>4.245138888888889</v>
      </c>
      <c r="J178" s="33">
        <f>F178-H178</f>
      </c>
      <c r="K178" s="28">
        <v>34</v>
      </c>
      <c r="L178" s="28">
        <v>5</v>
      </c>
      <c r="M178" s="28">
        <v>2</v>
      </c>
      <c r="N178" s="35">
        <v>1</v>
      </c>
      <c r="O178" s="34"/>
      <c r="P178" s="35">
        <v>1</v>
      </c>
      <c r="Q178" s="34"/>
      <c r="R178" s="34"/>
      <c r="S178" s="56"/>
      <c r="T178" s="38"/>
      <c r="U178" s="35">
        <v>1</v>
      </c>
      <c r="V178" s="35">
        <v>1</v>
      </c>
      <c r="W178" s="29" t="s">
        <v>70</v>
      </c>
      <c r="X178" s="28">
        <v>27</v>
      </c>
      <c r="Y178" s="28">
        <v>1</v>
      </c>
      <c r="Z178" s="28">
        <v>2</v>
      </c>
      <c r="AA178" s="28">
        <v>3</v>
      </c>
      <c r="AB178" s="28">
        <v>1</v>
      </c>
      <c r="AC178" s="28">
        <v>2</v>
      </c>
      <c r="AD178" s="28">
        <v>2</v>
      </c>
      <c r="AE178" s="28">
        <v>4</v>
      </c>
      <c r="AF178" s="28">
        <v>2</v>
      </c>
      <c r="AG178" s="28">
        <v>2</v>
      </c>
      <c r="AH178" s="29" t="s">
        <v>3070</v>
      </c>
      <c r="AI178" s="36">
        <f>IF(OR(AND(K178&lt;32, J178&lt;2), O178=1, P178=1, Q178=1, R178=1, S178=1, T178=1, U178=1, AND(W178&lt;&gt;"", W178&lt;&gt;"Oxygen", W178&lt;&gt;"LowFlow")), "Intensive", "Intermediate")</f>
      </c>
      <c r="AJ178" s="57">
        <f>IF(OR(LEFT(AH178, 1)="X", LEFT(AH178, 1)="Y", LEFT(AH178, 3)="J47M"), "CUSM", "No Match")</f>
      </c>
      <c r="AK178" s="57">
        <f>IF(AND(OR(O178=3, P178=1, Q178=1, T178=1), AJ178="no Match"), "CUSM, CHU SJ, CHUQ", "")</f>
      </c>
      <c r="AL178" s="57">
        <f>IF(AND(O178=2, ISBLANK(P178), ISBLANK(Q178), ISBLANK(R178), ISBLANK(S178), ISBLANK(T178)), "CUSM, CHU SJ, CHUS, CHUQ", "")</f>
      </c>
      <c r="AM178" s="57">
        <f>IF(AND(AJ178="no match", AK178="", AL178="", K178&lt;26), "CUSM, CHU SJ, HGJ, CHUQ, CHUS", "")</f>
      </c>
      <c r="AN178" s="57">
        <f>IF(AND(AJ178="no match", AK178="", AL178="", K178&gt;26), "CUSM, CHU SJ, HGJ, CHUQ, CHUS, HMR", "")</f>
      </c>
    </row>
    <row x14ac:dyDescent="0.25" r="179" customHeight="1" ht="17.25">
      <c r="A179" s="41" t="s">
        <v>3071</v>
      </c>
      <c r="B179" s="28">
        <v>2</v>
      </c>
      <c r="C179" s="28">
        <v>748</v>
      </c>
      <c r="D179" s="29" t="s">
        <v>145</v>
      </c>
      <c r="E179" s="30" t="s">
        <v>118</v>
      </c>
      <c r="F179" s="31">
        <v>45019</v>
      </c>
      <c r="G179" s="32">
        <v>4.170138888888889</v>
      </c>
      <c r="H179" s="31">
        <v>45018</v>
      </c>
      <c r="I179" s="32">
        <v>4.934722222222222</v>
      </c>
      <c r="J179" s="33">
        <f>F179-H179</f>
      </c>
      <c r="K179" s="28">
        <v>36</v>
      </c>
      <c r="L179" s="28">
        <v>2</v>
      </c>
      <c r="M179" s="28">
        <v>1</v>
      </c>
      <c r="N179" s="34"/>
      <c r="O179" s="34"/>
      <c r="P179" s="34"/>
      <c r="Q179" s="34"/>
      <c r="R179" s="34"/>
      <c r="S179" s="56"/>
      <c r="T179" s="28">
        <v>1</v>
      </c>
      <c r="U179" s="34"/>
      <c r="V179" s="34"/>
      <c r="W179" s="29" t="s">
        <v>74</v>
      </c>
      <c r="X179" s="28">
        <v>27</v>
      </c>
      <c r="Y179" s="28">
        <v>1</v>
      </c>
      <c r="Z179" s="28">
        <v>2</v>
      </c>
      <c r="AA179" s="28">
        <v>3</v>
      </c>
      <c r="AB179" s="38"/>
      <c r="AC179" s="28">
        <v>2</v>
      </c>
      <c r="AD179" s="28">
        <v>2</v>
      </c>
      <c r="AE179" s="28">
        <v>4</v>
      </c>
      <c r="AF179" s="28">
        <v>2</v>
      </c>
      <c r="AG179" s="28">
        <v>2</v>
      </c>
      <c r="AH179" s="29" t="s">
        <v>3072</v>
      </c>
      <c r="AI179" s="36">
        <f>IF(OR(AND(K179&lt;32, J179&lt;2), O179=1, P179=1, Q179=1, R179=1, S179=1, T179=1, U179=1, AND(W179&lt;&gt;"", W179&lt;&gt;"Oxygen", W179&lt;&gt;"LowFlow")), "Intensive", "Intermediate")</f>
      </c>
      <c r="AJ179" s="57">
        <f>IF(OR(LEFT(AH179, 1)="X", LEFT(AH179, 1)="Y", LEFT(AH179, 3)="J48M"), "CUSM", "No Match")</f>
      </c>
      <c r="AK179" s="57">
        <f>IF(AND(OR(O179=3, P179=1, Q179=1, T179=1), AJ179="no Match"), "CUSM, CHU SJ, CHUQ", "")</f>
      </c>
      <c r="AL179" s="57">
        <f>IF(AND(O179=2, ISBLANK(P179), ISBLANK(Q179), ISBLANK(R179), ISBLANK(S179), ISBLANK(T179)), "CUSM, CHU SJ, CHUS, CHUQ", "")</f>
      </c>
      <c r="AM179" s="57">
        <f>IF(AND(AJ179="no match", AK179="", AL179="", K179&lt;26), "CUSM, CHU SJ, HGJ, CHUQ, CHUS", "")</f>
      </c>
      <c r="AN179" s="57">
        <f>IF(AND(AJ179="no match", AK179="", AL179="", K179&gt;26), "CUSM, CHU SJ, HGJ, CHUQ, CHUS, HMR", "")</f>
      </c>
    </row>
    <row x14ac:dyDescent="0.25" r="180" customHeight="1" ht="17.25">
      <c r="A180" s="41" t="s">
        <v>3073</v>
      </c>
      <c r="B180" s="28">
        <v>2</v>
      </c>
      <c r="C180" s="35">
        <v>778</v>
      </c>
      <c r="D180" s="29" t="s">
        <v>2755</v>
      </c>
      <c r="E180" s="30" t="s">
        <v>149</v>
      </c>
      <c r="F180" s="31">
        <v>45020</v>
      </c>
      <c r="G180" s="32">
        <v>4.158333333333333</v>
      </c>
      <c r="H180" s="31">
        <v>45019</v>
      </c>
      <c r="I180" s="32">
        <v>4.7625</v>
      </c>
      <c r="J180" s="33">
        <f>F180-H180</f>
      </c>
      <c r="K180" s="28">
        <v>36</v>
      </c>
      <c r="L180" s="28">
        <v>0</v>
      </c>
      <c r="M180" s="28">
        <v>2</v>
      </c>
      <c r="N180" s="34"/>
      <c r="O180" s="38"/>
      <c r="P180" s="34"/>
      <c r="Q180" s="34"/>
      <c r="R180" s="34"/>
      <c r="S180" s="56"/>
      <c r="T180" s="35">
        <v>1</v>
      </c>
      <c r="U180" s="35">
        <v>1</v>
      </c>
      <c r="V180" s="35">
        <v>1</v>
      </c>
      <c r="W180" s="29" t="s">
        <v>74</v>
      </c>
      <c r="X180" s="28">
        <v>26</v>
      </c>
      <c r="Y180" s="28">
        <v>1</v>
      </c>
      <c r="Z180" s="28">
        <v>2</v>
      </c>
      <c r="AA180" s="28">
        <v>3</v>
      </c>
      <c r="AB180" s="28">
        <v>4</v>
      </c>
      <c r="AC180" s="28">
        <v>3</v>
      </c>
      <c r="AD180" s="28">
        <v>1</v>
      </c>
      <c r="AE180" s="28">
        <v>1</v>
      </c>
      <c r="AF180" s="38"/>
      <c r="AG180" s="28">
        <v>3</v>
      </c>
      <c r="AH180" s="29" t="s">
        <v>2756</v>
      </c>
      <c r="AI180" s="36">
        <f>IF(OR(AND(K180&lt;32, J180&lt;2), O180=1, P180=1, Q180=1, R180=1, S180=1, T180=1, U180=1, AND(W180&lt;&gt;"", W180&lt;&gt;"Oxygen", W180&lt;&gt;"LowFlow")), "Intensive", "Intermediate")</f>
      </c>
      <c r="AJ180" s="57">
        <f>IF(OR(LEFT(AH180, 1)="X", LEFT(AH180, 1)="Y", LEFT(AH180, 3)="J49M"), "CUSM", "No Match")</f>
      </c>
      <c r="AK180" s="57">
        <f>IF(AND(OR(O180=3, P180=1, Q180=1, T180=1), AJ180="no Match"), "CUSM, CHU SJ, CHUQ", "")</f>
      </c>
      <c r="AL180" s="57">
        <f>IF(AND(O180=2, ISBLANK(P180), ISBLANK(Q180), ISBLANK(R180), ISBLANK(S180), ISBLANK(T180)), "CUSM, CHU SJ, CHUS, CHUQ", "")</f>
      </c>
      <c r="AM180" s="57">
        <f>IF(AND(AJ180="no match", AK180="", AL180="", K180&lt;26), "CUSM, CHU SJ, HGJ, CHUQ, CHUS", "")</f>
      </c>
      <c r="AN180" s="57">
        <f>IF(AND(AJ180="no match", AK180="", AL180="", K180&gt;26), "CUSM, CHU SJ, HGJ, CHUQ, CHUS, HMR", "")</f>
      </c>
    </row>
    <row x14ac:dyDescent="0.25" r="181" customHeight="1" ht="17.25">
      <c r="A181" s="41" t="s">
        <v>3074</v>
      </c>
      <c r="B181" s="28">
        <v>2</v>
      </c>
      <c r="C181" s="35">
        <v>734</v>
      </c>
      <c r="D181" s="29" t="s">
        <v>264</v>
      </c>
      <c r="E181" s="30" t="s">
        <v>54</v>
      </c>
      <c r="F181" s="31">
        <v>45020</v>
      </c>
      <c r="G181" s="32">
        <v>4.572916666666666</v>
      </c>
      <c r="H181" s="31">
        <v>45020</v>
      </c>
      <c r="I181" s="32">
        <v>4.340972222222222</v>
      </c>
      <c r="J181" s="33">
        <f>F181-H181</f>
      </c>
      <c r="K181" s="28">
        <v>40</v>
      </c>
      <c r="L181" s="28">
        <v>3</v>
      </c>
      <c r="M181" s="28">
        <v>2</v>
      </c>
      <c r="N181" s="35">
        <v>1</v>
      </c>
      <c r="O181" s="34"/>
      <c r="P181" s="35">
        <v>1</v>
      </c>
      <c r="Q181" s="34"/>
      <c r="R181" s="34"/>
      <c r="S181" s="56"/>
      <c r="T181" s="34"/>
      <c r="U181" s="35">
        <v>1</v>
      </c>
      <c r="V181" s="35">
        <v>1</v>
      </c>
      <c r="W181" s="29" t="s">
        <v>74</v>
      </c>
      <c r="X181" s="28">
        <v>31</v>
      </c>
      <c r="Y181" s="28">
        <v>1</v>
      </c>
      <c r="Z181" s="28">
        <v>1</v>
      </c>
      <c r="AA181" s="28">
        <v>2</v>
      </c>
      <c r="AB181" s="28">
        <v>1</v>
      </c>
      <c r="AC181" s="28">
        <v>2</v>
      </c>
      <c r="AD181" s="28">
        <v>2</v>
      </c>
      <c r="AE181" s="28">
        <v>4</v>
      </c>
      <c r="AF181" s="28">
        <v>2</v>
      </c>
      <c r="AG181" s="28">
        <v>2</v>
      </c>
      <c r="AH181" s="29" t="s">
        <v>3075</v>
      </c>
      <c r="AI181" s="36">
        <f>IF(OR(AND(K181&lt;32, J181&lt;2), O181=1, P181=1, Q181=1, R181=1, S181=1, T181=1, U181=1, AND(W181&lt;&gt;"", W181&lt;&gt;"Oxygen", W181&lt;&gt;"LowFlow")), "Intensive", "Intermediate")</f>
      </c>
      <c r="AJ181" s="57">
        <f>IF(OR(LEFT(AH181, 1)="X", LEFT(AH181, 1)="Y", LEFT(AH181, 3)="J50M"), "CUSM", "No Match")</f>
      </c>
      <c r="AK181" s="57">
        <f>IF(AND(OR(O181=3, P181=1, Q181=1, T181=1), AJ181="no Match"), "CUSM, CHU SJ, CHUQ", "")</f>
      </c>
      <c r="AL181" s="57">
        <f>IF(AND(O181=2, ISBLANK(P181), ISBLANK(Q181), ISBLANK(R181), ISBLANK(S181), ISBLANK(T181)), "CUSM, CHU SJ, CHUS, CHUQ", "")</f>
      </c>
      <c r="AM181" s="57">
        <f>IF(AND(AJ181="no match", AK181="", AL181="", K181&lt;26), "CUSM, CHU SJ, HGJ, CHUQ, CHUS", "")</f>
      </c>
      <c r="AN181" s="57">
        <f>IF(AND(AJ181="no match", AK181="", AL181="", K181&gt;26), "CUSM, CHU SJ, HGJ, CHUQ, CHUS, HMR", "")</f>
      </c>
    </row>
    <row x14ac:dyDescent="0.25" r="182" customHeight="1" ht="17.25">
      <c r="A182" s="41" t="s">
        <v>3076</v>
      </c>
      <c r="B182" s="28">
        <v>2</v>
      </c>
      <c r="C182" s="28">
        <v>754</v>
      </c>
      <c r="D182" s="29" t="s">
        <v>504</v>
      </c>
      <c r="E182" s="30" t="s">
        <v>149</v>
      </c>
      <c r="F182" s="31">
        <v>45021</v>
      </c>
      <c r="G182" s="32">
        <v>4.260416666666666</v>
      </c>
      <c r="H182" s="31">
        <v>45021</v>
      </c>
      <c r="I182" s="32">
        <v>4.001388888888889</v>
      </c>
      <c r="J182" s="33">
        <f>F182-H182</f>
      </c>
      <c r="K182" s="28">
        <v>38</v>
      </c>
      <c r="L182" s="28">
        <v>0</v>
      </c>
      <c r="M182" s="28">
        <v>1</v>
      </c>
      <c r="N182" s="28">
        <v>1</v>
      </c>
      <c r="O182" s="34"/>
      <c r="P182" s="34"/>
      <c r="Q182" s="34"/>
      <c r="R182" s="34"/>
      <c r="S182" s="56"/>
      <c r="T182" s="35">
        <v>1</v>
      </c>
      <c r="U182" s="35">
        <v>1</v>
      </c>
      <c r="V182" s="35">
        <v>1</v>
      </c>
      <c r="W182" s="29" t="s">
        <v>74</v>
      </c>
      <c r="X182" s="28">
        <v>33</v>
      </c>
      <c r="Y182" s="28">
        <v>1</v>
      </c>
      <c r="Z182" s="28">
        <v>2</v>
      </c>
      <c r="AA182" s="28">
        <v>3</v>
      </c>
      <c r="AB182" s="28">
        <v>1</v>
      </c>
      <c r="AC182" s="28">
        <v>2</v>
      </c>
      <c r="AD182" s="28">
        <v>2</v>
      </c>
      <c r="AE182" s="28">
        <v>4</v>
      </c>
      <c r="AF182" s="28">
        <v>3</v>
      </c>
      <c r="AG182" s="28">
        <v>2</v>
      </c>
      <c r="AH182" s="29" t="s">
        <v>3077</v>
      </c>
      <c r="AI182" s="36">
        <f>IF(OR(AND(K182&lt;32, J182&lt;2), O182=1, P182=1, Q182=1, R182=1, S182=1, T182=1, U182=1, AND(W182&lt;&gt;"", W182&lt;&gt;"Oxygen", W182&lt;&gt;"LowFlow")), "Intensive", "Intermediate")</f>
      </c>
      <c r="AJ182" s="57">
        <f>IF(OR(LEFT(AH182, 1)="X", LEFT(AH182, 1)="Y", LEFT(AH182, 3)="J51M"), "CUSM", "No Match")</f>
      </c>
      <c r="AK182" s="57">
        <f>IF(AND(OR(O182=3, P182=1, Q182=1, T182=1), AJ182="no Match"), "CUSM, CHU SJ, CHUQ", "")</f>
      </c>
      <c r="AL182" s="57">
        <f>IF(AND(O182=2, ISBLANK(P182), ISBLANK(Q182), ISBLANK(R182), ISBLANK(S182), ISBLANK(T182)), "CUSM, CHU SJ, CHUS, CHUQ", "")</f>
      </c>
      <c r="AM182" s="57">
        <f>IF(AND(AJ182="no match", AK182="", AL182="", K182&lt;26), "CUSM, CHU SJ, HGJ, CHUQ, CHUS", "")</f>
      </c>
      <c r="AN182" s="57">
        <f>IF(AND(AJ182="no match", AK182="", AL182="", K182&gt;26), "CUSM, CHU SJ, HGJ, CHUQ, CHUS, HMR", "")</f>
      </c>
    </row>
    <row x14ac:dyDescent="0.25" r="183" customHeight="1" ht="17.25">
      <c r="A183" s="41" t="s">
        <v>3078</v>
      </c>
      <c r="B183" s="28">
        <v>2</v>
      </c>
      <c r="C183" s="28">
        <v>839</v>
      </c>
      <c r="D183" s="29" t="s">
        <v>53</v>
      </c>
      <c r="E183" s="30" t="s">
        <v>54</v>
      </c>
      <c r="F183" s="31">
        <v>45021</v>
      </c>
      <c r="G183" s="32">
        <v>4.899305555555555</v>
      </c>
      <c r="H183" s="31">
        <v>45021</v>
      </c>
      <c r="I183" s="32">
        <v>4.785416666666666</v>
      </c>
      <c r="J183" s="33">
        <f>F183-H183</f>
      </c>
      <c r="K183" s="28">
        <v>29</v>
      </c>
      <c r="L183" s="28">
        <v>2</v>
      </c>
      <c r="M183" s="28">
        <v>1</v>
      </c>
      <c r="N183" s="38"/>
      <c r="O183" s="34"/>
      <c r="P183" s="38"/>
      <c r="Q183" s="34"/>
      <c r="R183" s="34"/>
      <c r="S183" s="56"/>
      <c r="T183" s="34"/>
      <c r="U183" s="38"/>
      <c r="V183" s="38"/>
      <c r="W183" s="29" t="s">
        <v>74</v>
      </c>
      <c r="X183" s="28">
        <v>33</v>
      </c>
      <c r="Y183" s="28">
        <v>1</v>
      </c>
      <c r="Z183" s="28">
        <v>2</v>
      </c>
      <c r="AA183" s="28">
        <v>3</v>
      </c>
      <c r="AB183" s="28">
        <v>1</v>
      </c>
      <c r="AC183" s="28">
        <v>2</v>
      </c>
      <c r="AD183" s="28">
        <v>2</v>
      </c>
      <c r="AE183" s="28">
        <v>4</v>
      </c>
      <c r="AF183" s="28">
        <v>2</v>
      </c>
      <c r="AG183" s="28">
        <v>2</v>
      </c>
      <c r="AH183" s="29" t="s">
        <v>3079</v>
      </c>
      <c r="AI183" s="36">
        <f>IF(OR(AND(K183&lt;32, J183&lt;2), O183=1, P183=1, Q183=1, R183=1, S183=1, T183=1, U183=1, AND(W183&lt;&gt;"", W183&lt;&gt;"Oxygen", W183&lt;&gt;"LowFlow")), "Intensive", "Intermediate")</f>
      </c>
      <c r="AJ183" s="57">
        <f>IF(OR(LEFT(AH183, 1)="X", LEFT(AH183, 1)="Y", LEFT(AH183, 3)="J52M"), "CUSM", "No Match")</f>
      </c>
      <c r="AK183" s="57">
        <f>IF(AND(OR(O183=3, P183=1, Q183=1, T183=1), AJ183="no Match"), "CUSM, CHU SJ, CHUQ", "")</f>
      </c>
      <c r="AL183" s="57">
        <f>IF(AND(O183=2, ISBLANK(P183), ISBLANK(Q183), ISBLANK(R183), ISBLANK(S183), ISBLANK(T183)), "CUSM, CHU SJ, CHUS, CHUQ", "")</f>
      </c>
      <c r="AM183" s="57">
        <f>IF(AND(AJ183="no match", AK183="", AL183="", K183&lt;26), "CUSM, CHU SJ, HGJ, CHUQ, CHUS", "")</f>
      </c>
      <c r="AN183" s="57">
        <f>IF(AND(AJ183="no match", AK183="", AL183="", K183&gt;26), "CUSM, CHU SJ, HGJ, CHUQ, CHUS, HMR", "")</f>
      </c>
    </row>
    <row x14ac:dyDescent="0.25" r="184" customHeight="1" ht="17.25">
      <c r="A184" s="41" t="s">
        <v>3080</v>
      </c>
      <c r="B184" s="28">
        <v>2</v>
      </c>
      <c r="C184" s="35">
        <v>820</v>
      </c>
      <c r="D184" s="29" t="s">
        <v>69</v>
      </c>
      <c r="E184" s="30" t="s">
        <v>54</v>
      </c>
      <c r="F184" s="31">
        <v>45022</v>
      </c>
      <c r="G184" s="32">
        <v>4.802083333333334</v>
      </c>
      <c r="H184" s="31">
        <v>45012</v>
      </c>
      <c r="I184" s="32">
        <v>4.815277777777778</v>
      </c>
      <c r="J184" s="33">
        <f>F184-H184</f>
      </c>
      <c r="K184" s="28">
        <v>40</v>
      </c>
      <c r="L184" s="28">
        <v>0</v>
      </c>
      <c r="M184" s="28">
        <v>1</v>
      </c>
      <c r="N184" s="34"/>
      <c r="O184" s="34"/>
      <c r="P184" s="34"/>
      <c r="Q184" s="34"/>
      <c r="R184" s="34"/>
      <c r="S184" s="56"/>
      <c r="T184" s="34"/>
      <c r="U184" s="34"/>
      <c r="V184" s="34"/>
      <c r="W184" s="29" t="s">
        <v>106</v>
      </c>
      <c r="X184" s="28">
        <v>27</v>
      </c>
      <c r="Y184" s="28">
        <v>1</v>
      </c>
      <c r="Z184" s="28">
        <v>1</v>
      </c>
      <c r="AA184" s="28">
        <v>1</v>
      </c>
      <c r="AB184" s="28">
        <v>1</v>
      </c>
      <c r="AC184" s="28">
        <v>2</v>
      </c>
      <c r="AD184" s="28">
        <v>2</v>
      </c>
      <c r="AE184" s="28">
        <v>4</v>
      </c>
      <c r="AF184" s="28">
        <v>2</v>
      </c>
      <c r="AG184" s="28">
        <v>2</v>
      </c>
      <c r="AH184" s="29" t="s">
        <v>3081</v>
      </c>
      <c r="AI184" s="36">
        <f>IF(OR(AND(K184&lt;32, J184&lt;2), O184=1, P184=1, Q184=1, R184=1, S184=1, T184=1, U184=1, AND(W184&lt;&gt;"", W184&lt;&gt;"Oxygen", W184&lt;&gt;"LowFlow")), "Intensive", "Intermediate")</f>
      </c>
      <c r="AJ184" s="57">
        <f>IF(OR(LEFT(AH184, 1)="X", LEFT(AH184, 1)="Y", LEFT(AH184, 3)="J53M"), "CUSM", "No Match")</f>
      </c>
      <c r="AK184" s="57">
        <f>IF(AND(OR(O184=3, P184=1, Q184=1, T184=1), AJ184="no Match"), "CUSM, CHU SJ, CHUQ", "")</f>
      </c>
      <c r="AL184" s="57">
        <f>IF(AND(O184=2, ISBLANK(P184), ISBLANK(Q184), ISBLANK(R184), ISBLANK(S184), ISBLANK(T184)), "CUSM, CHU SJ, CHUS, CHUQ", "")</f>
      </c>
      <c r="AM184" s="57">
        <f>IF(AND(AJ184="no match", AK184="", AL184="", K184&lt;26), "CUSM, CHU SJ, HGJ, CHUQ, CHUS", "")</f>
      </c>
      <c r="AN184" s="57">
        <f>IF(AND(AJ184="no match", AK184="", AL184="", K184&gt;26), "CUSM, CHU SJ, HGJ, CHUQ, CHUS, HMR", "")</f>
      </c>
    </row>
    <row x14ac:dyDescent="0.25" r="185" customHeight="1" ht="17.25">
      <c r="A185" s="41" t="s">
        <v>3082</v>
      </c>
      <c r="B185" s="28">
        <v>2</v>
      </c>
      <c r="C185" s="35">
        <v>828</v>
      </c>
      <c r="D185" s="29" t="s">
        <v>518</v>
      </c>
      <c r="E185" s="30" t="s">
        <v>220</v>
      </c>
      <c r="F185" s="31">
        <v>45022</v>
      </c>
      <c r="G185" s="32">
        <v>4.079166666666667</v>
      </c>
      <c r="H185" s="31">
        <v>45021</v>
      </c>
      <c r="I185" s="32">
        <v>4.725</v>
      </c>
      <c r="J185" s="33">
        <f>F185-H185</f>
      </c>
      <c r="K185" s="28">
        <v>31</v>
      </c>
      <c r="L185" s="28">
        <v>0</v>
      </c>
      <c r="M185" s="28">
        <v>2</v>
      </c>
      <c r="N185" s="34"/>
      <c r="O185" s="34"/>
      <c r="P185" s="34"/>
      <c r="Q185" s="34"/>
      <c r="R185" s="34"/>
      <c r="S185" s="56"/>
      <c r="T185" s="34"/>
      <c r="U185" s="34"/>
      <c r="V185" s="34"/>
      <c r="W185" s="29" t="s">
        <v>74</v>
      </c>
      <c r="X185" s="28">
        <v>34</v>
      </c>
      <c r="Y185" s="28">
        <v>1</v>
      </c>
      <c r="Z185" s="28">
        <v>1</v>
      </c>
      <c r="AA185" s="28">
        <v>2</v>
      </c>
      <c r="AB185" s="28">
        <v>1</v>
      </c>
      <c r="AC185" s="28">
        <v>2</v>
      </c>
      <c r="AD185" s="28">
        <v>1</v>
      </c>
      <c r="AE185" s="28">
        <v>2</v>
      </c>
      <c r="AF185" s="28">
        <v>2</v>
      </c>
      <c r="AG185" s="28">
        <v>2</v>
      </c>
      <c r="AH185" s="29" t="s">
        <v>3083</v>
      </c>
      <c r="AI185" s="36">
        <f>IF(OR(AND(K185&lt;32, J185&lt;2), O185=1, P185=1, Q185=1, R185=1, S185=1, T185=1, U185=1, AND(W185&lt;&gt;"", W185&lt;&gt;"Oxygen", W185&lt;&gt;"LowFlow")), "Intensive", "Intermediate")</f>
      </c>
      <c r="AJ185" s="57">
        <f>IF(OR(LEFT(AH185, 1)="X", LEFT(AH185, 1)="Y", LEFT(AH185, 3)="J54M"), "CUSM", "No Match")</f>
      </c>
      <c r="AK185" s="57">
        <f>IF(AND(OR(O185=3, P185=1, Q185=1, T185=1), AJ185="no Match"), "CUSM, CHU SJ, CHUQ", "")</f>
      </c>
      <c r="AL185" s="57">
        <f>IF(AND(O185=2, ISBLANK(P185), ISBLANK(Q185), ISBLANK(R185), ISBLANK(S185), ISBLANK(T185)), "CUSM, CHU SJ, CHUS, CHUQ", "")</f>
      </c>
      <c r="AM185" s="57">
        <f>IF(AND(AJ185="no match", AK185="", AL185="", K185&lt;26), "CUSM, CHU SJ, HGJ, CHUQ, CHUS", "")</f>
      </c>
      <c r="AN185" s="57">
        <f>IF(AND(AJ185="no match", AK185="", AL185="", K185&gt;26), "CUSM, CHU SJ, HGJ, CHUQ, CHUS, HMR", "")</f>
      </c>
    </row>
    <row x14ac:dyDescent="0.25" r="186" customHeight="1" ht="17.25">
      <c r="A186" s="41" t="s">
        <v>3084</v>
      </c>
      <c r="B186" s="28">
        <v>2</v>
      </c>
      <c r="C186" s="28">
        <v>820</v>
      </c>
      <c r="D186" s="29" t="s">
        <v>69</v>
      </c>
      <c r="E186" s="30" t="s">
        <v>54</v>
      </c>
      <c r="F186" s="31">
        <v>45023</v>
      </c>
      <c r="G186" s="32">
        <v>4.892361111111111</v>
      </c>
      <c r="H186" s="31">
        <v>45023</v>
      </c>
      <c r="I186" s="32">
        <v>4.664583333333333</v>
      </c>
      <c r="J186" s="33">
        <f>F186-H186</f>
      </c>
      <c r="K186" s="28">
        <v>39</v>
      </c>
      <c r="L186" s="28">
        <v>2</v>
      </c>
      <c r="M186" s="28">
        <v>1</v>
      </c>
      <c r="N186" s="34"/>
      <c r="O186" s="34"/>
      <c r="P186" s="34"/>
      <c r="Q186" s="34"/>
      <c r="R186" s="34"/>
      <c r="S186" s="56"/>
      <c r="T186" s="38"/>
      <c r="U186" s="34"/>
      <c r="V186" s="34"/>
      <c r="W186" s="29"/>
      <c r="X186" s="28">
        <v>36</v>
      </c>
      <c r="Y186" s="28">
        <v>1</v>
      </c>
      <c r="Z186" s="28">
        <v>2</v>
      </c>
      <c r="AA186" s="28">
        <v>2</v>
      </c>
      <c r="AB186" s="35">
        <v>1</v>
      </c>
      <c r="AC186" s="28">
        <v>2</v>
      </c>
      <c r="AD186" s="28">
        <v>1</v>
      </c>
      <c r="AE186" s="28">
        <v>4</v>
      </c>
      <c r="AF186" s="28">
        <v>2</v>
      </c>
      <c r="AG186" s="28">
        <v>2</v>
      </c>
      <c r="AH186" s="29" t="s">
        <v>3085</v>
      </c>
      <c r="AI186" s="36">
        <f>IF(OR(AND(K186&lt;32, J186&lt;2), O186=1, P186=1, Q186=1, R186=1, S186=1, T186=1, U186=1, AND(W186&lt;&gt;"", W186&lt;&gt;"Oxygen", W186&lt;&gt;"LowFlow")), "Intensive", "Intermediate")</f>
      </c>
      <c r="AJ186" s="57">
        <f>IF(OR(LEFT(AH186, 1)="X", LEFT(AH186, 1)="Y", LEFT(AH186, 3)="J55M"), "CUSM", "No Match")</f>
      </c>
      <c r="AK186" s="57">
        <f>IF(AND(OR(O186=3, P186=1, Q186=1, T186=1), AJ186="no Match"), "CUSM, CHU SJ, CHUQ", "")</f>
      </c>
      <c r="AL186" s="57">
        <f>IF(AND(O186=2, ISBLANK(P186), ISBLANK(Q186), ISBLANK(R186), ISBLANK(S186), ISBLANK(T186)), "CUSM, CHU SJ, CHUS, CHUQ", "")</f>
      </c>
      <c r="AM186" s="57">
        <f>IF(AND(AJ186="no match", AK186="", AL186="", K186&lt;26), "CUSM, CHU SJ, HGJ, CHUQ, CHUS", "")</f>
      </c>
      <c r="AN186" s="57">
        <f>IF(AND(AJ186="no match", AK186="", AL186="", K186&gt;26), "CUSM, CHU SJ, HGJ, CHUQ, CHUS, HMR", "")</f>
      </c>
    </row>
    <row x14ac:dyDescent="0.25" r="187" customHeight="1" ht="17.25">
      <c r="A187" s="41" t="s">
        <v>3086</v>
      </c>
      <c r="B187" s="28">
        <v>2</v>
      </c>
      <c r="C187" s="35">
        <v>817</v>
      </c>
      <c r="D187" s="29" t="s">
        <v>163</v>
      </c>
      <c r="E187" s="30" t="s">
        <v>50</v>
      </c>
      <c r="F187" s="31">
        <v>45023</v>
      </c>
      <c r="G187" s="32">
        <v>4.125</v>
      </c>
      <c r="H187" s="31">
        <v>45022</v>
      </c>
      <c r="I187" s="32">
        <v>4.095138888888889</v>
      </c>
      <c r="J187" s="33">
        <f>F187-H187</f>
      </c>
      <c r="K187" s="28">
        <v>36</v>
      </c>
      <c r="L187" s="28">
        <v>0</v>
      </c>
      <c r="M187" s="28">
        <v>1</v>
      </c>
      <c r="N187" s="38"/>
      <c r="O187" s="34"/>
      <c r="P187" s="38"/>
      <c r="Q187" s="34"/>
      <c r="R187" s="34"/>
      <c r="S187" s="56"/>
      <c r="T187" s="34"/>
      <c r="U187" s="34"/>
      <c r="V187" s="34"/>
      <c r="W187" s="29" t="s">
        <v>74</v>
      </c>
      <c r="X187" s="28">
        <v>42</v>
      </c>
      <c r="Y187" s="28">
        <v>1</v>
      </c>
      <c r="Z187" s="28">
        <v>1</v>
      </c>
      <c r="AA187" s="28">
        <v>3</v>
      </c>
      <c r="AB187" s="28">
        <v>1</v>
      </c>
      <c r="AC187" s="28">
        <v>2</v>
      </c>
      <c r="AD187" s="28">
        <v>2</v>
      </c>
      <c r="AE187" s="28">
        <v>4</v>
      </c>
      <c r="AF187" s="28">
        <v>2</v>
      </c>
      <c r="AG187" s="28">
        <v>2</v>
      </c>
      <c r="AH187" s="29" t="s">
        <v>3087</v>
      </c>
      <c r="AI187" s="36">
        <f>IF(OR(AND(K187&lt;32, J187&lt;2), O187=1, P187=1, Q187=1, R187=1, S187=1, T187=1, U187=1, AND(W187&lt;&gt;"", W187&lt;&gt;"Oxygen", W187&lt;&gt;"LowFlow")), "Intensive", "Intermediate")</f>
      </c>
      <c r="AJ187" s="57">
        <f>IF(OR(LEFT(AH187, 1)="X", LEFT(AH187, 1)="Y", LEFT(AH187, 3)="J56M"), "CUSM", "No Match")</f>
      </c>
      <c r="AK187" s="57">
        <f>IF(AND(OR(O187=3, P187=1, Q187=1, T187=1), AJ187="no Match"), "CUSM, CHU SJ, CHUQ", "")</f>
      </c>
      <c r="AL187" s="57">
        <f>IF(AND(O187=2, ISBLANK(P187), ISBLANK(Q187), ISBLANK(R187), ISBLANK(S187), ISBLANK(T187)), "CUSM, CHU SJ, CHUS, CHUQ", "")</f>
      </c>
      <c r="AM187" s="57">
        <f>IF(AND(AJ187="no match", AK187="", AL187="", K187&lt;26), "CUSM, CHU SJ, HGJ, CHUQ, CHUS", "")</f>
      </c>
      <c r="AN187" s="57">
        <f>IF(AND(AJ187="no match", AK187="", AL187="", K187&gt;26), "CUSM, CHU SJ, HGJ, CHUQ, CHUS, HMR", "")</f>
      </c>
    </row>
    <row x14ac:dyDescent="0.25" r="188" customHeight="1" ht="17.25">
      <c r="A188" s="41" t="s">
        <v>3088</v>
      </c>
      <c r="B188" s="28">
        <v>2</v>
      </c>
      <c r="C188" s="35">
        <v>740</v>
      </c>
      <c r="D188" s="29" t="s">
        <v>409</v>
      </c>
      <c r="E188" s="30" t="s">
        <v>149</v>
      </c>
      <c r="F188" s="31">
        <v>45024</v>
      </c>
      <c r="G188" s="32">
        <v>4.446527777777778</v>
      </c>
      <c r="H188" s="31">
        <v>45024</v>
      </c>
      <c r="I188" s="32">
        <v>4.414583333333333</v>
      </c>
      <c r="J188" s="33">
        <f>F188-H188</f>
      </c>
      <c r="K188" s="28">
        <v>28</v>
      </c>
      <c r="L188" s="28">
        <v>0</v>
      </c>
      <c r="M188" s="28">
        <v>1</v>
      </c>
      <c r="N188" s="38"/>
      <c r="O188" s="34"/>
      <c r="P188" s="38"/>
      <c r="Q188" s="34"/>
      <c r="R188" s="34"/>
      <c r="S188" s="56"/>
      <c r="T188" s="34"/>
      <c r="U188" s="34"/>
      <c r="V188" s="34"/>
      <c r="W188" s="29" t="s">
        <v>164</v>
      </c>
      <c r="X188" s="28">
        <v>31</v>
      </c>
      <c r="Y188" s="28">
        <v>1</v>
      </c>
      <c r="Z188" s="28">
        <v>1</v>
      </c>
      <c r="AA188" s="28">
        <v>2</v>
      </c>
      <c r="AB188" s="28">
        <v>1</v>
      </c>
      <c r="AC188" s="28">
        <v>2</v>
      </c>
      <c r="AD188" s="28">
        <v>1</v>
      </c>
      <c r="AE188" s="28">
        <v>1</v>
      </c>
      <c r="AF188" s="38"/>
      <c r="AG188" s="28">
        <v>2</v>
      </c>
      <c r="AH188" s="29" t="s">
        <v>3089</v>
      </c>
      <c r="AI188" s="36">
        <f>IF(OR(AND(K188&lt;32, J188&lt;2), O188=1, P188=1, Q188=1, R188=1, S188=1, T188=1, U188=1, AND(W188&lt;&gt;"", W188&lt;&gt;"Oxygen", W188&lt;&gt;"LowFlow")), "Intensive", "Intermediate")</f>
      </c>
      <c r="AJ188" s="57">
        <f>IF(OR(LEFT(AH188, 1)="X", LEFT(AH188, 1)="Y", LEFT(AH188, 3)="J57M"), "CUSM", "No Match")</f>
      </c>
      <c r="AK188" s="57">
        <f>IF(AND(OR(O188=3, P188=1, Q188=1, T188=1), AJ188="no Match"), "CUSM, CHU SJ, CHUQ", "")</f>
      </c>
      <c r="AL188" s="57">
        <f>IF(AND(O188=2, ISBLANK(P188), ISBLANK(Q188), ISBLANK(R188), ISBLANK(S188), ISBLANK(T188)), "CUSM, CHU SJ, CHUS, CHUQ", "")</f>
      </c>
      <c r="AM188" s="57">
        <f>IF(AND(AJ188="no match", AK188="", AL188="", K188&lt;26), "CUSM, CHU SJ, HGJ, CHUQ, CHUS", "")</f>
      </c>
      <c r="AN188" s="57">
        <f>IF(AND(AJ188="no match", AK188="", AL188="", K188&gt;26), "CUSM, CHU SJ, HGJ, CHUQ, CHUS, HMR", "")</f>
      </c>
    </row>
    <row x14ac:dyDescent="0.25" r="189" customHeight="1" ht="17.25">
      <c r="A189" s="41" t="s">
        <v>3090</v>
      </c>
      <c r="B189" s="28">
        <v>2</v>
      </c>
      <c r="C189" s="35">
        <v>780</v>
      </c>
      <c r="D189" s="29" t="s">
        <v>190</v>
      </c>
      <c r="E189" s="30" t="s">
        <v>54</v>
      </c>
      <c r="F189" s="31">
        <v>45024</v>
      </c>
      <c r="G189" s="32">
        <v>4.649305555555555</v>
      </c>
      <c r="H189" s="31">
        <v>45024</v>
      </c>
      <c r="I189" s="32">
        <v>4.079861111111111</v>
      </c>
      <c r="J189" s="33">
        <f>F189-H189</f>
      </c>
      <c r="K189" s="28">
        <v>38</v>
      </c>
      <c r="L189" s="28">
        <v>4</v>
      </c>
      <c r="M189" s="28">
        <v>1</v>
      </c>
      <c r="N189" s="34"/>
      <c r="O189" s="34"/>
      <c r="P189" s="34"/>
      <c r="Q189" s="34"/>
      <c r="R189" s="34"/>
      <c r="S189" s="56"/>
      <c r="T189" s="34"/>
      <c r="U189" s="34"/>
      <c r="V189" s="34"/>
      <c r="W189" s="29"/>
      <c r="X189" s="28">
        <v>22</v>
      </c>
      <c r="Y189" s="28">
        <v>1</v>
      </c>
      <c r="Z189" s="28">
        <v>1</v>
      </c>
      <c r="AA189" s="28">
        <v>2</v>
      </c>
      <c r="AB189" s="28">
        <v>1</v>
      </c>
      <c r="AC189" s="28">
        <v>1</v>
      </c>
      <c r="AD189" s="28">
        <v>2</v>
      </c>
      <c r="AE189" s="28">
        <v>4</v>
      </c>
      <c r="AF189" s="28">
        <v>2</v>
      </c>
      <c r="AG189" s="28">
        <v>2</v>
      </c>
      <c r="AH189" s="29" t="s">
        <v>3091</v>
      </c>
      <c r="AI189" s="36">
        <f>IF(OR(AND(K189&lt;32, J189&lt;2), O189=1, P189=1, Q189=1, R189=1, S189=1, T189=1, U189=1, AND(W189&lt;&gt;"", W189&lt;&gt;"Oxygen", W189&lt;&gt;"LowFlow")), "Intensive", "Intermediate")</f>
      </c>
      <c r="AJ189" s="57">
        <f>IF(OR(LEFT(AH189, 1)="X", LEFT(AH189, 1)="Y", LEFT(AH189, 3)="J58M"), "CUSM", "No Match")</f>
      </c>
      <c r="AK189" s="57">
        <f>IF(AND(OR(O189=3, P189=1, Q189=1, T189=1), AJ189="no Match"), "CUSM, CHU SJ, CHUQ", "")</f>
      </c>
      <c r="AL189" s="57">
        <f>IF(AND(O189=2, ISBLANK(P189), ISBLANK(Q189), ISBLANK(R189), ISBLANK(S189), ISBLANK(T189)), "CUSM, CHU SJ, CHUS, CHUQ", "")</f>
      </c>
      <c r="AM189" s="57">
        <f>IF(AND(AJ189="no match", AK189="", AL189="", K189&lt;26), "CUSM, CHU SJ, HGJ, CHUQ, CHUS", "")</f>
      </c>
      <c r="AN189" s="57">
        <f>IF(AND(AJ189="no match", AK189="", AL189="", K189&gt;26), "CUSM, CHU SJ, HGJ, CHUQ, CHUS, HMR", "")</f>
      </c>
    </row>
    <row x14ac:dyDescent="0.25" r="190" customHeight="1" ht="17.25">
      <c r="A190" s="41" t="s">
        <v>3092</v>
      </c>
      <c r="B190" s="28">
        <v>2</v>
      </c>
      <c r="C190" s="35">
        <v>735</v>
      </c>
      <c r="D190" s="29" t="s">
        <v>49</v>
      </c>
      <c r="E190" s="30" t="s">
        <v>54</v>
      </c>
      <c r="F190" s="31">
        <v>45025</v>
      </c>
      <c r="G190" s="32">
        <v>4.034722222222222</v>
      </c>
      <c r="H190" s="31">
        <v>45020</v>
      </c>
      <c r="I190" s="32">
        <v>4.043055555555556</v>
      </c>
      <c r="J190" s="33">
        <f>F190-H190</f>
      </c>
      <c r="K190" s="28">
        <v>37</v>
      </c>
      <c r="L190" s="28">
        <v>0</v>
      </c>
      <c r="M190" s="28">
        <v>1</v>
      </c>
      <c r="N190" s="35">
        <v>1</v>
      </c>
      <c r="O190" s="34"/>
      <c r="P190" s="34"/>
      <c r="Q190" s="34"/>
      <c r="R190" s="34"/>
      <c r="S190" s="56"/>
      <c r="T190" s="34"/>
      <c r="U190" s="34"/>
      <c r="V190" s="34"/>
      <c r="W190" s="29" t="s">
        <v>74</v>
      </c>
      <c r="X190" s="28">
        <v>29</v>
      </c>
      <c r="Y190" s="28">
        <v>1</v>
      </c>
      <c r="Z190" s="28">
        <v>3</v>
      </c>
      <c r="AA190" s="28">
        <v>3</v>
      </c>
      <c r="AB190" s="28">
        <v>4</v>
      </c>
      <c r="AC190" s="28">
        <v>3</v>
      </c>
      <c r="AD190" s="28">
        <v>2</v>
      </c>
      <c r="AE190" s="28">
        <v>4</v>
      </c>
      <c r="AF190" s="28">
        <v>3</v>
      </c>
      <c r="AG190" s="28">
        <v>3</v>
      </c>
      <c r="AH190" s="29" t="s">
        <v>3093</v>
      </c>
      <c r="AI190" s="36">
        <f>IF(OR(AND(K190&lt;32, J190&lt;2), O190=1, P190=1, Q190=1, R190=1, S190=1, T190=1, U190=1, AND(W190&lt;&gt;"", W190&lt;&gt;"Oxygen", W190&lt;&gt;"LowFlow")), "Intensive", "Intermediate")</f>
      </c>
      <c r="AJ190" s="57">
        <f>IF(OR(LEFT(AH190, 1)="X", LEFT(AH190, 1)="Y", LEFT(AH190, 3)="J59M"), "CUSM", "No Match")</f>
      </c>
      <c r="AK190" s="57">
        <f>IF(AND(OR(O190=3, P190=1, Q190=1, T190=1), AJ190="no Match"), "CUSM, CHU SJ, CHUQ", "")</f>
      </c>
      <c r="AL190" s="57">
        <f>IF(AND(O190=2, ISBLANK(P190), ISBLANK(Q190), ISBLANK(R190), ISBLANK(S190), ISBLANK(T190)), "CUSM, CHU SJ, CHUS, CHUQ", "")</f>
      </c>
      <c r="AM190" s="57">
        <f>IF(AND(AJ190="no match", AK190="", AL190="", K190&lt;26), "CUSM, CHU SJ, HGJ, CHUQ, CHUS", "")</f>
      </c>
      <c r="AN190" s="57">
        <f>IF(AND(AJ190="no match", AK190="", AL190="", K190&gt;26), "CUSM, CHU SJ, HGJ, CHUQ, CHUS, HMR", "")</f>
      </c>
    </row>
    <row x14ac:dyDescent="0.25" r="191" customHeight="1" ht="17.25">
      <c r="A191" s="41" t="s">
        <v>3094</v>
      </c>
      <c r="B191" s="28">
        <v>2</v>
      </c>
      <c r="C191" s="35">
        <v>839</v>
      </c>
      <c r="D191" s="29" t="s">
        <v>53</v>
      </c>
      <c r="E191" s="30" t="s">
        <v>50</v>
      </c>
      <c r="F191" s="31">
        <v>45025</v>
      </c>
      <c r="G191" s="32">
        <v>4.104166666666666</v>
      </c>
      <c r="H191" s="31">
        <v>45024</v>
      </c>
      <c r="I191" s="32">
        <v>4.9944444444444445</v>
      </c>
      <c r="J191" s="33">
        <f>F191-H191</f>
      </c>
      <c r="K191" s="28">
        <v>32</v>
      </c>
      <c r="L191" s="28">
        <v>2</v>
      </c>
      <c r="M191" s="28">
        <v>2</v>
      </c>
      <c r="N191" s="38"/>
      <c r="O191" s="38"/>
      <c r="P191" s="38"/>
      <c r="Q191" s="34"/>
      <c r="R191" s="34"/>
      <c r="S191" s="56"/>
      <c r="T191" s="34"/>
      <c r="U191" s="34"/>
      <c r="V191" s="34"/>
      <c r="W191" s="29" t="s">
        <v>58</v>
      </c>
      <c r="X191" s="28">
        <v>30</v>
      </c>
      <c r="Y191" s="28">
        <v>1</v>
      </c>
      <c r="Z191" s="28">
        <v>2</v>
      </c>
      <c r="AA191" s="28">
        <v>3</v>
      </c>
      <c r="AB191" s="28">
        <v>1</v>
      </c>
      <c r="AC191" s="28">
        <v>2</v>
      </c>
      <c r="AD191" s="28">
        <v>2</v>
      </c>
      <c r="AE191" s="28">
        <v>4</v>
      </c>
      <c r="AF191" s="28">
        <v>2</v>
      </c>
      <c r="AG191" s="28">
        <v>2</v>
      </c>
      <c r="AH191" s="29" t="s">
        <v>2977</v>
      </c>
      <c r="AI191" s="36">
        <f>IF(OR(AND(K191&lt;32, J191&lt;2), O191=1, P191=1, Q191=1, R191=1, S191=1, T191=1, U191=1, AND(W191&lt;&gt;"", W191&lt;&gt;"Oxygen", W191&lt;&gt;"LowFlow")), "Intensive", "Intermediate")</f>
      </c>
      <c r="AJ191" s="57">
        <f>IF(OR(LEFT(AH191, 1)="X", LEFT(AH191, 1)="Y", LEFT(AH191, 3)="J60M"), "CUSM", "No Match")</f>
      </c>
      <c r="AK191" s="57">
        <f>IF(AND(OR(O191=3, P191=1, Q191=1, T191=1), AJ191="no Match"), "CUSM, CHU SJ, CHUQ", "")</f>
      </c>
      <c r="AL191" s="57">
        <f>IF(AND(O191=2, ISBLANK(P191), ISBLANK(Q191), ISBLANK(R191), ISBLANK(S191), ISBLANK(T191)), "CUSM, CHU SJ, CHUS, CHUQ", "")</f>
      </c>
      <c r="AM191" s="57">
        <f>IF(AND(AJ191="no match", AK191="", AL191="", K191&lt;26), "CUSM, CHU SJ, HGJ, CHUQ, CHUS", "")</f>
      </c>
      <c r="AN191" s="57">
        <f>IF(AND(AJ191="no match", AK191="", AL191="", K191&gt;26), "CUSM, CHU SJ, HGJ, CHUQ, CHUS, HMR", "")</f>
      </c>
    </row>
    <row x14ac:dyDescent="0.25" r="192" customHeight="1" ht="17.25">
      <c r="A192" s="41" t="s">
        <v>3095</v>
      </c>
      <c r="B192" s="28">
        <v>2</v>
      </c>
      <c r="C192" s="35">
        <v>796</v>
      </c>
      <c r="D192" s="29" t="s">
        <v>63</v>
      </c>
      <c r="E192" s="30" t="s">
        <v>54</v>
      </c>
      <c r="F192" s="31">
        <v>45027</v>
      </c>
      <c r="G192" s="32">
        <v>4.054166666666667</v>
      </c>
      <c r="H192" s="31">
        <v>45024</v>
      </c>
      <c r="I192" s="32">
        <v>4.870833333333334</v>
      </c>
      <c r="J192" s="33">
        <f>F192-H192</f>
      </c>
      <c r="K192" s="28">
        <v>39</v>
      </c>
      <c r="L192" s="28">
        <v>3</v>
      </c>
      <c r="M192" s="28">
        <v>2</v>
      </c>
      <c r="N192" s="28">
        <v>1</v>
      </c>
      <c r="O192" s="34"/>
      <c r="P192" s="35">
        <v>1</v>
      </c>
      <c r="Q192" s="34"/>
      <c r="R192" s="34"/>
      <c r="S192" s="56"/>
      <c r="T192" s="34"/>
      <c r="U192" s="34"/>
      <c r="V192" s="34"/>
      <c r="W192" s="29" t="s">
        <v>164</v>
      </c>
      <c r="X192" s="28">
        <v>29</v>
      </c>
      <c r="Y192" s="28">
        <v>1</v>
      </c>
      <c r="Z192" s="28">
        <v>1</v>
      </c>
      <c r="AA192" s="28">
        <v>3</v>
      </c>
      <c r="AB192" s="28">
        <v>1</v>
      </c>
      <c r="AC192" s="28">
        <v>2</v>
      </c>
      <c r="AD192" s="28">
        <v>2</v>
      </c>
      <c r="AE192" s="28">
        <v>4</v>
      </c>
      <c r="AF192" s="28">
        <v>2</v>
      </c>
      <c r="AG192" s="28">
        <v>2</v>
      </c>
      <c r="AH192" s="29" t="s">
        <v>3096</v>
      </c>
      <c r="AI192" s="36">
        <f>IF(OR(AND(K192&lt;32, J192&lt;2), O192=1, P192=1, Q192=1, R192=1, S192=1, T192=1, U192=1, AND(W192&lt;&gt;"", W192&lt;&gt;"Oxygen", W192&lt;&gt;"LowFlow")), "Intensive", "Intermediate")</f>
      </c>
      <c r="AJ192" s="57">
        <f>IF(OR(LEFT(AH192, 1)="X", LEFT(AH192, 1)="Y", LEFT(AH192, 3)="J61M"), "CUSM", "No Match")</f>
      </c>
      <c r="AK192" s="57">
        <f>IF(AND(OR(O192=3, P192=1, Q192=1, T192=1), AJ192="no Match"), "CUSM, CHU SJ, CHUQ", "")</f>
      </c>
      <c r="AL192" s="57">
        <f>IF(AND(O192=2, ISBLANK(P192), ISBLANK(Q192), ISBLANK(R192), ISBLANK(S192), ISBLANK(T192)), "CUSM, CHU SJ, CHUS, CHUQ", "")</f>
      </c>
      <c r="AM192" s="57">
        <f>IF(AND(AJ192="no match", AK192="", AL192="", K192&lt;26), "CUSM, CHU SJ, HGJ, CHUQ, CHUS", "")</f>
      </c>
      <c r="AN192" s="57">
        <f>IF(AND(AJ192="no match", AK192="", AL192="", K192&gt;26), "CUSM, CHU SJ, HGJ, CHUQ, CHUS, HMR", "")</f>
      </c>
    </row>
    <row x14ac:dyDescent="0.25" r="193" customHeight="1" ht="17.25">
      <c r="A193" s="41" t="s">
        <v>3097</v>
      </c>
      <c r="B193" s="28">
        <v>2</v>
      </c>
      <c r="C193" s="28">
        <v>796</v>
      </c>
      <c r="D193" s="29" t="s">
        <v>63</v>
      </c>
      <c r="E193" s="30" t="s">
        <v>50</v>
      </c>
      <c r="F193" s="31">
        <v>45027</v>
      </c>
      <c r="G193" s="32">
        <v>4.0625</v>
      </c>
      <c r="H193" s="31">
        <v>45026</v>
      </c>
      <c r="I193" s="32">
        <v>4.867361111111111</v>
      </c>
      <c r="J193" s="33">
        <f>F193-H193</f>
      </c>
      <c r="K193" s="28">
        <v>38</v>
      </c>
      <c r="L193" s="28">
        <v>0</v>
      </c>
      <c r="M193" s="28">
        <v>1</v>
      </c>
      <c r="N193" s="34"/>
      <c r="O193" s="34"/>
      <c r="P193" s="34"/>
      <c r="Q193" s="34"/>
      <c r="R193" s="34"/>
      <c r="S193" s="56"/>
      <c r="T193" s="28">
        <v>1</v>
      </c>
      <c r="U193" s="38"/>
      <c r="V193" s="38"/>
      <c r="W193" s="29" t="s">
        <v>58</v>
      </c>
      <c r="X193" s="28">
        <v>27</v>
      </c>
      <c r="Y193" s="28">
        <v>1</v>
      </c>
      <c r="Z193" s="28">
        <v>1</v>
      </c>
      <c r="AA193" s="28">
        <v>2</v>
      </c>
      <c r="AB193" s="28">
        <v>1</v>
      </c>
      <c r="AC193" s="28">
        <v>2</v>
      </c>
      <c r="AD193" s="28">
        <v>2</v>
      </c>
      <c r="AE193" s="28">
        <v>4</v>
      </c>
      <c r="AF193" s="35">
        <v>2</v>
      </c>
      <c r="AG193" s="28">
        <v>2</v>
      </c>
      <c r="AH193" s="29" t="s">
        <v>3098</v>
      </c>
      <c r="AI193" s="36">
        <f>IF(OR(AND(K193&lt;32, J193&lt;2), O193=1, P193=1, Q193=1, R193=1, S193=1, T193=1, U193=1, AND(W193&lt;&gt;"", W193&lt;&gt;"Oxygen", W193&lt;&gt;"LowFlow")), "Intensive", "Intermediate")</f>
      </c>
      <c r="AJ193" s="57">
        <f>IF(OR(LEFT(AH193, 1)="X", LEFT(AH193, 1)="Y", LEFT(AH193, 3)="J62M"), "CUSM", "No Match")</f>
      </c>
      <c r="AK193" s="57">
        <f>IF(AND(OR(O193=3, P193=1, Q193=1, T193=1), AJ193="no Match"), "CUSM, CHU SJ, CHUQ", "")</f>
      </c>
      <c r="AL193" s="57">
        <f>IF(AND(O193=2, ISBLANK(P193), ISBLANK(Q193), ISBLANK(R193), ISBLANK(S193), ISBLANK(T193)), "CUSM, CHU SJ, CHUS, CHUQ", "")</f>
      </c>
      <c r="AM193" s="57">
        <f>IF(AND(AJ193="no match", AK193="", AL193="", K193&lt;26), "CUSM, CHU SJ, HGJ, CHUQ, CHUS", "")</f>
      </c>
      <c r="AN193" s="57">
        <f>IF(AND(AJ193="no match", AK193="", AL193="", K193&gt;26), "CUSM, CHU SJ, HGJ, CHUQ, CHUS, HMR", "")</f>
      </c>
    </row>
    <row x14ac:dyDescent="0.25" r="194" customHeight="1" ht="17.25">
      <c r="A194" s="41" t="s">
        <v>3099</v>
      </c>
      <c r="B194" s="28">
        <v>2</v>
      </c>
      <c r="C194" s="35">
        <v>839</v>
      </c>
      <c r="D194" s="29" t="s">
        <v>53</v>
      </c>
      <c r="E194" s="30" t="s">
        <v>54</v>
      </c>
      <c r="F194" s="31">
        <v>45028</v>
      </c>
      <c r="G194" s="32">
        <v>4.756944444444445</v>
      </c>
      <c r="H194" s="31">
        <v>45027</v>
      </c>
      <c r="I194" s="32">
        <v>4.602777777777778</v>
      </c>
      <c r="J194" s="33">
        <f>F194-H194</f>
      </c>
      <c r="K194" s="28">
        <v>37</v>
      </c>
      <c r="L194" s="28">
        <v>0</v>
      </c>
      <c r="M194" s="28">
        <v>2</v>
      </c>
      <c r="N194" s="34"/>
      <c r="O194" s="34"/>
      <c r="P194" s="34"/>
      <c r="Q194" s="34"/>
      <c r="R194" s="34"/>
      <c r="S194" s="56"/>
      <c r="T194" s="34"/>
      <c r="U194" s="34"/>
      <c r="V194" s="34"/>
      <c r="W194" s="29"/>
      <c r="X194" s="28">
        <v>27</v>
      </c>
      <c r="Y194" s="28">
        <v>1</v>
      </c>
      <c r="Z194" s="28">
        <v>1</v>
      </c>
      <c r="AA194" s="28">
        <v>3</v>
      </c>
      <c r="AB194" s="28">
        <v>1</v>
      </c>
      <c r="AC194" s="28">
        <v>1</v>
      </c>
      <c r="AD194" s="28">
        <v>1</v>
      </c>
      <c r="AE194" s="28">
        <v>4</v>
      </c>
      <c r="AF194" s="28">
        <v>2</v>
      </c>
      <c r="AG194" s="28">
        <v>2</v>
      </c>
      <c r="AH194" s="29" t="s">
        <v>3100</v>
      </c>
      <c r="AI194" s="36">
        <f>IF(OR(AND(K194&lt;32, J194&lt;2), O194=1, P194=1, Q194=1, R194=1, S194=1, T194=1, U194=1, AND(W194&lt;&gt;"", W194&lt;&gt;"Oxygen", W194&lt;&gt;"LowFlow")), "Intensive", "Intermediate")</f>
      </c>
      <c r="AJ194" s="57">
        <f>IF(OR(LEFT(AH194, 1)="X", LEFT(AH194, 1)="Y", LEFT(AH194, 3)="J63M"), "CUSM", "No Match")</f>
      </c>
      <c r="AK194" s="57">
        <f>IF(AND(OR(O194=3, P194=1, Q194=1, T194=1), AJ194="no Match"), "CUSM, CHU SJ, CHUQ", "")</f>
      </c>
      <c r="AL194" s="57">
        <f>IF(AND(O194=2, ISBLANK(P194), ISBLANK(Q194), ISBLANK(R194), ISBLANK(S194), ISBLANK(T194)), "CUSM, CHU SJ, CHUS, CHUQ", "")</f>
      </c>
      <c r="AM194" s="57">
        <f>IF(AND(AJ194="no match", AK194="", AL194="", K194&lt;26), "CUSM, CHU SJ, HGJ, CHUQ, CHUS", "")</f>
      </c>
      <c r="AN194" s="57">
        <f>IF(AND(AJ194="no match", AK194="", AL194="", K194&gt;26), "CUSM, CHU SJ, HGJ, CHUQ, CHUS, HMR", "")</f>
      </c>
    </row>
    <row x14ac:dyDescent="0.25" r="195" customHeight="1" ht="17.25">
      <c r="A195" s="41" t="s">
        <v>3101</v>
      </c>
      <c r="B195" s="28">
        <v>2</v>
      </c>
      <c r="C195" s="28">
        <v>779</v>
      </c>
      <c r="D195" s="29" t="s">
        <v>136</v>
      </c>
      <c r="E195" s="30" t="s">
        <v>54</v>
      </c>
      <c r="F195" s="31">
        <v>45028</v>
      </c>
      <c r="G195" s="32">
        <v>4.444444444444445</v>
      </c>
      <c r="H195" s="31">
        <v>45012</v>
      </c>
      <c r="I195" s="32">
        <v>4.0881944444444445</v>
      </c>
      <c r="J195" s="33">
        <f>F195-H195</f>
      </c>
      <c r="K195" s="28">
        <v>34</v>
      </c>
      <c r="L195" s="28">
        <v>1</v>
      </c>
      <c r="M195" s="28">
        <v>1</v>
      </c>
      <c r="N195" s="28">
        <v>1</v>
      </c>
      <c r="O195" s="34"/>
      <c r="P195" s="28">
        <v>1</v>
      </c>
      <c r="Q195" s="34"/>
      <c r="R195" s="34"/>
      <c r="S195" s="56"/>
      <c r="T195" s="34"/>
      <c r="U195" s="38"/>
      <c r="V195" s="38"/>
      <c r="W195" s="29"/>
      <c r="X195" s="28">
        <v>29</v>
      </c>
      <c r="Y195" s="28">
        <v>1</v>
      </c>
      <c r="Z195" s="28">
        <v>2</v>
      </c>
      <c r="AA195" s="28">
        <v>2</v>
      </c>
      <c r="AB195" s="28">
        <v>1</v>
      </c>
      <c r="AC195" s="28">
        <v>2</v>
      </c>
      <c r="AD195" s="28">
        <v>1</v>
      </c>
      <c r="AE195" s="28">
        <v>4</v>
      </c>
      <c r="AF195" s="28">
        <v>2</v>
      </c>
      <c r="AG195" s="28">
        <v>2</v>
      </c>
      <c r="AH195" s="29" t="s">
        <v>3102</v>
      </c>
      <c r="AI195" s="36">
        <f>IF(OR(AND(K195&lt;32, J195&lt;2), O195=1, P195=1, Q195=1, R195=1, S195=1, T195=1, U195=1, AND(W195&lt;&gt;"", W195&lt;&gt;"Oxygen", W195&lt;&gt;"LowFlow")), "Intensive", "Intermediate")</f>
      </c>
      <c r="AJ195" s="57">
        <f>IF(OR(LEFT(AH195, 1)="X", LEFT(AH195, 1)="Y", LEFT(AH195, 3)="J0M"), "CUSM", "No Match")</f>
      </c>
      <c r="AK195" s="57">
        <f>IF(AND(OR(O195=3, P195=1, Q195=1, T195=1), AJ195="no Match"), "CUSM, CHU SJ, CHUQ", "")</f>
      </c>
      <c r="AL195" s="57">
        <f>IF(AND(O195=2, ISBLANK(P195), ISBLANK(Q195), ISBLANK(R195), ISBLANK(S195), ISBLANK(T195)), "CUSM, CHU SJ, CHUS, CHUQ", "")</f>
      </c>
      <c r="AM195" s="57">
        <f>IF(AND(AJ195="no match", AK195="", AL195="", K195&lt;26), "CUSM, CHU SJ, HGJ, CHUQ, CHUS", "")</f>
      </c>
      <c r="AN195" s="57">
        <f>IF(AND(AJ195="no match", AK195="", AL195="", K195&gt;26), "CUSM, CHU SJ, HGJ, CHUQ, CHUS, HMR", "")</f>
      </c>
    </row>
    <row x14ac:dyDescent="0.25" r="196" customHeight="1" ht="17.25">
      <c r="A196" s="41" t="s">
        <v>3103</v>
      </c>
      <c r="B196" s="28">
        <v>2</v>
      </c>
      <c r="C196" s="35">
        <v>831</v>
      </c>
      <c r="D196" s="29" t="s">
        <v>313</v>
      </c>
      <c r="E196" s="30" t="s">
        <v>78</v>
      </c>
      <c r="F196" s="31">
        <v>45029</v>
      </c>
      <c r="G196" s="32">
        <v>4.607638888888889</v>
      </c>
      <c r="H196" s="31">
        <v>45029</v>
      </c>
      <c r="I196" s="32">
        <v>4.434027777777778</v>
      </c>
      <c r="J196" s="33">
        <f>F196-H196</f>
      </c>
      <c r="K196" s="28">
        <v>30</v>
      </c>
      <c r="L196" s="28">
        <v>1</v>
      </c>
      <c r="M196" s="28">
        <v>2</v>
      </c>
      <c r="N196" s="34"/>
      <c r="O196" s="34"/>
      <c r="P196" s="34"/>
      <c r="Q196" s="34"/>
      <c r="R196" s="34"/>
      <c r="S196" s="56"/>
      <c r="T196" s="34"/>
      <c r="U196" s="34"/>
      <c r="V196" s="34"/>
      <c r="W196" s="29" t="s">
        <v>74</v>
      </c>
      <c r="X196" s="28">
        <v>26</v>
      </c>
      <c r="Y196" s="28">
        <v>1</v>
      </c>
      <c r="Z196" s="28">
        <v>1</v>
      </c>
      <c r="AA196" s="28">
        <v>3</v>
      </c>
      <c r="AB196" s="28">
        <v>4</v>
      </c>
      <c r="AC196" s="28">
        <v>2</v>
      </c>
      <c r="AD196" s="28">
        <v>2</v>
      </c>
      <c r="AE196" s="28">
        <v>4</v>
      </c>
      <c r="AF196" s="28">
        <v>2</v>
      </c>
      <c r="AG196" s="28">
        <v>2</v>
      </c>
      <c r="AH196" s="29" t="s">
        <v>3104</v>
      </c>
      <c r="AI196" s="36">
        <f>IF(OR(AND(K196&lt;32, J196&lt;2), O196=1, P196=1, Q196=1, R196=1, S196=1, T196=1, U196=1, AND(W196&lt;&gt;"", W196&lt;&gt;"Oxygen", W196&lt;&gt;"LowFlow")), "Intensive", "Intermediate")</f>
      </c>
      <c r="AJ196" s="57">
        <f>IF(OR(LEFT(AH196, 1)="X", LEFT(AH196, 1)="Y", LEFT(AH196, 3)="J1M"), "CUSM", "No Match")</f>
      </c>
      <c r="AK196" s="57">
        <f>IF(AND(OR(O196=3, P196=1, Q196=1, T196=1), AJ196="no Match"), "CUSM, CHU SJ, CHUQ", "")</f>
      </c>
      <c r="AL196" s="57">
        <f>IF(AND(O196=2, ISBLANK(P196), ISBLANK(Q196), ISBLANK(R196), ISBLANK(S196), ISBLANK(T196)), "CUSM, CHU SJ, CHUS, CHUQ", "")</f>
      </c>
      <c r="AM196" s="57">
        <f>IF(AND(AJ196="no match", AK196="", AL196="", K196&lt;26), "CUSM, CHU SJ, HGJ, CHUQ, CHUS", "")</f>
      </c>
      <c r="AN196" s="57">
        <f>IF(AND(AJ196="no match", AK196="", AL196="", K196&gt;26), "CUSM, CHU SJ, HGJ, CHUQ, CHUS, HMR", "")</f>
      </c>
    </row>
    <row x14ac:dyDescent="0.25" r="197" customHeight="1" ht="17.25">
      <c r="A197" s="41" t="s">
        <v>3105</v>
      </c>
      <c r="B197" s="28">
        <v>2</v>
      </c>
      <c r="C197" s="35">
        <v>2</v>
      </c>
      <c r="D197" s="29" t="s">
        <v>269</v>
      </c>
      <c r="E197" s="30" t="s">
        <v>50</v>
      </c>
      <c r="F197" s="31">
        <v>45029</v>
      </c>
      <c r="G197" s="32">
        <v>4.823611111111111</v>
      </c>
      <c r="H197" s="31">
        <v>45029</v>
      </c>
      <c r="I197" s="32">
        <v>4.740972222222222</v>
      </c>
      <c r="J197" s="33">
        <f>F197-H197</f>
      </c>
      <c r="K197" s="28">
        <v>41</v>
      </c>
      <c r="L197" s="28">
        <v>4</v>
      </c>
      <c r="M197" s="28">
        <v>2</v>
      </c>
      <c r="N197" s="38"/>
      <c r="O197" s="34"/>
      <c r="P197" s="38"/>
      <c r="Q197" s="34"/>
      <c r="R197" s="34"/>
      <c r="S197" s="56"/>
      <c r="T197" s="34"/>
      <c r="U197" s="34"/>
      <c r="V197" s="34"/>
      <c r="W197" s="29"/>
      <c r="X197" s="28">
        <v>32</v>
      </c>
      <c r="Y197" s="28">
        <v>1</v>
      </c>
      <c r="Z197" s="28">
        <v>1</v>
      </c>
      <c r="AA197" s="28">
        <v>3</v>
      </c>
      <c r="AB197" s="28">
        <v>1</v>
      </c>
      <c r="AC197" s="28">
        <v>3</v>
      </c>
      <c r="AD197" s="28">
        <v>3</v>
      </c>
      <c r="AE197" s="28">
        <v>4</v>
      </c>
      <c r="AF197" s="28">
        <v>3</v>
      </c>
      <c r="AG197" s="28">
        <v>3</v>
      </c>
      <c r="AH197" s="29" t="s">
        <v>3106</v>
      </c>
      <c r="AI197" s="36">
        <f>IF(OR(AND(K197&lt;32, J197&lt;2), O197=1, P197=1, Q197=1, R197=1, S197=1, T197=1, U197=1, AND(W197&lt;&gt;"", W197&lt;&gt;"Oxygen", W197&lt;&gt;"LowFlow")), "Intensive", "Intermediate")</f>
      </c>
      <c r="AJ197" s="57">
        <f>IF(OR(LEFT(AH197, 1)="X", LEFT(AH197, 1)="Y", LEFT(AH197, 3)="J2M"), "CUSM", "No Match")</f>
      </c>
      <c r="AK197" s="57">
        <f>IF(AND(OR(O197=3, P197=1, Q197=1, T197=1), AJ197="no Match"), "CUSM, CHU SJ, CHUQ", "")</f>
      </c>
      <c r="AL197" s="57">
        <f>IF(AND(O197=2, ISBLANK(P197), ISBLANK(Q197), ISBLANK(R197), ISBLANK(S197), ISBLANK(T197)), "CUSM, CHU SJ, CHUS, CHUQ", "")</f>
      </c>
      <c r="AM197" s="57">
        <f>IF(AND(AJ197="no match", AK197="", AL197="", K197&lt;26), "CUSM, CHU SJ, HGJ, CHUQ, CHUS", "")</f>
      </c>
      <c r="AN197" s="57">
        <f>IF(AND(AJ197="no match", AK197="", AL197="", K197&gt;26), "CUSM, CHU SJ, HGJ, CHUQ, CHUS, HMR", "")</f>
      </c>
    </row>
    <row x14ac:dyDescent="0.25" r="198" customHeight="1" ht="17.25">
      <c r="A198" s="41" t="s">
        <v>3107</v>
      </c>
      <c r="B198" s="28">
        <v>2</v>
      </c>
      <c r="C198" s="35">
        <v>832</v>
      </c>
      <c r="D198" s="29" t="s">
        <v>308</v>
      </c>
      <c r="E198" s="30" t="s">
        <v>50</v>
      </c>
      <c r="F198" s="31">
        <v>45029</v>
      </c>
      <c r="G198" s="32">
        <v>4.554861111111111</v>
      </c>
      <c r="H198" s="31">
        <v>45006</v>
      </c>
      <c r="I198" s="32">
        <v>4.822222222222223</v>
      </c>
      <c r="J198" s="33">
        <f>F198-H198</f>
      </c>
      <c r="K198" s="28">
        <v>33</v>
      </c>
      <c r="L198" s="28">
        <v>3</v>
      </c>
      <c r="M198" s="28">
        <v>1</v>
      </c>
      <c r="N198" s="28">
        <v>1</v>
      </c>
      <c r="O198" s="34"/>
      <c r="P198" s="35">
        <v>1</v>
      </c>
      <c r="Q198" s="34"/>
      <c r="R198" s="34"/>
      <c r="S198" s="56"/>
      <c r="T198" s="34"/>
      <c r="U198" s="34"/>
      <c r="V198" s="34"/>
      <c r="W198" s="29"/>
      <c r="X198" s="28">
        <v>30</v>
      </c>
      <c r="Y198" s="28">
        <v>2</v>
      </c>
      <c r="Z198" s="28">
        <v>2</v>
      </c>
      <c r="AA198" s="28">
        <v>2</v>
      </c>
      <c r="AB198" s="28">
        <v>1</v>
      </c>
      <c r="AC198" s="28">
        <v>2</v>
      </c>
      <c r="AD198" s="28">
        <v>1</v>
      </c>
      <c r="AE198" s="28">
        <v>4</v>
      </c>
      <c r="AF198" s="35">
        <v>2</v>
      </c>
      <c r="AG198" s="28">
        <v>2</v>
      </c>
      <c r="AH198" s="29" t="s">
        <v>2344</v>
      </c>
      <c r="AI198" s="36">
        <f>IF(OR(AND(K198&lt;32, J198&lt;2), O198=1, P198=1, Q198=1, R198=1, S198=1, T198=1, U198=1, AND(W198&lt;&gt;"", W198&lt;&gt;"Oxygen", W198&lt;&gt;"LowFlow")), "Intensive", "Intermediate")</f>
      </c>
      <c r="AJ198" s="57">
        <f>IF(OR(LEFT(AH198, 1)="X", LEFT(AH198, 1)="Y", LEFT(AH198, 3)="J3M"), "CUSM", "No Match")</f>
      </c>
      <c r="AK198" s="57">
        <f>IF(AND(OR(O198=3, P198=1, Q198=1, T198=1), AJ198="no Match"), "CUSM, CHU SJ, CHUQ", "")</f>
      </c>
      <c r="AL198" s="57">
        <f>IF(AND(O198=2, ISBLANK(P198), ISBLANK(Q198), ISBLANK(R198), ISBLANK(S198), ISBLANK(T198)), "CUSM, CHU SJ, CHUS, CHUQ", "")</f>
      </c>
      <c r="AM198" s="57">
        <f>IF(AND(AJ198="no match", AK198="", AL198="", K198&lt;26), "CUSM, CHU SJ, HGJ, CHUQ, CHUS", "")</f>
      </c>
      <c r="AN198" s="57">
        <f>IF(AND(AJ198="no match", AK198="", AL198="", K198&gt;26), "CUSM, CHU SJ, HGJ, CHUQ, CHUS, HMR", "")</f>
      </c>
    </row>
    <row x14ac:dyDescent="0.25" r="199" customHeight="1" ht="17.25">
      <c r="A199" s="41" t="s">
        <v>3108</v>
      </c>
      <c r="B199" s="28">
        <v>2</v>
      </c>
      <c r="C199" s="38"/>
      <c r="D199" s="29"/>
      <c r="E199" s="30" t="s">
        <v>54</v>
      </c>
      <c r="F199" s="31">
        <v>45030</v>
      </c>
      <c r="G199" s="32">
        <v>4.611111111111111</v>
      </c>
      <c r="H199" s="31">
        <v>45028</v>
      </c>
      <c r="I199" s="32">
        <v>4.406944444444445</v>
      </c>
      <c r="J199" s="33">
        <f>F199-H199</f>
      </c>
      <c r="K199" s="28">
        <v>37</v>
      </c>
      <c r="L199" s="28">
        <v>3</v>
      </c>
      <c r="M199" s="28">
        <v>2</v>
      </c>
      <c r="N199" s="38"/>
      <c r="O199" s="34"/>
      <c r="P199" s="34"/>
      <c r="Q199" s="34"/>
      <c r="R199" s="34"/>
      <c r="S199" s="56"/>
      <c r="T199" s="38"/>
      <c r="U199" s="38"/>
      <c r="V199" s="38"/>
      <c r="W199" s="29"/>
      <c r="X199" s="28">
        <v>46</v>
      </c>
      <c r="Y199" s="28">
        <v>1</v>
      </c>
      <c r="Z199" s="28">
        <v>2</v>
      </c>
      <c r="AA199" s="28">
        <v>2</v>
      </c>
      <c r="AB199" s="28">
        <v>1</v>
      </c>
      <c r="AC199" s="28">
        <v>2</v>
      </c>
      <c r="AD199" s="28">
        <v>1</v>
      </c>
      <c r="AE199" s="28">
        <v>2</v>
      </c>
      <c r="AF199" s="28">
        <v>2</v>
      </c>
      <c r="AG199" s="28">
        <v>2</v>
      </c>
      <c r="AH199" s="29" t="s">
        <v>3109</v>
      </c>
      <c r="AI199" s="36">
        <f>IF(OR(AND(K199&lt;32, J199&lt;2), O199=1, P199=1, Q199=1, R199=1, S199=1, T199=1, U199=1, AND(W199&lt;&gt;"", W199&lt;&gt;"Oxygen", W199&lt;&gt;"LowFlow")), "Intensive", "Intermediate")</f>
      </c>
      <c r="AJ199" s="57">
        <f>IF(OR(LEFT(AH199, 1)="X", LEFT(AH199, 1)="Y", LEFT(AH199, 3)="J4M"), "CUSM", "No Match")</f>
      </c>
      <c r="AK199" s="57">
        <f>IF(AND(OR(O199=3, P199=1, Q199=1, T199=1), AJ199="no Match"), "CUSM, CHU SJ, CHUQ", "")</f>
      </c>
      <c r="AL199" s="57">
        <f>IF(AND(O199=2, ISBLANK(P199), ISBLANK(Q199), ISBLANK(R199), ISBLANK(S199), ISBLANK(T199)), "CUSM, CHU SJ, CHUS, CHUQ", "")</f>
      </c>
      <c r="AM199" s="57">
        <f>IF(AND(AJ199="no match", AK199="", AL199="", K199&lt;26), "CUSM, CHU SJ, HGJ, CHUQ, CHUS", "")</f>
      </c>
      <c r="AN199" s="57">
        <f>IF(AND(AJ199="no match", AK199="", AL199="", K199&gt;26), "CUSM, CHU SJ, HGJ, CHUQ, CHUS, HMR", "")</f>
      </c>
    </row>
    <row x14ac:dyDescent="0.25" r="200" customHeight="1" ht="17.25">
      <c r="A200" s="41" t="s">
        <v>3110</v>
      </c>
      <c r="B200" s="28">
        <v>2</v>
      </c>
      <c r="C200" s="35">
        <v>824</v>
      </c>
      <c r="D200" s="29" t="s">
        <v>57</v>
      </c>
      <c r="E200" s="30" t="s">
        <v>54</v>
      </c>
      <c r="F200" s="31">
        <v>45030</v>
      </c>
      <c r="G200" s="32">
        <v>4.618055555555555</v>
      </c>
      <c r="H200" s="31">
        <v>45030</v>
      </c>
      <c r="I200" s="32">
        <v>4.44375</v>
      </c>
      <c r="J200" s="33">
        <f>F200-H200</f>
      </c>
      <c r="K200" s="28">
        <v>36</v>
      </c>
      <c r="L200" s="28">
        <v>4</v>
      </c>
      <c r="M200" s="28">
        <v>1</v>
      </c>
      <c r="N200" s="35">
        <v>1</v>
      </c>
      <c r="O200" s="35">
        <v>2</v>
      </c>
      <c r="P200" s="34"/>
      <c r="Q200" s="34"/>
      <c r="R200" s="34"/>
      <c r="S200" s="56"/>
      <c r="T200" s="34"/>
      <c r="U200" s="34"/>
      <c r="V200" s="34"/>
      <c r="W200" s="29"/>
      <c r="X200" s="28">
        <v>37</v>
      </c>
      <c r="Y200" s="28">
        <v>1</v>
      </c>
      <c r="Z200" s="28">
        <v>2</v>
      </c>
      <c r="AA200" s="28">
        <v>2</v>
      </c>
      <c r="AB200" s="28">
        <v>1</v>
      </c>
      <c r="AC200" s="28">
        <v>2</v>
      </c>
      <c r="AD200" s="28">
        <v>2</v>
      </c>
      <c r="AE200" s="28">
        <v>4</v>
      </c>
      <c r="AF200" s="28">
        <v>2</v>
      </c>
      <c r="AG200" s="28">
        <v>2</v>
      </c>
      <c r="AH200" s="29" t="s">
        <v>3111</v>
      </c>
      <c r="AI200" s="36">
        <f>IF(OR(AND(K200&lt;32, J200&lt;2), O200=1, P200=1, Q200=1, R200=1, S200=1, T200=1, U200=1, AND(W200&lt;&gt;"", W200&lt;&gt;"Oxygen", W200&lt;&gt;"LowFlow")), "Intensive", "Intermediate")</f>
      </c>
      <c r="AJ200" s="57">
        <f>IF(OR(LEFT(AH200, 1)="X", LEFT(AH200, 1)="Y", LEFT(AH200, 3)="J5M"), "CUSM", "No Match")</f>
      </c>
      <c r="AK200" s="57">
        <f>IF(AND(OR(O200=3, P200=1, Q200=1, T200=1), AJ200="no Match"), "CUSM, CHU SJ, CHUQ", "")</f>
      </c>
      <c r="AL200" s="57">
        <f>IF(AND(O200=2, ISBLANK(P200), ISBLANK(Q200), ISBLANK(R200), ISBLANK(S200), ISBLANK(T200)), "CUSM, CHU SJ, CHUS, CHUQ", "")</f>
      </c>
      <c r="AM200" s="57">
        <f>IF(AND(AJ200="no match", AK200="", AL200="", K200&lt;26), "CUSM, CHU SJ, HGJ, CHUQ, CHUS", "")</f>
      </c>
      <c r="AN200" s="57">
        <f>IF(AND(AJ200="no match", AK200="", AL200="", K200&gt;26), "CUSM, CHU SJ, HGJ, CHUQ, CHUS, HMR", "")</f>
      </c>
    </row>
    <row x14ac:dyDescent="0.25" r="201" customHeight="1" ht="17.25">
      <c r="A201" s="41" t="s">
        <v>3112</v>
      </c>
      <c r="B201" s="28">
        <v>2</v>
      </c>
      <c r="C201" s="35">
        <v>839</v>
      </c>
      <c r="D201" s="29" t="s">
        <v>53</v>
      </c>
      <c r="E201" s="30" t="s">
        <v>50</v>
      </c>
      <c r="F201" s="31">
        <v>45030</v>
      </c>
      <c r="G201" s="32">
        <v>4.284722222222222</v>
      </c>
      <c r="H201" s="31">
        <v>45030</v>
      </c>
      <c r="I201" s="32">
        <v>4.135416666666666</v>
      </c>
      <c r="J201" s="33">
        <f>F201-H201</f>
      </c>
      <c r="K201" s="28">
        <v>42</v>
      </c>
      <c r="L201" s="28">
        <v>2</v>
      </c>
      <c r="M201" s="28">
        <v>1</v>
      </c>
      <c r="N201" s="34"/>
      <c r="O201" s="34"/>
      <c r="P201" s="34"/>
      <c r="Q201" s="34"/>
      <c r="R201" s="34"/>
      <c r="S201" s="56"/>
      <c r="T201" s="35">
        <v>1</v>
      </c>
      <c r="U201" s="35">
        <v>1</v>
      </c>
      <c r="V201" s="35">
        <v>1</v>
      </c>
      <c r="W201" s="29" t="s">
        <v>74</v>
      </c>
      <c r="X201" s="28">
        <v>28</v>
      </c>
      <c r="Y201" s="28">
        <v>1</v>
      </c>
      <c r="Z201" s="28">
        <v>1</v>
      </c>
      <c r="AA201" s="28">
        <v>3</v>
      </c>
      <c r="AB201" s="28">
        <v>1</v>
      </c>
      <c r="AC201" s="28">
        <v>2</v>
      </c>
      <c r="AD201" s="28">
        <v>1</v>
      </c>
      <c r="AE201" s="28">
        <v>4</v>
      </c>
      <c r="AF201" s="28">
        <v>2</v>
      </c>
      <c r="AG201" s="28">
        <v>2</v>
      </c>
      <c r="AH201" s="29" t="s">
        <v>2344</v>
      </c>
      <c r="AI201" s="36">
        <f>IF(OR(AND(K201&lt;32, J201&lt;2), O201=1, P201=1, Q201=1, R201=1, S201=1, T201=1, U201=1, AND(W201&lt;&gt;"", W201&lt;&gt;"Oxygen", W201&lt;&gt;"LowFlow")), "Intensive", "Intermediate")</f>
      </c>
      <c r="AJ201" s="57">
        <f>IF(OR(LEFT(AH201, 1)="X", LEFT(AH201, 1)="Y", LEFT(AH201, 3)="J6M"), "CUSM", "No Match")</f>
      </c>
      <c r="AK201" s="57">
        <f>IF(AND(OR(O201=3, P201=1, Q201=1, T201=1), AJ201="no Match"), "CUSM, CHU SJ, CHUQ", "")</f>
      </c>
      <c r="AL201" s="57">
        <f>IF(AND(O201=2, ISBLANK(P201), ISBLANK(Q201), ISBLANK(R201), ISBLANK(S201), ISBLANK(T201)), "CUSM, CHU SJ, CHUS, CHUQ", "")</f>
      </c>
      <c r="AM201" s="57">
        <f>IF(AND(AJ201="no match", AK201="", AL201="", K201&lt;26), "CUSM, CHU SJ, HGJ, CHUQ, CHUS", "")</f>
      </c>
      <c r="AN201" s="57">
        <f>IF(AND(AJ201="no match", AK201="", AL201="", K201&gt;26), "CUSM, CHU SJ, HGJ, CHUQ, CHUS, HMR", "")</f>
      </c>
    </row>
    <row x14ac:dyDescent="0.25" r="202" customHeight="1" ht="17.25">
      <c r="A202" s="41" t="s">
        <v>3113</v>
      </c>
      <c r="B202" s="28">
        <v>2</v>
      </c>
      <c r="C202" s="28">
        <v>730</v>
      </c>
      <c r="D202" s="29" t="s">
        <v>81</v>
      </c>
      <c r="E202" s="30" t="s">
        <v>50</v>
      </c>
      <c r="F202" s="31">
        <v>45030</v>
      </c>
      <c r="G202" s="32">
        <v>4.697916666666666</v>
      </c>
      <c r="H202" s="31">
        <v>45029</v>
      </c>
      <c r="I202" s="32">
        <v>4.503472222222222</v>
      </c>
      <c r="J202" s="33">
        <f>F202-H202</f>
      </c>
      <c r="K202" s="28">
        <v>38</v>
      </c>
      <c r="L202" s="28">
        <v>4</v>
      </c>
      <c r="M202" s="28">
        <v>2</v>
      </c>
      <c r="N202" s="34"/>
      <c r="O202" s="34"/>
      <c r="P202" s="34"/>
      <c r="Q202" s="34"/>
      <c r="R202" s="34"/>
      <c r="S202" s="56"/>
      <c r="T202" s="34"/>
      <c r="U202" s="34"/>
      <c r="V202" s="34"/>
      <c r="W202" s="29"/>
      <c r="X202" s="28">
        <v>36</v>
      </c>
      <c r="Y202" s="28">
        <v>1</v>
      </c>
      <c r="Z202" s="28">
        <v>2</v>
      </c>
      <c r="AA202" s="28">
        <v>1</v>
      </c>
      <c r="AB202" s="28">
        <v>1</v>
      </c>
      <c r="AC202" s="28">
        <v>2</v>
      </c>
      <c r="AD202" s="28">
        <v>2</v>
      </c>
      <c r="AE202" s="28">
        <v>4</v>
      </c>
      <c r="AF202" s="28">
        <v>2</v>
      </c>
      <c r="AG202" s="28">
        <v>2</v>
      </c>
      <c r="AH202" s="29" t="s">
        <v>3114</v>
      </c>
      <c r="AI202" s="36">
        <f>IF(OR(AND(K202&lt;32, J202&lt;2), O202=1, P202=1, Q202=1, R202=1, S202=1, T202=1, U202=1, AND(W202&lt;&gt;"", W202&lt;&gt;"Oxygen", W202&lt;&gt;"LowFlow")), "Intensive", "Intermediate")</f>
      </c>
      <c r="AJ202" s="57">
        <f>IF(OR(LEFT(AH202, 1)="X", LEFT(AH202, 1)="Y", LEFT(AH202, 3)="J7M"), "CUSM", "No Match")</f>
      </c>
      <c r="AK202" s="57">
        <f>IF(AND(OR(O202=3, P202=1, Q202=1, T202=1), AJ202="no Match"), "CUSM, CHU SJ, CHUQ", "")</f>
      </c>
      <c r="AL202" s="57">
        <f>IF(AND(O202=2, ISBLANK(P202), ISBLANK(Q202), ISBLANK(R202), ISBLANK(S202), ISBLANK(T202)), "CUSM, CHU SJ, CHUS, CHUQ", "")</f>
      </c>
      <c r="AM202" s="57">
        <f>IF(AND(AJ202="no match", AK202="", AL202="", K202&lt;26), "CUSM, CHU SJ, HGJ, CHUQ, CHUS", "")</f>
      </c>
      <c r="AN202" s="57">
        <f>IF(AND(AJ202="no match", AK202="", AL202="", K202&gt;26), "CUSM, CHU SJ, HGJ, CHUQ, CHUS, HMR", "")</f>
      </c>
    </row>
    <row x14ac:dyDescent="0.25" r="203" customHeight="1" ht="17.25">
      <c r="A203" s="41" t="s">
        <v>3115</v>
      </c>
      <c r="B203" s="28">
        <v>2</v>
      </c>
      <c r="C203" s="35">
        <v>839</v>
      </c>
      <c r="D203" s="29" t="s">
        <v>53</v>
      </c>
      <c r="E203" s="30" t="s">
        <v>54</v>
      </c>
      <c r="F203" s="31">
        <v>45031</v>
      </c>
      <c r="G203" s="32">
        <v>4.0680555555555555</v>
      </c>
      <c r="H203" s="31">
        <v>45030</v>
      </c>
      <c r="I203" s="32">
        <v>4.75</v>
      </c>
      <c r="J203" s="33">
        <f>F203-H203</f>
      </c>
      <c r="K203" s="28">
        <v>37</v>
      </c>
      <c r="L203" s="28">
        <v>1</v>
      </c>
      <c r="M203" s="28">
        <v>1</v>
      </c>
      <c r="N203" s="34"/>
      <c r="O203" s="34"/>
      <c r="P203" s="34"/>
      <c r="Q203" s="34"/>
      <c r="R203" s="34"/>
      <c r="S203" s="56"/>
      <c r="T203" s="35">
        <v>1</v>
      </c>
      <c r="U203" s="34"/>
      <c r="V203" s="34"/>
      <c r="W203" s="29" t="s">
        <v>58</v>
      </c>
      <c r="X203" s="28">
        <v>32</v>
      </c>
      <c r="Y203" s="28">
        <v>1</v>
      </c>
      <c r="Z203" s="28">
        <v>1</v>
      </c>
      <c r="AA203" s="28">
        <v>2</v>
      </c>
      <c r="AB203" s="28">
        <v>1</v>
      </c>
      <c r="AC203" s="28">
        <v>1</v>
      </c>
      <c r="AD203" s="28">
        <v>1</v>
      </c>
      <c r="AE203" s="28">
        <v>4</v>
      </c>
      <c r="AF203" s="28">
        <v>2</v>
      </c>
      <c r="AG203" s="28">
        <v>2</v>
      </c>
      <c r="AH203" s="29" t="s">
        <v>3116</v>
      </c>
      <c r="AI203" s="36">
        <f>IF(OR(AND(K203&lt;32, J203&lt;2), O203=1, P203=1, Q203=1, R203=1, S203=1, T203=1, U203=1, AND(W203&lt;&gt;"", W203&lt;&gt;"Oxygen", W203&lt;&gt;"LowFlow")), "Intensive", "Intermediate")</f>
      </c>
      <c r="AJ203" s="57">
        <f>IF(OR(LEFT(AH203, 1)="X", LEFT(AH203, 1)="Y", LEFT(AH203, 3)="J8M"), "CUSM", "No Match")</f>
      </c>
      <c r="AK203" s="57">
        <f>IF(AND(OR(O203=3, P203=1, Q203=1, T203=1), AJ203="no Match"), "CUSM, CHU SJ, CHUQ", "")</f>
      </c>
      <c r="AL203" s="57">
        <f>IF(AND(O203=2, ISBLANK(P203), ISBLANK(Q203), ISBLANK(R203), ISBLANK(S203), ISBLANK(T203)), "CUSM, CHU SJ, CHUS, CHUQ", "")</f>
      </c>
      <c r="AM203" s="57">
        <f>IF(AND(AJ203="no match", AK203="", AL203="", K203&lt;26), "CUSM, CHU SJ, HGJ, CHUQ, CHUS", "")</f>
      </c>
      <c r="AN203" s="57">
        <f>IF(AND(AJ203="no match", AK203="", AL203="", K203&gt;26), "CUSM, CHU SJ, HGJ, CHUQ, CHUS, HMR", "")</f>
      </c>
    </row>
    <row x14ac:dyDescent="0.25" r="204" customHeight="1" ht="17.25">
      <c r="A204" s="41" t="s">
        <v>3117</v>
      </c>
      <c r="B204" s="28">
        <v>2</v>
      </c>
      <c r="C204" s="35">
        <v>824</v>
      </c>
      <c r="D204" s="29" t="s">
        <v>57</v>
      </c>
      <c r="E204" s="30" t="s">
        <v>50</v>
      </c>
      <c r="F204" s="31">
        <v>45032</v>
      </c>
      <c r="G204" s="32">
        <v>4.420138888888889</v>
      </c>
      <c r="H204" s="31">
        <v>45031</v>
      </c>
      <c r="I204" s="32">
        <v>4.4375</v>
      </c>
      <c r="J204" s="33">
        <f>F204-H204</f>
      </c>
      <c r="K204" s="28">
        <v>36</v>
      </c>
      <c r="L204" s="28">
        <v>4</v>
      </c>
      <c r="M204" s="28">
        <v>1</v>
      </c>
      <c r="N204" s="38"/>
      <c r="O204" s="34"/>
      <c r="P204" s="34"/>
      <c r="Q204" s="34"/>
      <c r="R204" s="34"/>
      <c r="S204" s="56"/>
      <c r="T204" s="34"/>
      <c r="U204" s="34"/>
      <c r="V204" s="34"/>
      <c r="W204" s="29" t="s">
        <v>164</v>
      </c>
      <c r="X204" s="28">
        <v>30</v>
      </c>
      <c r="Y204" s="28">
        <v>1</v>
      </c>
      <c r="Z204" s="28">
        <v>1</v>
      </c>
      <c r="AA204" s="28">
        <v>3</v>
      </c>
      <c r="AB204" s="28">
        <v>2</v>
      </c>
      <c r="AC204" s="28">
        <v>2</v>
      </c>
      <c r="AD204" s="28">
        <v>1</v>
      </c>
      <c r="AE204" s="28">
        <v>4</v>
      </c>
      <c r="AF204" s="28">
        <v>2</v>
      </c>
      <c r="AG204" s="28">
        <v>2</v>
      </c>
      <c r="AH204" s="29" t="s">
        <v>3118</v>
      </c>
      <c r="AI204" s="36">
        <f>IF(OR(AND(K204&lt;32, J204&lt;2), O204=1, P204=1, Q204=1, R204=1, S204=1, T204=1, U204=1, AND(W204&lt;&gt;"", W204&lt;&gt;"Oxygen", W204&lt;&gt;"LowFlow")), "Intensive", "Intermediate")</f>
      </c>
      <c r="AJ204" s="57">
        <f>IF(OR(LEFT(AH204, 1)="X", LEFT(AH204, 1)="Y", LEFT(AH204, 3)="J9M"), "CUSM", "No Match")</f>
      </c>
      <c r="AK204" s="57">
        <f>IF(AND(OR(O204=3, P204=1, Q204=1, T204=1), AJ204="no Match"), "CUSM, CHU SJ, CHUQ", "")</f>
      </c>
      <c r="AL204" s="57">
        <f>IF(AND(O204=2, ISBLANK(P204), ISBLANK(Q204), ISBLANK(R204), ISBLANK(S204), ISBLANK(T204)), "CUSM, CHU SJ, CHUS, CHUQ", "")</f>
      </c>
      <c r="AM204" s="57">
        <f>IF(AND(AJ204="no match", AK204="", AL204="", K204&lt;26), "CUSM, CHU SJ, HGJ, CHUQ, CHUS", "")</f>
      </c>
      <c r="AN204" s="57">
        <f>IF(AND(AJ204="no match", AK204="", AL204="", K204&gt;26), "CUSM, CHU SJ, HGJ, CHUQ, CHUS, HMR", "")</f>
      </c>
    </row>
    <row x14ac:dyDescent="0.25" r="205" customHeight="1" ht="17.25">
      <c r="A205" s="41" t="s">
        <v>3119</v>
      </c>
      <c r="B205" s="28">
        <v>2</v>
      </c>
      <c r="C205" s="35">
        <v>839</v>
      </c>
      <c r="D205" s="29" t="s">
        <v>53</v>
      </c>
      <c r="E205" s="30" t="s">
        <v>50</v>
      </c>
      <c r="F205" s="31">
        <v>45034</v>
      </c>
      <c r="G205" s="32">
        <v>4.006944444444445</v>
      </c>
      <c r="H205" s="31">
        <v>45033</v>
      </c>
      <c r="I205" s="32">
        <v>4.698611111111111</v>
      </c>
      <c r="J205" s="33">
        <f>F205-H205</f>
      </c>
      <c r="K205" s="28">
        <v>36</v>
      </c>
      <c r="L205" s="28">
        <v>0</v>
      </c>
      <c r="M205" s="28">
        <v>2</v>
      </c>
      <c r="N205" s="38"/>
      <c r="O205" s="34"/>
      <c r="P205" s="34"/>
      <c r="Q205" s="38"/>
      <c r="R205" s="34"/>
      <c r="S205" s="56"/>
      <c r="T205" s="34"/>
      <c r="U205" s="34"/>
      <c r="V205" s="34"/>
      <c r="W205" s="29" t="s">
        <v>58</v>
      </c>
      <c r="X205" s="28">
        <v>36</v>
      </c>
      <c r="Y205" s="28">
        <v>1</v>
      </c>
      <c r="Z205" s="28">
        <v>1</v>
      </c>
      <c r="AA205" s="28">
        <v>3</v>
      </c>
      <c r="AB205" s="28">
        <v>1</v>
      </c>
      <c r="AC205" s="28">
        <v>2</v>
      </c>
      <c r="AD205" s="28">
        <v>2</v>
      </c>
      <c r="AE205" s="28">
        <v>4</v>
      </c>
      <c r="AF205" s="28">
        <v>2</v>
      </c>
      <c r="AG205" s="28">
        <v>2</v>
      </c>
      <c r="AH205" s="29" t="s">
        <v>3120</v>
      </c>
      <c r="AI205" s="36">
        <f>IF(OR(AND(K205&lt;32, J205&lt;2), O205=1, P205=1, Q205=1, R205=1, S205=1, T205=1, U205=1, AND(W205&lt;&gt;"", W205&lt;&gt;"Oxygen", W205&lt;&gt;"LowFlow")), "Intensive", "Intermediate")</f>
      </c>
      <c r="AJ205" s="57">
        <f>IF(OR(LEFT(AH205, 1)="X", LEFT(AH205, 1)="Y", LEFT(AH205, 3)="J10M"), "CUSM", "No Match")</f>
      </c>
      <c r="AK205" s="57">
        <f>IF(AND(OR(O205=3, P205=1, Q205=1, T205=1), AJ205="no Match"), "CUSM, CHU SJ, CHUQ", "")</f>
      </c>
      <c r="AL205" s="57">
        <f>IF(AND(O205=2, ISBLANK(P205), ISBLANK(Q205), ISBLANK(R205), ISBLANK(S205), ISBLANK(T205)), "CUSM, CHU SJ, CHUS, CHUQ", "")</f>
      </c>
      <c r="AM205" s="57">
        <f>IF(AND(AJ205="no match", AK205="", AL205="", K205&lt;26), "CUSM, CHU SJ, HGJ, CHUQ, CHUS", "")</f>
      </c>
      <c r="AN205" s="57">
        <f>IF(AND(AJ205="no match", AK205="", AL205="", K205&gt;26), "CUSM, CHU SJ, HGJ, CHUQ, CHUS, HMR", "")</f>
      </c>
    </row>
    <row x14ac:dyDescent="0.25" r="206" customHeight="1" ht="17.25">
      <c r="A206" s="41" t="s">
        <v>3121</v>
      </c>
      <c r="B206" s="28">
        <v>2</v>
      </c>
      <c r="C206" s="35">
        <v>756</v>
      </c>
      <c r="D206" s="29" t="s">
        <v>66</v>
      </c>
      <c r="E206" s="30" t="s">
        <v>50</v>
      </c>
      <c r="F206" s="31">
        <v>45034</v>
      </c>
      <c r="G206" s="32">
        <v>4.600694444444445</v>
      </c>
      <c r="H206" s="31">
        <v>45031</v>
      </c>
      <c r="I206" s="32">
        <v>4.009027777777778</v>
      </c>
      <c r="J206" s="33">
        <f>F206-H206</f>
      </c>
      <c r="K206" s="28">
        <v>38</v>
      </c>
      <c r="L206" s="28">
        <v>4</v>
      </c>
      <c r="M206" s="28">
        <v>1</v>
      </c>
      <c r="N206" s="38"/>
      <c r="O206" s="34"/>
      <c r="P206" s="38"/>
      <c r="Q206" s="34"/>
      <c r="R206" s="34"/>
      <c r="S206" s="56"/>
      <c r="T206" s="34"/>
      <c r="U206" s="34"/>
      <c r="V206" s="34"/>
      <c r="W206" s="29" t="s">
        <v>58</v>
      </c>
      <c r="X206" s="28">
        <v>29</v>
      </c>
      <c r="Y206" s="28">
        <v>1</v>
      </c>
      <c r="Z206" s="28">
        <v>2</v>
      </c>
      <c r="AA206" s="28">
        <v>2</v>
      </c>
      <c r="AB206" s="28">
        <v>1</v>
      </c>
      <c r="AC206" s="28">
        <v>2</v>
      </c>
      <c r="AD206" s="28">
        <v>1</v>
      </c>
      <c r="AE206" s="28">
        <v>4</v>
      </c>
      <c r="AF206" s="28">
        <v>2</v>
      </c>
      <c r="AG206" s="28">
        <v>2</v>
      </c>
      <c r="AH206" s="29" t="s">
        <v>3122</v>
      </c>
      <c r="AI206" s="36">
        <f>IF(OR(AND(K206&lt;32, J206&lt;2), O206=1, P206=1, Q206=1, R206=1, S206=1, T206=1, U206=1, AND(W206&lt;&gt;"", W206&lt;&gt;"Oxygen", W206&lt;&gt;"LowFlow")), "Intensive", "Intermediate")</f>
      </c>
      <c r="AJ206" s="57">
        <f>IF(OR(LEFT(AH206, 1)="X", LEFT(AH206, 1)="Y", LEFT(AH206, 3)="J11M"), "CUSM", "No Match")</f>
      </c>
      <c r="AK206" s="57">
        <f>IF(AND(OR(O206=3, P206=1, Q206=1, T206=1), AJ206="no Match"), "CUSM, CHU SJ, CHUQ", "")</f>
      </c>
      <c r="AL206" s="57">
        <f>IF(AND(O206=2, ISBLANK(P206), ISBLANK(Q206), ISBLANK(R206), ISBLANK(S206), ISBLANK(T206)), "CUSM, CHU SJ, CHUS, CHUQ", "")</f>
      </c>
      <c r="AM206" s="57">
        <f>IF(AND(AJ206="no match", AK206="", AL206="", K206&lt;26), "CUSM, CHU SJ, HGJ, CHUQ, CHUS", "")</f>
      </c>
      <c r="AN206" s="57">
        <f>IF(AND(AJ206="no match", AK206="", AL206="", K206&gt;26), "CUSM, CHU SJ, HGJ, CHUQ, CHUS, HMR", "")</f>
      </c>
    </row>
    <row x14ac:dyDescent="0.25" r="207" customHeight="1" ht="17.25">
      <c r="A207" s="41" t="s">
        <v>3123</v>
      </c>
      <c r="B207" s="28">
        <v>2</v>
      </c>
      <c r="C207" s="28">
        <v>806</v>
      </c>
      <c r="D207" s="29" t="s">
        <v>438</v>
      </c>
      <c r="E207" s="30" t="s">
        <v>54</v>
      </c>
      <c r="F207" s="31">
        <v>45035</v>
      </c>
      <c r="G207" s="32">
        <v>4.59375</v>
      </c>
      <c r="H207" s="31">
        <v>45035</v>
      </c>
      <c r="I207" s="32">
        <v>4.323611111111111</v>
      </c>
      <c r="J207" s="33">
        <f>F207-H207</f>
      </c>
      <c r="K207" s="28">
        <v>40</v>
      </c>
      <c r="L207" s="28">
        <v>6</v>
      </c>
      <c r="M207" s="28">
        <v>1</v>
      </c>
      <c r="N207" s="34"/>
      <c r="O207" s="34"/>
      <c r="P207" s="34"/>
      <c r="Q207" s="34"/>
      <c r="R207" s="34"/>
      <c r="S207" s="56"/>
      <c r="T207" s="34"/>
      <c r="U207" s="34"/>
      <c r="V207" s="34"/>
      <c r="W207" s="29" t="s">
        <v>58</v>
      </c>
      <c r="X207" s="28">
        <v>31</v>
      </c>
      <c r="Y207" s="28">
        <v>1</v>
      </c>
      <c r="Z207" s="28">
        <v>1</v>
      </c>
      <c r="AA207" s="28">
        <v>2</v>
      </c>
      <c r="AB207" s="28">
        <v>1</v>
      </c>
      <c r="AC207" s="28">
        <v>2</v>
      </c>
      <c r="AD207" s="28">
        <v>2</v>
      </c>
      <c r="AE207" s="28">
        <v>4</v>
      </c>
      <c r="AF207" s="28">
        <v>2</v>
      </c>
      <c r="AG207" s="28">
        <v>2</v>
      </c>
      <c r="AH207" s="29" t="s">
        <v>3124</v>
      </c>
      <c r="AI207" s="36">
        <f>IF(OR(AND(K207&lt;32, J207&lt;2), O207=1, P207=1, Q207=1, R207=1, S207=1, T207=1, U207=1, AND(W207&lt;&gt;"", W207&lt;&gt;"Oxygen", W207&lt;&gt;"LowFlow")), "Intensive", "Intermediate")</f>
      </c>
      <c r="AJ207" s="57">
        <f>IF(OR(LEFT(AH207, 1)="X", LEFT(AH207, 1)="Y", LEFT(AH207, 3)="J12M"), "CUSM", "No Match")</f>
      </c>
      <c r="AK207" s="57">
        <f>IF(AND(OR(O207=3, P207=1, Q207=1, T207=1), AJ207="no Match"), "CUSM, CHU SJ, CHUQ", "")</f>
      </c>
      <c r="AL207" s="57">
        <f>IF(AND(O207=2, ISBLANK(P207), ISBLANK(Q207), ISBLANK(R207), ISBLANK(S207), ISBLANK(T207)), "CUSM, CHU SJ, CHUS, CHUQ", "")</f>
      </c>
      <c r="AM207" s="57">
        <f>IF(AND(AJ207="no match", AK207="", AL207="", K207&lt;26), "CUSM, CHU SJ, HGJ, CHUQ, CHUS", "")</f>
      </c>
      <c r="AN207" s="57">
        <f>IF(AND(AJ207="no match", AK207="", AL207="", K207&gt;26), "CUSM, CHU SJ, HGJ, CHUQ, CHUS, HMR", "")</f>
      </c>
    </row>
    <row x14ac:dyDescent="0.25" r="208" customHeight="1" ht="17.25">
      <c r="A208" s="41" t="s">
        <v>3125</v>
      </c>
      <c r="B208" s="28">
        <v>2</v>
      </c>
      <c r="C208" s="35">
        <v>820</v>
      </c>
      <c r="D208" s="29" t="s">
        <v>69</v>
      </c>
      <c r="E208" s="30" t="s">
        <v>78</v>
      </c>
      <c r="F208" s="31">
        <v>45035</v>
      </c>
      <c r="G208" s="32">
        <v>4.458333333333334</v>
      </c>
      <c r="H208" s="31">
        <v>45034</v>
      </c>
      <c r="I208" s="32">
        <v>4.7027777777777775</v>
      </c>
      <c r="J208" s="33">
        <f>F208-H208</f>
      </c>
      <c r="K208" s="28">
        <v>37</v>
      </c>
      <c r="L208" s="28">
        <v>0</v>
      </c>
      <c r="M208" s="28">
        <v>2</v>
      </c>
      <c r="N208" s="38"/>
      <c r="O208" s="34"/>
      <c r="P208" s="38"/>
      <c r="Q208" s="34"/>
      <c r="R208" s="34"/>
      <c r="S208" s="56"/>
      <c r="T208" s="34"/>
      <c r="U208" s="34"/>
      <c r="V208" s="34"/>
      <c r="W208" s="29" t="s">
        <v>58</v>
      </c>
      <c r="X208" s="28">
        <v>27</v>
      </c>
      <c r="Y208" s="28">
        <v>1</v>
      </c>
      <c r="Z208" s="28">
        <v>2</v>
      </c>
      <c r="AA208" s="28">
        <v>2</v>
      </c>
      <c r="AB208" s="28">
        <v>1</v>
      </c>
      <c r="AC208" s="28">
        <v>2</v>
      </c>
      <c r="AD208" s="28">
        <v>2</v>
      </c>
      <c r="AE208" s="28">
        <v>4</v>
      </c>
      <c r="AF208" s="28">
        <v>3</v>
      </c>
      <c r="AG208" s="28">
        <v>2</v>
      </c>
      <c r="AH208" s="29" t="s">
        <v>3126</v>
      </c>
      <c r="AI208" s="36">
        <f>IF(OR(AND(K208&lt;32, J208&lt;2), O208=1, P208=1, Q208=1, R208=1, S208=1, T208=1, U208=1, AND(W208&lt;&gt;"", W208&lt;&gt;"Oxygen", W208&lt;&gt;"LowFlow")), "Intensive", "Intermediate")</f>
      </c>
      <c r="AJ208" s="57">
        <f>IF(OR(LEFT(AH208, 1)="X", LEFT(AH208, 1)="Y", LEFT(AH208, 3)="J13M"), "CUSM", "No Match")</f>
      </c>
      <c r="AK208" s="57">
        <f>IF(AND(OR(O208=3, P208=1, Q208=1, T208=1), AJ208="no Match"), "CUSM, CHU SJ, CHUQ", "")</f>
      </c>
      <c r="AL208" s="57">
        <f>IF(AND(O208=2, ISBLANK(P208), ISBLANK(Q208), ISBLANK(R208), ISBLANK(S208), ISBLANK(T208)), "CUSM, CHU SJ, CHUS, CHUQ", "")</f>
      </c>
      <c r="AM208" s="57">
        <f>IF(AND(AJ208="no match", AK208="", AL208="", K208&lt;26), "CUSM, CHU SJ, HGJ, CHUQ, CHUS", "")</f>
      </c>
      <c r="AN208" s="57">
        <f>IF(AND(AJ208="no match", AK208="", AL208="", K208&gt;26), "CUSM, CHU SJ, HGJ, CHUQ, CHUS, HMR", "")</f>
      </c>
    </row>
    <row x14ac:dyDescent="0.25" r="209" customHeight="1" ht="17.25">
      <c r="A209" s="41" t="s">
        <v>3127</v>
      </c>
      <c r="B209" s="28">
        <v>2</v>
      </c>
      <c r="C209" s="35">
        <v>839</v>
      </c>
      <c r="D209" s="29" t="s">
        <v>53</v>
      </c>
      <c r="E209" s="30" t="s">
        <v>50</v>
      </c>
      <c r="F209" s="31">
        <v>45035</v>
      </c>
      <c r="G209" s="32">
        <v>4.989583333333334</v>
      </c>
      <c r="H209" s="31">
        <v>45035</v>
      </c>
      <c r="I209" s="32">
        <v>4.404861111111111</v>
      </c>
      <c r="J209" s="33">
        <f>F209-H209</f>
      </c>
      <c r="K209" s="28">
        <v>38</v>
      </c>
      <c r="L209" s="28">
        <v>5</v>
      </c>
      <c r="M209" s="28">
        <v>1</v>
      </c>
      <c r="N209" s="38"/>
      <c r="O209" s="38"/>
      <c r="P209" s="38"/>
      <c r="Q209" s="34"/>
      <c r="R209" s="34"/>
      <c r="S209" s="56"/>
      <c r="T209" s="34"/>
      <c r="U209" s="34"/>
      <c r="V209" s="34"/>
      <c r="W209" s="29" t="s">
        <v>58</v>
      </c>
      <c r="X209" s="28">
        <v>41</v>
      </c>
      <c r="Y209" s="28">
        <v>1</v>
      </c>
      <c r="Z209" s="28">
        <v>2</v>
      </c>
      <c r="AA209" s="28">
        <v>2</v>
      </c>
      <c r="AB209" s="28">
        <v>1</v>
      </c>
      <c r="AC209" s="28">
        <v>2</v>
      </c>
      <c r="AD209" s="28">
        <v>1</v>
      </c>
      <c r="AE209" s="28">
        <v>4</v>
      </c>
      <c r="AF209" s="28">
        <v>2</v>
      </c>
      <c r="AG209" s="28">
        <v>2</v>
      </c>
      <c r="AH209" s="29" t="s">
        <v>3128</v>
      </c>
      <c r="AI209" s="36">
        <f>IF(OR(AND(K209&lt;32, J209&lt;2), O209=1, P209=1, Q209=1, R209=1, S209=1, T209=1, U209=1, AND(W209&lt;&gt;"", W209&lt;&gt;"Oxygen", W209&lt;&gt;"LowFlow")), "Intensive", "Intermediate")</f>
      </c>
      <c r="AJ209" s="57">
        <f>IF(OR(LEFT(AH209, 1)="X", LEFT(AH209, 1)="Y", LEFT(AH209, 3)="J14M"), "CUSM", "No Match")</f>
      </c>
      <c r="AK209" s="57">
        <f>IF(AND(OR(O209=3, P209=1, Q209=1, T209=1), AJ209="no Match"), "CUSM, CHU SJ, CHUQ", "")</f>
      </c>
      <c r="AL209" s="57">
        <f>IF(AND(O209=2, ISBLANK(P209), ISBLANK(Q209), ISBLANK(R209), ISBLANK(S209), ISBLANK(T209)), "CUSM, CHU SJ, CHUS, CHUQ", "")</f>
      </c>
      <c r="AM209" s="57">
        <f>IF(AND(AJ209="no match", AK209="", AL209="", K209&lt;26), "CUSM, CHU SJ, HGJ, CHUQ, CHUS", "")</f>
      </c>
      <c r="AN209" s="57">
        <f>IF(AND(AJ209="no match", AK209="", AL209="", K209&gt;26), "CUSM, CHU SJ, HGJ, CHUQ, CHUS, HMR", "")</f>
      </c>
    </row>
    <row x14ac:dyDescent="0.25" r="210" customHeight="1" ht="17.25">
      <c r="A210" s="41" t="s">
        <v>3129</v>
      </c>
      <c r="B210" s="28">
        <v>2</v>
      </c>
      <c r="C210" s="28">
        <v>822</v>
      </c>
      <c r="D210" s="29" t="s">
        <v>167</v>
      </c>
      <c r="E210" s="30" t="s">
        <v>54</v>
      </c>
      <c r="F210" s="31">
        <v>45037</v>
      </c>
      <c r="G210" s="32">
        <v>4.027777777777778</v>
      </c>
      <c r="H210" s="31">
        <v>45036</v>
      </c>
      <c r="I210" s="32">
        <v>4.845833333333333</v>
      </c>
      <c r="J210" s="33">
        <f>F210-H210</f>
      </c>
      <c r="K210" s="28">
        <v>36</v>
      </c>
      <c r="L210" s="28">
        <v>4</v>
      </c>
      <c r="M210" s="28">
        <v>1</v>
      </c>
      <c r="N210" s="35">
        <v>1</v>
      </c>
      <c r="O210" s="34"/>
      <c r="P210" s="35">
        <v>1</v>
      </c>
      <c r="Q210" s="34"/>
      <c r="R210" s="34"/>
      <c r="S210" s="56"/>
      <c r="T210" s="35">
        <v>1</v>
      </c>
      <c r="U210" s="34"/>
      <c r="V210" s="35">
        <v>1</v>
      </c>
      <c r="W210" s="29" t="s">
        <v>58</v>
      </c>
      <c r="X210" s="28">
        <v>24</v>
      </c>
      <c r="Y210" s="28">
        <v>1</v>
      </c>
      <c r="Z210" s="28">
        <v>2</v>
      </c>
      <c r="AA210" s="28">
        <v>2</v>
      </c>
      <c r="AB210" s="28">
        <v>3</v>
      </c>
      <c r="AC210" s="28">
        <v>1</v>
      </c>
      <c r="AD210" s="28">
        <v>2</v>
      </c>
      <c r="AE210" s="28">
        <v>4</v>
      </c>
      <c r="AF210" s="28">
        <v>2</v>
      </c>
      <c r="AG210" s="28">
        <v>2</v>
      </c>
      <c r="AH210" s="29" t="s">
        <v>3130</v>
      </c>
      <c r="AI210" s="36">
        <f>IF(OR(AND(K210&lt;32, J210&lt;2), O210=1, P210=1, Q210=1, R210=1, S210=1, T210=1, U210=1, AND(W210&lt;&gt;"", W210&lt;&gt;"Oxygen", W210&lt;&gt;"LowFlow")), "Intensive", "Intermediate")</f>
      </c>
      <c r="AJ210" s="57">
        <f>IF(OR(LEFT(AH210, 1)="X", LEFT(AH210, 1)="Y", LEFT(AH210, 3)="J15M"), "CUSM", "No Match")</f>
      </c>
      <c r="AK210" s="57">
        <f>IF(AND(OR(O210=3, P210=1, Q210=1, T210=1), AJ210="no Match"), "CUSM, CHU SJ, CHUQ", "")</f>
      </c>
      <c r="AL210" s="57">
        <f>IF(AND(O210=2, ISBLANK(P210), ISBLANK(Q210), ISBLANK(R210), ISBLANK(S210), ISBLANK(T210)), "CUSM, CHU SJ, CHUS, CHUQ", "")</f>
      </c>
      <c r="AM210" s="57">
        <f>IF(AND(AJ210="no match", AK210="", AL210="", K210&lt;26), "CUSM, CHU SJ, HGJ, CHUQ, CHUS", "")</f>
      </c>
      <c r="AN210" s="57">
        <f>IF(AND(AJ210="no match", AK210="", AL210="", K210&gt;26), "CUSM, CHU SJ, HGJ, CHUQ, CHUS, HMR", "")</f>
      </c>
    </row>
    <row x14ac:dyDescent="0.25" r="211" customHeight="1" ht="17.25">
      <c r="A211" s="41" t="s">
        <v>3131</v>
      </c>
      <c r="B211" s="28">
        <v>2</v>
      </c>
      <c r="C211" s="35">
        <v>779</v>
      </c>
      <c r="D211" s="29" t="s">
        <v>136</v>
      </c>
      <c r="E211" s="30" t="s">
        <v>54</v>
      </c>
      <c r="F211" s="31">
        <v>45037</v>
      </c>
      <c r="G211" s="32">
        <v>4.225694444444445</v>
      </c>
      <c r="H211" s="31">
        <v>45037</v>
      </c>
      <c r="I211" s="32">
        <v>4.097916666666666</v>
      </c>
      <c r="J211" s="33">
        <f>F211-H211</f>
      </c>
      <c r="K211" s="28">
        <v>24</v>
      </c>
      <c r="L211" s="28">
        <v>1</v>
      </c>
      <c r="M211" s="28">
        <v>1</v>
      </c>
      <c r="N211" s="34"/>
      <c r="O211" s="34"/>
      <c r="P211" s="34"/>
      <c r="Q211" s="34"/>
      <c r="R211" s="34"/>
      <c r="S211" s="56"/>
      <c r="T211" s="34"/>
      <c r="U211" s="34"/>
      <c r="V211" s="34"/>
      <c r="W211" s="29" t="s">
        <v>74</v>
      </c>
      <c r="X211" s="28">
        <v>32</v>
      </c>
      <c r="Y211" s="28">
        <v>1</v>
      </c>
      <c r="Z211" s="28">
        <v>2</v>
      </c>
      <c r="AA211" s="28">
        <v>1</v>
      </c>
      <c r="AB211" s="28">
        <v>1</v>
      </c>
      <c r="AC211" s="28">
        <v>2</v>
      </c>
      <c r="AD211" s="28">
        <v>3</v>
      </c>
      <c r="AE211" s="28">
        <v>4</v>
      </c>
      <c r="AF211" s="28">
        <v>2</v>
      </c>
      <c r="AG211" s="28">
        <v>2</v>
      </c>
      <c r="AH211" s="29" t="s">
        <v>3132</v>
      </c>
      <c r="AI211" s="36">
        <f>IF(OR(AND(K211&lt;32, J211&lt;2), O211=1, P211=1, Q211=1, R211=1, S211=1, T211=1, U211=1, AND(W211&lt;&gt;"", W211&lt;&gt;"Oxygen", W211&lt;&gt;"LowFlow")), "Intensive", "Intermediate")</f>
      </c>
      <c r="AJ211" s="57">
        <f>IF(OR(LEFT(AH211, 1)="X", LEFT(AH211, 1)="Y", LEFT(AH211, 3)="J16M"), "CUSM", "No Match")</f>
      </c>
      <c r="AK211" s="57">
        <f>IF(AND(OR(O211=3, P211=1, Q211=1, T211=1), AJ211="no Match"), "CUSM, CHU SJ, CHUQ", "")</f>
      </c>
      <c r="AL211" s="57">
        <f>IF(AND(O211=2, ISBLANK(P211), ISBLANK(Q211), ISBLANK(R211), ISBLANK(S211), ISBLANK(T211)), "CUSM, CHU SJ, CHUS, CHUQ", "")</f>
      </c>
      <c r="AM211" s="57">
        <f>IF(AND(AJ211="no match", AK211="", AL211="", K211&lt;26), "CUSM, CHU SJ, HGJ, CHUQ, CHUS", "")</f>
      </c>
      <c r="AN211" s="57">
        <f>IF(AND(AJ211="no match", AK211="", AL211="", K211&gt;26), "CUSM, CHU SJ, HGJ, CHUQ, CHUS, HMR", "")</f>
      </c>
    </row>
    <row x14ac:dyDescent="0.25" r="212" customHeight="1" ht="17.25">
      <c r="A212" s="41" t="s">
        <v>3133</v>
      </c>
      <c r="B212" s="28">
        <v>2</v>
      </c>
      <c r="C212" s="28">
        <v>779</v>
      </c>
      <c r="D212" s="29" t="s">
        <v>136</v>
      </c>
      <c r="E212" s="30" t="s">
        <v>78</v>
      </c>
      <c r="F212" s="31">
        <v>45037</v>
      </c>
      <c r="G212" s="32">
        <v>4.25</v>
      </c>
      <c r="H212" s="31">
        <v>45037</v>
      </c>
      <c r="I212" s="32">
        <v>4.054861111111111</v>
      </c>
      <c r="J212" s="33">
        <f>F212-H212</f>
      </c>
      <c r="K212" s="28">
        <v>23</v>
      </c>
      <c r="L212" s="28">
        <v>1</v>
      </c>
      <c r="M212" s="28">
        <v>2</v>
      </c>
      <c r="N212" s="34"/>
      <c r="O212" s="34"/>
      <c r="P212" s="34"/>
      <c r="Q212" s="34"/>
      <c r="R212" s="34"/>
      <c r="S212" s="56"/>
      <c r="T212" s="34"/>
      <c r="U212" s="35">
        <v>1</v>
      </c>
      <c r="V212" s="35">
        <v>1</v>
      </c>
      <c r="W212" s="29" t="s">
        <v>70</v>
      </c>
      <c r="X212" s="28">
        <v>26</v>
      </c>
      <c r="Y212" s="28">
        <v>1</v>
      </c>
      <c r="Z212" s="28">
        <v>1</v>
      </c>
      <c r="AA212" s="28">
        <v>1</v>
      </c>
      <c r="AB212" s="28">
        <v>1</v>
      </c>
      <c r="AC212" s="28">
        <v>2</v>
      </c>
      <c r="AD212" s="28">
        <v>2</v>
      </c>
      <c r="AE212" s="28">
        <v>4</v>
      </c>
      <c r="AF212" s="28">
        <v>2</v>
      </c>
      <c r="AG212" s="28">
        <v>2</v>
      </c>
      <c r="AH212" s="29" t="s">
        <v>3134</v>
      </c>
      <c r="AI212" s="36">
        <f>IF(OR(AND(K212&lt;32, J212&lt;2), O212=1, P212=1, Q212=1, R212=1, S212=1, T212=1, U212=1, AND(W212&lt;&gt;"", W212&lt;&gt;"Oxygen", W212&lt;&gt;"LowFlow")), "Intensive", "Intermediate")</f>
      </c>
      <c r="AJ212" s="57">
        <f>IF(OR(LEFT(AH212, 1)="X", LEFT(AH212, 1)="Y", LEFT(AH212, 3)="J17M"), "CUSM", "No Match")</f>
      </c>
      <c r="AK212" s="57">
        <f>IF(AND(OR(O212=3, P212=1, Q212=1, T212=1), AJ212="no Match"), "CUSM, CHU SJ, CHUQ", "")</f>
      </c>
      <c r="AL212" s="57">
        <f>IF(AND(O212=2, ISBLANK(P212), ISBLANK(Q212), ISBLANK(R212), ISBLANK(S212), ISBLANK(T212)), "CUSM, CHU SJ, CHUS, CHUQ", "")</f>
      </c>
      <c r="AM212" s="57">
        <f>IF(AND(AJ212="no match", AK212="", AL212="", K212&lt;26), "CUSM, CHU SJ, HGJ, CHUQ, CHUS", "")</f>
      </c>
      <c r="AN212" s="57">
        <f>IF(AND(AJ212="no match", AK212="", AL212="", K212&gt;26), "CUSM, CHU SJ, HGJ, CHUQ, CHUS, HMR", "")</f>
      </c>
    </row>
    <row x14ac:dyDescent="0.25" r="213" customHeight="1" ht="17.25">
      <c r="A213" s="41" t="s">
        <v>3135</v>
      </c>
      <c r="B213" s="28">
        <v>2</v>
      </c>
      <c r="C213" s="28">
        <v>782</v>
      </c>
      <c r="D213" s="29" t="s">
        <v>95</v>
      </c>
      <c r="E213" s="30" t="s">
        <v>50</v>
      </c>
      <c r="F213" s="31">
        <v>45037</v>
      </c>
      <c r="G213" s="32">
        <v>4.134027777777778</v>
      </c>
      <c r="H213" s="31">
        <v>45036</v>
      </c>
      <c r="I213" s="32">
        <v>4.9625</v>
      </c>
      <c r="J213" s="33">
        <f>F213-H213</f>
      </c>
      <c r="K213" s="28">
        <v>38</v>
      </c>
      <c r="L213" s="28">
        <v>1</v>
      </c>
      <c r="M213" s="28">
        <v>1</v>
      </c>
      <c r="N213" s="34"/>
      <c r="O213" s="34"/>
      <c r="P213" s="34"/>
      <c r="Q213" s="34"/>
      <c r="R213" s="34"/>
      <c r="S213" s="56"/>
      <c r="T213" s="34"/>
      <c r="U213" s="34"/>
      <c r="V213" s="34"/>
      <c r="W213" s="29"/>
      <c r="X213" s="28">
        <v>25</v>
      </c>
      <c r="Y213" s="28">
        <v>1</v>
      </c>
      <c r="Z213" s="28">
        <v>2</v>
      </c>
      <c r="AA213" s="28">
        <v>1</v>
      </c>
      <c r="AB213" s="28">
        <v>1</v>
      </c>
      <c r="AC213" s="28">
        <v>1</v>
      </c>
      <c r="AD213" s="28">
        <v>2</v>
      </c>
      <c r="AE213" s="28">
        <v>4</v>
      </c>
      <c r="AF213" s="28">
        <v>2</v>
      </c>
      <c r="AG213" s="28">
        <v>2</v>
      </c>
      <c r="AH213" s="29" t="s">
        <v>3136</v>
      </c>
      <c r="AI213" s="36">
        <f>IF(OR(AND(K213&lt;32, J213&lt;2), O213=1, P213=1, Q213=1, R213=1, S213=1, T213=1, U213=1, AND(W213&lt;&gt;"", W213&lt;&gt;"Oxygen", W213&lt;&gt;"LowFlow")), "Intensive", "Intermediate")</f>
      </c>
      <c r="AJ213" s="57">
        <f>IF(OR(LEFT(AH213, 1)="X", LEFT(AH213, 1)="Y", LEFT(AH213, 3)="J18M"), "CUSM", "No Match")</f>
      </c>
      <c r="AK213" s="57">
        <f>IF(AND(OR(O213=3, P213=1, Q213=1, T213=1), AJ213="no Match"), "CUSM, CHU SJ, CHUQ", "")</f>
      </c>
      <c r="AL213" s="57">
        <f>IF(AND(O213=2, ISBLANK(P213), ISBLANK(Q213), ISBLANK(R213), ISBLANK(S213), ISBLANK(T213)), "CUSM, CHU SJ, CHUS, CHUQ", "")</f>
      </c>
      <c r="AM213" s="57">
        <f>IF(AND(AJ213="no match", AK213="", AL213="", K213&lt;26), "CUSM, CHU SJ, HGJ, CHUQ, CHUS", "")</f>
      </c>
      <c r="AN213" s="57">
        <f>IF(AND(AJ213="no match", AK213="", AL213="", K213&gt;26), "CUSM, CHU SJ, HGJ, CHUQ, CHUS, HMR", "")</f>
      </c>
    </row>
    <row x14ac:dyDescent="0.25" r="214" customHeight="1" ht="17.25">
      <c r="A214" s="41" t="s">
        <v>3137</v>
      </c>
      <c r="B214" s="28">
        <v>2</v>
      </c>
      <c r="C214" s="35">
        <v>731</v>
      </c>
      <c r="D214" s="29" t="s">
        <v>103</v>
      </c>
      <c r="E214" s="30" t="s">
        <v>54</v>
      </c>
      <c r="F214" s="31">
        <v>45038</v>
      </c>
      <c r="G214" s="32">
        <v>4.559027777777778</v>
      </c>
      <c r="H214" s="31">
        <v>45038</v>
      </c>
      <c r="I214" s="32">
        <v>4.319444444444445</v>
      </c>
      <c r="J214" s="33">
        <f>F214-H214</f>
      </c>
      <c r="K214" s="28">
        <v>39</v>
      </c>
      <c r="L214" s="28">
        <v>5</v>
      </c>
      <c r="M214" s="28">
        <v>2</v>
      </c>
      <c r="N214" s="34"/>
      <c r="O214" s="34"/>
      <c r="P214" s="34"/>
      <c r="Q214" s="34"/>
      <c r="R214" s="34"/>
      <c r="S214" s="56"/>
      <c r="T214" s="34"/>
      <c r="U214" s="34"/>
      <c r="V214" s="34"/>
      <c r="W214" s="29" t="s">
        <v>58</v>
      </c>
      <c r="X214" s="28">
        <v>26</v>
      </c>
      <c r="Y214" s="28">
        <v>1</v>
      </c>
      <c r="Z214" s="28">
        <v>1</v>
      </c>
      <c r="AA214" s="28">
        <v>2</v>
      </c>
      <c r="AB214" s="28">
        <v>1</v>
      </c>
      <c r="AC214" s="28">
        <v>2</v>
      </c>
      <c r="AD214" s="28">
        <v>2</v>
      </c>
      <c r="AE214" s="28">
        <v>4</v>
      </c>
      <c r="AF214" s="28">
        <v>2</v>
      </c>
      <c r="AG214" s="28">
        <v>2</v>
      </c>
      <c r="AH214" s="29" t="s">
        <v>3138</v>
      </c>
      <c r="AI214" s="36">
        <f>IF(OR(AND(K214&lt;32, J214&lt;2), O214=1, P214=1, Q214=1, R214=1, S214=1, T214=1, U214=1, AND(W214&lt;&gt;"", W214&lt;&gt;"Oxygen", W214&lt;&gt;"LowFlow")), "Intensive", "Intermediate")</f>
      </c>
      <c r="AJ214" s="57">
        <f>IF(OR(LEFT(AH214, 1)="X", LEFT(AH214, 1)="Y", LEFT(AH214, 3)="J19M"), "CUSM", "No Match")</f>
      </c>
      <c r="AK214" s="57">
        <f>IF(AND(OR(O214=3, P214=1, Q214=1, T214=1), AJ214="no Match"), "CUSM, CHU SJ, CHUQ", "")</f>
      </c>
      <c r="AL214" s="57">
        <f>IF(AND(O214=2, ISBLANK(P214), ISBLANK(Q214), ISBLANK(R214), ISBLANK(S214), ISBLANK(T214)), "CUSM, CHU SJ, CHUS, CHUQ", "")</f>
      </c>
      <c r="AM214" s="57">
        <f>IF(AND(AJ214="no match", AK214="", AL214="", K214&lt;26), "CUSM, CHU SJ, HGJ, CHUQ, CHUS", "")</f>
      </c>
      <c r="AN214" s="57">
        <f>IF(AND(AJ214="no match", AK214="", AL214="", K214&gt;26), "CUSM, CHU SJ, HGJ, CHUQ, CHUS, HMR", "")</f>
      </c>
    </row>
    <row x14ac:dyDescent="0.25" r="215" customHeight="1" ht="17.25">
      <c r="A215" s="41" t="s">
        <v>3139</v>
      </c>
      <c r="B215" s="28">
        <v>2</v>
      </c>
      <c r="C215" s="28">
        <v>1019</v>
      </c>
      <c r="D215" s="29" t="s">
        <v>354</v>
      </c>
      <c r="E215" s="30" t="s">
        <v>54</v>
      </c>
      <c r="F215" s="31">
        <v>45038</v>
      </c>
      <c r="G215" s="32">
        <v>4.070138888888889</v>
      </c>
      <c r="H215" s="31">
        <v>45037</v>
      </c>
      <c r="I215" s="32">
        <v>4.191666666666666</v>
      </c>
      <c r="J215" s="33">
        <f>F215-H215</f>
      </c>
      <c r="K215" s="28">
        <v>38</v>
      </c>
      <c r="L215" s="28">
        <v>3</v>
      </c>
      <c r="M215" s="28">
        <v>2</v>
      </c>
      <c r="N215" s="34"/>
      <c r="O215" s="34"/>
      <c r="P215" s="34"/>
      <c r="Q215" s="34"/>
      <c r="R215" s="34"/>
      <c r="S215" s="56"/>
      <c r="T215" s="35">
        <v>1</v>
      </c>
      <c r="U215" s="34"/>
      <c r="V215" s="34"/>
      <c r="W215" s="29" t="s">
        <v>74</v>
      </c>
      <c r="X215" s="28">
        <v>20</v>
      </c>
      <c r="Y215" s="28">
        <v>1</v>
      </c>
      <c r="Z215" s="28">
        <v>1</v>
      </c>
      <c r="AA215" s="28">
        <v>1</v>
      </c>
      <c r="AB215" s="28">
        <v>1</v>
      </c>
      <c r="AC215" s="28">
        <v>1</v>
      </c>
      <c r="AD215" s="28">
        <v>2</v>
      </c>
      <c r="AE215" s="28">
        <v>1</v>
      </c>
      <c r="AF215" s="34"/>
      <c r="AG215" s="28">
        <v>2</v>
      </c>
      <c r="AH215" s="29" t="s">
        <v>420</v>
      </c>
      <c r="AI215" s="36">
        <f>IF(OR(AND(K215&lt;32, J215&lt;2), O215=1, P215=1, Q215=1, R215=1, S215=1, T215=1, U215=1, AND(W215&lt;&gt;"", W215&lt;&gt;"Oxygen", W215&lt;&gt;"LowFlow")), "Intensive", "Intermediate")</f>
      </c>
      <c r="AJ215" s="57">
        <f>IF(OR(LEFT(AH215, 1)="X", LEFT(AH215, 1)="Y", LEFT(AH215, 3)="J20M"), "CUSM", "No Match")</f>
      </c>
      <c r="AK215" s="57">
        <f>IF(AND(OR(O215=3, P215=1, Q215=1, T215=1), AJ215="no Match"), "CUSM, CHU SJ, CHUQ", "")</f>
      </c>
      <c r="AL215" s="57">
        <f>IF(AND(O215=2, ISBLANK(P215), ISBLANK(Q215), ISBLANK(R215), ISBLANK(S215), ISBLANK(T215)), "CUSM, CHU SJ, CHUS, CHUQ", "")</f>
      </c>
      <c r="AM215" s="57">
        <f>IF(AND(AJ215="no match", AK215="", AL215="", K215&lt;26), "CUSM, CHU SJ, HGJ, CHUQ, CHUS", "")</f>
      </c>
      <c r="AN215" s="57">
        <f>IF(AND(AJ215="no match", AK215="", AL215="", K215&gt;26), "CUSM, CHU SJ, HGJ, CHUQ, CHUS, HMR", "")</f>
      </c>
    </row>
    <row x14ac:dyDescent="0.25" r="216" customHeight="1" ht="17.25">
      <c r="A216" s="41" t="s">
        <v>3140</v>
      </c>
      <c r="B216" s="35">
        <v>2</v>
      </c>
      <c r="C216" s="35">
        <v>820</v>
      </c>
      <c r="D216" s="29" t="s">
        <v>69</v>
      </c>
      <c r="E216" s="30" t="s">
        <v>54</v>
      </c>
      <c r="F216" s="31">
        <v>45039</v>
      </c>
      <c r="G216" s="40">
        <v>4.513888888888889</v>
      </c>
      <c r="H216" s="31">
        <v>45039</v>
      </c>
      <c r="I216" s="40">
        <v>4.298611111111111</v>
      </c>
      <c r="J216" s="33">
        <f>F216-H216</f>
      </c>
      <c r="K216" s="35">
        <v>38</v>
      </c>
      <c r="L216" s="35">
        <v>4</v>
      </c>
      <c r="M216" s="35">
        <v>2</v>
      </c>
      <c r="N216" s="35">
        <v>1</v>
      </c>
      <c r="O216" s="34"/>
      <c r="P216" s="35">
        <v>1</v>
      </c>
      <c r="Q216" s="34"/>
      <c r="R216" s="34"/>
      <c r="S216" s="56"/>
      <c r="T216" s="34"/>
      <c r="U216" s="34"/>
      <c r="V216" s="34"/>
      <c r="W216" s="29"/>
      <c r="X216" s="35">
        <v>48</v>
      </c>
      <c r="Y216" s="35">
        <v>1</v>
      </c>
      <c r="Z216" s="35">
        <v>1</v>
      </c>
      <c r="AA216" s="35">
        <v>1</v>
      </c>
      <c r="AB216" s="35">
        <v>4</v>
      </c>
      <c r="AC216" s="35">
        <v>1</v>
      </c>
      <c r="AD216" s="35">
        <v>1</v>
      </c>
      <c r="AE216" s="35">
        <v>4</v>
      </c>
      <c r="AF216" s="35">
        <v>2</v>
      </c>
      <c r="AG216" s="35">
        <v>2</v>
      </c>
      <c r="AH216" s="29" t="s">
        <v>3141</v>
      </c>
      <c r="AI216" s="36">
        <f>IF(OR(AND(K216&lt;32, J216&lt;2), O216=1, P216=1, Q216=1, R216=1, S216=1, T216=1, U216=1, AND(W216&lt;&gt;"", W216&lt;&gt;"Oxygen", W216&lt;&gt;"LowFlow")), "Intensive", "Intermediate")</f>
      </c>
      <c r="AJ216" s="57">
        <f>IF(OR(LEFT(AH216, 1)="X", LEFT(AH216, 1)="Y", LEFT(AH216, 3)="J21M"), "CUSM", "No Match")</f>
      </c>
      <c r="AK216" s="57">
        <f>IF(AND(OR(O216=3, P216=1, Q216=1, T216=1), AJ216="no Match"), "CUSM, CHU SJ, CHUQ", "")</f>
      </c>
      <c r="AL216" s="57">
        <f>IF(AND(O216=2, ISBLANK(P216), ISBLANK(Q216), ISBLANK(R216), ISBLANK(S216), ISBLANK(T216)), "CUSM, CHU SJ, CHUS, CHUQ", "")</f>
      </c>
      <c r="AM216" s="57">
        <f>IF(AND(AJ216="no match", AK216="", AL216="", K216&lt;26), "CUSM, CHU SJ, HGJ, CHUQ, CHUS", "")</f>
      </c>
      <c r="AN216" s="57">
        <f>IF(AND(AJ216="no match", AK216="", AL216="", K216&gt;26), "CUSM, CHU SJ, HGJ, CHUQ, CHUS, HMR", "")</f>
      </c>
    </row>
    <row x14ac:dyDescent="0.25" r="217" customHeight="1" ht="17.25">
      <c r="A217" s="41" t="s">
        <v>3142</v>
      </c>
      <c r="B217" s="28">
        <v>2</v>
      </c>
      <c r="C217" s="28">
        <v>820</v>
      </c>
      <c r="D217" s="29" t="s">
        <v>69</v>
      </c>
      <c r="E217" s="30" t="s">
        <v>54</v>
      </c>
      <c r="F217" s="31">
        <v>45039</v>
      </c>
      <c r="G217" s="32">
        <v>4.729166666666666</v>
      </c>
      <c r="H217" s="31">
        <v>45038</v>
      </c>
      <c r="I217" s="32">
        <v>4.311111111111111</v>
      </c>
      <c r="J217" s="33">
        <f>F217-H217</f>
      </c>
      <c r="K217" s="28">
        <v>37</v>
      </c>
      <c r="L217" s="28">
        <v>4</v>
      </c>
      <c r="M217" s="28">
        <v>1</v>
      </c>
      <c r="N217" s="35">
        <v>1</v>
      </c>
      <c r="O217" s="35">
        <v>2</v>
      </c>
      <c r="P217" s="35">
        <v>1</v>
      </c>
      <c r="Q217" s="34"/>
      <c r="R217" s="34"/>
      <c r="S217" s="56"/>
      <c r="T217" s="34"/>
      <c r="U217" s="34"/>
      <c r="V217" s="34"/>
      <c r="W217" s="29"/>
      <c r="X217" s="28">
        <v>42</v>
      </c>
      <c r="Y217" s="28">
        <v>1</v>
      </c>
      <c r="Z217" s="28">
        <v>2</v>
      </c>
      <c r="AA217" s="28">
        <v>1</v>
      </c>
      <c r="AB217" s="28">
        <v>2</v>
      </c>
      <c r="AC217" s="28">
        <v>1</v>
      </c>
      <c r="AD217" s="28">
        <v>1</v>
      </c>
      <c r="AE217" s="28">
        <v>4</v>
      </c>
      <c r="AF217" s="28">
        <v>2</v>
      </c>
      <c r="AG217" s="28">
        <v>2</v>
      </c>
      <c r="AH217" s="29" t="s">
        <v>3143</v>
      </c>
      <c r="AI217" s="36">
        <f>IF(OR(AND(K217&lt;32, J217&lt;2), O217=1, P217=1, Q217=1, R217=1, S217=1, T217=1, U217=1, AND(W217&lt;&gt;"", W217&lt;&gt;"Oxygen", W217&lt;&gt;"LowFlow")), "Intensive", "Intermediate")</f>
      </c>
      <c r="AJ217" s="57">
        <f>IF(OR(LEFT(AH217, 1)="X", LEFT(AH217, 1)="Y", LEFT(AH217, 3)="J22M"), "CUSM", "No Match")</f>
      </c>
      <c r="AK217" s="57">
        <f>IF(AND(OR(O217=3, P217=1, Q217=1, T217=1), AJ217="no Match"), "CUSM, CHU SJ, CHUQ", "")</f>
      </c>
      <c r="AL217" s="57">
        <f>IF(AND(O217=2, ISBLANK(P217), ISBLANK(Q217), ISBLANK(R217), ISBLANK(S217), ISBLANK(T217)), "CUSM, CHU SJ, CHUS, CHUQ", "")</f>
      </c>
      <c r="AM217" s="57">
        <f>IF(AND(AJ217="no match", AK217="", AL217="", K217&lt;26), "CUSM, CHU SJ, HGJ, CHUQ, CHUS", "")</f>
      </c>
      <c r="AN217" s="57">
        <f>IF(AND(AJ217="no match", AK217="", AL217="", K217&gt;26), "CUSM, CHU SJ, HGJ, CHUQ, CHUS, HMR", "")</f>
      </c>
    </row>
    <row x14ac:dyDescent="0.25" r="218" customHeight="1" ht="17.25">
      <c r="A218" s="41" t="s">
        <v>3144</v>
      </c>
      <c r="B218" s="28">
        <v>2</v>
      </c>
      <c r="C218" s="35">
        <v>748</v>
      </c>
      <c r="D218" s="29" t="s">
        <v>145</v>
      </c>
      <c r="E218" s="30" t="s">
        <v>50</v>
      </c>
      <c r="F218" s="31">
        <v>45040</v>
      </c>
      <c r="G218" s="32">
        <v>4.052777777777777</v>
      </c>
      <c r="H218" s="31">
        <v>45039</v>
      </c>
      <c r="I218" s="32">
        <v>4.820833333333333</v>
      </c>
      <c r="J218" s="33">
        <f>F218-H218</f>
      </c>
      <c r="K218" s="28">
        <v>23</v>
      </c>
      <c r="L218" s="28">
        <v>3</v>
      </c>
      <c r="M218" s="28">
        <v>2</v>
      </c>
      <c r="N218" s="38"/>
      <c r="O218" s="38"/>
      <c r="P218" s="38"/>
      <c r="Q218" s="34"/>
      <c r="R218" s="34"/>
      <c r="S218" s="56"/>
      <c r="T218" s="34"/>
      <c r="U218" s="34"/>
      <c r="V218" s="34"/>
      <c r="W218" s="29" t="s">
        <v>74</v>
      </c>
      <c r="X218" s="28">
        <v>21</v>
      </c>
      <c r="Y218" s="28">
        <v>1</v>
      </c>
      <c r="Z218" s="28">
        <v>1</v>
      </c>
      <c r="AA218" s="28">
        <v>1</v>
      </c>
      <c r="AB218" s="28">
        <v>4</v>
      </c>
      <c r="AC218" s="28">
        <v>2</v>
      </c>
      <c r="AD218" s="28">
        <v>2</v>
      </c>
      <c r="AE218" s="28">
        <v>4</v>
      </c>
      <c r="AF218" s="28">
        <v>3</v>
      </c>
      <c r="AG218" s="28">
        <v>2</v>
      </c>
      <c r="AH218" s="29" t="s">
        <v>3145</v>
      </c>
      <c r="AI218" s="36">
        <f>IF(OR(AND(K218&lt;32, J218&lt;2), O218=1, P218=1, Q218=1, R218=1, S218=1, T218=1, U218=1, AND(W218&lt;&gt;"", W218&lt;&gt;"Oxygen", W218&lt;&gt;"LowFlow")), "Intensive", "Intermediate")</f>
      </c>
      <c r="AJ218" s="57">
        <f>IF(OR(LEFT(AH218, 1)="X", LEFT(AH218, 1)="Y", LEFT(AH218, 3)="J23M"), "CUSM", "No Match")</f>
      </c>
      <c r="AK218" s="57">
        <f>IF(AND(OR(O218=3, P218=1, Q218=1, T218=1), AJ218="no Match"), "CUSM, CHU SJ, CHUQ", "")</f>
      </c>
      <c r="AL218" s="57">
        <f>IF(AND(O218=2, ISBLANK(P218), ISBLANK(Q218), ISBLANK(R218), ISBLANK(S218), ISBLANK(T218)), "CUSM, CHU SJ, CHUS, CHUQ", "")</f>
      </c>
      <c r="AM218" s="57">
        <f>IF(AND(AJ218="no match", AK218="", AL218="", K218&lt;26), "CUSM, CHU SJ, HGJ, CHUQ, CHUS", "")</f>
      </c>
      <c r="AN218" s="57">
        <f>IF(AND(AJ218="no match", AK218="", AL218="", K218&gt;26), "CUSM, CHU SJ, HGJ, CHUQ, CHUS, HMR", "")</f>
      </c>
    </row>
    <row x14ac:dyDescent="0.25" r="219" customHeight="1" ht="17.25">
      <c r="A219" s="41" t="s">
        <v>3146</v>
      </c>
      <c r="B219" s="28">
        <v>2</v>
      </c>
      <c r="C219" s="28">
        <v>756</v>
      </c>
      <c r="D219" s="29" t="s">
        <v>66</v>
      </c>
      <c r="E219" s="30" t="s">
        <v>50</v>
      </c>
      <c r="F219" s="31">
        <v>45040</v>
      </c>
      <c r="G219" s="32">
        <v>4.444444444444445</v>
      </c>
      <c r="H219" s="31">
        <v>45039</v>
      </c>
      <c r="I219" s="32">
        <v>4.086805555555555</v>
      </c>
      <c r="J219" s="33">
        <f>F219-H219</f>
      </c>
      <c r="K219" s="28">
        <v>39</v>
      </c>
      <c r="L219" s="28">
        <v>0</v>
      </c>
      <c r="M219" s="28">
        <v>1</v>
      </c>
      <c r="N219" s="28">
        <v>1</v>
      </c>
      <c r="O219" s="35">
        <v>2</v>
      </c>
      <c r="P219" s="35">
        <v>1</v>
      </c>
      <c r="Q219" s="34"/>
      <c r="R219" s="34"/>
      <c r="S219" s="56"/>
      <c r="T219" s="34"/>
      <c r="U219" s="34"/>
      <c r="V219" s="34"/>
      <c r="W219" s="29" t="s">
        <v>58</v>
      </c>
      <c r="X219" s="28">
        <v>40</v>
      </c>
      <c r="Y219" s="28">
        <v>1</v>
      </c>
      <c r="Z219" s="28">
        <v>1</v>
      </c>
      <c r="AA219" s="28">
        <v>1</v>
      </c>
      <c r="AB219" s="28">
        <v>1</v>
      </c>
      <c r="AC219" s="28">
        <v>2</v>
      </c>
      <c r="AD219" s="28">
        <v>1</v>
      </c>
      <c r="AE219" s="28">
        <v>4</v>
      </c>
      <c r="AF219" s="28">
        <v>2</v>
      </c>
      <c r="AG219" s="28">
        <v>2</v>
      </c>
      <c r="AH219" s="29" t="s">
        <v>3147</v>
      </c>
      <c r="AI219" s="36">
        <f>IF(OR(AND(K219&lt;32, J219&lt;2), O219=1, P219=1, Q219=1, R219=1, S219=1, T219=1, U219=1, AND(W219&lt;&gt;"", W219&lt;&gt;"Oxygen", W219&lt;&gt;"LowFlow")), "Intensive", "Intermediate")</f>
      </c>
      <c r="AJ219" s="57">
        <f>IF(OR(LEFT(AH219, 1)="X", LEFT(AH219, 1)="Y", LEFT(AH219, 3)="J24M"), "CUSM", "No Match")</f>
      </c>
      <c r="AK219" s="57">
        <f>IF(AND(OR(O219=3, P219=1, Q219=1, T219=1), AJ219="no Match"), "CUSM, CHU SJ, CHUQ", "")</f>
      </c>
      <c r="AL219" s="57">
        <f>IF(AND(O219=2, ISBLANK(P219), ISBLANK(Q219), ISBLANK(R219), ISBLANK(S219), ISBLANK(T219)), "CUSM, CHU SJ, CHUS, CHUQ", "")</f>
      </c>
      <c r="AM219" s="57">
        <f>IF(AND(AJ219="no match", AK219="", AL219="", K219&lt;26), "CUSM, CHU SJ, HGJ, CHUQ, CHUS", "")</f>
      </c>
      <c r="AN219" s="57">
        <f>IF(AND(AJ219="no match", AK219="", AL219="", K219&gt;26), "CUSM, CHU SJ, HGJ, CHUQ, CHUS, HMR", "")</f>
      </c>
    </row>
    <row x14ac:dyDescent="0.25" r="220" customHeight="1" ht="17.25">
      <c r="A220" s="41" t="s">
        <v>3148</v>
      </c>
      <c r="B220" s="28">
        <v>2</v>
      </c>
      <c r="C220" s="35">
        <v>851</v>
      </c>
      <c r="D220" s="29" t="s">
        <v>1085</v>
      </c>
      <c r="E220" s="30" t="s">
        <v>149</v>
      </c>
      <c r="F220" s="31">
        <v>45041</v>
      </c>
      <c r="G220" s="32">
        <v>4.322916666666666</v>
      </c>
      <c r="H220" s="31">
        <v>45041</v>
      </c>
      <c r="I220" s="32">
        <v>4.166666666666666</v>
      </c>
      <c r="J220" s="33">
        <f>F220-H220</f>
      </c>
      <c r="K220" s="28">
        <v>39</v>
      </c>
      <c r="L220" s="28">
        <v>0</v>
      </c>
      <c r="M220" s="28">
        <v>1</v>
      </c>
      <c r="N220" s="34"/>
      <c r="O220" s="34"/>
      <c r="P220" s="34"/>
      <c r="Q220" s="34"/>
      <c r="R220" s="34"/>
      <c r="S220" s="56"/>
      <c r="T220" s="35">
        <v>1</v>
      </c>
      <c r="U220" s="34"/>
      <c r="V220" s="34"/>
      <c r="W220" s="29" t="s">
        <v>58</v>
      </c>
      <c r="X220" s="28">
        <v>28</v>
      </c>
      <c r="Y220" s="28">
        <v>1</v>
      </c>
      <c r="Z220" s="28">
        <v>1</v>
      </c>
      <c r="AA220" s="28">
        <v>3</v>
      </c>
      <c r="AB220" s="28">
        <v>3</v>
      </c>
      <c r="AC220" s="28">
        <v>2</v>
      </c>
      <c r="AD220" s="28">
        <v>2</v>
      </c>
      <c r="AE220" s="28">
        <v>4</v>
      </c>
      <c r="AF220" s="28">
        <v>3</v>
      </c>
      <c r="AG220" s="28">
        <v>2</v>
      </c>
      <c r="AH220" s="29" t="s">
        <v>3149</v>
      </c>
      <c r="AI220" s="36">
        <f>IF(OR(AND(K220&lt;32, J220&lt;2), O220=1, P220=1, Q220=1, R220=1, S220=1, T220=1, U220=1, AND(W220&lt;&gt;"", W220&lt;&gt;"Oxygen", W220&lt;&gt;"LowFlow")), "Intensive", "Intermediate")</f>
      </c>
      <c r="AJ220" s="57">
        <f>IF(OR(LEFT(AH220, 1)="X", LEFT(AH220, 1)="Y", LEFT(AH220, 3)="J25M"), "CUSM", "No Match")</f>
      </c>
      <c r="AK220" s="57">
        <f>IF(AND(OR(O220=3, P220=1, Q220=1, T220=1), AJ220="no Match"), "CUSM, CHU SJ, CHUQ", "")</f>
      </c>
      <c r="AL220" s="57">
        <f>IF(AND(O220=2, ISBLANK(P220), ISBLANK(Q220), ISBLANK(R220), ISBLANK(S220), ISBLANK(T220)), "CUSM, CHU SJ, CHUS, CHUQ", "")</f>
      </c>
      <c r="AM220" s="57">
        <f>IF(AND(AJ220="no match", AK220="", AL220="", K220&lt;26), "CUSM, CHU SJ, HGJ, CHUQ, CHUS", "")</f>
      </c>
      <c r="AN220" s="57">
        <f>IF(AND(AJ220="no match", AK220="", AL220="", K220&gt;26), "CUSM, CHU SJ, HGJ, CHUQ, CHUS, HMR", "")</f>
      </c>
    </row>
    <row x14ac:dyDescent="0.25" r="221" customHeight="1" ht="17.25">
      <c r="A221" s="41" t="s">
        <v>3150</v>
      </c>
      <c r="B221" s="28">
        <v>2</v>
      </c>
      <c r="C221" s="35">
        <v>824</v>
      </c>
      <c r="D221" s="29" t="s">
        <v>57</v>
      </c>
      <c r="E221" s="30" t="s">
        <v>54</v>
      </c>
      <c r="F221" s="31">
        <v>45041</v>
      </c>
      <c r="G221" s="32">
        <v>4.384722222222223</v>
      </c>
      <c r="H221" s="31">
        <v>45040</v>
      </c>
      <c r="I221" s="32">
        <v>4.032638888888889</v>
      </c>
      <c r="J221" s="33">
        <f>F221-H221</f>
      </c>
      <c r="K221" s="28">
        <v>38</v>
      </c>
      <c r="L221" s="28">
        <v>1</v>
      </c>
      <c r="M221" s="28">
        <v>1</v>
      </c>
      <c r="N221" s="28">
        <v>1</v>
      </c>
      <c r="O221" s="35">
        <v>2</v>
      </c>
      <c r="P221" s="28">
        <v>1</v>
      </c>
      <c r="Q221" s="34"/>
      <c r="R221" s="34"/>
      <c r="S221" s="56"/>
      <c r="T221" s="34"/>
      <c r="U221" s="34"/>
      <c r="V221" s="34"/>
      <c r="W221" s="29"/>
      <c r="X221" s="28">
        <v>37</v>
      </c>
      <c r="Y221" s="28">
        <v>1</v>
      </c>
      <c r="Z221" s="28">
        <v>1</v>
      </c>
      <c r="AA221" s="28">
        <v>2</v>
      </c>
      <c r="AB221" s="28">
        <v>1</v>
      </c>
      <c r="AC221" s="28">
        <v>2</v>
      </c>
      <c r="AD221" s="28">
        <v>2</v>
      </c>
      <c r="AE221" s="28">
        <v>4</v>
      </c>
      <c r="AF221" s="35">
        <v>2</v>
      </c>
      <c r="AG221" s="28">
        <v>2</v>
      </c>
      <c r="AH221" s="29" t="s">
        <v>3151</v>
      </c>
      <c r="AI221" s="36">
        <f>IF(OR(AND(K221&lt;32, J221&lt;2), O221=1, P221=1, Q221=1, R221=1, S221=1, T221=1, U221=1, AND(W221&lt;&gt;"", W221&lt;&gt;"Oxygen", W221&lt;&gt;"LowFlow")), "Intensive", "Intermediate")</f>
      </c>
      <c r="AJ221" s="57">
        <f>IF(OR(LEFT(AH221, 1)="X", LEFT(AH221, 1)="Y", LEFT(AH221, 3)="J26M"), "CUSM", "No Match")</f>
      </c>
      <c r="AK221" s="57">
        <f>IF(AND(OR(O221=3, P221=1, Q221=1, T221=1), AJ221="no Match"), "CUSM, CHU SJ, CHUQ", "")</f>
      </c>
      <c r="AL221" s="57">
        <f>IF(AND(O221=2, ISBLANK(P221), ISBLANK(Q221), ISBLANK(R221), ISBLANK(S221), ISBLANK(T221)), "CUSM, CHU SJ, CHUS, CHUQ", "")</f>
      </c>
      <c r="AM221" s="57">
        <f>IF(AND(AJ221="no match", AK221="", AL221="", K221&lt;26), "CUSM, CHU SJ, HGJ, CHUQ, CHUS", "")</f>
      </c>
      <c r="AN221" s="57">
        <f>IF(AND(AJ221="no match", AK221="", AL221="", K221&gt;26), "CUSM, CHU SJ, HGJ, CHUQ, CHUS, HMR", "")</f>
      </c>
    </row>
    <row x14ac:dyDescent="0.25" r="222" customHeight="1" ht="17.25">
      <c r="A222" s="41" t="s">
        <v>3152</v>
      </c>
      <c r="B222" s="28">
        <v>2</v>
      </c>
      <c r="C222" s="35">
        <v>730</v>
      </c>
      <c r="D222" s="29" t="s">
        <v>81</v>
      </c>
      <c r="E222" s="30" t="s">
        <v>50</v>
      </c>
      <c r="F222" s="31">
        <v>45041</v>
      </c>
      <c r="G222" s="32">
        <v>4.409722222222222</v>
      </c>
      <c r="H222" s="31">
        <v>45040</v>
      </c>
      <c r="I222" s="32">
        <v>4.908333333333333</v>
      </c>
      <c r="J222" s="33">
        <f>F222-H222</f>
      </c>
      <c r="K222" s="28">
        <v>37</v>
      </c>
      <c r="L222" s="28">
        <v>1</v>
      </c>
      <c r="M222" s="28">
        <v>2</v>
      </c>
      <c r="N222" s="35">
        <v>1</v>
      </c>
      <c r="O222" s="34"/>
      <c r="P222" s="34"/>
      <c r="Q222" s="35">
        <v>1</v>
      </c>
      <c r="R222" s="34"/>
      <c r="S222" s="56"/>
      <c r="T222" s="35">
        <v>1</v>
      </c>
      <c r="U222" s="34"/>
      <c r="V222" s="34"/>
      <c r="W222" s="29" t="s">
        <v>58</v>
      </c>
      <c r="X222" s="28">
        <v>27</v>
      </c>
      <c r="Y222" s="28">
        <v>1</v>
      </c>
      <c r="Z222" s="28">
        <v>2</v>
      </c>
      <c r="AA222" s="28">
        <v>1</v>
      </c>
      <c r="AB222" s="28">
        <v>1</v>
      </c>
      <c r="AC222" s="28">
        <v>1</v>
      </c>
      <c r="AD222" s="28">
        <v>1</v>
      </c>
      <c r="AE222" s="28">
        <v>4</v>
      </c>
      <c r="AF222" s="28">
        <v>2</v>
      </c>
      <c r="AG222" s="28">
        <v>2</v>
      </c>
      <c r="AH222" s="29" t="s">
        <v>3153</v>
      </c>
      <c r="AI222" s="36">
        <f>IF(OR(AND(K222&lt;32, J222&lt;2), O222=1, P222=1, Q222=1, R222=1, S222=1, T222=1, U222=1, AND(W222&lt;&gt;"", W222&lt;&gt;"Oxygen", W222&lt;&gt;"LowFlow")), "Intensive", "Intermediate")</f>
      </c>
      <c r="AJ222" s="57">
        <f>IF(OR(LEFT(AH222, 1)="X", LEFT(AH222, 1)="Y", LEFT(AH222, 3)="J27M"), "CUSM", "No Match")</f>
      </c>
      <c r="AK222" s="57">
        <f>IF(AND(OR(O222=3, P222=1, Q222=1, T222=1), AJ222="no Match"), "CUSM, CHU SJ, CHUQ", "")</f>
      </c>
      <c r="AL222" s="57">
        <f>IF(AND(O222=2, ISBLANK(P222), ISBLANK(Q222), ISBLANK(R222), ISBLANK(S222), ISBLANK(T222)), "CUSM, CHU SJ, CHUS, CHUQ", "")</f>
      </c>
      <c r="AM222" s="57">
        <f>IF(AND(AJ222="no match", AK222="", AL222="", K222&lt;26), "CUSM, CHU SJ, HGJ, CHUQ, CHUS", "")</f>
      </c>
      <c r="AN222" s="57">
        <f>IF(AND(AJ222="no match", AK222="", AL222="", K222&gt;26), "CUSM, CHU SJ, HGJ, CHUQ, CHUS, HMR", "")</f>
      </c>
    </row>
    <row x14ac:dyDescent="0.25" r="223" customHeight="1" ht="17.25">
      <c r="A223" s="41" t="s">
        <v>3154</v>
      </c>
      <c r="B223" s="28">
        <v>2</v>
      </c>
      <c r="C223" s="28">
        <v>835</v>
      </c>
      <c r="D223" s="29" t="s">
        <v>170</v>
      </c>
      <c r="E223" s="30" t="s">
        <v>220</v>
      </c>
      <c r="F223" s="31">
        <v>45041</v>
      </c>
      <c r="G223" s="32">
        <v>4.517361111111111</v>
      </c>
      <c r="H223" s="31">
        <v>45041</v>
      </c>
      <c r="I223" s="32">
        <v>4.329861111111111</v>
      </c>
      <c r="J223" s="33">
        <f>F223-H223</f>
      </c>
      <c r="K223" s="28">
        <v>31</v>
      </c>
      <c r="L223" s="28">
        <v>0</v>
      </c>
      <c r="M223" s="28">
        <v>2</v>
      </c>
      <c r="N223" s="34"/>
      <c r="O223" s="34"/>
      <c r="P223" s="34"/>
      <c r="Q223" s="34"/>
      <c r="R223" s="34"/>
      <c r="S223" s="56"/>
      <c r="T223" s="34"/>
      <c r="U223" s="34"/>
      <c r="V223" s="34"/>
      <c r="W223" s="29" t="s">
        <v>74</v>
      </c>
      <c r="X223" s="28">
        <v>43</v>
      </c>
      <c r="Y223" s="28">
        <v>1</v>
      </c>
      <c r="Z223" s="28">
        <v>1</v>
      </c>
      <c r="AA223" s="28">
        <v>2</v>
      </c>
      <c r="AB223" s="28">
        <v>1</v>
      </c>
      <c r="AC223" s="28">
        <v>2</v>
      </c>
      <c r="AD223" s="28">
        <v>2</v>
      </c>
      <c r="AE223" s="28">
        <v>4</v>
      </c>
      <c r="AF223" s="28">
        <v>2</v>
      </c>
      <c r="AG223" s="28">
        <v>2</v>
      </c>
      <c r="AH223" s="29" t="s">
        <v>3155</v>
      </c>
      <c r="AI223" s="36">
        <f>IF(OR(AND(K223&lt;32, J223&lt;2), O223=1, P223=1, Q223=1, R223=1, S223=1, T223=1, U223=1, AND(W223&lt;&gt;"", W223&lt;&gt;"Oxygen", W223&lt;&gt;"LowFlow")), "Intensive", "Intermediate")</f>
      </c>
      <c r="AJ223" s="57">
        <f>IF(OR(LEFT(AH223, 1)="X", LEFT(AH223, 1)="Y", LEFT(AH223, 3)="J28M"), "CUSM", "No Match")</f>
      </c>
      <c r="AK223" s="57">
        <f>IF(AND(OR(O223=3, P223=1, Q223=1, T223=1), AJ223="no Match"), "CUSM, CHU SJ, CHUQ", "")</f>
      </c>
      <c r="AL223" s="57">
        <f>IF(AND(O223=2, ISBLANK(P223), ISBLANK(Q223), ISBLANK(R223), ISBLANK(S223), ISBLANK(T223)), "CUSM, CHU SJ, CHUS, CHUQ", "")</f>
      </c>
      <c r="AM223" s="57">
        <f>IF(AND(AJ223="no match", AK223="", AL223="", K223&lt;26), "CUSM, CHU SJ, HGJ, CHUQ, CHUS", "")</f>
      </c>
      <c r="AN223" s="57">
        <f>IF(AND(AJ223="no match", AK223="", AL223="", K223&gt;26), "CUSM, CHU SJ, HGJ, CHUQ, CHUS, HMR", "")</f>
      </c>
    </row>
    <row x14ac:dyDescent="0.25" r="224" customHeight="1" ht="17.25">
      <c r="A224" s="41" t="s">
        <v>3156</v>
      </c>
      <c r="B224" s="28">
        <v>2</v>
      </c>
      <c r="C224" s="35">
        <v>820</v>
      </c>
      <c r="D224" s="29" t="s">
        <v>69</v>
      </c>
      <c r="E224" s="30" t="s">
        <v>50</v>
      </c>
      <c r="F224" s="31">
        <v>45042</v>
      </c>
      <c r="G224" s="32">
        <v>4.822916666666666</v>
      </c>
      <c r="H224" s="31">
        <v>45040</v>
      </c>
      <c r="I224" s="32">
        <v>4.6402777777777775</v>
      </c>
      <c r="J224" s="33">
        <f>F224-H224</f>
      </c>
      <c r="K224" s="28">
        <v>38</v>
      </c>
      <c r="L224" s="28">
        <v>4</v>
      </c>
      <c r="M224" s="28">
        <v>1</v>
      </c>
      <c r="N224" s="34"/>
      <c r="O224" s="34"/>
      <c r="P224" s="34"/>
      <c r="Q224" s="34"/>
      <c r="R224" s="34"/>
      <c r="S224" s="56"/>
      <c r="T224" s="34"/>
      <c r="U224" s="34"/>
      <c r="V224" s="34"/>
      <c r="W224" s="29"/>
      <c r="X224" s="28">
        <v>27</v>
      </c>
      <c r="Y224" s="28">
        <v>1</v>
      </c>
      <c r="Z224" s="28">
        <v>2</v>
      </c>
      <c r="AA224" s="28">
        <v>3</v>
      </c>
      <c r="AB224" s="28">
        <v>1</v>
      </c>
      <c r="AC224" s="28">
        <v>2</v>
      </c>
      <c r="AD224" s="28">
        <v>1</v>
      </c>
      <c r="AE224" s="28">
        <v>4</v>
      </c>
      <c r="AF224" s="28">
        <v>1</v>
      </c>
      <c r="AG224" s="28">
        <v>2</v>
      </c>
      <c r="AH224" s="29" t="s">
        <v>3157</v>
      </c>
      <c r="AI224" s="36">
        <f>IF(OR(AND(K224&lt;32, J224&lt;2), O224=1, P224=1, Q224=1, R224=1, S224=1, T224=1, U224=1, AND(W224&lt;&gt;"", W224&lt;&gt;"Oxygen", W224&lt;&gt;"LowFlow")), "Intensive", "Intermediate")</f>
      </c>
      <c r="AJ224" s="57">
        <f>IF(OR(LEFT(AH224, 1)="X", LEFT(AH224, 1)="Y", LEFT(AH224, 3)="J29M"), "CUSM", "No Match")</f>
      </c>
      <c r="AK224" s="57">
        <f>IF(AND(OR(O224=3, P224=1, Q224=1, T224=1), AJ224="no Match"), "CUSM, CHU SJ, CHUQ", "")</f>
      </c>
      <c r="AL224" s="57">
        <f>IF(AND(O224=2, ISBLANK(P224), ISBLANK(Q224), ISBLANK(R224), ISBLANK(S224), ISBLANK(T224)), "CUSM, CHU SJ, CHUS, CHUQ", "")</f>
      </c>
      <c r="AM224" s="57">
        <f>IF(AND(AJ224="no match", AK224="", AL224="", K224&lt;26), "CUSM, CHU SJ, HGJ, CHUQ, CHUS", "")</f>
      </c>
      <c r="AN224" s="57">
        <f>IF(AND(AJ224="no match", AK224="", AL224="", K224&gt;26), "CUSM, CHU SJ, HGJ, CHUQ, CHUS, HMR", "")</f>
      </c>
    </row>
    <row x14ac:dyDescent="0.25" r="225" customHeight="1" ht="17.25">
      <c r="A225" s="41" t="s">
        <v>3158</v>
      </c>
      <c r="B225" s="28">
        <v>2</v>
      </c>
      <c r="C225" s="35">
        <v>831</v>
      </c>
      <c r="D225" s="29" t="s">
        <v>313</v>
      </c>
      <c r="E225" s="30" t="s">
        <v>118</v>
      </c>
      <c r="F225" s="31">
        <v>45043</v>
      </c>
      <c r="G225" s="32">
        <v>4.628472222222222</v>
      </c>
      <c r="H225" s="31">
        <v>45043</v>
      </c>
      <c r="I225" s="32">
        <v>4.126388888888889</v>
      </c>
      <c r="J225" s="33">
        <f>F225-H225</f>
      </c>
      <c r="K225" s="28">
        <v>32</v>
      </c>
      <c r="L225" s="28">
        <v>5</v>
      </c>
      <c r="M225" s="28">
        <v>1</v>
      </c>
      <c r="N225" s="34"/>
      <c r="O225" s="34"/>
      <c r="P225" s="34"/>
      <c r="Q225" s="34"/>
      <c r="R225" s="34"/>
      <c r="S225" s="56"/>
      <c r="T225" s="34"/>
      <c r="U225" s="34"/>
      <c r="V225" s="34"/>
      <c r="W225" s="29" t="s">
        <v>74</v>
      </c>
      <c r="X225" s="38"/>
      <c r="Y225" s="28">
        <v>1</v>
      </c>
      <c r="Z225" s="28">
        <v>1</v>
      </c>
      <c r="AA225" s="28">
        <v>1</v>
      </c>
      <c r="AB225" s="28">
        <v>2</v>
      </c>
      <c r="AC225" s="28">
        <v>2</v>
      </c>
      <c r="AD225" s="28">
        <v>2</v>
      </c>
      <c r="AE225" s="28">
        <v>2</v>
      </c>
      <c r="AF225" s="28">
        <v>2</v>
      </c>
      <c r="AG225" s="28">
        <v>2</v>
      </c>
      <c r="AH225" s="29" t="s">
        <v>3159</v>
      </c>
      <c r="AI225" s="36">
        <f>IF(OR(AND(K225&lt;32, J225&lt;2), O225=1, P225=1, Q225=1, R225=1, S225=1, T225=1, U225=1, AND(W225&lt;&gt;"", W225&lt;&gt;"Oxygen", W225&lt;&gt;"LowFlow")), "Intensive", "Intermediate")</f>
      </c>
      <c r="AJ225" s="57">
        <f>IF(OR(LEFT(AH225, 1)="X", LEFT(AH225, 1)="Y", LEFT(AH225, 3)="J30M"), "CUSM", "No Match")</f>
      </c>
      <c r="AK225" s="57">
        <f>IF(AND(OR(O225=3, P225=1, Q225=1, T225=1), AJ225="no Match"), "CUSM, CHU SJ, CHUQ", "")</f>
      </c>
      <c r="AL225" s="57">
        <f>IF(AND(O225=2, ISBLANK(P225), ISBLANK(Q225), ISBLANK(R225), ISBLANK(S225), ISBLANK(T225)), "CUSM, CHU SJ, CHUS, CHUQ", "")</f>
      </c>
      <c r="AM225" s="57">
        <f>IF(AND(AJ225="no match", AK225="", AL225="", K225&lt;26), "CUSM, CHU SJ, HGJ, CHUQ, CHUS", "")</f>
      </c>
      <c r="AN225" s="57">
        <f>IF(AND(AJ225="no match", AK225="", AL225="", K225&gt;26), "CUSM, CHU SJ, HGJ, CHUQ, CHUS, HMR", "")</f>
      </c>
    </row>
    <row x14ac:dyDescent="0.25" r="226" customHeight="1" ht="17.25">
      <c r="A226" s="41" t="s">
        <v>3160</v>
      </c>
      <c r="B226" s="28">
        <v>2</v>
      </c>
      <c r="C226" s="35">
        <v>832</v>
      </c>
      <c r="D226" s="29" t="s">
        <v>308</v>
      </c>
      <c r="E226" s="30" t="s">
        <v>54</v>
      </c>
      <c r="F226" s="31">
        <v>45043</v>
      </c>
      <c r="G226" s="32">
        <v>4.114583333333334</v>
      </c>
      <c r="H226" s="31">
        <v>45042</v>
      </c>
      <c r="I226" s="32">
        <v>4.427083333333334</v>
      </c>
      <c r="J226" s="33">
        <f>F226-H226</f>
      </c>
      <c r="K226" s="28">
        <v>36</v>
      </c>
      <c r="L226" s="28">
        <v>5</v>
      </c>
      <c r="M226" s="28">
        <v>2</v>
      </c>
      <c r="N226" s="34"/>
      <c r="O226" s="35">
        <v>2</v>
      </c>
      <c r="P226" s="34"/>
      <c r="Q226" s="34"/>
      <c r="R226" s="34"/>
      <c r="S226" s="56"/>
      <c r="T226" s="34"/>
      <c r="U226" s="34"/>
      <c r="V226" s="34"/>
      <c r="W226" s="29" t="s">
        <v>74</v>
      </c>
      <c r="X226" s="28">
        <v>31</v>
      </c>
      <c r="Y226" s="28">
        <v>1</v>
      </c>
      <c r="Z226" s="28">
        <v>2</v>
      </c>
      <c r="AA226" s="28">
        <v>2</v>
      </c>
      <c r="AB226" s="28">
        <v>1</v>
      </c>
      <c r="AC226" s="28">
        <v>1</v>
      </c>
      <c r="AD226" s="28">
        <v>2</v>
      </c>
      <c r="AE226" s="28">
        <v>4</v>
      </c>
      <c r="AF226" s="28">
        <v>2</v>
      </c>
      <c r="AG226" s="28">
        <v>2</v>
      </c>
      <c r="AH226" s="29" t="s">
        <v>3161</v>
      </c>
      <c r="AI226" s="36">
        <f>IF(OR(AND(K226&lt;32, J226&lt;2), O226=1, P226=1, Q226=1, R226=1, S226=1, T226=1, U226=1, AND(W226&lt;&gt;"", W226&lt;&gt;"Oxygen", W226&lt;&gt;"LowFlow")), "Intensive", "Intermediate")</f>
      </c>
      <c r="AJ226" s="57">
        <f>IF(OR(LEFT(AH226, 1)="X", LEFT(AH226, 1)="Y", LEFT(AH226, 3)="J31M"), "CUSM", "No Match")</f>
      </c>
      <c r="AK226" s="57">
        <f>IF(AND(OR(O226=3, P226=1, Q226=1, T226=1), AJ226="no Match"), "CUSM, CHU SJ, CHUQ", "")</f>
      </c>
      <c r="AL226" s="57">
        <f>IF(AND(O226=2, ISBLANK(P226), ISBLANK(Q226), ISBLANK(R226), ISBLANK(S226), ISBLANK(T226)), "CUSM, CHU SJ, CHUS, CHUQ", "")</f>
      </c>
      <c r="AM226" s="57">
        <f>IF(AND(AJ226="no match", AK226="", AL226="", K226&lt;26), "CUSM, CHU SJ, HGJ, CHUQ, CHUS", "")</f>
      </c>
      <c r="AN226" s="57">
        <f>IF(AND(AJ226="no match", AK226="", AL226="", K226&gt;26), "CUSM, CHU SJ, HGJ, CHUQ, CHUS, HMR", "")</f>
      </c>
    </row>
    <row x14ac:dyDescent="0.25" r="227" customHeight="1" ht="17.25">
      <c r="A227" s="41" t="s">
        <v>3162</v>
      </c>
      <c r="B227" s="28">
        <v>2</v>
      </c>
      <c r="C227" s="35">
        <v>734</v>
      </c>
      <c r="D227" s="29" t="s">
        <v>264</v>
      </c>
      <c r="E227" s="30" t="s">
        <v>78</v>
      </c>
      <c r="F227" s="31">
        <v>45043</v>
      </c>
      <c r="G227" s="32">
        <v>4.375</v>
      </c>
      <c r="H227" s="31">
        <v>45043</v>
      </c>
      <c r="I227" s="32">
        <v>4.108333333333333</v>
      </c>
      <c r="J227" s="33">
        <f>F227-H227</f>
      </c>
      <c r="K227" s="28">
        <v>34</v>
      </c>
      <c r="L227" s="28">
        <v>0</v>
      </c>
      <c r="M227" s="28">
        <v>1</v>
      </c>
      <c r="N227" s="38"/>
      <c r="O227" s="38"/>
      <c r="P227" s="34"/>
      <c r="Q227" s="38"/>
      <c r="R227" s="34"/>
      <c r="S227" s="56"/>
      <c r="T227" s="34"/>
      <c r="U227" s="34"/>
      <c r="V227" s="34"/>
      <c r="W227" s="29" t="s">
        <v>74</v>
      </c>
      <c r="X227" s="28">
        <v>37</v>
      </c>
      <c r="Y227" s="28">
        <v>1</v>
      </c>
      <c r="Z227" s="28">
        <v>2</v>
      </c>
      <c r="AA227" s="28">
        <v>2</v>
      </c>
      <c r="AB227" s="28">
        <v>1</v>
      </c>
      <c r="AC227" s="28">
        <v>1</v>
      </c>
      <c r="AD227" s="28">
        <v>2</v>
      </c>
      <c r="AE227" s="28">
        <v>4</v>
      </c>
      <c r="AF227" s="28">
        <v>3</v>
      </c>
      <c r="AG227" s="28">
        <v>2</v>
      </c>
      <c r="AH227" s="29" t="s">
        <v>3163</v>
      </c>
      <c r="AI227" s="36">
        <f>IF(OR(AND(K227&lt;32, J227&lt;2), O227=1, P227=1, Q227=1, R227=1, S227=1, T227=1, U227=1, AND(W227&lt;&gt;"", W227&lt;&gt;"Oxygen", W227&lt;&gt;"LowFlow")), "Intensive", "Intermediate")</f>
      </c>
      <c r="AJ227" s="57">
        <f>IF(OR(LEFT(AH227, 1)="X", LEFT(AH227, 1)="Y", LEFT(AH227, 3)="J32M"), "CUSM", "No Match")</f>
      </c>
      <c r="AK227" s="57">
        <f>IF(AND(OR(O227=3, P227=1, Q227=1, T227=1), AJ227="no Match"), "CUSM, CHU SJ, CHUQ", "")</f>
      </c>
      <c r="AL227" s="57">
        <f>IF(AND(O227=2, ISBLANK(P227), ISBLANK(Q227), ISBLANK(R227), ISBLANK(S227), ISBLANK(T227)), "CUSM, CHU SJ, CHUS, CHUQ", "")</f>
      </c>
      <c r="AM227" s="57">
        <f>IF(AND(AJ227="no match", AK227="", AL227="", K227&lt;26), "CUSM, CHU SJ, HGJ, CHUQ, CHUS", "")</f>
      </c>
      <c r="AN227" s="57">
        <f>IF(AND(AJ227="no match", AK227="", AL227="", K227&gt;26), "CUSM, CHU SJ, HGJ, CHUQ, CHUS, HMR", "")</f>
      </c>
    </row>
    <row x14ac:dyDescent="0.25" r="228" customHeight="1" ht="17.25">
      <c r="A228" s="41" t="s">
        <v>3164</v>
      </c>
      <c r="B228" s="28">
        <v>2</v>
      </c>
      <c r="C228" s="35">
        <v>831</v>
      </c>
      <c r="D228" s="29" t="s">
        <v>313</v>
      </c>
      <c r="E228" s="30" t="s">
        <v>54</v>
      </c>
      <c r="F228" s="31">
        <v>45044</v>
      </c>
      <c r="G228" s="32">
        <v>4.697916666666666</v>
      </c>
      <c r="H228" s="31">
        <v>45035</v>
      </c>
      <c r="I228" s="32">
        <v>4.211111111111111</v>
      </c>
      <c r="J228" s="33">
        <f>F228-H228</f>
      </c>
      <c r="K228" s="28">
        <v>37</v>
      </c>
      <c r="L228" s="28">
        <v>5</v>
      </c>
      <c r="M228" s="28">
        <v>2</v>
      </c>
      <c r="N228" s="35">
        <v>1</v>
      </c>
      <c r="O228" s="34"/>
      <c r="P228" s="35">
        <v>1</v>
      </c>
      <c r="Q228" s="34"/>
      <c r="R228" s="34"/>
      <c r="S228" s="56"/>
      <c r="T228" s="38"/>
      <c r="U228" s="34"/>
      <c r="V228" s="34"/>
      <c r="W228" s="29"/>
      <c r="X228" s="28">
        <v>36</v>
      </c>
      <c r="Y228" s="28">
        <v>1</v>
      </c>
      <c r="Z228" s="28">
        <v>2</v>
      </c>
      <c r="AA228" s="28">
        <v>3</v>
      </c>
      <c r="AB228" s="28">
        <v>1</v>
      </c>
      <c r="AC228" s="28">
        <v>2</v>
      </c>
      <c r="AD228" s="28">
        <v>2</v>
      </c>
      <c r="AE228" s="28">
        <v>4</v>
      </c>
      <c r="AF228" s="28">
        <v>2</v>
      </c>
      <c r="AG228" s="28">
        <v>2</v>
      </c>
      <c r="AH228" s="29" t="s">
        <v>3165</v>
      </c>
      <c r="AI228" s="36">
        <f>IF(OR(AND(K228&lt;32, J228&lt;2), O228=1, P228=1, Q228=1, R228=1, S228=1, T228=1, U228=1, AND(W228&lt;&gt;"", W228&lt;&gt;"Oxygen", W228&lt;&gt;"LowFlow")), "Intensive", "Intermediate")</f>
      </c>
      <c r="AJ228" s="57">
        <f>IF(OR(LEFT(AH228, 1)="X", LEFT(AH228, 1)="Y", LEFT(AH228, 3)="J33M"), "CUSM", "No Match")</f>
      </c>
      <c r="AK228" s="57">
        <f>IF(AND(OR(O228=3, P228=1, Q228=1, T228=1), AJ228="no Match"), "CUSM, CHU SJ, CHUQ", "")</f>
      </c>
      <c r="AL228" s="57">
        <f>IF(AND(O228=2, ISBLANK(P228), ISBLANK(Q228), ISBLANK(R228), ISBLANK(S228), ISBLANK(T228)), "CUSM, CHU SJ, CHUS, CHUQ", "")</f>
      </c>
      <c r="AM228" s="57">
        <f>IF(AND(AJ228="no match", AK228="", AL228="", K228&lt;26), "CUSM, CHU SJ, HGJ, CHUQ, CHUS", "")</f>
      </c>
      <c r="AN228" s="57">
        <f>IF(AND(AJ228="no match", AK228="", AL228="", K228&gt;26), "CUSM, CHU SJ, HGJ, CHUQ, CHUS, HMR", "")</f>
      </c>
    </row>
    <row x14ac:dyDescent="0.25" r="229" customHeight="1" ht="17.25">
      <c r="A229" s="41" t="s">
        <v>3166</v>
      </c>
      <c r="B229" s="28">
        <v>2</v>
      </c>
      <c r="C229" s="28">
        <v>727</v>
      </c>
      <c r="D229" s="29" t="s">
        <v>992</v>
      </c>
      <c r="E229" s="30" t="s">
        <v>50</v>
      </c>
      <c r="F229" s="31">
        <v>45047</v>
      </c>
      <c r="G229" s="32">
        <v>4.549305555555556</v>
      </c>
      <c r="H229" s="31">
        <v>45044</v>
      </c>
      <c r="I229" s="32">
        <v>4.926388888888889</v>
      </c>
      <c r="J229" s="33">
        <f>F229-H229</f>
      </c>
      <c r="K229" s="28">
        <v>40</v>
      </c>
      <c r="L229" s="28">
        <v>1</v>
      </c>
      <c r="M229" s="28">
        <v>1</v>
      </c>
      <c r="N229" s="38"/>
      <c r="O229" s="34"/>
      <c r="P229" s="38"/>
      <c r="Q229" s="34"/>
      <c r="R229" s="34"/>
      <c r="S229" s="56"/>
      <c r="T229" s="34"/>
      <c r="U229" s="34"/>
      <c r="V229" s="34"/>
      <c r="W229" s="29"/>
      <c r="X229" s="28">
        <v>22</v>
      </c>
      <c r="Y229" s="28">
        <v>1</v>
      </c>
      <c r="Z229" s="28">
        <v>1</v>
      </c>
      <c r="AA229" s="28">
        <v>1</v>
      </c>
      <c r="AB229" s="28">
        <v>4</v>
      </c>
      <c r="AC229" s="28">
        <v>2</v>
      </c>
      <c r="AD229" s="28">
        <v>2</v>
      </c>
      <c r="AE229" s="28">
        <v>4</v>
      </c>
      <c r="AF229" s="28">
        <v>3</v>
      </c>
      <c r="AG229" s="28">
        <v>3</v>
      </c>
      <c r="AH229" s="29" t="s">
        <v>3167</v>
      </c>
      <c r="AI229" s="36">
        <f>IF(OR(AND(K229&lt;32, J229&lt;2), O229=1, P229=1, Q229=1, R229=1, S229=1, T229=1, U229=1, AND(W229&lt;&gt;"", W229&lt;&gt;"Oxygen", W229&lt;&gt;"LowFlow")), "Intensive", "Intermediate")</f>
      </c>
      <c r="AJ229" s="57">
        <f>IF(OR(LEFT(AH229, 1)="X", LEFT(AH229, 1)="Y", LEFT(AH229, 3)="J34M"), "CUSM", "No Match")</f>
      </c>
      <c r="AK229" s="57">
        <f>IF(AND(OR(O229=3, P229=1, Q229=1, T229=1), AJ229="no Match"), "CUSM, CHU SJ, CHUQ", "")</f>
      </c>
      <c r="AL229" s="57">
        <f>IF(AND(O229=2, ISBLANK(P229), ISBLANK(Q229), ISBLANK(R229), ISBLANK(S229), ISBLANK(T229)), "CUSM, CHU SJ, CHUS, CHUQ", "")</f>
      </c>
      <c r="AM229" s="57">
        <f>IF(AND(AJ229="no match", AK229="", AL229="", K229&lt;26), "CUSM, CHU SJ, HGJ, CHUQ, CHUS", "")</f>
      </c>
      <c r="AN229" s="57">
        <f>IF(AND(AJ229="no match", AK229="", AL229="", K229&gt;26), "CUSM, CHU SJ, HGJ, CHUQ, CHUS, HMR", "")</f>
      </c>
    </row>
    <row x14ac:dyDescent="0.25" r="230" customHeight="1" ht="17.25">
      <c r="A230" s="41" t="s">
        <v>3168</v>
      </c>
      <c r="B230" s="28">
        <v>2</v>
      </c>
      <c r="C230" s="28">
        <v>796</v>
      </c>
      <c r="D230" s="29" t="s">
        <v>63</v>
      </c>
      <c r="E230" s="30" t="s">
        <v>50</v>
      </c>
      <c r="F230" s="31">
        <v>45048</v>
      </c>
      <c r="G230" s="32">
        <v>4.218055555555555</v>
      </c>
      <c r="H230" s="31">
        <v>45038</v>
      </c>
      <c r="I230" s="32">
        <v>4.691666666666666</v>
      </c>
      <c r="J230" s="33">
        <f>F230-H230</f>
      </c>
      <c r="K230" s="28">
        <v>40</v>
      </c>
      <c r="L230" s="28">
        <v>6</v>
      </c>
      <c r="M230" s="28">
        <v>1</v>
      </c>
      <c r="N230" s="34"/>
      <c r="O230" s="34"/>
      <c r="P230" s="34"/>
      <c r="Q230" s="34"/>
      <c r="R230" s="34"/>
      <c r="S230" s="56"/>
      <c r="T230" s="38"/>
      <c r="U230" s="34"/>
      <c r="V230" s="34"/>
      <c r="W230" s="29"/>
      <c r="X230" s="28">
        <v>32</v>
      </c>
      <c r="Y230" s="28">
        <v>1</v>
      </c>
      <c r="Z230" s="28">
        <v>2</v>
      </c>
      <c r="AA230" s="28">
        <v>2</v>
      </c>
      <c r="AB230" s="28">
        <v>1</v>
      </c>
      <c r="AC230" s="28">
        <v>2</v>
      </c>
      <c r="AD230" s="28">
        <v>2</v>
      </c>
      <c r="AE230" s="28">
        <v>4</v>
      </c>
      <c r="AF230" s="28">
        <v>2</v>
      </c>
      <c r="AG230" s="28">
        <v>2</v>
      </c>
      <c r="AH230" s="29" t="s">
        <v>3169</v>
      </c>
      <c r="AI230" s="36">
        <f>IF(OR(AND(K230&lt;32, J230&lt;2), O230=1, P230=1, Q230=1, R230=1, S230=1, T230=1, U230=1, AND(W230&lt;&gt;"", W230&lt;&gt;"Oxygen", W230&lt;&gt;"LowFlow")), "Intensive", "Intermediate")</f>
      </c>
      <c r="AJ230" s="57">
        <f>IF(OR(LEFT(AH230, 1)="X", LEFT(AH230, 1)="Y", LEFT(AH230, 3)="J35M"), "CUSM", "No Match")</f>
      </c>
      <c r="AK230" s="57">
        <f>IF(AND(OR(O230=3, P230=1, Q230=1, T230=1), AJ230="no Match"), "CUSM, CHU SJ, CHUQ", "")</f>
      </c>
      <c r="AL230" s="57">
        <f>IF(AND(O230=2, ISBLANK(P230), ISBLANK(Q230), ISBLANK(R230), ISBLANK(S230), ISBLANK(T230)), "CUSM, CHU SJ, CHUS, CHUQ", "")</f>
      </c>
      <c r="AM230" s="57">
        <f>IF(AND(AJ230="no match", AK230="", AL230="", K230&lt;26), "CUSM, CHU SJ, HGJ, CHUQ, CHUS", "")</f>
      </c>
      <c r="AN230" s="57">
        <f>IF(AND(AJ230="no match", AK230="", AL230="", K230&gt;26), "CUSM, CHU SJ, HGJ, CHUQ, CHUS, HMR", "")</f>
      </c>
    </row>
    <row x14ac:dyDescent="0.25" r="231" customHeight="1" ht="17.25">
      <c r="A231" s="41" t="s">
        <v>3170</v>
      </c>
      <c r="B231" s="28">
        <v>2</v>
      </c>
      <c r="C231" s="28">
        <v>835</v>
      </c>
      <c r="D231" s="29" t="s">
        <v>170</v>
      </c>
      <c r="E231" s="30" t="s">
        <v>220</v>
      </c>
      <c r="F231" s="31">
        <v>45048</v>
      </c>
      <c r="G231" s="39"/>
      <c r="H231" s="31">
        <v>45048</v>
      </c>
      <c r="I231" s="32">
        <v>4.416666666666666</v>
      </c>
      <c r="J231" s="33">
        <f>F231-H231</f>
      </c>
      <c r="K231" s="28">
        <v>32</v>
      </c>
      <c r="L231" s="28">
        <v>0</v>
      </c>
      <c r="M231" s="28">
        <v>1</v>
      </c>
      <c r="N231" s="34"/>
      <c r="O231" s="34"/>
      <c r="P231" s="34"/>
      <c r="Q231" s="34"/>
      <c r="R231" s="34"/>
      <c r="S231" s="56"/>
      <c r="T231" s="34"/>
      <c r="U231" s="34"/>
      <c r="V231" s="34"/>
      <c r="W231" s="29" t="s">
        <v>74</v>
      </c>
      <c r="X231" s="28">
        <v>22</v>
      </c>
      <c r="Y231" s="28">
        <v>1</v>
      </c>
      <c r="Z231" s="28">
        <v>1</v>
      </c>
      <c r="AA231" s="28">
        <v>2</v>
      </c>
      <c r="AB231" s="28">
        <v>1</v>
      </c>
      <c r="AC231" s="28">
        <v>2</v>
      </c>
      <c r="AD231" s="28">
        <v>2</v>
      </c>
      <c r="AE231" s="28">
        <v>4</v>
      </c>
      <c r="AF231" s="28">
        <v>2</v>
      </c>
      <c r="AG231" s="28">
        <v>2</v>
      </c>
      <c r="AH231" s="29" t="s">
        <v>3171</v>
      </c>
      <c r="AI231" s="36">
        <f>IF(OR(AND(K231&lt;32, J231&lt;2), O231=1, P231=1, Q231=1, R231=1, S231=1, T231=1, U231=1, AND(W231&lt;&gt;"", W231&lt;&gt;"Oxygen", W231&lt;&gt;"LowFlow")), "Intensive", "Intermediate")</f>
      </c>
      <c r="AJ231" s="57">
        <f>IF(OR(LEFT(AH231, 1)="X", LEFT(AH231, 1)="Y", LEFT(AH231, 3)="J36M"), "CUSM", "No Match")</f>
      </c>
      <c r="AK231" s="57">
        <f>IF(AND(OR(O231=3, P231=1, Q231=1, T231=1), AJ231="no Match"), "CUSM, CHU SJ, CHUQ", "")</f>
      </c>
      <c r="AL231" s="57">
        <f>IF(AND(O231=2, ISBLANK(P231), ISBLANK(Q231), ISBLANK(R231), ISBLANK(S231), ISBLANK(T231)), "CUSM, CHU SJ, CHUS, CHUQ", "")</f>
      </c>
      <c r="AM231" s="57">
        <f>IF(AND(AJ231="no match", AK231="", AL231="", K231&lt;26), "CUSM, CHU SJ, HGJ, CHUQ, CHUS", "")</f>
      </c>
      <c r="AN231" s="57">
        <f>IF(AND(AJ231="no match", AK231="", AL231="", K231&gt;26), "CUSM, CHU SJ, HGJ, CHUQ, CHUS, HMR", "")</f>
      </c>
    </row>
    <row x14ac:dyDescent="0.25" r="232" customHeight="1" ht="17.25">
      <c r="A232" s="41" t="s">
        <v>3172</v>
      </c>
      <c r="B232" s="28">
        <v>2</v>
      </c>
      <c r="C232" s="35">
        <v>782</v>
      </c>
      <c r="D232" s="29" t="s">
        <v>95</v>
      </c>
      <c r="E232" s="30" t="s">
        <v>78</v>
      </c>
      <c r="F232" s="31">
        <v>45049</v>
      </c>
      <c r="G232" s="32">
        <v>4.4375</v>
      </c>
      <c r="H232" s="31">
        <v>45049</v>
      </c>
      <c r="I232" s="32">
        <v>4.321527777777778</v>
      </c>
      <c r="J232" s="33">
        <f>F232-H232</f>
      </c>
      <c r="K232" s="28">
        <v>26</v>
      </c>
      <c r="L232" s="28">
        <v>2</v>
      </c>
      <c r="M232" s="28">
        <v>1</v>
      </c>
      <c r="N232" s="34"/>
      <c r="O232" s="34"/>
      <c r="P232" s="34"/>
      <c r="Q232" s="34"/>
      <c r="R232" s="34"/>
      <c r="S232" s="56"/>
      <c r="T232" s="34"/>
      <c r="U232" s="38"/>
      <c r="V232" s="38"/>
      <c r="W232" s="29" t="s">
        <v>74</v>
      </c>
      <c r="X232" s="28">
        <v>31</v>
      </c>
      <c r="Y232" s="28">
        <v>2</v>
      </c>
      <c r="Z232" s="28">
        <v>1</v>
      </c>
      <c r="AA232" s="28">
        <v>3</v>
      </c>
      <c r="AB232" s="28">
        <v>1</v>
      </c>
      <c r="AC232" s="28">
        <v>3</v>
      </c>
      <c r="AD232" s="28">
        <v>3</v>
      </c>
      <c r="AE232" s="28">
        <v>4</v>
      </c>
      <c r="AF232" s="35">
        <v>3</v>
      </c>
      <c r="AG232" s="28">
        <v>2</v>
      </c>
      <c r="AH232" s="29" t="s">
        <v>3173</v>
      </c>
      <c r="AI232" s="36">
        <f>IF(OR(AND(K232&lt;32, J232&lt;2), O232=1, P232=1, Q232=1, R232=1, S232=1, T232=1, U232=1, AND(W232&lt;&gt;"", W232&lt;&gt;"Oxygen", W232&lt;&gt;"LowFlow")), "Intensive", "Intermediate")</f>
      </c>
      <c r="AJ232" s="57">
        <f>IF(OR(LEFT(AH232, 1)="X", LEFT(AH232, 1)="Y", LEFT(AH232, 3)="J37M"), "CUSM", "No Match")</f>
      </c>
      <c r="AK232" s="57">
        <f>IF(AND(OR(O232=3, P232=1, Q232=1, T232=1), AJ232="no Match"), "CUSM, CHU SJ, CHUQ", "")</f>
      </c>
      <c r="AL232" s="57">
        <f>IF(AND(O232=2, ISBLANK(P232), ISBLANK(Q232), ISBLANK(R232), ISBLANK(S232), ISBLANK(T232)), "CUSM, CHU SJ, CHUS, CHUQ", "")</f>
      </c>
      <c r="AM232" s="57">
        <f>IF(AND(AJ232="no match", AK232="", AL232="", K232&lt;26), "CUSM, CHU SJ, HGJ, CHUQ, CHUS", "")</f>
      </c>
      <c r="AN232" s="57">
        <f>IF(AND(AJ232="no match", AK232="", AL232="", K232&gt;26), "CUSM, CHU SJ, HGJ, CHUQ, CHUS, HMR", "")</f>
      </c>
    </row>
    <row x14ac:dyDescent="0.25" r="233" customHeight="1" ht="17.25">
      <c r="A233" s="41" t="s">
        <v>3174</v>
      </c>
      <c r="B233" s="28">
        <v>2</v>
      </c>
      <c r="C233" s="35">
        <v>782</v>
      </c>
      <c r="D233" s="29" t="s">
        <v>95</v>
      </c>
      <c r="E233" s="30" t="s">
        <v>78</v>
      </c>
      <c r="F233" s="31">
        <v>45049</v>
      </c>
      <c r="G233" s="32">
        <v>4.5</v>
      </c>
      <c r="H233" s="31">
        <v>45049</v>
      </c>
      <c r="I233" s="32">
        <v>4.327083333333333</v>
      </c>
      <c r="J233" s="33">
        <f>F233-H233</f>
      </c>
      <c r="K233" s="28">
        <v>26</v>
      </c>
      <c r="L233" s="28">
        <v>2</v>
      </c>
      <c r="M233" s="28">
        <v>1</v>
      </c>
      <c r="N233" s="35">
        <v>1</v>
      </c>
      <c r="O233" s="34"/>
      <c r="P233" s="35">
        <v>1</v>
      </c>
      <c r="Q233" s="34"/>
      <c r="R233" s="34"/>
      <c r="S233" s="56"/>
      <c r="T233" s="34"/>
      <c r="U233" s="34"/>
      <c r="V233" s="38"/>
      <c r="W233" s="29" t="s">
        <v>70</v>
      </c>
      <c r="X233" s="28">
        <v>31</v>
      </c>
      <c r="Y233" s="28">
        <v>2</v>
      </c>
      <c r="Z233" s="28">
        <v>1</v>
      </c>
      <c r="AA233" s="28">
        <v>3</v>
      </c>
      <c r="AB233" s="28">
        <v>1</v>
      </c>
      <c r="AC233" s="28">
        <v>3</v>
      </c>
      <c r="AD233" s="28">
        <v>3</v>
      </c>
      <c r="AE233" s="28">
        <v>4</v>
      </c>
      <c r="AF233" s="35">
        <v>3</v>
      </c>
      <c r="AG233" s="28">
        <v>2</v>
      </c>
      <c r="AH233" s="29" t="s">
        <v>3173</v>
      </c>
      <c r="AI233" s="36">
        <f>IF(OR(AND(K233&lt;32, J233&lt;2), O233=1, P233=1, Q233=1, R233=1, S233=1, T233=1, U233=1, AND(W233&lt;&gt;"", W233&lt;&gt;"Oxygen", W233&lt;&gt;"LowFlow")), "Intensive", "Intermediate")</f>
      </c>
      <c r="AJ233" s="57">
        <f>IF(OR(LEFT(AH233, 1)="X", LEFT(AH233, 1)="Y", LEFT(AH233, 3)="J38M"), "CUSM", "No Match")</f>
      </c>
      <c r="AK233" s="57">
        <f>IF(AND(OR(O233=3, P233=1, Q233=1, T233=1), AJ233="no Match"), "CUSM, CHU SJ, CHUQ", "")</f>
      </c>
      <c r="AL233" s="57">
        <f>IF(AND(O233=2, ISBLANK(P233), ISBLANK(Q233), ISBLANK(R233), ISBLANK(S233), ISBLANK(T233)), "CUSM, CHU SJ, CHUS, CHUQ", "")</f>
      </c>
      <c r="AM233" s="57">
        <f>IF(AND(AJ233="no match", AK233="", AL233="", K233&lt;26), "CUSM, CHU SJ, HGJ, CHUQ, CHUS", "")</f>
      </c>
      <c r="AN233" s="57">
        <f>IF(AND(AJ233="no match", AK233="", AL233="", K233&gt;26), "CUSM, CHU SJ, HGJ, CHUQ, CHUS, HMR", "")</f>
      </c>
    </row>
    <row x14ac:dyDescent="0.25" r="234" customHeight="1" ht="17.25">
      <c r="A234" s="41" t="s">
        <v>3175</v>
      </c>
      <c r="B234" s="28">
        <v>2</v>
      </c>
      <c r="C234" s="35">
        <v>835</v>
      </c>
      <c r="D234" s="29" t="s">
        <v>170</v>
      </c>
      <c r="E234" s="30" t="s">
        <v>54</v>
      </c>
      <c r="F234" s="31">
        <v>45050</v>
      </c>
      <c r="G234" s="32">
        <v>4.007638888888889</v>
      </c>
      <c r="H234" s="31">
        <v>45049</v>
      </c>
      <c r="I234" s="32">
        <v>4.839583333333334</v>
      </c>
      <c r="J234" s="33">
        <f>F234-H234</f>
      </c>
      <c r="K234" s="28">
        <v>40</v>
      </c>
      <c r="L234" s="28">
        <v>4</v>
      </c>
      <c r="M234" s="28">
        <v>2</v>
      </c>
      <c r="N234" s="38"/>
      <c r="O234" s="34"/>
      <c r="P234" s="38"/>
      <c r="Q234" s="34"/>
      <c r="R234" s="34"/>
      <c r="S234" s="56"/>
      <c r="T234" s="34"/>
      <c r="U234" s="34"/>
      <c r="V234" s="34"/>
      <c r="W234" s="29" t="s">
        <v>58</v>
      </c>
      <c r="X234" s="28">
        <v>33</v>
      </c>
      <c r="Y234" s="28">
        <v>1</v>
      </c>
      <c r="Z234" s="28">
        <v>2</v>
      </c>
      <c r="AA234" s="28">
        <v>1</v>
      </c>
      <c r="AB234" s="28">
        <v>1</v>
      </c>
      <c r="AC234" s="28">
        <v>2</v>
      </c>
      <c r="AD234" s="28">
        <v>2</v>
      </c>
      <c r="AE234" s="28">
        <v>4</v>
      </c>
      <c r="AF234" s="28">
        <v>1</v>
      </c>
      <c r="AG234" s="28">
        <v>2</v>
      </c>
      <c r="AH234" s="29" t="s">
        <v>3176</v>
      </c>
      <c r="AI234" s="36">
        <f>IF(OR(AND(K234&lt;32, J234&lt;2), O234=1, P234=1, Q234=1, R234=1, S234=1, T234=1, U234=1, AND(W234&lt;&gt;"", W234&lt;&gt;"Oxygen", W234&lt;&gt;"LowFlow")), "Intensive", "Intermediate")</f>
      </c>
      <c r="AJ234" s="57">
        <f>IF(OR(LEFT(AH234, 1)="X", LEFT(AH234, 1)="Y", LEFT(AH234, 3)="J39M"), "CUSM", "No Match")</f>
      </c>
      <c r="AK234" s="57">
        <f>IF(AND(OR(O234=3, P234=1, Q234=1, T234=1), AJ234="no Match"), "CUSM, CHU SJ, CHUQ", "")</f>
      </c>
      <c r="AL234" s="57">
        <f>IF(AND(O234=2, ISBLANK(P234), ISBLANK(Q234), ISBLANK(R234), ISBLANK(S234), ISBLANK(T234)), "CUSM, CHU SJ, CHUS, CHUQ", "")</f>
      </c>
      <c r="AM234" s="57">
        <f>IF(AND(AJ234="no match", AK234="", AL234="", K234&lt;26), "CUSM, CHU SJ, HGJ, CHUQ, CHUS", "")</f>
      </c>
      <c r="AN234" s="57">
        <f>IF(AND(AJ234="no match", AK234="", AL234="", K234&gt;26), "CUSM, CHU SJ, HGJ, CHUQ, CHUS, HMR", "")</f>
      </c>
    </row>
    <row x14ac:dyDescent="0.25" r="235" customHeight="1" ht="17.25">
      <c r="A235" s="41" t="s">
        <v>3177</v>
      </c>
      <c r="B235" s="28">
        <v>2</v>
      </c>
      <c r="C235" s="28">
        <v>779</v>
      </c>
      <c r="D235" s="29" t="s">
        <v>136</v>
      </c>
      <c r="E235" s="30" t="s">
        <v>54</v>
      </c>
      <c r="F235" s="31">
        <v>45050</v>
      </c>
      <c r="G235" s="32">
        <v>4.465277777777778</v>
      </c>
      <c r="H235" s="31">
        <v>45030</v>
      </c>
      <c r="I235" s="32">
        <v>4.032638888888889</v>
      </c>
      <c r="J235" s="33">
        <f>F235-H235</f>
      </c>
      <c r="K235" s="28">
        <v>34</v>
      </c>
      <c r="L235" s="28">
        <v>5</v>
      </c>
      <c r="M235" s="28">
        <v>2</v>
      </c>
      <c r="N235" s="28">
        <v>1</v>
      </c>
      <c r="O235" s="34"/>
      <c r="P235" s="38"/>
      <c r="Q235" s="34"/>
      <c r="R235" s="34"/>
      <c r="S235" s="56"/>
      <c r="T235" s="34"/>
      <c r="U235" s="34"/>
      <c r="V235" s="34"/>
      <c r="W235" s="29" t="s">
        <v>600</v>
      </c>
      <c r="X235" s="28">
        <v>32</v>
      </c>
      <c r="Y235" s="28">
        <v>1</v>
      </c>
      <c r="Z235" s="28">
        <v>2</v>
      </c>
      <c r="AA235" s="28">
        <v>3</v>
      </c>
      <c r="AB235" s="28">
        <v>1</v>
      </c>
      <c r="AC235" s="28">
        <v>1</v>
      </c>
      <c r="AD235" s="28">
        <v>2</v>
      </c>
      <c r="AE235" s="28">
        <v>4</v>
      </c>
      <c r="AF235" s="28">
        <v>3</v>
      </c>
      <c r="AG235" s="28">
        <v>2</v>
      </c>
      <c r="AH235" s="29" t="s">
        <v>3178</v>
      </c>
      <c r="AI235" s="36">
        <f>IF(OR(AND(K235&lt;32, J235&lt;2), O235=1, P235=1, Q235=1, R235=1, S235=1, T235=1, U235=1, AND(W235&lt;&gt;"", W235&lt;&gt;"Oxygen", W235&lt;&gt;"LowFlow")), "Intensive", "Intermediate")</f>
      </c>
      <c r="AJ235" s="57">
        <f>IF(OR(LEFT(AH235, 1)="X", LEFT(AH235, 1)="Y", LEFT(AH235, 3)="J40M"), "CUSM", "No Match")</f>
      </c>
      <c r="AK235" s="57">
        <f>IF(AND(OR(O235=3, P235=1, Q235=1, T235=1), AJ235="no Match"), "CUSM, CHU SJ, CHUQ", "")</f>
      </c>
      <c r="AL235" s="57">
        <f>IF(AND(O235=2, ISBLANK(P235), ISBLANK(Q235), ISBLANK(R235), ISBLANK(S235), ISBLANK(T235)), "CUSM, CHU SJ, CHUS, CHUQ", "")</f>
      </c>
      <c r="AM235" s="57">
        <f>IF(AND(AJ235="no match", AK235="", AL235="", K235&lt;26), "CUSM, CHU SJ, HGJ, CHUQ, CHUS", "")</f>
      </c>
      <c r="AN235" s="57">
        <f>IF(AND(AJ235="no match", AK235="", AL235="", K235&gt;26), "CUSM, CHU SJ, HGJ, CHUQ, CHUS, HMR", "")</f>
      </c>
    </row>
    <row x14ac:dyDescent="0.25" r="236" customHeight="1" ht="17.25">
      <c r="A236" s="41" t="s">
        <v>3179</v>
      </c>
      <c r="B236" s="28">
        <v>2</v>
      </c>
      <c r="C236" s="35">
        <v>856</v>
      </c>
      <c r="D236" s="29" t="s">
        <v>674</v>
      </c>
      <c r="E236" s="30" t="s">
        <v>50</v>
      </c>
      <c r="F236" s="31">
        <v>45050</v>
      </c>
      <c r="G236" s="32">
        <v>4.567361111111111</v>
      </c>
      <c r="H236" s="31">
        <v>45048</v>
      </c>
      <c r="I236" s="32">
        <v>4.957638888888889</v>
      </c>
      <c r="J236" s="33">
        <f>F236-H236</f>
      </c>
      <c r="K236" s="28">
        <v>38</v>
      </c>
      <c r="L236" s="28">
        <v>5</v>
      </c>
      <c r="M236" s="28">
        <v>1</v>
      </c>
      <c r="N236" s="38"/>
      <c r="O236" s="38"/>
      <c r="P236" s="38"/>
      <c r="Q236" s="34"/>
      <c r="R236" s="34"/>
      <c r="S236" s="56"/>
      <c r="T236" s="34"/>
      <c r="U236" s="34"/>
      <c r="V236" s="34"/>
      <c r="W236" s="29"/>
      <c r="X236" s="28">
        <v>44</v>
      </c>
      <c r="Y236" s="28">
        <v>1</v>
      </c>
      <c r="Z236" s="28">
        <v>2</v>
      </c>
      <c r="AA236" s="28">
        <v>3</v>
      </c>
      <c r="AB236" s="28">
        <v>1</v>
      </c>
      <c r="AC236" s="28">
        <v>2</v>
      </c>
      <c r="AD236" s="28">
        <v>2</v>
      </c>
      <c r="AE236" s="28">
        <v>4</v>
      </c>
      <c r="AF236" s="28">
        <v>3</v>
      </c>
      <c r="AG236" s="28">
        <v>2</v>
      </c>
      <c r="AH236" s="29" t="s">
        <v>3180</v>
      </c>
      <c r="AI236" s="36">
        <f>IF(OR(AND(K236&lt;32, J236&lt;2), O236=1, P236=1, Q236=1, R236=1, S236=1, T236=1, U236=1, AND(W236&lt;&gt;"", W236&lt;&gt;"Oxygen", W236&lt;&gt;"LowFlow")), "Intensive", "Intermediate")</f>
      </c>
      <c r="AJ236" s="57">
        <f>IF(OR(LEFT(AH236, 1)="X", LEFT(AH236, 1)="Y", LEFT(AH236, 3)="J41M"), "CUSM", "No Match")</f>
      </c>
      <c r="AK236" s="57">
        <f>IF(AND(OR(O236=3, P236=1, Q236=1, T236=1), AJ236="no Match"), "CUSM, CHU SJ, CHUQ", "")</f>
      </c>
      <c r="AL236" s="57">
        <f>IF(AND(O236=2, ISBLANK(P236), ISBLANK(Q236), ISBLANK(R236), ISBLANK(S236), ISBLANK(T236)), "CUSM, CHU SJ, CHUS, CHUQ", "")</f>
      </c>
      <c r="AM236" s="57">
        <f>IF(AND(AJ236="no match", AK236="", AL236="", K236&lt;26), "CUSM, CHU SJ, HGJ, CHUQ, CHUS", "")</f>
      </c>
      <c r="AN236" s="57">
        <f>IF(AND(AJ236="no match", AK236="", AL236="", K236&gt;26), "CUSM, CHU SJ, HGJ, CHUQ, CHUS, HMR", "")</f>
      </c>
    </row>
    <row x14ac:dyDescent="0.25" r="237" customHeight="1" ht="17.25">
      <c r="A237" s="41" t="s">
        <v>3181</v>
      </c>
      <c r="B237" s="28">
        <v>2</v>
      </c>
      <c r="C237" s="35">
        <v>839</v>
      </c>
      <c r="D237" s="29" t="s">
        <v>53</v>
      </c>
      <c r="E237" s="30" t="s">
        <v>78</v>
      </c>
      <c r="F237" s="31">
        <v>45051</v>
      </c>
      <c r="G237" s="32">
        <v>4.916666666666666</v>
      </c>
      <c r="H237" s="31">
        <v>45051</v>
      </c>
      <c r="I237" s="32">
        <v>4.773611111111111</v>
      </c>
      <c r="J237" s="33">
        <f>F237-H237</f>
      </c>
      <c r="K237" s="28">
        <v>33</v>
      </c>
      <c r="L237" s="28">
        <v>0</v>
      </c>
      <c r="M237" s="28">
        <v>2</v>
      </c>
      <c r="N237" s="34"/>
      <c r="O237" s="34"/>
      <c r="P237" s="34"/>
      <c r="Q237" s="34"/>
      <c r="R237" s="34"/>
      <c r="S237" s="56"/>
      <c r="T237" s="34"/>
      <c r="U237" s="34"/>
      <c r="V237" s="34"/>
      <c r="W237" s="29" t="s">
        <v>58</v>
      </c>
      <c r="X237" s="28">
        <v>35</v>
      </c>
      <c r="Y237" s="28">
        <v>1</v>
      </c>
      <c r="Z237" s="28">
        <v>1</v>
      </c>
      <c r="AA237" s="28">
        <v>3</v>
      </c>
      <c r="AB237" s="28">
        <v>4</v>
      </c>
      <c r="AC237" s="28">
        <v>3</v>
      </c>
      <c r="AD237" s="28">
        <v>1</v>
      </c>
      <c r="AE237" s="28">
        <v>4</v>
      </c>
      <c r="AF237" s="28">
        <v>3</v>
      </c>
      <c r="AG237" s="28">
        <v>2</v>
      </c>
      <c r="AH237" s="29" t="s">
        <v>3182</v>
      </c>
      <c r="AI237" s="36">
        <f>IF(OR(AND(K237&lt;32, J237&lt;2), O237=1, P237=1, Q237=1, R237=1, S237=1, T237=1, U237=1, AND(W237&lt;&gt;"", W237&lt;&gt;"Oxygen", W237&lt;&gt;"LowFlow")), "Intensive", "Intermediate")</f>
      </c>
      <c r="AJ237" s="57">
        <f>IF(OR(LEFT(AH237, 1)="X", LEFT(AH237, 1)="Y", LEFT(AH237, 3)="J42M"), "CUSM", "No Match")</f>
      </c>
      <c r="AK237" s="57">
        <f>IF(AND(OR(O237=3, P237=1, Q237=1, T237=1), AJ237="no Match"), "CUSM, CHU SJ, CHUQ", "")</f>
      </c>
      <c r="AL237" s="57">
        <f>IF(AND(O237=2, ISBLANK(P237), ISBLANK(Q237), ISBLANK(R237), ISBLANK(S237), ISBLANK(T237)), "CUSM, CHU SJ, CHUS, CHUQ", "")</f>
      </c>
      <c r="AM237" s="57">
        <f>IF(AND(AJ237="no match", AK237="", AL237="", K237&lt;26), "CUSM, CHU SJ, HGJ, CHUQ, CHUS", "")</f>
      </c>
      <c r="AN237" s="57">
        <f>IF(AND(AJ237="no match", AK237="", AL237="", K237&gt;26), "CUSM, CHU SJ, HGJ, CHUQ, CHUS, HMR", "")</f>
      </c>
    </row>
    <row x14ac:dyDescent="0.25" r="238" customHeight="1" ht="17.25">
      <c r="A238" s="41" t="s">
        <v>3183</v>
      </c>
      <c r="B238" s="28">
        <v>2</v>
      </c>
      <c r="C238" s="35">
        <v>730</v>
      </c>
      <c r="D238" s="29" t="s">
        <v>81</v>
      </c>
      <c r="E238" s="30" t="s">
        <v>50</v>
      </c>
      <c r="F238" s="31">
        <v>45052</v>
      </c>
      <c r="G238" s="32">
        <v>4.885416666666666</v>
      </c>
      <c r="H238" s="31">
        <v>45052</v>
      </c>
      <c r="I238" s="39"/>
      <c r="J238" s="33">
        <f>F238-H238</f>
      </c>
      <c r="K238" s="28">
        <v>37</v>
      </c>
      <c r="L238" s="28">
        <v>5</v>
      </c>
      <c r="M238" s="28">
        <v>2</v>
      </c>
      <c r="N238" s="35">
        <v>1</v>
      </c>
      <c r="O238" s="35">
        <v>2</v>
      </c>
      <c r="P238" s="35">
        <v>1</v>
      </c>
      <c r="Q238" s="35">
        <v>1</v>
      </c>
      <c r="R238" s="34"/>
      <c r="S238" s="56"/>
      <c r="T238" s="34"/>
      <c r="U238" s="34"/>
      <c r="V238" s="34"/>
      <c r="W238" s="29" t="s">
        <v>58</v>
      </c>
      <c r="X238" s="28">
        <v>39</v>
      </c>
      <c r="Y238" s="28">
        <v>1</v>
      </c>
      <c r="Z238" s="28">
        <v>1</v>
      </c>
      <c r="AA238" s="28">
        <v>3</v>
      </c>
      <c r="AB238" s="38"/>
      <c r="AC238" s="28">
        <v>2</v>
      </c>
      <c r="AD238" s="28">
        <v>1</v>
      </c>
      <c r="AE238" s="28">
        <v>4</v>
      </c>
      <c r="AF238" s="28">
        <v>3</v>
      </c>
      <c r="AG238" s="28">
        <v>3</v>
      </c>
      <c r="AH238" s="29" t="s">
        <v>3184</v>
      </c>
      <c r="AI238" s="36">
        <f>IF(OR(AND(K238&lt;32, J238&lt;2), O238=1, P238=1, Q238=1, R238=1, S238=1, T238=1, U238=1, AND(W238&lt;&gt;"", W238&lt;&gt;"Oxygen", W238&lt;&gt;"LowFlow")), "Intensive", "Intermediate")</f>
      </c>
      <c r="AJ238" s="57">
        <f>IF(OR(LEFT(AH238, 1)="X", LEFT(AH238, 1)="Y", LEFT(AH238, 3)="J43M"), "CUSM", "No Match")</f>
      </c>
      <c r="AK238" s="57">
        <f>IF(AND(OR(O238=3, P238=1, Q238=1, T238=1), AJ238="no Match"), "CUSM, CHU SJ, CHUQ", "")</f>
      </c>
      <c r="AL238" s="57">
        <f>IF(AND(O238=2, ISBLANK(P238), ISBLANK(Q238), ISBLANK(R238), ISBLANK(S238), ISBLANK(T238)), "CUSM, CHU SJ, CHUS, CHUQ", "")</f>
      </c>
      <c r="AM238" s="57">
        <f>IF(AND(AJ238="no match", AK238="", AL238="", K238&lt;26), "CUSM, CHU SJ, HGJ, CHUQ, CHUS", "")</f>
      </c>
      <c r="AN238" s="57">
        <f>IF(AND(AJ238="no match", AK238="", AL238="", K238&gt;26), "CUSM, CHU SJ, HGJ, CHUQ, CHUS, HMR", "")</f>
      </c>
    </row>
    <row x14ac:dyDescent="0.25" r="239" customHeight="1" ht="17.25">
      <c r="A239" s="41" t="s">
        <v>3185</v>
      </c>
      <c r="B239" s="28">
        <v>2</v>
      </c>
      <c r="C239" s="35">
        <v>825</v>
      </c>
      <c r="D239" s="29" t="s">
        <v>77</v>
      </c>
      <c r="E239" s="30" t="s">
        <v>78</v>
      </c>
      <c r="F239" s="31">
        <v>45053</v>
      </c>
      <c r="G239" s="32">
        <v>4.885416666666666</v>
      </c>
      <c r="H239" s="31">
        <v>45052</v>
      </c>
      <c r="I239" s="32">
        <v>4.674305555555556</v>
      </c>
      <c r="J239" s="33">
        <f>F239-H239</f>
      </c>
      <c r="K239" s="28">
        <v>36</v>
      </c>
      <c r="L239" s="28">
        <v>0</v>
      </c>
      <c r="M239" s="28">
        <v>1</v>
      </c>
      <c r="N239" s="34"/>
      <c r="O239" s="34"/>
      <c r="P239" s="34"/>
      <c r="Q239" s="34"/>
      <c r="R239" s="34"/>
      <c r="S239" s="56"/>
      <c r="T239" s="34"/>
      <c r="U239" s="34"/>
      <c r="V239" s="34"/>
      <c r="W239" s="29" t="s">
        <v>58</v>
      </c>
      <c r="X239" s="28">
        <v>42</v>
      </c>
      <c r="Y239" s="28">
        <v>2</v>
      </c>
      <c r="Z239" s="28">
        <v>2</v>
      </c>
      <c r="AA239" s="28">
        <v>3</v>
      </c>
      <c r="AB239" s="28">
        <v>4</v>
      </c>
      <c r="AC239" s="28">
        <v>1</v>
      </c>
      <c r="AD239" s="28">
        <v>2</v>
      </c>
      <c r="AE239" s="28">
        <v>4</v>
      </c>
      <c r="AF239" s="28">
        <v>3</v>
      </c>
      <c r="AG239" s="28">
        <v>2</v>
      </c>
      <c r="AH239" s="29" t="s">
        <v>3186</v>
      </c>
      <c r="AI239" s="36">
        <f>IF(OR(AND(K239&lt;32, J239&lt;2), O239=1, P239=1, Q239=1, R239=1, S239=1, T239=1, U239=1, AND(W239&lt;&gt;"", W239&lt;&gt;"Oxygen", W239&lt;&gt;"LowFlow")), "Intensive", "Intermediate")</f>
      </c>
      <c r="AJ239" s="57">
        <f>IF(OR(LEFT(AH239, 1)="X", LEFT(AH239, 1)="Y", LEFT(AH239, 3)="J44M"), "CUSM", "No Match")</f>
      </c>
      <c r="AK239" s="57">
        <f>IF(AND(OR(O239=3, P239=1, Q239=1, T239=1), AJ239="no Match"), "CUSM, CHU SJ, CHUQ", "")</f>
      </c>
      <c r="AL239" s="57">
        <f>IF(AND(O239=2, ISBLANK(P239), ISBLANK(Q239), ISBLANK(R239), ISBLANK(S239), ISBLANK(T239)), "CUSM, CHU SJ, CHUS, CHUQ", "")</f>
      </c>
      <c r="AM239" s="57">
        <f>IF(AND(AJ239="no match", AK239="", AL239="", K239&lt;26), "CUSM, CHU SJ, HGJ, CHUQ, CHUS", "")</f>
      </c>
      <c r="AN239" s="57">
        <f>IF(AND(AJ239="no match", AK239="", AL239="", K239&gt;26), "CUSM, CHU SJ, HGJ, CHUQ, CHUS, HMR", "")</f>
      </c>
    </row>
    <row x14ac:dyDescent="0.25" r="240" customHeight="1" ht="17.25">
      <c r="A240" s="41" t="s">
        <v>3187</v>
      </c>
      <c r="B240" s="28">
        <v>2</v>
      </c>
      <c r="C240" s="35">
        <v>831</v>
      </c>
      <c r="D240" s="29" t="s">
        <v>313</v>
      </c>
      <c r="E240" s="30" t="s">
        <v>50</v>
      </c>
      <c r="F240" s="31">
        <v>45053</v>
      </c>
      <c r="G240" s="40">
        <v>4.055555555555555</v>
      </c>
      <c r="H240" s="31">
        <v>45052</v>
      </c>
      <c r="I240" s="32">
        <v>4.936111111111111</v>
      </c>
      <c r="J240" s="33">
        <f>F240-H240</f>
      </c>
      <c r="K240" s="28">
        <v>38</v>
      </c>
      <c r="L240" s="28">
        <v>5</v>
      </c>
      <c r="M240" s="28">
        <v>1</v>
      </c>
      <c r="N240" s="34"/>
      <c r="O240" s="34"/>
      <c r="P240" s="34"/>
      <c r="Q240" s="34"/>
      <c r="R240" s="34"/>
      <c r="S240" s="56"/>
      <c r="T240" s="35">
        <v>1</v>
      </c>
      <c r="U240" s="34"/>
      <c r="V240" s="34"/>
      <c r="W240" s="29" t="s">
        <v>74</v>
      </c>
      <c r="X240" s="28">
        <v>32</v>
      </c>
      <c r="Y240" s="28">
        <v>1</v>
      </c>
      <c r="Z240" s="28">
        <v>1</v>
      </c>
      <c r="AA240" s="28">
        <v>2</v>
      </c>
      <c r="AB240" s="28">
        <v>1</v>
      </c>
      <c r="AC240" s="28">
        <v>2</v>
      </c>
      <c r="AD240" s="28">
        <v>2</v>
      </c>
      <c r="AE240" s="28">
        <v>4</v>
      </c>
      <c r="AF240" s="28">
        <v>3</v>
      </c>
      <c r="AG240" s="28">
        <v>2</v>
      </c>
      <c r="AH240" s="29" t="s">
        <v>3188</v>
      </c>
      <c r="AI240" s="36">
        <f>IF(OR(AND(K240&lt;32, J240&lt;2), O240=1, P240=1, Q240=1, R240=1, S240=1, T240=1, U240=1, AND(W240&lt;&gt;"", W240&lt;&gt;"Oxygen", W240&lt;&gt;"LowFlow")), "Intensive", "Intermediate")</f>
      </c>
      <c r="AJ240" s="57">
        <f>IF(OR(LEFT(AH240, 1)="X", LEFT(AH240, 1)="Y", LEFT(AH240, 3)="J45M"), "CUSM", "No Match")</f>
      </c>
      <c r="AK240" s="57">
        <f>IF(AND(OR(O240=3, P240=1, Q240=1, T240=1), AJ240="no Match"), "CUSM, CHU SJ, CHUQ", "")</f>
      </c>
      <c r="AL240" s="57">
        <f>IF(AND(O240=2, ISBLANK(P240), ISBLANK(Q240), ISBLANK(R240), ISBLANK(S240), ISBLANK(T240)), "CUSM, CHU SJ, CHUS, CHUQ", "")</f>
      </c>
      <c r="AM240" s="57">
        <f>IF(AND(AJ240="no match", AK240="", AL240="", K240&lt;26), "CUSM, CHU SJ, HGJ, CHUQ, CHUS", "")</f>
      </c>
      <c r="AN240" s="57">
        <f>IF(AND(AJ240="no match", AK240="", AL240="", K240&gt;26), "CUSM, CHU SJ, HGJ, CHUQ, CHUS, HMR", "")</f>
      </c>
    </row>
    <row x14ac:dyDescent="0.25" r="241" customHeight="1" ht="17.25">
      <c r="A241" s="41" t="s">
        <v>3189</v>
      </c>
      <c r="B241" s="28">
        <v>2</v>
      </c>
      <c r="C241" s="28">
        <v>833</v>
      </c>
      <c r="D241" s="29" t="s">
        <v>376</v>
      </c>
      <c r="E241" s="30" t="s">
        <v>118</v>
      </c>
      <c r="F241" s="31">
        <v>45054</v>
      </c>
      <c r="G241" s="32">
        <v>4.736111111111111</v>
      </c>
      <c r="H241" s="31">
        <v>45054</v>
      </c>
      <c r="I241" s="32">
        <v>4.31875</v>
      </c>
      <c r="J241" s="33">
        <f>F241-H241</f>
      </c>
      <c r="K241" s="28">
        <v>40</v>
      </c>
      <c r="L241" s="28">
        <v>0</v>
      </c>
      <c r="M241" s="28">
        <v>1</v>
      </c>
      <c r="N241" s="34"/>
      <c r="O241" s="35">
        <v>2</v>
      </c>
      <c r="P241" s="34"/>
      <c r="Q241" s="34"/>
      <c r="R241" s="34"/>
      <c r="S241" s="56"/>
      <c r="T241" s="35">
        <v>1</v>
      </c>
      <c r="U241" s="34"/>
      <c r="V241" s="34"/>
      <c r="W241" s="29"/>
      <c r="X241" s="28">
        <v>31</v>
      </c>
      <c r="Y241" s="28">
        <v>1</v>
      </c>
      <c r="Z241" s="28">
        <v>2</v>
      </c>
      <c r="AA241" s="28">
        <v>3</v>
      </c>
      <c r="AB241" s="28">
        <v>2</v>
      </c>
      <c r="AC241" s="28">
        <v>2</v>
      </c>
      <c r="AD241" s="28">
        <v>2</v>
      </c>
      <c r="AE241" s="28">
        <v>4</v>
      </c>
      <c r="AF241" s="28">
        <v>3</v>
      </c>
      <c r="AG241" s="28">
        <v>2</v>
      </c>
      <c r="AH241" s="29" t="s">
        <v>1770</v>
      </c>
      <c r="AI241" s="36">
        <f>IF(OR(AND(K241&lt;32, J241&lt;2), O241=1, P241=1, Q241=1, R241=1, S241=1, T241=1, U241=1, AND(W241&lt;&gt;"", W241&lt;&gt;"Oxygen", W241&lt;&gt;"LowFlow")), "Intensive", "Intermediate")</f>
      </c>
      <c r="AJ241" s="57">
        <f>IF(OR(LEFT(AH241, 1)="X", LEFT(AH241, 1)="Y", LEFT(AH241, 3)="J46M"), "CUSM", "No Match")</f>
      </c>
      <c r="AK241" s="57">
        <f>IF(AND(OR(O241=3, P241=1, Q241=1, T241=1), AJ241="no Match"), "CUSM, CHU SJ, CHUQ", "")</f>
      </c>
      <c r="AL241" s="57">
        <f>IF(AND(O241=2, ISBLANK(P241), ISBLANK(Q241), ISBLANK(R241), ISBLANK(S241), ISBLANK(T241)), "CUSM, CHU SJ, CHUS, CHUQ", "")</f>
      </c>
      <c r="AM241" s="57">
        <f>IF(AND(AJ241="no match", AK241="", AL241="", K241&lt;26), "CUSM, CHU SJ, HGJ, CHUQ, CHUS", "")</f>
      </c>
      <c r="AN241" s="57">
        <f>IF(AND(AJ241="no match", AK241="", AL241="", K241&gt;26), "CUSM, CHU SJ, HGJ, CHUQ, CHUS, HMR", "")</f>
      </c>
    </row>
    <row x14ac:dyDescent="0.25" r="242" customHeight="1" ht="17.25">
      <c r="A242" s="41" t="s">
        <v>3190</v>
      </c>
      <c r="B242" s="28">
        <v>2</v>
      </c>
      <c r="C242" s="35">
        <v>806</v>
      </c>
      <c r="D242" s="29" t="s">
        <v>438</v>
      </c>
      <c r="E242" s="30" t="s">
        <v>54</v>
      </c>
      <c r="F242" s="31">
        <v>45055</v>
      </c>
      <c r="G242" s="32">
        <v>4.989583333333334</v>
      </c>
      <c r="H242" s="31">
        <v>45055</v>
      </c>
      <c r="I242" s="32">
        <v>4.648611111111111</v>
      </c>
      <c r="J242" s="33">
        <f>F242-H242</f>
      </c>
      <c r="K242" s="28">
        <v>41</v>
      </c>
      <c r="L242" s="28">
        <v>4</v>
      </c>
      <c r="M242" s="28">
        <v>1</v>
      </c>
      <c r="N242" s="34"/>
      <c r="O242" s="34"/>
      <c r="P242" s="34"/>
      <c r="Q242" s="34"/>
      <c r="R242" s="34"/>
      <c r="S242" s="56"/>
      <c r="T242" s="34"/>
      <c r="U242" s="34"/>
      <c r="V242" s="34"/>
      <c r="W242" s="29" t="s">
        <v>106</v>
      </c>
      <c r="X242" s="28">
        <v>26</v>
      </c>
      <c r="Y242" s="28">
        <v>1</v>
      </c>
      <c r="Z242" s="28">
        <v>2</v>
      </c>
      <c r="AA242" s="28">
        <v>1</v>
      </c>
      <c r="AB242" s="28">
        <v>2</v>
      </c>
      <c r="AC242" s="28">
        <v>2</v>
      </c>
      <c r="AD242" s="28">
        <v>2</v>
      </c>
      <c r="AE242" s="28">
        <v>4</v>
      </c>
      <c r="AF242" s="28">
        <v>1</v>
      </c>
      <c r="AG242" s="28">
        <v>2</v>
      </c>
      <c r="AH242" s="29" t="s">
        <v>3124</v>
      </c>
      <c r="AI242" s="36">
        <f>IF(OR(AND(K242&lt;32, J242&lt;2), O242=1, P242=1, Q242=1, R242=1, S242=1, T242=1, U242=1, AND(W242&lt;&gt;"", W242&lt;&gt;"Oxygen", W242&lt;&gt;"LowFlow")), "Intensive", "Intermediate")</f>
      </c>
      <c r="AJ242" s="57">
        <f>IF(OR(LEFT(AH242, 1)="X", LEFT(AH242, 1)="Y", LEFT(AH242, 3)="J47M"), "CUSM", "No Match")</f>
      </c>
      <c r="AK242" s="57">
        <f>IF(AND(OR(O242=3, P242=1, Q242=1, T242=1), AJ242="no Match"), "CUSM, CHU SJ, CHUQ", "")</f>
      </c>
      <c r="AL242" s="57">
        <f>IF(AND(O242=2, ISBLANK(P242), ISBLANK(Q242), ISBLANK(R242), ISBLANK(S242), ISBLANK(T242)), "CUSM, CHU SJ, CHUS, CHUQ", "")</f>
      </c>
      <c r="AM242" s="57">
        <f>IF(AND(AJ242="no match", AK242="", AL242="", K242&lt;26), "CUSM, CHU SJ, HGJ, CHUQ, CHUS", "")</f>
      </c>
      <c r="AN242" s="57">
        <f>IF(AND(AJ242="no match", AK242="", AL242="", K242&gt;26), "CUSM, CHU SJ, HGJ, CHUQ, CHUS, HMR", "")</f>
      </c>
    </row>
    <row x14ac:dyDescent="0.25" r="243" customHeight="1" ht="17.25">
      <c r="A243" s="41" t="s">
        <v>3191</v>
      </c>
      <c r="B243" s="28">
        <v>2</v>
      </c>
      <c r="C243" s="35">
        <v>779</v>
      </c>
      <c r="D243" s="29" t="s">
        <v>136</v>
      </c>
      <c r="E243" s="30" t="s">
        <v>54</v>
      </c>
      <c r="F243" s="31">
        <v>45055</v>
      </c>
      <c r="G243" s="32">
        <v>4.559722222222222</v>
      </c>
      <c r="H243" s="31">
        <v>45055</v>
      </c>
      <c r="I243" s="32">
        <v>4.354166666666666</v>
      </c>
      <c r="J243" s="33">
        <f>F243-H243</f>
      </c>
      <c r="K243" s="28">
        <v>39</v>
      </c>
      <c r="L243" s="28">
        <v>1</v>
      </c>
      <c r="M243" s="28">
        <v>2</v>
      </c>
      <c r="N243" s="38"/>
      <c r="O243" s="34"/>
      <c r="P243" s="38"/>
      <c r="Q243" s="34"/>
      <c r="R243" s="34"/>
      <c r="S243" s="56"/>
      <c r="T243" s="35">
        <v>1</v>
      </c>
      <c r="U243" s="34"/>
      <c r="V243" s="34"/>
      <c r="W243" s="29"/>
      <c r="X243" s="28">
        <v>41</v>
      </c>
      <c r="Y243" s="28">
        <v>1</v>
      </c>
      <c r="Z243" s="28">
        <v>1</v>
      </c>
      <c r="AA243" s="28">
        <v>2</v>
      </c>
      <c r="AB243" s="28">
        <v>1</v>
      </c>
      <c r="AC243" s="28">
        <v>2</v>
      </c>
      <c r="AD243" s="28">
        <v>2</v>
      </c>
      <c r="AE243" s="28">
        <v>4</v>
      </c>
      <c r="AF243" s="28">
        <v>2</v>
      </c>
      <c r="AG243" s="28">
        <v>2</v>
      </c>
      <c r="AH243" s="29" t="s">
        <v>3192</v>
      </c>
      <c r="AI243" s="36">
        <f>IF(OR(AND(K243&lt;32, J243&lt;2), O243=1, P243=1, Q243=1, R243=1, S243=1, T243=1, U243=1, AND(W243&lt;&gt;"", W243&lt;&gt;"Oxygen", W243&lt;&gt;"LowFlow")), "Intensive", "Intermediate")</f>
      </c>
      <c r="AJ243" s="57">
        <f>IF(OR(LEFT(AH243, 1)="X", LEFT(AH243, 1)="Y", LEFT(AH243, 3)="J48M"), "CUSM", "No Match")</f>
      </c>
      <c r="AK243" s="57">
        <f>IF(AND(OR(O243=3, P243=1, Q243=1, T243=1), AJ243="no Match"), "CUSM, CHU SJ, CHUQ", "")</f>
      </c>
      <c r="AL243" s="57">
        <f>IF(AND(O243=2, ISBLANK(P243), ISBLANK(Q243), ISBLANK(R243), ISBLANK(S243), ISBLANK(T243)), "CUSM, CHU SJ, CHUS, CHUQ", "")</f>
      </c>
      <c r="AM243" s="57">
        <f>IF(AND(AJ243="no match", AK243="", AL243="", K243&lt;26), "CUSM, CHU SJ, HGJ, CHUQ, CHUS", "")</f>
      </c>
      <c r="AN243" s="57">
        <f>IF(AND(AJ243="no match", AK243="", AL243="", K243&gt;26), "CUSM, CHU SJ, HGJ, CHUQ, CHUS, HMR", "")</f>
      </c>
    </row>
    <row x14ac:dyDescent="0.25" r="244" customHeight="1" ht="17.25">
      <c r="A244" s="41" t="s">
        <v>3193</v>
      </c>
      <c r="B244" s="28">
        <v>2</v>
      </c>
      <c r="C244" s="28">
        <v>6</v>
      </c>
      <c r="D244" s="29" t="s">
        <v>131</v>
      </c>
      <c r="E244" s="30" t="s">
        <v>50</v>
      </c>
      <c r="F244" s="31">
        <v>45055</v>
      </c>
      <c r="G244" s="32">
        <v>4.784722222222222</v>
      </c>
      <c r="H244" s="31">
        <v>45051</v>
      </c>
      <c r="I244" s="32">
        <v>4.702083333333333</v>
      </c>
      <c r="J244" s="33">
        <f>F244-H244</f>
      </c>
      <c r="K244" s="28">
        <v>39</v>
      </c>
      <c r="L244" s="28">
        <v>4</v>
      </c>
      <c r="M244" s="28">
        <v>2</v>
      </c>
      <c r="N244" s="34"/>
      <c r="O244" s="34"/>
      <c r="P244" s="34"/>
      <c r="Q244" s="34"/>
      <c r="R244" s="34"/>
      <c r="S244" s="56"/>
      <c r="T244" s="34"/>
      <c r="U244" s="34"/>
      <c r="V244" s="34"/>
      <c r="W244" s="29"/>
      <c r="X244" s="28">
        <v>33</v>
      </c>
      <c r="Y244" s="28">
        <v>1</v>
      </c>
      <c r="Z244" s="28">
        <v>1</v>
      </c>
      <c r="AA244" s="28">
        <v>3</v>
      </c>
      <c r="AB244" s="28">
        <v>4</v>
      </c>
      <c r="AC244" s="28">
        <v>2</v>
      </c>
      <c r="AD244" s="28">
        <v>2</v>
      </c>
      <c r="AE244" s="28">
        <v>4</v>
      </c>
      <c r="AF244" s="28">
        <v>3</v>
      </c>
      <c r="AG244" s="28">
        <v>3</v>
      </c>
      <c r="AH244" s="29" t="s">
        <v>3194</v>
      </c>
      <c r="AI244" s="36">
        <f>IF(OR(AND(K244&lt;32, J244&lt;2), O244=1, P244=1, Q244=1, R244=1, S244=1, T244=1, U244=1, AND(W244&lt;&gt;"", W244&lt;&gt;"Oxygen", W244&lt;&gt;"LowFlow")), "Intensive", "Intermediate")</f>
      </c>
      <c r="AJ244" s="57">
        <f>IF(OR(LEFT(AH244, 1)="X", LEFT(AH244, 1)="Y", LEFT(AH244, 3)="J49M"), "CUSM", "No Match")</f>
      </c>
      <c r="AK244" s="57">
        <f>IF(AND(OR(O244=3, P244=1, Q244=1, T244=1), AJ244="no Match"), "CUSM, CHU SJ, CHUQ", "")</f>
      </c>
      <c r="AL244" s="57">
        <f>IF(AND(O244=2, ISBLANK(P244), ISBLANK(Q244), ISBLANK(R244), ISBLANK(S244), ISBLANK(T244)), "CUSM, CHU SJ, CHUS, CHUQ", "")</f>
      </c>
      <c r="AM244" s="57">
        <f>IF(AND(AJ244="no match", AK244="", AL244="", K244&lt;26), "CUSM, CHU SJ, HGJ, CHUQ, CHUS", "")</f>
      </c>
      <c r="AN244" s="57">
        <f>IF(AND(AJ244="no match", AK244="", AL244="", K244&gt;26), "CUSM, CHU SJ, HGJ, CHUQ, CHUS, HMR", "")</f>
      </c>
    </row>
    <row x14ac:dyDescent="0.25" r="245" customHeight="1" ht="17.25">
      <c r="A245" s="41" t="s">
        <v>3195</v>
      </c>
      <c r="B245" s="28">
        <v>2</v>
      </c>
      <c r="C245" s="35">
        <v>782</v>
      </c>
      <c r="D245" s="29" t="s">
        <v>95</v>
      </c>
      <c r="E245" s="30" t="s">
        <v>50</v>
      </c>
      <c r="F245" s="31">
        <v>45055</v>
      </c>
      <c r="G245" s="32">
        <v>4.5625</v>
      </c>
      <c r="H245" s="31">
        <v>45055</v>
      </c>
      <c r="I245" s="32">
        <v>4.347222222222222</v>
      </c>
      <c r="J245" s="33">
        <f>F245-H245</f>
      </c>
      <c r="K245" s="28">
        <v>38</v>
      </c>
      <c r="L245" s="28">
        <v>2</v>
      </c>
      <c r="M245" s="28">
        <v>2</v>
      </c>
      <c r="N245" s="34"/>
      <c r="O245" s="34"/>
      <c r="P245" s="34"/>
      <c r="Q245" s="34"/>
      <c r="R245" s="34"/>
      <c r="S245" s="56"/>
      <c r="T245" s="34"/>
      <c r="U245" s="34"/>
      <c r="V245" s="34"/>
      <c r="W245" s="29" t="s">
        <v>58</v>
      </c>
      <c r="X245" s="28">
        <v>34</v>
      </c>
      <c r="Y245" s="28">
        <v>1</v>
      </c>
      <c r="Z245" s="28">
        <v>2</v>
      </c>
      <c r="AA245" s="28">
        <v>1</v>
      </c>
      <c r="AB245" s="28">
        <v>1</v>
      </c>
      <c r="AC245" s="28">
        <v>2</v>
      </c>
      <c r="AD245" s="28">
        <v>1</v>
      </c>
      <c r="AE245" s="28">
        <v>4</v>
      </c>
      <c r="AF245" s="28">
        <v>3</v>
      </c>
      <c r="AG245" s="28">
        <v>2</v>
      </c>
      <c r="AH245" s="29" t="s">
        <v>3196</v>
      </c>
      <c r="AI245" s="36">
        <f>IF(OR(AND(K245&lt;32, J245&lt;2), O245=1, P245=1, Q245=1, R245=1, S245=1, T245=1, U245=1, AND(W245&lt;&gt;"", W245&lt;&gt;"Oxygen", W245&lt;&gt;"LowFlow")), "Intensive", "Intermediate")</f>
      </c>
      <c r="AJ245" s="57">
        <f>IF(OR(LEFT(AH245, 1)="X", LEFT(AH245, 1)="Y", LEFT(AH245, 3)="J50M"), "CUSM", "No Match")</f>
      </c>
      <c r="AK245" s="57">
        <f>IF(AND(OR(O245=3, P245=1, Q245=1, T245=1), AJ245="no Match"), "CUSM, CHU SJ, CHUQ", "")</f>
      </c>
      <c r="AL245" s="57">
        <f>IF(AND(O245=2, ISBLANK(P245), ISBLANK(Q245), ISBLANK(R245), ISBLANK(S245), ISBLANK(T245)), "CUSM, CHU SJ, CHUS, CHUQ", "")</f>
      </c>
      <c r="AM245" s="57">
        <f>IF(AND(AJ245="no match", AK245="", AL245="", K245&lt;26), "CUSM, CHU SJ, HGJ, CHUQ, CHUS", "")</f>
      </c>
      <c r="AN245" s="57">
        <f>IF(AND(AJ245="no match", AK245="", AL245="", K245&gt;26), "CUSM, CHU SJ, HGJ, CHUQ, CHUS, HMR", "")</f>
      </c>
    </row>
    <row x14ac:dyDescent="0.25" r="246" customHeight="1" ht="17.25">
      <c r="A246" s="41" t="s">
        <v>3197</v>
      </c>
      <c r="B246" s="28">
        <v>2</v>
      </c>
      <c r="C246" s="35">
        <v>796</v>
      </c>
      <c r="D246" s="29" t="s">
        <v>63</v>
      </c>
      <c r="E246" s="30" t="s">
        <v>50</v>
      </c>
      <c r="F246" s="31">
        <v>45057</v>
      </c>
      <c r="G246" s="32">
        <v>4.034722222222222</v>
      </c>
      <c r="H246" s="31">
        <v>45056</v>
      </c>
      <c r="I246" s="32">
        <v>4.861111111111111</v>
      </c>
      <c r="J246" s="33">
        <f>F246-H246</f>
      </c>
      <c r="K246" s="28">
        <v>36</v>
      </c>
      <c r="L246" s="28">
        <v>2</v>
      </c>
      <c r="M246" s="28">
        <v>2</v>
      </c>
      <c r="N246" s="35">
        <v>1</v>
      </c>
      <c r="O246" s="34"/>
      <c r="P246" s="34"/>
      <c r="Q246" s="34"/>
      <c r="R246" s="34"/>
      <c r="S246" s="56"/>
      <c r="T246" s="34"/>
      <c r="U246" s="34"/>
      <c r="V246" s="34"/>
      <c r="W246" s="29" t="s">
        <v>74</v>
      </c>
      <c r="X246" s="28">
        <v>32</v>
      </c>
      <c r="Y246" s="28">
        <v>1</v>
      </c>
      <c r="Z246" s="28">
        <v>1</v>
      </c>
      <c r="AA246" s="28">
        <v>1</v>
      </c>
      <c r="AB246" s="28">
        <v>2</v>
      </c>
      <c r="AC246" s="28">
        <v>2</v>
      </c>
      <c r="AD246" s="28">
        <v>2</v>
      </c>
      <c r="AE246" s="28">
        <v>4</v>
      </c>
      <c r="AF246" s="28">
        <v>3</v>
      </c>
      <c r="AG246" s="28">
        <v>2</v>
      </c>
      <c r="AH246" s="29" t="s">
        <v>3198</v>
      </c>
      <c r="AI246" s="36">
        <f>IF(OR(AND(K246&lt;32, J246&lt;2), O246=1, P246=1, Q246=1, R246=1, S246=1, T246=1, U246=1, AND(W246&lt;&gt;"", W246&lt;&gt;"Oxygen", W246&lt;&gt;"LowFlow")), "Intensive", "Intermediate")</f>
      </c>
      <c r="AJ246" s="57">
        <f>IF(OR(LEFT(AH246, 1)="X", LEFT(AH246, 1)="Y", LEFT(AH246, 3)="J51M"), "CUSM", "No Match")</f>
      </c>
      <c r="AK246" s="57">
        <f>IF(AND(OR(O246=3, P246=1, Q246=1, T246=1), AJ246="no Match"), "CUSM, CHU SJ, CHUQ", "")</f>
      </c>
      <c r="AL246" s="57">
        <f>IF(AND(O246=2, ISBLANK(P246), ISBLANK(Q246), ISBLANK(R246), ISBLANK(S246), ISBLANK(T246)), "CUSM, CHU SJ, CHUS, CHUQ", "")</f>
      </c>
      <c r="AM246" s="57">
        <f>IF(AND(AJ246="no match", AK246="", AL246="", K246&lt;26), "CUSM, CHU SJ, HGJ, CHUQ, CHUS", "")</f>
      </c>
      <c r="AN246" s="57">
        <f>IF(AND(AJ246="no match", AK246="", AL246="", K246&gt;26), "CUSM, CHU SJ, HGJ, CHUQ, CHUS, HMR", "")</f>
      </c>
    </row>
    <row x14ac:dyDescent="0.25" r="247" customHeight="1" ht="17.25">
      <c r="A247" s="41" t="s">
        <v>3199</v>
      </c>
      <c r="B247" s="28">
        <v>2</v>
      </c>
      <c r="C247" s="28">
        <v>730</v>
      </c>
      <c r="D247" s="29" t="s">
        <v>81</v>
      </c>
      <c r="E247" s="30" t="s">
        <v>50</v>
      </c>
      <c r="F247" s="31">
        <v>45057</v>
      </c>
      <c r="G247" s="32">
        <v>4.958333333333334</v>
      </c>
      <c r="H247" s="31">
        <v>45057</v>
      </c>
      <c r="I247" s="32">
        <v>4.808333333333334</v>
      </c>
      <c r="J247" s="33">
        <f>F247-H247</f>
      </c>
      <c r="K247" s="28">
        <v>38</v>
      </c>
      <c r="L247" s="28">
        <v>0</v>
      </c>
      <c r="M247" s="28">
        <v>1</v>
      </c>
      <c r="N247" s="34"/>
      <c r="O247" s="34"/>
      <c r="P247" s="34"/>
      <c r="Q247" s="34"/>
      <c r="R247" s="34"/>
      <c r="S247" s="56"/>
      <c r="T247" s="35">
        <v>1</v>
      </c>
      <c r="U247" s="34"/>
      <c r="V247" s="34"/>
      <c r="W247" s="29" t="s">
        <v>74</v>
      </c>
      <c r="X247" s="28">
        <v>33</v>
      </c>
      <c r="Y247" s="28">
        <v>1</v>
      </c>
      <c r="Z247" s="28">
        <v>2</v>
      </c>
      <c r="AA247" s="28">
        <v>3</v>
      </c>
      <c r="AB247" s="28">
        <v>1</v>
      </c>
      <c r="AC247" s="28">
        <v>2</v>
      </c>
      <c r="AD247" s="28">
        <v>2</v>
      </c>
      <c r="AE247" s="28">
        <v>4</v>
      </c>
      <c r="AF247" s="28">
        <v>3</v>
      </c>
      <c r="AG247" s="28">
        <v>3</v>
      </c>
      <c r="AH247" s="29" t="s">
        <v>3200</v>
      </c>
      <c r="AI247" s="36">
        <f>IF(OR(AND(K247&lt;32, J247&lt;2), O247=1, P247=1, Q247=1, R247=1, S247=1, T247=1, U247=1, AND(W247&lt;&gt;"", W247&lt;&gt;"Oxygen", W247&lt;&gt;"LowFlow")), "Intensive", "Intermediate")</f>
      </c>
      <c r="AJ247" s="57">
        <f>IF(OR(LEFT(AH247, 1)="X", LEFT(AH247, 1)="Y", LEFT(AH247, 3)="J52M"), "CUSM", "No Match")</f>
      </c>
      <c r="AK247" s="57">
        <f>IF(AND(OR(O247=3, P247=1, Q247=1, T247=1), AJ247="no Match"), "CUSM, CHU SJ, CHUQ", "")</f>
      </c>
      <c r="AL247" s="57">
        <f>IF(AND(O247=2, ISBLANK(P247), ISBLANK(Q247), ISBLANK(R247), ISBLANK(S247), ISBLANK(T247)), "CUSM, CHU SJ, CHUS, CHUQ", "")</f>
      </c>
      <c r="AM247" s="57">
        <f>IF(AND(AJ247="no match", AK247="", AL247="", K247&lt;26), "CUSM, CHU SJ, HGJ, CHUQ, CHUS", "")</f>
      </c>
      <c r="AN247" s="57">
        <f>IF(AND(AJ247="no match", AK247="", AL247="", K247&gt;26), "CUSM, CHU SJ, HGJ, CHUQ, CHUS, HMR", "")</f>
      </c>
    </row>
    <row x14ac:dyDescent="0.25" r="248" customHeight="1" ht="17.25">
      <c r="A248" s="41" t="s">
        <v>3201</v>
      </c>
      <c r="B248" s="28">
        <v>2</v>
      </c>
      <c r="C248" s="28">
        <v>817</v>
      </c>
      <c r="D248" s="29" t="s">
        <v>163</v>
      </c>
      <c r="E248" s="30" t="s">
        <v>50</v>
      </c>
      <c r="F248" s="31">
        <v>45057</v>
      </c>
      <c r="G248" s="32">
        <v>4.354166666666666</v>
      </c>
      <c r="H248" s="31">
        <v>45057</v>
      </c>
      <c r="I248" s="32">
        <v>4.090972222222222</v>
      </c>
      <c r="J248" s="33">
        <f>F248-H248</f>
      </c>
      <c r="K248" s="28">
        <v>37</v>
      </c>
      <c r="L248" s="28">
        <v>2</v>
      </c>
      <c r="M248" s="28">
        <v>1</v>
      </c>
      <c r="N248" s="28">
        <v>1</v>
      </c>
      <c r="O248" s="35">
        <v>2</v>
      </c>
      <c r="P248" s="28">
        <v>1</v>
      </c>
      <c r="Q248" s="35">
        <v>1</v>
      </c>
      <c r="R248" s="34"/>
      <c r="S248" s="56"/>
      <c r="T248" s="34"/>
      <c r="U248" s="34"/>
      <c r="V248" s="34"/>
      <c r="W248" s="29"/>
      <c r="X248" s="28">
        <v>31</v>
      </c>
      <c r="Y248" s="28">
        <v>1</v>
      </c>
      <c r="Z248" s="28">
        <v>2</v>
      </c>
      <c r="AA248" s="28">
        <v>1</v>
      </c>
      <c r="AB248" s="28">
        <v>1</v>
      </c>
      <c r="AC248" s="28">
        <v>2</v>
      </c>
      <c r="AD248" s="28">
        <v>2</v>
      </c>
      <c r="AE248" s="28">
        <v>4</v>
      </c>
      <c r="AF248" s="28">
        <v>1</v>
      </c>
      <c r="AG248" s="28">
        <v>2</v>
      </c>
      <c r="AH248" s="29" t="s">
        <v>3202</v>
      </c>
      <c r="AI248" s="36">
        <f>IF(OR(AND(K248&lt;32, J248&lt;2), O248=1, P248=1, Q248=1, R248=1, S248=1, T248=1, U248=1, AND(W248&lt;&gt;"", W248&lt;&gt;"Oxygen", W248&lt;&gt;"LowFlow")), "Intensive", "Intermediate")</f>
      </c>
      <c r="AJ248" s="57">
        <f>IF(OR(LEFT(AH248, 1)="X", LEFT(AH248, 1)="Y", LEFT(AH248, 3)="J53M"), "CUSM", "No Match")</f>
      </c>
      <c r="AK248" s="57">
        <f>IF(AND(OR(O248=3, P248=1, Q248=1, T248=1), AJ248="no Match"), "CUSM, CHU SJ, CHUQ", "")</f>
      </c>
      <c r="AL248" s="57">
        <f>IF(AND(O248=2, ISBLANK(P248), ISBLANK(Q248), ISBLANK(R248), ISBLANK(S248), ISBLANK(T248)), "CUSM, CHU SJ, CHUS, CHUQ", "")</f>
      </c>
      <c r="AM248" s="57">
        <f>IF(AND(AJ248="no match", AK248="", AL248="", K248&lt;26), "CUSM, CHU SJ, HGJ, CHUQ, CHUS", "")</f>
      </c>
      <c r="AN248" s="57">
        <f>IF(AND(AJ248="no match", AK248="", AL248="", K248&gt;26), "CUSM, CHU SJ, HGJ, CHUQ, CHUS, HMR", "")</f>
      </c>
    </row>
    <row x14ac:dyDescent="0.25" r="249" customHeight="1" ht="17.25">
      <c r="A249" s="41" t="s">
        <v>3203</v>
      </c>
      <c r="B249" s="28">
        <v>2</v>
      </c>
      <c r="C249" s="35">
        <v>779</v>
      </c>
      <c r="D249" s="29" t="s">
        <v>136</v>
      </c>
      <c r="E249" s="30" t="s">
        <v>54</v>
      </c>
      <c r="F249" s="31">
        <v>45058</v>
      </c>
      <c r="G249" s="32">
        <v>4.552083333333334</v>
      </c>
      <c r="H249" s="31">
        <v>45017</v>
      </c>
      <c r="I249" s="32">
        <v>4.177083333333334</v>
      </c>
      <c r="J249" s="33">
        <f>F249-H249</f>
      </c>
      <c r="K249" s="28">
        <v>34</v>
      </c>
      <c r="L249" s="28">
        <v>6</v>
      </c>
      <c r="M249" s="28">
        <v>2</v>
      </c>
      <c r="N249" s="34"/>
      <c r="O249" s="34"/>
      <c r="P249" s="34"/>
      <c r="Q249" s="34"/>
      <c r="R249" s="34"/>
      <c r="S249" s="56"/>
      <c r="T249" s="34"/>
      <c r="U249" s="34"/>
      <c r="V249" s="34"/>
      <c r="W249" s="29"/>
      <c r="X249" s="28">
        <v>39</v>
      </c>
      <c r="Y249" s="28">
        <v>1</v>
      </c>
      <c r="Z249" s="28">
        <v>1</v>
      </c>
      <c r="AA249" s="28">
        <v>2</v>
      </c>
      <c r="AB249" s="28">
        <v>2</v>
      </c>
      <c r="AC249" s="28">
        <v>2</v>
      </c>
      <c r="AD249" s="28">
        <v>1</v>
      </c>
      <c r="AE249" s="28">
        <v>4</v>
      </c>
      <c r="AF249" s="28">
        <v>2</v>
      </c>
      <c r="AG249" s="28">
        <v>2</v>
      </c>
      <c r="AH249" s="29" t="s">
        <v>3204</v>
      </c>
      <c r="AI249" s="36">
        <f>IF(OR(AND(K249&lt;32, J249&lt;2), O249=1, P249=1, Q249=1, R249=1, S249=1, T249=1, U249=1, AND(W249&lt;&gt;"", W249&lt;&gt;"Oxygen", W249&lt;&gt;"LowFlow")), "Intensive", "Intermediate")</f>
      </c>
      <c r="AJ249" s="57">
        <f>IF(OR(LEFT(AH249, 1)="X", LEFT(AH249, 1)="Y", LEFT(AH249, 3)="J54M"), "CUSM", "No Match")</f>
      </c>
      <c r="AK249" s="57">
        <f>IF(AND(OR(O249=3, P249=1, Q249=1, T249=1), AJ249="no Match"), "CUSM, CHU SJ, CHUQ", "")</f>
      </c>
      <c r="AL249" s="57">
        <f>IF(AND(O249=2, ISBLANK(P249), ISBLANK(Q249), ISBLANK(R249), ISBLANK(S249), ISBLANK(T249)), "CUSM, CHU SJ, CHUS, CHUQ", "")</f>
      </c>
      <c r="AM249" s="57">
        <f>IF(AND(AJ249="no match", AK249="", AL249="", K249&lt;26), "CUSM, CHU SJ, HGJ, CHUQ, CHUS", "")</f>
      </c>
      <c r="AN249" s="57">
        <f>IF(AND(AJ249="no match", AK249="", AL249="", K249&gt;26), "CUSM, CHU SJ, HGJ, CHUQ, CHUS, HMR", "")</f>
      </c>
    </row>
    <row x14ac:dyDescent="0.25" r="250" customHeight="1" ht="17.25">
      <c r="A250" s="41" t="s">
        <v>3205</v>
      </c>
      <c r="B250" s="28">
        <v>2</v>
      </c>
      <c r="C250" s="35">
        <v>730</v>
      </c>
      <c r="D250" s="29" t="s">
        <v>81</v>
      </c>
      <c r="E250" s="30" t="s">
        <v>50</v>
      </c>
      <c r="F250" s="31">
        <v>45058</v>
      </c>
      <c r="G250" s="32">
        <v>4.892361111111111</v>
      </c>
      <c r="H250" s="31">
        <v>45058</v>
      </c>
      <c r="I250" s="32">
        <v>4.672916666666667</v>
      </c>
      <c r="J250" s="33">
        <f>F250-H250</f>
      </c>
      <c r="K250" s="28">
        <v>39</v>
      </c>
      <c r="L250" s="28">
        <v>4</v>
      </c>
      <c r="M250" s="28">
        <v>2</v>
      </c>
      <c r="N250" s="34"/>
      <c r="O250" s="34"/>
      <c r="P250" s="34"/>
      <c r="Q250" s="34"/>
      <c r="R250" s="34"/>
      <c r="S250" s="56"/>
      <c r="T250" s="34"/>
      <c r="U250" s="34"/>
      <c r="V250" s="34"/>
      <c r="W250" s="29"/>
      <c r="X250" s="28">
        <v>32</v>
      </c>
      <c r="Y250" s="28">
        <v>1</v>
      </c>
      <c r="Z250" s="28">
        <v>1</v>
      </c>
      <c r="AA250" s="28">
        <v>2</v>
      </c>
      <c r="AB250" s="28">
        <v>1</v>
      </c>
      <c r="AC250" s="28">
        <v>2</v>
      </c>
      <c r="AD250" s="28">
        <v>2</v>
      </c>
      <c r="AE250" s="28">
        <v>4</v>
      </c>
      <c r="AF250" s="28">
        <v>3</v>
      </c>
      <c r="AG250" s="28">
        <v>3</v>
      </c>
      <c r="AH250" s="29" t="s">
        <v>3206</v>
      </c>
      <c r="AI250" s="36">
        <f>IF(OR(AND(K250&lt;32, J250&lt;2), O250=1, P250=1, Q250=1, R250=1, S250=1, T250=1, U250=1, AND(W250&lt;&gt;"", W250&lt;&gt;"Oxygen", W250&lt;&gt;"LowFlow")), "Intensive", "Intermediate")</f>
      </c>
      <c r="AJ250" s="57">
        <f>IF(OR(LEFT(AH250, 1)="X", LEFT(AH250, 1)="Y", LEFT(AH250, 3)="J55M"), "CUSM", "No Match")</f>
      </c>
      <c r="AK250" s="57">
        <f>IF(AND(OR(O250=3, P250=1, Q250=1, T250=1), AJ250="no Match"), "CUSM, CHU SJ, CHUQ", "")</f>
      </c>
      <c r="AL250" s="57">
        <f>IF(AND(O250=2, ISBLANK(P250), ISBLANK(Q250), ISBLANK(R250), ISBLANK(S250), ISBLANK(T250)), "CUSM, CHU SJ, CHUS, CHUQ", "")</f>
      </c>
      <c r="AM250" s="57">
        <f>IF(AND(AJ250="no match", AK250="", AL250="", K250&lt;26), "CUSM, CHU SJ, HGJ, CHUQ, CHUS", "")</f>
      </c>
      <c r="AN250" s="57">
        <f>IF(AND(AJ250="no match", AK250="", AL250="", K250&gt;26), "CUSM, CHU SJ, HGJ, CHUQ, CHUS, HMR", "")</f>
      </c>
    </row>
    <row x14ac:dyDescent="0.25" r="251" customHeight="1" ht="17.25">
      <c r="A251" s="41" t="s">
        <v>3207</v>
      </c>
      <c r="B251" s="28">
        <v>2</v>
      </c>
      <c r="C251" s="35">
        <v>731</v>
      </c>
      <c r="D251" s="29" t="s">
        <v>103</v>
      </c>
      <c r="E251" s="30" t="s">
        <v>54</v>
      </c>
      <c r="F251" s="31">
        <v>45059</v>
      </c>
      <c r="G251" s="32">
        <v>4.114583333333334</v>
      </c>
      <c r="H251" s="31">
        <v>45057</v>
      </c>
      <c r="I251" s="32">
        <v>4.3805555555555555</v>
      </c>
      <c r="J251" s="33">
        <f>F251-H251</f>
      </c>
      <c r="K251" s="28">
        <v>35</v>
      </c>
      <c r="L251" s="28">
        <v>0</v>
      </c>
      <c r="M251" s="28">
        <v>1</v>
      </c>
      <c r="N251" s="34"/>
      <c r="O251" s="34"/>
      <c r="P251" s="34"/>
      <c r="Q251" s="34"/>
      <c r="R251" s="34"/>
      <c r="S251" s="56"/>
      <c r="T251" s="34"/>
      <c r="U251" s="34"/>
      <c r="V251" s="34"/>
      <c r="W251" s="29" t="s">
        <v>74</v>
      </c>
      <c r="X251" s="28">
        <v>26</v>
      </c>
      <c r="Y251" s="28">
        <v>1</v>
      </c>
      <c r="Z251" s="28">
        <v>1</v>
      </c>
      <c r="AA251" s="28">
        <v>2</v>
      </c>
      <c r="AB251" s="28">
        <v>1</v>
      </c>
      <c r="AC251" s="28">
        <v>2</v>
      </c>
      <c r="AD251" s="28">
        <v>2</v>
      </c>
      <c r="AE251" s="28">
        <v>4</v>
      </c>
      <c r="AF251" s="28">
        <v>3</v>
      </c>
      <c r="AG251" s="28">
        <v>2</v>
      </c>
      <c r="AH251" s="29" t="s">
        <v>3208</v>
      </c>
      <c r="AI251" s="36">
        <f>IF(OR(AND(K251&lt;32, J251&lt;2), O251=1, P251=1, Q251=1, R251=1, S251=1, T251=1, U251=1, AND(W251&lt;&gt;"", W251&lt;&gt;"Oxygen", W251&lt;&gt;"LowFlow")), "Intensive", "Intermediate")</f>
      </c>
      <c r="AJ251" s="57">
        <f>IF(OR(LEFT(AH251, 1)="X", LEFT(AH251, 1)="Y", LEFT(AH251, 3)="J56M"), "CUSM", "No Match")</f>
      </c>
      <c r="AK251" s="57">
        <f>IF(AND(OR(O251=3, P251=1, Q251=1, T251=1), AJ251="no Match"), "CUSM, CHU SJ, CHUQ", "")</f>
      </c>
      <c r="AL251" s="57">
        <f>IF(AND(O251=2, ISBLANK(P251), ISBLANK(Q251), ISBLANK(R251), ISBLANK(S251), ISBLANK(T251)), "CUSM, CHU SJ, CHUS, CHUQ", "")</f>
      </c>
      <c r="AM251" s="57">
        <f>IF(AND(AJ251="no match", AK251="", AL251="", K251&lt;26), "CUSM, CHU SJ, HGJ, CHUQ, CHUS", "")</f>
      </c>
      <c r="AN251" s="57">
        <f>IF(AND(AJ251="no match", AK251="", AL251="", K251&gt;26), "CUSM, CHU SJ, HGJ, CHUQ, CHUS, HMR", "")</f>
      </c>
    </row>
    <row x14ac:dyDescent="0.25" r="252" customHeight="1" ht="17.25">
      <c r="A252" s="41" t="s">
        <v>3209</v>
      </c>
      <c r="B252" s="28">
        <v>2</v>
      </c>
      <c r="C252" s="35">
        <v>831</v>
      </c>
      <c r="D252" s="29" t="s">
        <v>313</v>
      </c>
      <c r="E252" s="30" t="s">
        <v>54</v>
      </c>
      <c r="F252" s="31">
        <v>45059</v>
      </c>
      <c r="G252" s="32">
        <v>4.604166666666666</v>
      </c>
      <c r="H252" s="31">
        <v>45051</v>
      </c>
      <c r="I252" s="32">
        <v>4.372916666666667</v>
      </c>
      <c r="J252" s="33">
        <f>F252-H252</f>
      </c>
      <c r="K252" s="28">
        <v>38</v>
      </c>
      <c r="L252" s="28">
        <v>1</v>
      </c>
      <c r="M252" s="28">
        <v>2</v>
      </c>
      <c r="N252" s="35">
        <v>1</v>
      </c>
      <c r="O252" s="34"/>
      <c r="P252" s="35">
        <v>1</v>
      </c>
      <c r="Q252" s="34"/>
      <c r="R252" s="34"/>
      <c r="S252" s="56"/>
      <c r="T252" s="34"/>
      <c r="U252" s="34"/>
      <c r="V252" s="34"/>
      <c r="W252" s="29" t="s">
        <v>164</v>
      </c>
      <c r="X252" s="28">
        <v>39</v>
      </c>
      <c r="Y252" s="28">
        <v>1</v>
      </c>
      <c r="Z252" s="28">
        <v>1</v>
      </c>
      <c r="AA252" s="28">
        <v>2</v>
      </c>
      <c r="AB252" s="28">
        <v>1</v>
      </c>
      <c r="AC252" s="28">
        <v>2</v>
      </c>
      <c r="AD252" s="28">
        <v>2</v>
      </c>
      <c r="AE252" s="28">
        <v>2</v>
      </c>
      <c r="AF252" s="28">
        <v>2</v>
      </c>
      <c r="AG252" s="28">
        <v>2</v>
      </c>
      <c r="AH252" s="29" t="s">
        <v>3210</v>
      </c>
      <c r="AI252" s="36">
        <f>IF(OR(AND(K252&lt;32, J252&lt;2), O252=1, P252=1, Q252=1, R252=1, S252=1, T252=1, U252=1, AND(W252&lt;&gt;"", W252&lt;&gt;"Oxygen", W252&lt;&gt;"LowFlow")), "Intensive", "Intermediate")</f>
      </c>
      <c r="AJ252" s="57">
        <f>IF(OR(LEFT(AH252, 1)="X", LEFT(AH252, 1)="Y", LEFT(AH252, 3)="J57M"), "CUSM", "No Match")</f>
      </c>
      <c r="AK252" s="57">
        <f>IF(AND(OR(O252=3, P252=1, Q252=1, T252=1), AJ252="no Match"), "CUSM, CHU SJ, CHUQ", "")</f>
      </c>
      <c r="AL252" s="57">
        <f>IF(AND(O252=2, ISBLANK(P252), ISBLANK(Q252), ISBLANK(R252), ISBLANK(S252), ISBLANK(T252)), "CUSM, CHU SJ, CHUS, CHUQ", "")</f>
      </c>
      <c r="AM252" s="57">
        <f>IF(AND(AJ252="no match", AK252="", AL252="", K252&lt;26), "CUSM, CHU SJ, HGJ, CHUQ, CHUS", "")</f>
      </c>
      <c r="AN252" s="57">
        <f>IF(AND(AJ252="no match", AK252="", AL252="", K252&gt;26), "CUSM, CHU SJ, HGJ, CHUQ, CHUS, HMR", "")</f>
      </c>
    </row>
    <row x14ac:dyDescent="0.25" r="253" customHeight="1" ht="17.25">
      <c r="A253" s="41" t="s">
        <v>3211</v>
      </c>
      <c r="B253" s="28">
        <v>2</v>
      </c>
      <c r="C253" s="35">
        <v>831</v>
      </c>
      <c r="D253" s="29" t="s">
        <v>313</v>
      </c>
      <c r="E253" s="30" t="s">
        <v>78</v>
      </c>
      <c r="F253" s="31">
        <v>45060</v>
      </c>
      <c r="G253" s="32">
        <v>4.951388888888889</v>
      </c>
      <c r="H253" s="31">
        <v>45060</v>
      </c>
      <c r="I253" s="32">
        <v>4.574305555555556</v>
      </c>
      <c r="J253" s="33">
        <f>F253-H253</f>
      </c>
      <c r="K253" s="28">
        <v>34</v>
      </c>
      <c r="L253" s="28">
        <v>0</v>
      </c>
      <c r="M253" s="28">
        <v>2</v>
      </c>
      <c r="N253" s="34"/>
      <c r="O253" s="34"/>
      <c r="P253" s="34"/>
      <c r="Q253" s="34"/>
      <c r="R253" s="34"/>
      <c r="S253" s="56"/>
      <c r="T253" s="34"/>
      <c r="U253" s="34"/>
      <c r="V253" s="34"/>
      <c r="W253" s="29" t="s">
        <v>74</v>
      </c>
      <c r="X253" s="28">
        <v>31</v>
      </c>
      <c r="Y253" s="28">
        <v>1</v>
      </c>
      <c r="Z253" s="28">
        <v>1</v>
      </c>
      <c r="AA253" s="28">
        <v>2</v>
      </c>
      <c r="AB253" s="28">
        <v>1</v>
      </c>
      <c r="AC253" s="28">
        <v>2</v>
      </c>
      <c r="AD253" s="28">
        <v>2</v>
      </c>
      <c r="AE253" s="28">
        <v>4</v>
      </c>
      <c r="AF253" s="35">
        <v>2</v>
      </c>
      <c r="AG253" s="28">
        <v>2</v>
      </c>
      <c r="AH253" s="29" t="s">
        <v>2724</v>
      </c>
      <c r="AI253" s="36">
        <f>IF(OR(AND(K253&lt;32, J253&lt;2), O253=1, P253=1, Q253=1, R253=1, S253=1, T253=1, U253=1, AND(W253&lt;&gt;"", W253&lt;&gt;"Oxygen", W253&lt;&gt;"LowFlow")), "Intensive", "Intermediate")</f>
      </c>
      <c r="AJ253" s="57">
        <f>IF(OR(LEFT(AH253, 1)="X", LEFT(AH253, 1)="Y", LEFT(AH253, 3)="J58M"), "CUSM", "No Match")</f>
      </c>
      <c r="AK253" s="57">
        <f>IF(AND(OR(O253=3, P253=1, Q253=1, T253=1), AJ253="no Match"), "CUSM, CHU SJ, CHUQ", "")</f>
      </c>
      <c r="AL253" s="57">
        <f>IF(AND(O253=2, ISBLANK(P253), ISBLANK(Q253), ISBLANK(R253), ISBLANK(S253), ISBLANK(T253)), "CUSM, CHU SJ, CHUS, CHUQ", "")</f>
      </c>
      <c r="AM253" s="57">
        <f>IF(AND(AJ253="no match", AK253="", AL253="", K253&lt;26), "CUSM, CHU SJ, HGJ, CHUQ, CHUS", "")</f>
      </c>
      <c r="AN253" s="57">
        <f>IF(AND(AJ253="no match", AK253="", AL253="", K253&gt;26), "CUSM, CHU SJ, HGJ, CHUQ, CHUS, HMR", "")</f>
      </c>
    </row>
    <row x14ac:dyDescent="0.25" r="254" customHeight="1" ht="17.25">
      <c r="A254" s="41" t="s">
        <v>3212</v>
      </c>
      <c r="B254" s="28">
        <v>2</v>
      </c>
      <c r="C254" s="28">
        <v>825</v>
      </c>
      <c r="D254" s="29" t="s">
        <v>77</v>
      </c>
      <c r="E254" s="30" t="s">
        <v>54</v>
      </c>
      <c r="F254" s="31">
        <v>45061</v>
      </c>
      <c r="G254" s="32">
        <v>4.697916666666666</v>
      </c>
      <c r="H254" s="31">
        <v>45060</v>
      </c>
      <c r="I254" s="32">
        <v>4.7756944444444445</v>
      </c>
      <c r="J254" s="33">
        <f>F254-H254</f>
      </c>
      <c r="K254" s="28">
        <v>39</v>
      </c>
      <c r="L254" s="28">
        <v>5</v>
      </c>
      <c r="M254" s="28">
        <v>2</v>
      </c>
      <c r="N254" s="38"/>
      <c r="O254" s="38"/>
      <c r="P254" s="34"/>
      <c r="Q254" s="34"/>
      <c r="R254" s="34"/>
      <c r="S254" s="56"/>
      <c r="T254" s="34"/>
      <c r="U254" s="34"/>
      <c r="V254" s="34"/>
      <c r="W254" s="29"/>
      <c r="X254" s="28">
        <v>28</v>
      </c>
      <c r="Y254" s="28">
        <v>1</v>
      </c>
      <c r="Z254" s="28">
        <v>1</v>
      </c>
      <c r="AA254" s="28">
        <v>1</v>
      </c>
      <c r="AB254" s="28">
        <v>1</v>
      </c>
      <c r="AC254" s="28">
        <v>2</v>
      </c>
      <c r="AD254" s="28">
        <v>2</v>
      </c>
      <c r="AE254" s="28">
        <v>4</v>
      </c>
      <c r="AF254" s="28">
        <v>2</v>
      </c>
      <c r="AG254" s="28">
        <v>2</v>
      </c>
      <c r="AH254" s="29" t="s">
        <v>3213</v>
      </c>
      <c r="AI254" s="36">
        <f>IF(OR(AND(K254&lt;32, J254&lt;2), O254=1, P254=1, Q254=1, R254=1, S254=1, T254=1, U254=1, AND(W254&lt;&gt;"", W254&lt;&gt;"Oxygen", W254&lt;&gt;"LowFlow")), "Intensive", "Intermediate")</f>
      </c>
      <c r="AJ254" s="57">
        <f>IF(OR(LEFT(AH254, 1)="X", LEFT(AH254, 1)="Y", LEFT(AH254, 3)="J59M"), "CUSM", "No Match")</f>
      </c>
      <c r="AK254" s="57">
        <f>IF(AND(OR(O254=3, P254=1, Q254=1, T254=1), AJ254="no Match"), "CUSM, CHU SJ, CHUQ", "")</f>
      </c>
      <c r="AL254" s="57">
        <f>IF(AND(O254=2, ISBLANK(P254), ISBLANK(Q254), ISBLANK(R254), ISBLANK(S254), ISBLANK(T254)), "CUSM, CHU SJ, CHUS, CHUQ", "")</f>
      </c>
      <c r="AM254" s="57">
        <f>IF(AND(AJ254="no match", AK254="", AL254="", K254&lt;26), "CUSM, CHU SJ, HGJ, CHUQ, CHUS", "")</f>
      </c>
      <c r="AN254" s="57">
        <f>IF(AND(AJ254="no match", AK254="", AL254="", K254&gt;26), "CUSM, CHU SJ, HGJ, CHUQ, CHUS, HMR", "")</f>
      </c>
    </row>
    <row x14ac:dyDescent="0.25" r="255" customHeight="1" ht="17.25">
      <c r="A255" s="41" t="s">
        <v>3214</v>
      </c>
      <c r="B255" s="28">
        <v>2</v>
      </c>
      <c r="C255" s="35">
        <v>832</v>
      </c>
      <c r="D255" s="29" t="s">
        <v>308</v>
      </c>
      <c r="E255" s="30" t="s">
        <v>54</v>
      </c>
      <c r="F255" s="31">
        <v>45061</v>
      </c>
      <c r="G255" s="32">
        <v>4.854166666666666</v>
      </c>
      <c r="H255" s="31">
        <v>45061</v>
      </c>
      <c r="I255" s="32">
        <v>4.603472222222223</v>
      </c>
      <c r="J255" s="33">
        <f>F255-H255</f>
      </c>
      <c r="K255" s="28">
        <v>34</v>
      </c>
      <c r="L255" s="28">
        <v>4</v>
      </c>
      <c r="M255" s="28">
        <v>2</v>
      </c>
      <c r="N255" s="34"/>
      <c r="O255" s="34"/>
      <c r="P255" s="34"/>
      <c r="Q255" s="34"/>
      <c r="R255" s="34"/>
      <c r="S255" s="56"/>
      <c r="T255" s="34"/>
      <c r="U255" s="34"/>
      <c r="V255" s="34"/>
      <c r="W255" s="29" t="s">
        <v>58</v>
      </c>
      <c r="X255" s="28">
        <v>39</v>
      </c>
      <c r="Y255" s="28">
        <v>1</v>
      </c>
      <c r="Z255" s="28">
        <v>2</v>
      </c>
      <c r="AA255" s="28">
        <v>2</v>
      </c>
      <c r="AB255" s="28">
        <v>1</v>
      </c>
      <c r="AC255" s="28">
        <v>2</v>
      </c>
      <c r="AD255" s="28">
        <v>1</v>
      </c>
      <c r="AE255" s="28">
        <v>4</v>
      </c>
      <c r="AF255" s="35">
        <v>2</v>
      </c>
      <c r="AG255" s="28">
        <v>2</v>
      </c>
      <c r="AH255" s="29" t="s">
        <v>3215</v>
      </c>
      <c r="AI255" s="36">
        <f>IF(OR(AND(K255&lt;32, J255&lt;2), O255=1, P255=1, Q255=1, R255=1, S255=1, T255=1, U255=1, AND(W255&lt;&gt;"", W255&lt;&gt;"Oxygen", W255&lt;&gt;"LowFlow")), "Intensive", "Intermediate")</f>
      </c>
      <c r="AJ255" s="57">
        <f>IF(OR(LEFT(AH255, 1)="X", LEFT(AH255, 1)="Y", LEFT(AH255, 3)="J60M"), "CUSM", "No Match")</f>
      </c>
      <c r="AK255" s="57">
        <f>IF(AND(OR(O255=3, P255=1, Q255=1, T255=1), AJ255="no Match"), "CUSM, CHU SJ, CHUQ", "")</f>
      </c>
      <c r="AL255" s="57">
        <f>IF(AND(O255=2, ISBLANK(P255), ISBLANK(Q255), ISBLANK(R255), ISBLANK(S255), ISBLANK(T255)), "CUSM, CHU SJ, CHUS, CHUQ", "")</f>
      </c>
      <c r="AM255" s="57">
        <f>IF(AND(AJ255="no match", AK255="", AL255="", K255&lt;26), "CUSM, CHU SJ, HGJ, CHUQ, CHUS", "")</f>
      </c>
      <c r="AN255" s="57">
        <f>IF(AND(AJ255="no match", AK255="", AL255="", K255&gt;26), "CUSM, CHU SJ, HGJ, CHUQ, CHUS, HMR", "")</f>
      </c>
    </row>
    <row x14ac:dyDescent="0.25" r="256" customHeight="1" ht="17.25">
      <c r="A256" s="41" t="s">
        <v>3216</v>
      </c>
      <c r="B256" s="28">
        <v>2</v>
      </c>
      <c r="C256" s="35">
        <v>835</v>
      </c>
      <c r="D256" s="29" t="s">
        <v>170</v>
      </c>
      <c r="E256" s="30" t="s">
        <v>54</v>
      </c>
      <c r="F256" s="31">
        <v>45064</v>
      </c>
      <c r="G256" s="32">
        <v>4.684027777777778</v>
      </c>
      <c r="H256" s="31">
        <v>45056</v>
      </c>
      <c r="I256" s="32">
        <v>4.555555555555555</v>
      </c>
      <c r="J256" s="33">
        <f>F256-H256</f>
      </c>
      <c r="K256" s="28">
        <v>33</v>
      </c>
      <c r="L256" s="28">
        <v>5</v>
      </c>
      <c r="M256" s="28">
        <v>1</v>
      </c>
      <c r="N256" s="35">
        <v>1</v>
      </c>
      <c r="O256" s="34"/>
      <c r="P256" s="35">
        <v>1</v>
      </c>
      <c r="Q256" s="34"/>
      <c r="R256" s="34"/>
      <c r="S256" s="56"/>
      <c r="T256" s="34"/>
      <c r="U256" s="34"/>
      <c r="V256" s="34"/>
      <c r="W256" s="29"/>
      <c r="X256" s="28">
        <v>31</v>
      </c>
      <c r="Y256" s="28">
        <v>1</v>
      </c>
      <c r="Z256" s="28">
        <v>1</v>
      </c>
      <c r="AA256" s="28">
        <v>2</v>
      </c>
      <c r="AB256" s="28">
        <v>1</v>
      </c>
      <c r="AC256" s="28">
        <v>2</v>
      </c>
      <c r="AD256" s="28">
        <v>1</v>
      </c>
      <c r="AE256" s="28">
        <v>4</v>
      </c>
      <c r="AF256" s="28">
        <v>2</v>
      </c>
      <c r="AG256" s="28">
        <v>2</v>
      </c>
      <c r="AH256" s="29" t="s">
        <v>3217</v>
      </c>
      <c r="AI256" s="36">
        <f>IF(OR(AND(K256&lt;32, J256&lt;2), O256=1, P256=1, Q256=1, R256=1, S256=1, T256=1, U256=1, AND(W256&lt;&gt;"", W256&lt;&gt;"Oxygen", W256&lt;&gt;"LowFlow")), "Intensive", "Intermediate")</f>
      </c>
      <c r="AJ256" s="57">
        <f>IF(OR(LEFT(AH256, 1)="X", LEFT(AH256, 1)="Y", LEFT(AH256, 3)="J61M"), "CUSM", "No Match")</f>
      </c>
      <c r="AK256" s="57">
        <f>IF(AND(OR(O256=3, P256=1, Q256=1, T256=1), AJ256="no Match"), "CUSM, CHU SJ, CHUQ", "")</f>
      </c>
      <c r="AL256" s="57">
        <f>IF(AND(O256=2, ISBLANK(P256), ISBLANK(Q256), ISBLANK(R256), ISBLANK(S256), ISBLANK(T256)), "CUSM, CHU SJ, CHUS, CHUQ", "")</f>
      </c>
      <c r="AM256" s="57">
        <f>IF(AND(AJ256="no match", AK256="", AL256="", K256&lt;26), "CUSM, CHU SJ, HGJ, CHUQ, CHUS", "")</f>
      </c>
      <c r="AN256" s="57">
        <f>IF(AND(AJ256="no match", AK256="", AL256="", K256&gt;26), "CUSM, CHU SJ, HGJ, CHUQ, CHUS, HMR", "")</f>
      </c>
    </row>
    <row x14ac:dyDescent="0.25" r="257" customHeight="1" ht="17.25">
      <c r="A257" s="41" t="s">
        <v>3218</v>
      </c>
      <c r="B257" s="28">
        <v>2</v>
      </c>
      <c r="C257" s="28">
        <v>757</v>
      </c>
      <c r="D257" s="29" t="s">
        <v>124</v>
      </c>
      <c r="E257" s="30" t="s">
        <v>50</v>
      </c>
      <c r="F257" s="31">
        <v>45065</v>
      </c>
      <c r="G257" s="32">
        <v>4.934027777777778</v>
      </c>
      <c r="H257" s="31">
        <v>45060</v>
      </c>
      <c r="I257" s="32">
        <v>4.877083333333333</v>
      </c>
      <c r="J257" s="33">
        <f>F257-H257</f>
      </c>
      <c r="K257" s="28">
        <v>33</v>
      </c>
      <c r="L257" s="28">
        <v>6</v>
      </c>
      <c r="M257" s="28">
        <v>1</v>
      </c>
      <c r="N257" s="34"/>
      <c r="O257" s="34"/>
      <c r="P257" s="34"/>
      <c r="Q257" s="34"/>
      <c r="R257" s="34"/>
      <c r="S257" s="56"/>
      <c r="T257" s="38"/>
      <c r="U257" s="38"/>
      <c r="V257" s="38"/>
      <c r="W257" s="29"/>
      <c r="X257" s="28">
        <v>22</v>
      </c>
      <c r="Y257" s="28">
        <v>1</v>
      </c>
      <c r="Z257" s="28">
        <v>1</v>
      </c>
      <c r="AA257" s="28">
        <v>1</v>
      </c>
      <c r="AB257" s="28">
        <v>1</v>
      </c>
      <c r="AC257" s="28">
        <v>2</v>
      </c>
      <c r="AD257" s="28">
        <v>2</v>
      </c>
      <c r="AE257" s="28">
        <v>4</v>
      </c>
      <c r="AF257" s="28">
        <v>3</v>
      </c>
      <c r="AG257" s="28">
        <v>1</v>
      </c>
      <c r="AH257" s="29" t="s">
        <v>3219</v>
      </c>
      <c r="AI257" s="36">
        <f>IF(OR(AND(K257&lt;32, J257&lt;2), O257=1, P257=1, Q257=1, R257=1, S257=1, T257=1, U257=1, AND(W257&lt;&gt;"", W257&lt;&gt;"Oxygen", W257&lt;&gt;"LowFlow")), "Intensive", "Intermediate")</f>
      </c>
      <c r="AJ257" s="57">
        <f>IF(OR(LEFT(AH257, 1)="X", LEFT(AH257, 1)="Y", LEFT(AH257, 3)="J62M"), "CUSM", "No Match")</f>
      </c>
      <c r="AK257" s="57">
        <f>IF(AND(OR(O257=3, P257=1, Q257=1, T257=1), AJ257="no Match"), "CUSM, CHU SJ, CHUQ", "")</f>
      </c>
      <c r="AL257" s="57">
        <f>IF(AND(O257=2, ISBLANK(P257), ISBLANK(Q257), ISBLANK(R257), ISBLANK(S257), ISBLANK(T257)), "CUSM, CHU SJ, CHUS, CHUQ", "")</f>
      </c>
      <c r="AM257" s="57">
        <f>IF(AND(AJ257="no match", AK257="", AL257="", K257&lt;26), "CUSM, CHU SJ, HGJ, CHUQ, CHUS", "")</f>
      </c>
      <c r="AN257" s="57">
        <f>IF(AND(AJ257="no match", AK257="", AL257="", K257&gt;26), "CUSM, CHU SJ, HGJ, CHUQ, CHUS, HMR", "")</f>
      </c>
    </row>
    <row x14ac:dyDescent="0.25" r="258" customHeight="1" ht="17.25">
      <c r="A258" s="41" t="s">
        <v>3220</v>
      </c>
      <c r="B258" s="28">
        <v>2</v>
      </c>
      <c r="C258" s="35">
        <v>740</v>
      </c>
      <c r="D258" s="29" t="s">
        <v>409</v>
      </c>
      <c r="E258" s="30" t="s">
        <v>149</v>
      </c>
      <c r="F258" s="31">
        <v>45066</v>
      </c>
      <c r="G258" s="32">
        <v>4.211111111111111</v>
      </c>
      <c r="H258" s="31">
        <v>45066</v>
      </c>
      <c r="I258" s="32">
        <v>4.102083333333333</v>
      </c>
      <c r="J258" s="33">
        <f>F258-H258</f>
      </c>
      <c r="K258" s="28">
        <v>39</v>
      </c>
      <c r="L258" s="28">
        <v>0</v>
      </c>
      <c r="M258" s="28">
        <v>1</v>
      </c>
      <c r="N258" s="34"/>
      <c r="O258" s="34"/>
      <c r="P258" s="34"/>
      <c r="Q258" s="34"/>
      <c r="R258" s="34"/>
      <c r="S258" s="56"/>
      <c r="T258" s="35">
        <v>1</v>
      </c>
      <c r="U258" s="34"/>
      <c r="V258" s="34"/>
      <c r="W258" s="29" t="s">
        <v>74</v>
      </c>
      <c r="X258" s="28">
        <v>23</v>
      </c>
      <c r="Y258" s="28">
        <v>1</v>
      </c>
      <c r="Z258" s="28">
        <v>1</v>
      </c>
      <c r="AA258" s="28">
        <v>1</v>
      </c>
      <c r="AB258" s="28">
        <v>1</v>
      </c>
      <c r="AC258" s="28">
        <v>2</v>
      </c>
      <c r="AD258" s="28">
        <v>2</v>
      </c>
      <c r="AE258" s="28">
        <v>1</v>
      </c>
      <c r="AF258" s="38"/>
      <c r="AG258" s="28">
        <v>2</v>
      </c>
      <c r="AH258" s="29" t="s">
        <v>3221</v>
      </c>
      <c r="AI258" s="36">
        <f>IF(OR(AND(K258&lt;32, J258&lt;2), O258=1, P258=1, Q258=1, R258=1, S258=1, T258=1, U258=1, AND(W258&lt;&gt;"", W258&lt;&gt;"Oxygen", W258&lt;&gt;"LowFlow")), "Intensive", "Intermediate")</f>
      </c>
      <c r="AJ258" s="57">
        <f>IF(OR(LEFT(AH258, 1)="X", LEFT(AH258, 1)="Y", LEFT(AH258, 3)="J63M"), "CUSM", "No Match")</f>
      </c>
      <c r="AK258" s="57">
        <f>IF(AND(OR(O258=3, P258=1, Q258=1, T258=1), AJ258="no Match"), "CUSM, CHU SJ, CHUQ", "")</f>
      </c>
      <c r="AL258" s="57">
        <f>IF(AND(O258=2, ISBLANK(P258), ISBLANK(Q258), ISBLANK(R258), ISBLANK(S258), ISBLANK(T258)), "CUSM, CHU SJ, CHUS, CHUQ", "")</f>
      </c>
      <c r="AM258" s="57">
        <f>IF(AND(AJ258="no match", AK258="", AL258="", K258&lt;26), "CUSM, CHU SJ, HGJ, CHUQ, CHUS", "")</f>
      </c>
      <c r="AN258" s="57">
        <f>IF(AND(AJ258="no match", AK258="", AL258="", K258&gt;26), "CUSM, CHU SJ, HGJ, CHUQ, CHUS, HMR", "")</f>
      </c>
    </row>
    <row x14ac:dyDescent="0.25" r="259" customHeight="1" ht="17.25">
      <c r="A259" s="41" t="s">
        <v>3222</v>
      </c>
      <c r="B259" s="28">
        <v>2</v>
      </c>
      <c r="C259" s="35">
        <v>832</v>
      </c>
      <c r="D259" s="29" t="s">
        <v>308</v>
      </c>
      <c r="E259" s="30" t="s">
        <v>54</v>
      </c>
      <c r="F259" s="31">
        <v>45067</v>
      </c>
      <c r="G259" s="32">
        <v>4.111111111111111</v>
      </c>
      <c r="H259" s="31">
        <v>45066</v>
      </c>
      <c r="I259" s="32">
        <v>4.0152777777777775</v>
      </c>
      <c r="J259" s="33">
        <f>F259-H259</f>
      </c>
      <c r="K259" s="28">
        <v>40</v>
      </c>
      <c r="L259" s="28">
        <v>4</v>
      </c>
      <c r="M259" s="28">
        <v>1</v>
      </c>
      <c r="N259" s="34"/>
      <c r="O259" s="34"/>
      <c r="P259" s="34"/>
      <c r="Q259" s="34"/>
      <c r="R259" s="34"/>
      <c r="S259" s="56"/>
      <c r="T259" s="34"/>
      <c r="U259" s="34"/>
      <c r="V259" s="34"/>
      <c r="W259" s="29"/>
      <c r="X259" s="28">
        <v>30</v>
      </c>
      <c r="Y259" s="28">
        <v>1</v>
      </c>
      <c r="Z259" s="28">
        <v>1</v>
      </c>
      <c r="AA259" s="28">
        <v>2</v>
      </c>
      <c r="AB259" s="28">
        <v>1</v>
      </c>
      <c r="AC259" s="28">
        <v>2</v>
      </c>
      <c r="AD259" s="28">
        <v>2</v>
      </c>
      <c r="AE259" s="28">
        <v>4</v>
      </c>
      <c r="AF259" s="28">
        <v>2</v>
      </c>
      <c r="AG259" s="28">
        <v>2</v>
      </c>
      <c r="AH259" s="29" t="s">
        <v>3161</v>
      </c>
      <c r="AI259" s="36">
        <f>IF(OR(AND(K259&lt;32, J259&lt;2), O259=1, P259=1, Q259=1, R259=1, S259=1, T259=1, U259=1, AND(W259&lt;&gt;"", W259&lt;&gt;"Oxygen", W259&lt;&gt;"LowFlow")), "Intensive", "Intermediate")</f>
      </c>
      <c r="AJ259" s="57">
        <f>IF(OR(LEFT(AH259, 1)="X", LEFT(AH259, 1)="Y", LEFT(AH259, 3)="J0M"), "CUSM", "No Match")</f>
      </c>
      <c r="AK259" s="57">
        <f>IF(AND(OR(O259=3, P259=1, Q259=1, T259=1), AJ259="no Match"), "CUSM, CHU SJ, CHUQ", "")</f>
      </c>
      <c r="AL259" s="57">
        <f>IF(AND(O259=2, ISBLANK(P259), ISBLANK(Q259), ISBLANK(R259), ISBLANK(S259), ISBLANK(T259)), "CUSM, CHU SJ, CHUS, CHUQ", "")</f>
      </c>
      <c r="AM259" s="57">
        <f>IF(AND(AJ259="no match", AK259="", AL259="", K259&lt;26), "CUSM, CHU SJ, HGJ, CHUQ, CHUS", "")</f>
      </c>
      <c r="AN259" s="57">
        <f>IF(AND(AJ259="no match", AK259="", AL259="", K259&gt;26), "CUSM, CHU SJ, HGJ, CHUQ, CHUS, HMR", "")</f>
      </c>
    </row>
    <row x14ac:dyDescent="0.25" r="260" customHeight="1" ht="17.25">
      <c r="A260" s="41" t="s">
        <v>3223</v>
      </c>
      <c r="B260" s="28">
        <v>2</v>
      </c>
      <c r="C260" s="28">
        <v>734</v>
      </c>
      <c r="D260" s="29" t="s">
        <v>264</v>
      </c>
      <c r="E260" s="30" t="s">
        <v>54</v>
      </c>
      <c r="F260" s="31">
        <v>45067</v>
      </c>
      <c r="G260" s="32">
        <v>4.78125</v>
      </c>
      <c r="H260" s="31">
        <v>45055</v>
      </c>
      <c r="I260" s="32">
        <v>4.785416666666666</v>
      </c>
      <c r="J260" s="33">
        <f>F260-H260</f>
      </c>
      <c r="K260" s="28">
        <v>37</v>
      </c>
      <c r="L260" s="28">
        <v>0</v>
      </c>
      <c r="M260" s="28">
        <v>2</v>
      </c>
      <c r="N260" s="35">
        <v>1</v>
      </c>
      <c r="O260" s="34"/>
      <c r="P260" s="35">
        <v>1</v>
      </c>
      <c r="Q260" s="34"/>
      <c r="R260" s="34"/>
      <c r="S260" s="56"/>
      <c r="T260" s="34"/>
      <c r="U260" s="34"/>
      <c r="V260" s="34"/>
      <c r="W260" s="29" t="s">
        <v>58</v>
      </c>
      <c r="X260" s="28">
        <v>30</v>
      </c>
      <c r="Y260" s="28">
        <v>1</v>
      </c>
      <c r="Z260" s="28">
        <v>1</v>
      </c>
      <c r="AA260" s="28">
        <v>2</v>
      </c>
      <c r="AB260" s="28">
        <v>1</v>
      </c>
      <c r="AC260" s="28">
        <v>1</v>
      </c>
      <c r="AD260" s="28">
        <v>1</v>
      </c>
      <c r="AE260" s="28">
        <v>4</v>
      </c>
      <c r="AF260" s="28">
        <v>2</v>
      </c>
      <c r="AG260" s="28">
        <v>2</v>
      </c>
      <c r="AH260" s="29" t="s">
        <v>3224</v>
      </c>
      <c r="AI260" s="36">
        <f>IF(OR(AND(K260&lt;32, J260&lt;2), O260=1, P260=1, Q260=1, R260=1, S260=1, T260=1, U260=1, AND(W260&lt;&gt;"", W260&lt;&gt;"Oxygen", W260&lt;&gt;"LowFlow")), "Intensive", "Intermediate")</f>
      </c>
      <c r="AJ260" s="57">
        <f>IF(OR(LEFT(AH260, 1)="X", LEFT(AH260, 1)="Y", LEFT(AH260, 3)="J1M"), "CUSM", "No Match")</f>
      </c>
      <c r="AK260" s="57">
        <f>IF(AND(OR(O260=3, P260=1, Q260=1, T260=1), AJ260="no Match"), "CUSM, CHU SJ, CHUQ", "")</f>
      </c>
      <c r="AL260" s="57">
        <f>IF(AND(O260=2, ISBLANK(P260), ISBLANK(Q260), ISBLANK(R260), ISBLANK(S260), ISBLANK(T260)), "CUSM, CHU SJ, CHUS, CHUQ", "")</f>
      </c>
      <c r="AM260" s="57">
        <f>IF(AND(AJ260="no match", AK260="", AL260="", K260&lt;26), "CUSM, CHU SJ, HGJ, CHUQ, CHUS", "")</f>
      </c>
      <c r="AN260" s="57">
        <f>IF(AND(AJ260="no match", AK260="", AL260="", K260&gt;26), "CUSM, CHU SJ, HGJ, CHUQ, CHUS, HMR", "")</f>
      </c>
    </row>
    <row x14ac:dyDescent="0.25" r="261" customHeight="1" ht="17.25">
      <c r="A261" s="41" t="s">
        <v>3225</v>
      </c>
      <c r="B261" s="28">
        <v>2</v>
      </c>
      <c r="C261" s="28">
        <v>831</v>
      </c>
      <c r="D261" s="29" t="s">
        <v>313</v>
      </c>
      <c r="E261" s="30" t="s">
        <v>54</v>
      </c>
      <c r="F261" s="31">
        <v>45068</v>
      </c>
      <c r="G261" s="32">
        <v>4.666666666666666</v>
      </c>
      <c r="H261" s="31">
        <v>45063</v>
      </c>
      <c r="I261" s="32">
        <v>4.958333333333334</v>
      </c>
      <c r="J261" s="33">
        <f>F261-H261</f>
      </c>
      <c r="K261" s="28">
        <v>33</v>
      </c>
      <c r="L261" s="28">
        <v>5</v>
      </c>
      <c r="M261" s="28">
        <v>1</v>
      </c>
      <c r="N261" s="34"/>
      <c r="O261" s="34"/>
      <c r="P261" s="34"/>
      <c r="Q261" s="34"/>
      <c r="R261" s="34"/>
      <c r="S261" s="56"/>
      <c r="T261" s="38"/>
      <c r="U261" s="34"/>
      <c r="V261" s="34"/>
      <c r="W261" s="29"/>
      <c r="X261" s="28">
        <v>36</v>
      </c>
      <c r="Y261" s="28">
        <v>1</v>
      </c>
      <c r="Z261" s="28">
        <v>2</v>
      </c>
      <c r="AA261" s="28">
        <v>3</v>
      </c>
      <c r="AB261" s="28">
        <v>4</v>
      </c>
      <c r="AC261" s="28">
        <v>2</v>
      </c>
      <c r="AD261" s="28">
        <v>1</v>
      </c>
      <c r="AE261" s="28">
        <v>4</v>
      </c>
      <c r="AF261" s="28">
        <v>3</v>
      </c>
      <c r="AG261" s="28">
        <v>2</v>
      </c>
      <c r="AH261" s="29" t="s">
        <v>256</v>
      </c>
      <c r="AI261" s="36">
        <f>IF(OR(AND(K261&lt;32, J261&lt;2), O261=1, P261=1, Q261=1, R261=1, S261=1, T261=1, U261=1, AND(W261&lt;&gt;"", W261&lt;&gt;"Oxygen", W261&lt;&gt;"LowFlow")), "Intensive", "Intermediate")</f>
      </c>
      <c r="AJ261" s="57">
        <f>IF(OR(LEFT(AH261, 1)="X", LEFT(AH261, 1)="Y", LEFT(AH261, 3)="J2M"), "CUSM", "No Match")</f>
      </c>
      <c r="AK261" s="57">
        <f>IF(AND(OR(O261=3, P261=1, Q261=1, T261=1), AJ261="no Match"), "CUSM, CHU SJ, CHUQ", "")</f>
      </c>
      <c r="AL261" s="57">
        <f>IF(AND(O261=2, ISBLANK(P261), ISBLANK(Q261), ISBLANK(R261), ISBLANK(S261), ISBLANK(T261)), "CUSM, CHU SJ, CHUS, CHUQ", "")</f>
      </c>
      <c r="AM261" s="57">
        <f>IF(AND(AJ261="no match", AK261="", AL261="", K261&lt;26), "CUSM, CHU SJ, HGJ, CHUQ, CHUS", "")</f>
      </c>
      <c r="AN261" s="57">
        <f>IF(AND(AJ261="no match", AK261="", AL261="", K261&gt;26), "CUSM, CHU SJ, HGJ, CHUQ, CHUS, HMR", "")</f>
      </c>
    </row>
    <row x14ac:dyDescent="0.25" r="262" customHeight="1" ht="17.25">
      <c r="A262" s="41" t="s">
        <v>3226</v>
      </c>
      <c r="B262" s="28">
        <v>2</v>
      </c>
      <c r="C262" s="35">
        <v>824</v>
      </c>
      <c r="D262" s="29" t="s">
        <v>57</v>
      </c>
      <c r="E262" s="30" t="s">
        <v>54</v>
      </c>
      <c r="F262" s="31">
        <v>45069</v>
      </c>
      <c r="G262" s="32">
        <v>4.920138888888889</v>
      </c>
      <c r="H262" s="31">
        <v>45069</v>
      </c>
      <c r="I262" s="32">
        <v>4.727777777777778</v>
      </c>
      <c r="J262" s="33">
        <f>F262-H262</f>
      </c>
      <c r="K262" s="28">
        <v>38</v>
      </c>
      <c r="L262" s="28">
        <v>5</v>
      </c>
      <c r="M262" s="28">
        <v>1</v>
      </c>
      <c r="N262" s="28">
        <v>1</v>
      </c>
      <c r="O262" s="38"/>
      <c r="P262" s="28">
        <v>1</v>
      </c>
      <c r="Q262" s="34"/>
      <c r="R262" s="34"/>
      <c r="S262" s="56"/>
      <c r="T262" s="34"/>
      <c r="U262" s="34"/>
      <c r="V262" s="34"/>
      <c r="W262" s="29"/>
      <c r="X262" s="28">
        <v>35</v>
      </c>
      <c r="Y262" s="28">
        <v>1</v>
      </c>
      <c r="Z262" s="28">
        <v>2</v>
      </c>
      <c r="AA262" s="28">
        <v>2</v>
      </c>
      <c r="AB262" s="28">
        <v>1</v>
      </c>
      <c r="AC262" s="28">
        <v>2</v>
      </c>
      <c r="AD262" s="28">
        <v>1</v>
      </c>
      <c r="AE262" s="28">
        <v>4</v>
      </c>
      <c r="AF262" s="28">
        <v>2</v>
      </c>
      <c r="AG262" s="28">
        <v>2</v>
      </c>
      <c r="AH262" s="29" t="s">
        <v>3227</v>
      </c>
      <c r="AI262" s="36">
        <f>IF(OR(AND(K262&lt;32, J262&lt;2), O262=1, P262=1, Q262=1, R262=1, S262=1, T262=1, U262=1, AND(W262&lt;&gt;"", W262&lt;&gt;"Oxygen", W262&lt;&gt;"LowFlow")), "Intensive", "Intermediate")</f>
      </c>
      <c r="AJ262" s="57">
        <f>IF(OR(LEFT(AH262, 1)="X", LEFT(AH262, 1)="Y", LEFT(AH262, 3)="J3M"), "CUSM", "No Match")</f>
      </c>
      <c r="AK262" s="57">
        <f>IF(AND(OR(O262=3, P262=1, Q262=1, T262=1), AJ262="no Match"), "CUSM, CHU SJ, CHUQ", "")</f>
      </c>
      <c r="AL262" s="57">
        <f>IF(AND(O262=2, ISBLANK(P262), ISBLANK(Q262), ISBLANK(R262), ISBLANK(S262), ISBLANK(T262)), "CUSM, CHU SJ, CHUS, CHUQ", "")</f>
      </c>
      <c r="AM262" s="57">
        <f>IF(AND(AJ262="no match", AK262="", AL262="", K262&lt;26), "CUSM, CHU SJ, HGJ, CHUQ, CHUS", "")</f>
      </c>
      <c r="AN262" s="57">
        <f>IF(AND(AJ262="no match", AK262="", AL262="", K262&gt;26), "CUSM, CHU SJ, HGJ, CHUQ, CHUS, HMR", "")</f>
      </c>
    </row>
    <row x14ac:dyDescent="0.25" r="263" customHeight="1" ht="17.25">
      <c r="A263" s="41" t="s">
        <v>3228</v>
      </c>
      <c r="B263" s="28">
        <v>2</v>
      </c>
      <c r="C263" s="35">
        <v>835</v>
      </c>
      <c r="D263" s="29" t="s">
        <v>170</v>
      </c>
      <c r="E263" s="30" t="s">
        <v>54</v>
      </c>
      <c r="F263" s="31">
        <v>45069</v>
      </c>
      <c r="G263" s="32">
        <v>4.611111111111111</v>
      </c>
      <c r="H263" s="31">
        <v>45069</v>
      </c>
      <c r="I263" s="32">
        <v>4.470833333333333</v>
      </c>
      <c r="J263" s="33">
        <f>F263-H263</f>
      </c>
      <c r="K263" s="28">
        <v>39</v>
      </c>
      <c r="L263" s="28">
        <v>1</v>
      </c>
      <c r="M263" s="28">
        <v>1</v>
      </c>
      <c r="N263" s="34"/>
      <c r="O263" s="34"/>
      <c r="P263" s="34"/>
      <c r="Q263" s="34"/>
      <c r="R263" s="34"/>
      <c r="S263" s="56"/>
      <c r="T263" s="34"/>
      <c r="U263" s="38"/>
      <c r="V263" s="38"/>
      <c r="W263" s="29" t="s">
        <v>74</v>
      </c>
      <c r="X263" s="28">
        <v>35</v>
      </c>
      <c r="Y263" s="28">
        <v>1</v>
      </c>
      <c r="Z263" s="28">
        <v>2</v>
      </c>
      <c r="AA263" s="28">
        <v>2</v>
      </c>
      <c r="AB263" s="28">
        <v>1</v>
      </c>
      <c r="AC263" s="28">
        <v>2</v>
      </c>
      <c r="AD263" s="28">
        <v>2</v>
      </c>
      <c r="AE263" s="28">
        <v>4</v>
      </c>
      <c r="AF263" s="28">
        <v>2</v>
      </c>
      <c r="AG263" s="28">
        <v>2</v>
      </c>
      <c r="AH263" s="29" t="s">
        <v>609</v>
      </c>
      <c r="AI263" s="36">
        <f>IF(OR(AND(K263&lt;32, J263&lt;2), O263=1, P263=1, Q263=1, R263=1, S263=1, T263=1, U263=1, AND(W263&lt;&gt;"", W263&lt;&gt;"Oxygen", W263&lt;&gt;"LowFlow")), "Intensive", "Intermediate")</f>
      </c>
      <c r="AJ263" s="57">
        <f>IF(OR(LEFT(AH263, 1)="X", LEFT(AH263, 1)="Y", LEFT(AH263, 3)="J4M"), "CUSM", "No Match")</f>
      </c>
      <c r="AK263" s="57">
        <f>IF(AND(OR(O263=3, P263=1, Q263=1, T263=1), AJ263="no Match"), "CUSM, CHU SJ, CHUQ", "")</f>
      </c>
      <c r="AL263" s="57">
        <f>IF(AND(O263=2, ISBLANK(P263), ISBLANK(Q263), ISBLANK(R263), ISBLANK(S263), ISBLANK(T263)), "CUSM, CHU SJ, CHUS, CHUQ", "")</f>
      </c>
      <c r="AM263" s="57">
        <f>IF(AND(AJ263="no match", AK263="", AL263="", K263&lt;26), "CUSM, CHU SJ, HGJ, CHUQ, CHUS", "")</f>
      </c>
      <c r="AN263" s="57">
        <f>IF(AND(AJ263="no match", AK263="", AL263="", K263&gt;26), "CUSM, CHU SJ, HGJ, CHUQ, CHUS, HMR", "")</f>
      </c>
    </row>
    <row x14ac:dyDescent="0.25" r="264" customHeight="1" ht="17.25">
      <c r="A264" s="41" t="s">
        <v>3229</v>
      </c>
      <c r="B264" s="28">
        <v>2</v>
      </c>
      <c r="C264" s="35">
        <v>796</v>
      </c>
      <c r="D264" s="29" t="s">
        <v>63</v>
      </c>
      <c r="E264" s="30" t="s">
        <v>54</v>
      </c>
      <c r="F264" s="31">
        <v>45070</v>
      </c>
      <c r="G264" s="32">
        <v>4.927083333333334</v>
      </c>
      <c r="H264" s="31">
        <v>45069</v>
      </c>
      <c r="I264" s="32">
        <v>4.0375</v>
      </c>
      <c r="J264" s="33">
        <f>F264-H264</f>
      </c>
      <c r="K264" s="28">
        <v>39</v>
      </c>
      <c r="L264" s="28">
        <v>4</v>
      </c>
      <c r="M264" s="28">
        <v>1</v>
      </c>
      <c r="N264" s="34"/>
      <c r="O264" s="34"/>
      <c r="P264" s="34"/>
      <c r="Q264" s="34"/>
      <c r="R264" s="34"/>
      <c r="S264" s="56"/>
      <c r="T264" s="34"/>
      <c r="U264" s="34"/>
      <c r="V264" s="34"/>
      <c r="W264" s="29"/>
      <c r="X264" s="28">
        <v>24</v>
      </c>
      <c r="Y264" s="28">
        <v>1</v>
      </c>
      <c r="Z264" s="28">
        <v>2</v>
      </c>
      <c r="AA264" s="28">
        <v>2</v>
      </c>
      <c r="AB264" s="28">
        <v>1</v>
      </c>
      <c r="AC264" s="28">
        <v>2</v>
      </c>
      <c r="AD264" s="28">
        <v>1</v>
      </c>
      <c r="AE264" s="28">
        <v>4</v>
      </c>
      <c r="AF264" s="28">
        <v>2</v>
      </c>
      <c r="AG264" s="28">
        <v>2</v>
      </c>
      <c r="AH264" s="29" t="s">
        <v>3230</v>
      </c>
      <c r="AI264" s="36">
        <f>IF(OR(AND(K264&lt;32, J264&lt;2), O264=1, P264=1, Q264=1, R264=1, S264=1, T264=1, U264=1, AND(W264&lt;&gt;"", W264&lt;&gt;"Oxygen", W264&lt;&gt;"LowFlow")), "Intensive", "Intermediate")</f>
      </c>
      <c r="AJ264" s="57">
        <f>IF(OR(LEFT(AH264, 1)="X", LEFT(AH264, 1)="Y", LEFT(AH264, 3)="J5M"), "CUSM", "No Match")</f>
      </c>
      <c r="AK264" s="57">
        <f>IF(AND(OR(O264=3, P264=1, Q264=1, T264=1), AJ264="no Match"), "CUSM, CHU SJ, CHUQ", "")</f>
      </c>
      <c r="AL264" s="57">
        <f>IF(AND(O264=2, ISBLANK(P264), ISBLANK(Q264), ISBLANK(R264), ISBLANK(S264), ISBLANK(T264)), "CUSM, CHU SJ, CHUS, CHUQ", "")</f>
      </c>
      <c r="AM264" s="57">
        <f>IF(AND(AJ264="no match", AK264="", AL264="", K264&lt;26), "CUSM, CHU SJ, HGJ, CHUQ, CHUS", "")</f>
      </c>
      <c r="AN264" s="57">
        <f>IF(AND(AJ264="no match", AK264="", AL264="", K264&gt;26), "CUSM, CHU SJ, HGJ, CHUQ, CHUS, HMR", "")</f>
      </c>
    </row>
    <row x14ac:dyDescent="0.25" r="265" customHeight="1" ht="17.25">
      <c r="A265" s="41" t="s">
        <v>3231</v>
      </c>
      <c r="B265" s="28">
        <v>2</v>
      </c>
      <c r="C265" s="35">
        <v>779</v>
      </c>
      <c r="D265" s="29" t="s">
        <v>136</v>
      </c>
      <c r="E265" s="30" t="s">
        <v>54</v>
      </c>
      <c r="F265" s="31">
        <v>45070</v>
      </c>
      <c r="G265" s="32">
        <v>4.711805555555555</v>
      </c>
      <c r="H265" s="31">
        <v>45070</v>
      </c>
      <c r="I265" s="32">
        <v>4.611111111111111</v>
      </c>
      <c r="J265" s="33">
        <f>F265-H265</f>
      </c>
      <c r="K265" s="28">
        <v>30</v>
      </c>
      <c r="L265" s="28">
        <v>5</v>
      </c>
      <c r="M265" s="28">
        <v>2</v>
      </c>
      <c r="N265" s="35">
        <v>1</v>
      </c>
      <c r="O265" s="34"/>
      <c r="P265" s="34"/>
      <c r="Q265" s="34"/>
      <c r="R265" s="34"/>
      <c r="S265" s="56"/>
      <c r="T265" s="34"/>
      <c r="U265" s="34"/>
      <c r="V265" s="34"/>
      <c r="W265" s="29" t="s">
        <v>58</v>
      </c>
      <c r="X265" s="28">
        <v>31</v>
      </c>
      <c r="Y265" s="28">
        <v>1</v>
      </c>
      <c r="Z265" s="28">
        <v>2</v>
      </c>
      <c r="AA265" s="28">
        <v>2</v>
      </c>
      <c r="AB265" s="28">
        <v>1</v>
      </c>
      <c r="AC265" s="28">
        <v>2</v>
      </c>
      <c r="AD265" s="28">
        <v>2</v>
      </c>
      <c r="AE265" s="28">
        <v>4</v>
      </c>
      <c r="AF265" s="28">
        <v>2</v>
      </c>
      <c r="AG265" s="28">
        <v>2</v>
      </c>
      <c r="AH265" s="29" t="s">
        <v>3232</v>
      </c>
      <c r="AI265" s="36">
        <f>IF(OR(AND(K265&lt;32, J265&lt;2), O265=1, P265=1, Q265=1, R265=1, S265=1, T265=1, U265=1, AND(W265&lt;&gt;"", W265&lt;&gt;"Oxygen", W265&lt;&gt;"LowFlow")), "Intensive", "Intermediate")</f>
      </c>
      <c r="AJ265" s="57">
        <f>IF(OR(LEFT(AH265, 1)="X", LEFT(AH265, 1)="Y", LEFT(AH265, 3)="J6M"), "CUSM", "No Match")</f>
      </c>
      <c r="AK265" s="57">
        <f>IF(AND(OR(O265=3, P265=1, Q265=1, T265=1), AJ265="no Match"), "CUSM, CHU SJ, CHUQ", "")</f>
      </c>
      <c r="AL265" s="57">
        <f>IF(AND(O265=2, ISBLANK(P265), ISBLANK(Q265), ISBLANK(R265), ISBLANK(S265), ISBLANK(T265)), "CUSM, CHU SJ, CHUS, CHUQ", "")</f>
      </c>
      <c r="AM265" s="57">
        <f>IF(AND(AJ265="no match", AK265="", AL265="", K265&lt;26), "CUSM, CHU SJ, HGJ, CHUQ, CHUS", "")</f>
      </c>
      <c r="AN265" s="57">
        <f>IF(AND(AJ265="no match", AK265="", AL265="", K265&gt;26), "CUSM, CHU SJ, HGJ, CHUQ, CHUS, HMR", "")</f>
      </c>
    </row>
    <row x14ac:dyDescent="0.25" r="266" customHeight="1" ht="17.25">
      <c r="A266" s="41" t="s">
        <v>3233</v>
      </c>
      <c r="B266" s="28">
        <v>2</v>
      </c>
      <c r="C266" s="35">
        <v>809</v>
      </c>
      <c r="D266" s="29" t="s">
        <v>117</v>
      </c>
      <c r="E266" s="30" t="s">
        <v>118</v>
      </c>
      <c r="F266" s="31">
        <v>45072</v>
      </c>
      <c r="G266" s="32">
        <v>4.904861111111111</v>
      </c>
      <c r="H266" s="31">
        <v>45072</v>
      </c>
      <c r="I266" s="32">
        <v>4.763888888888889</v>
      </c>
      <c r="J266" s="33">
        <f>F266-H266</f>
      </c>
      <c r="K266" s="28">
        <v>31</v>
      </c>
      <c r="L266" s="28">
        <v>1</v>
      </c>
      <c r="M266" s="28">
        <v>1</v>
      </c>
      <c r="N266" s="38"/>
      <c r="O266" s="34"/>
      <c r="P266" s="38"/>
      <c r="Q266" s="34"/>
      <c r="R266" s="34"/>
      <c r="S266" s="56"/>
      <c r="T266" s="35">
        <v>1</v>
      </c>
      <c r="U266" s="34"/>
      <c r="V266" s="34"/>
      <c r="W266" s="29" t="s">
        <v>74</v>
      </c>
      <c r="X266" s="28">
        <v>25</v>
      </c>
      <c r="Y266" s="28">
        <v>1</v>
      </c>
      <c r="Z266" s="28">
        <v>2</v>
      </c>
      <c r="AA266" s="28">
        <v>1</v>
      </c>
      <c r="AB266" s="28">
        <v>1</v>
      </c>
      <c r="AC266" s="28">
        <v>2</v>
      </c>
      <c r="AD266" s="28">
        <v>2</v>
      </c>
      <c r="AE266" s="28">
        <v>4</v>
      </c>
      <c r="AF266" s="28">
        <v>2</v>
      </c>
      <c r="AG266" s="28">
        <v>2</v>
      </c>
      <c r="AH266" s="29" t="s">
        <v>3234</v>
      </c>
      <c r="AI266" s="36">
        <f>IF(OR(AND(K266&lt;32, J266&lt;2), O266=1, P266=1, Q266=1, R266=1, S266=1, T266=1, U266=1, AND(W266&lt;&gt;"", W266&lt;&gt;"Oxygen", W266&lt;&gt;"LowFlow")), "Intensive", "Intermediate")</f>
      </c>
      <c r="AJ266" s="57">
        <f>IF(OR(LEFT(AH266, 1)="X", LEFT(AH266, 1)="Y", LEFT(AH266, 3)="J7M"), "CUSM", "No Match")</f>
      </c>
      <c r="AK266" s="57">
        <f>IF(AND(OR(O266=3, P266=1, Q266=1, T266=1), AJ266="no Match"), "CUSM, CHU SJ, CHUQ", "")</f>
      </c>
      <c r="AL266" s="57">
        <f>IF(AND(O266=2, ISBLANK(P266), ISBLANK(Q266), ISBLANK(R266), ISBLANK(S266), ISBLANK(T266)), "CUSM, CHU SJ, CHUS, CHUQ", "")</f>
      </c>
      <c r="AM266" s="57">
        <f>IF(AND(AJ266="no match", AK266="", AL266="", K266&lt;26), "CUSM, CHU SJ, HGJ, CHUQ, CHUS", "")</f>
      </c>
      <c r="AN266" s="57">
        <f>IF(AND(AJ266="no match", AK266="", AL266="", K266&gt;26), "CUSM, CHU SJ, HGJ, CHUQ, CHUS, HMR", "")</f>
      </c>
    </row>
    <row x14ac:dyDescent="0.25" r="267" customHeight="1" ht="17.25">
      <c r="A267" s="41" t="s">
        <v>3235</v>
      </c>
      <c r="B267" s="28">
        <v>2</v>
      </c>
      <c r="C267" s="35">
        <v>782</v>
      </c>
      <c r="D267" s="29" t="s">
        <v>95</v>
      </c>
      <c r="E267" s="30" t="s">
        <v>54</v>
      </c>
      <c r="F267" s="31">
        <v>45072</v>
      </c>
      <c r="G267" s="32">
        <v>4.84375</v>
      </c>
      <c r="H267" s="31">
        <v>45072</v>
      </c>
      <c r="I267" s="32">
        <v>4.50625</v>
      </c>
      <c r="J267" s="33">
        <f>F267-H267</f>
      </c>
      <c r="K267" s="28">
        <v>40</v>
      </c>
      <c r="L267" s="28">
        <v>1</v>
      </c>
      <c r="M267" s="28">
        <v>2</v>
      </c>
      <c r="N267" s="34"/>
      <c r="O267" s="34"/>
      <c r="P267" s="34"/>
      <c r="Q267" s="34"/>
      <c r="R267" s="34"/>
      <c r="S267" s="56"/>
      <c r="T267" s="34"/>
      <c r="U267" s="34"/>
      <c r="V267" s="34"/>
      <c r="W267" s="29" t="s">
        <v>58</v>
      </c>
      <c r="X267" s="28">
        <v>25</v>
      </c>
      <c r="Y267" s="28">
        <v>1</v>
      </c>
      <c r="Z267" s="28">
        <v>1</v>
      </c>
      <c r="AA267" s="28">
        <v>3</v>
      </c>
      <c r="AB267" s="28">
        <v>1</v>
      </c>
      <c r="AC267" s="28">
        <v>2</v>
      </c>
      <c r="AD267" s="28">
        <v>3</v>
      </c>
      <c r="AE267" s="28">
        <v>4</v>
      </c>
      <c r="AF267" s="35">
        <v>2</v>
      </c>
      <c r="AG267" s="28">
        <v>2</v>
      </c>
      <c r="AH267" s="29" t="s">
        <v>2500</v>
      </c>
      <c r="AI267" s="36">
        <f>IF(OR(AND(K267&lt;32, J267&lt;2), O267=1, P267=1, Q267=1, R267=1, S267=1, T267=1, U267=1, AND(W267&lt;&gt;"", W267&lt;&gt;"Oxygen", W267&lt;&gt;"LowFlow")), "Intensive", "Intermediate")</f>
      </c>
      <c r="AJ267" s="57">
        <f>IF(OR(LEFT(AH267, 1)="X", LEFT(AH267, 1)="Y", LEFT(AH267, 3)="J8M"), "CUSM", "No Match")</f>
      </c>
      <c r="AK267" s="57">
        <f>IF(AND(OR(O267=3, P267=1, Q267=1, T267=1), AJ267="no Match"), "CUSM, CHU SJ, CHUQ", "")</f>
      </c>
      <c r="AL267" s="57">
        <f>IF(AND(O267=2, ISBLANK(P267), ISBLANK(Q267), ISBLANK(R267), ISBLANK(S267), ISBLANK(T267)), "CUSM, CHU SJ, CHUS, CHUQ", "")</f>
      </c>
      <c r="AM267" s="57">
        <f>IF(AND(AJ267="no match", AK267="", AL267="", K267&lt;26), "CUSM, CHU SJ, HGJ, CHUQ, CHUS", "")</f>
      </c>
      <c r="AN267" s="57">
        <f>IF(AND(AJ267="no match", AK267="", AL267="", K267&gt;26), "CUSM, CHU SJ, HGJ, CHUQ, CHUS, HMR", "")</f>
      </c>
    </row>
    <row x14ac:dyDescent="0.25" r="268" customHeight="1" ht="17.25">
      <c r="A268" s="41" t="s">
        <v>3236</v>
      </c>
      <c r="B268" s="28">
        <v>2</v>
      </c>
      <c r="C268" s="35">
        <v>835</v>
      </c>
      <c r="D268" s="29" t="s">
        <v>170</v>
      </c>
      <c r="E268" s="30" t="s">
        <v>54</v>
      </c>
      <c r="F268" s="31">
        <v>45072</v>
      </c>
      <c r="G268" s="32">
        <v>4.927083333333334</v>
      </c>
      <c r="H268" s="31">
        <v>45072</v>
      </c>
      <c r="I268" s="32">
        <v>4.779166666666667</v>
      </c>
      <c r="J268" s="33">
        <f>F268-H268</f>
      </c>
      <c r="K268" s="28">
        <v>38</v>
      </c>
      <c r="L268" s="28">
        <v>1</v>
      </c>
      <c r="M268" s="28">
        <v>2</v>
      </c>
      <c r="N268" s="35">
        <v>1</v>
      </c>
      <c r="O268" s="34"/>
      <c r="P268" s="35">
        <v>1</v>
      </c>
      <c r="Q268" s="34"/>
      <c r="R268" s="34"/>
      <c r="S268" s="56"/>
      <c r="T268" s="34"/>
      <c r="U268" s="34"/>
      <c r="V268" s="34"/>
      <c r="W268" s="29" t="s">
        <v>74</v>
      </c>
      <c r="X268" s="28">
        <v>43</v>
      </c>
      <c r="Y268" s="28">
        <v>1</v>
      </c>
      <c r="Z268" s="28">
        <v>1</v>
      </c>
      <c r="AA268" s="28">
        <v>2</v>
      </c>
      <c r="AB268" s="28">
        <v>1</v>
      </c>
      <c r="AC268" s="28">
        <v>1</v>
      </c>
      <c r="AD268" s="28">
        <v>1</v>
      </c>
      <c r="AE268" s="28">
        <v>4</v>
      </c>
      <c r="AF268" s="35">
        <v>2</v>
      </c>
      <c r="AG268" s="28">
        <v>2</v>
      </c>
      <c r="AH268" s="29" t="s">
        <v>3237</v>
      </c>
      <c r="AI268" s="36">
        <f>IF(OR(AND(K268&lt;32, J268&lt;2), O268=1, P268=1, Q268=1, R268=1, S268=1, T268=1, U268=1, AND(W268&lt;&gt;"", W268&lt;&gt;"Oxygen", W268&lt;&gt;"LowFlow")), "Intensive", "Intermediate")</f>
      </c>
      <c r="AJ268" s="57">
        <f>IF(OR(LEFT(AH268, 1)="X", LEFT(AH268, 1)="Y", LEFT(AH268, 3)="J9M"), "CUSM", "No Match")</f>
      </c>
      <c r="AK268" s="57">
        <f>IF(AND(OR(O268=3, P268=1, Q268=1, T268=1), AJ268="no Match"), "CUSM, CHU SJ, CHUQ", "")</f>
      </c>
      <c r="AL268" s="57">
        <f>IF(AND(O268=2, ISBLANK(P268), ISBLANK(Q268), ISBLANK(R268), ISBLANK(S268), ISBLANK(T268)), "CUSM, CHU SJ, CHUS, CHUQ", "")</f>
      </c>
      <c r="AM268" s="57">
        <f>IF(AND(AJ268="no match", AK268="", AL268="", K268&lt;26), "CUSM, CHU SJ, HGJ, CHUQ, CHUS", "")</f>
      </c>
      <c r="AN268" s="57">
        <f>IF(AND(AJ268="no match", AK268="", AL268="", K268&gt;26), "CUSM, CHU SJ, HGJ, CHUQ, CHUS, HMR", "")</f>
      </c>
    </row>
    <row x14ac:dyDescent="0.25" r="269" customHeight="1" ht="17.25">
      <c r="A269" s="41" t="s">
        <v>3238</v>
      </c>
      <c r="B269" s="28">
        <v>2</v>
      </c>
      <c r="C269" s="35">
        <v>825</v>
      </c>
      <c r="D269" s="29" t="s">
        <v>77</v>
      </c>
      <c r="E269" s="30" t="s">
        <v>54</v>
      </c>
      <c r="F269" s="31">
        <v>45073</v>
      </c>
      <c r="G269" s="32">
        <v>4.815972222222222</v>
      </c>
      <c r="H269" s="31">
        <v>45072</v>
      </c>
      <c r="I269" s="32">
        <v>4.952083333333333</v>
      </c>
      <c r="J269" s="33">
        <f>F269-H269</f>
      </c>
      <c r="K269" s="28">
        <v>36</v>
      </c>
      <c r="L269" s="28">
        <v>1</v>
      </c>
      <c r="M269" s="28">
        <v>1</v>
      </c>
      <c r="N269" s="34"/>
      <c r="O269" s="34"/>
      <c r="P269" s="34"/>
      <c r="Q269" s="34"/>
      <c r="R269" s="34"/>
      <c r="S269" s="56"/>
      <c r="T269" s="34"/>
      <c r="U269" s="34"/>
      <c r="V269" s="34"/>
      <c r="W269" s="29"/>
      <c r="X269" s="28">
        <v>29</v>
      </c>
      <c r="Y269" s="28">
        <v>1</v>
      </c>
      <c r="Z269" s="28">
        <v>1</v>
      </c>
      <c r="AA269" s="28">
        <v>1</v>
      </c>
      <c r="AB269" s="28">
        <v>1</v>
      </c>
      <c r="AC269" s="28">
        <v>2</v>
      </c>
      <c r="AD269" s="28">
        <v>3</v>
      </c>
      <c r="AE269" s="28">
        <v>4</v>
      </c>
      <c r="AF269" s="28">
        <v>2</v>
      </c>
      <c r="AG269" s="28">
        <v>2</v>
      </c>
      <c r="AH269" s="29" t="s">
        <v>3239</v>
      </c>
      <c r="AI269" s="36">
        <f>IF(OR(AND(K269&lt;32, J269&lt;2), O269=1, P269=1, Q269=1, R269=1, S269=1, T269=1, U269=1, AND(W269&lt;&gt;"", W269&lt;&gt;"Oxygen", W269&lt;&gt;"LowFlow")), "Intensive", "Intermediate")</f>
      </c>
      <c r="AJ269" s="57">
        <f>IF(OR(LEFT(AH269, 1)="X", LEFT(AH269, 1)="Y", LEFT(AH269, 3)="J10M"), "CUSM", "No Match")</f>
      </c>
      <c r="AK269" s="57">
        <f>IF(AND(OR(O269=3, P269=1, Q269=1, T269=1), AJ269="no Match"), "CUSM, CHU SJ, CHUQ", "")</f>
      </c>
      <c r="AL269" s="57">
        <f>IF(AND(O269=2, ISBLANK(P269), ISBLANK(Q269), ISBLANK(R269), ISBLANK(S269), ISBLANK(T269)), "CUSM, CHU SJ, CHUS, CHUQ", "")</f>
      </c>
      <c r="AM269" s="57">
        <f>IF(AND(AJ269="no match", AK269="", AL269="", K269&lt;26), "CUSM, CHU SJ, HGJ, CHUQ, CHUS", "")</f>
      </c>
      <c r="AN269" s="57">
        <f>IF(AND(AJ269="no match", AK269="", AL269="", K269&gt;26), "CUSM, CHU SJ, HGJ, CHUQ, CHUS, HMR", "")</f>
      </c>
    </row>
    <row x14ac:dyDescent="0.25" r="270" customHeight="1" ht="17.25">
      <c r="A270" s="41" t="s">
        <v>3240</v>
      </c>
      <c r="B270" s="28">
        <v>2</v>
      </c>
      <c r="C270" s="35">
        <v>825</v>
      </c>
      <c r="D270" s="29" t="s">
        <v>77</v>
      </c>
      <c r="E270" s="30" t="s">
        <v>50</v>
      </c>
      <c r="F270" s="31">
        <v>45073</v>
      </c>
      <c r="G270" s="32">
        <v>4.184027777777778</v>
      </c>
      <c r="H270" s="31">
        <v>45073</v>
      </c>
      <c r="I270" s="32">
        <v>4.006944444444445</v>
      </c>
      <c r="J270" s="33">
        <f>F270-H270</f>
      </c>
      <c r="K270" s="28">
        <v>38</v>
      </c>
      <c r="L270" s="28">
        <v>4</v>
      </c>
      <c r="M270" s="28">
        <v>2</v>
      </c>
      <c r="N270" s="38"/>
      <c r="O270" s="34"/>
      <c r="P270" s="34"/>
      <c r="Q270" s="34"/>
      <c r="R270" s="34"/>
      <c r="S270" s="56"/>
      <c r="T270" s="35">
        <v>1</v>
      </c>
      <c r="U270" s="35">
        <v>1</v>
      </c>
      <c r="V270" s="35">
        <v>1</v>
      </c>
      <c r="W270" s="29" t="s">
        <v>74</v>
      </c>
      <c r="X270" s="28">
        <v>22</v>
      </c>
      <c r="Y270" s="28">
        <v>1</v>
      </c>
      <c r="Z270" s="28">
        <v>1</v>
      </c>
      <c r="AA270" s="28">
        <v>3</v>
      </c>
      <c r="AB270" s="28">
        <v>1</v>
      </c>
      <c r="AC270" s="28">
        <v>2</v>
      </c>
      <c r="AD270" s="28">
        <v>2</v>
      </c>
      <c r="AE270" s="28">
        <v>4</v>
      </c>
      <c r="AF270" s="28">
        <v>3</v>
      </c>
      <c r="AG270" s="28">
        <v>2</v>
      </c>
      <c r="AH270" s="29" t="s">
        <v>3241</v>
      </c>
      <c r="AI270" s="36">
        <f>IF(OR(AND(K270&lt;32, J270&lt;2), O270=1, P270=1, Q270=1, R270=1, S270=1, T270=1, U270=1, AND(W270&lt;&gt;"", W270&lt;&gt;"Oxygen", W270&lt;&gt;"LowFlow")), "Intensive", "Intermediate")</f>
      </c>
      <c r="AJ270" s="57">
        <f>IF(OR(LEFT(AH270, 1)="X", LEFT(AH270, 1)="Y", LEFT(AH270, 3)="J11M"), "CUSM", "No Match")</f>
      </c>
      <c r="AK270" s="57">
        <f>IF(AND(OR(O270=3, P270=1, Q270=1, T270=1), AJ270="no Match"), "CUSM, CHU SJ, CHUQ", "")</f>
      </c>
      <c r="AL270" s="57">
        <f>IF(AND(O270=2, ISBLANK(P270), ISBLANK(Q270), ISBLANK(R270), ISBLANK(S270), ISBLANK(T270)), "CUSM, CHU SJ, CHUS, CHUQ", "")</f>
      </c>
      <c r="AM270" s="57">
        <f>IF(AND(AJ270="no match", AK270="", AL270="", K270&lt;26), "CUSM, CHU SJ, HGJ, CHUQ, CHUS", "")</f>
      </c>
      <c r="AN270" s="57">
        <f>IF(AND(AJ270="no match", AK270="", AL270="", K270&gt;26), "CUSM, CHU SJ, HGJ, CHUQ, CHUS, HMR", "")</f>
      </c>
    </row>
    <row x14ac:dyDescent="0.25" r="271" customHeight="1" ht="17.25">
      <c r="A271" s="41" t="s">
        <v>3242</v>
      </c>
      <c r="B271" s="28">
        <v>2</v>
      </c>
      <c r="C271" s="35">
        <v>825</v>
      </c>
      <c r="D271" s="29" t="s">
        <v>77</v>
      </c>
      <c r="E271" s="30" t="s">
        <v>54</v>
      </c>
      <c r="F271" s="31">
        <v>45074</v>
      </c>
      <c r="G271" s="32">
        <v>4.204861111111111</v>
      </c>
      <c r="H271" s="31">
        <v>45074</v>
      </c>
      <c r="I271" s="32">
        <v>4.021527777777777</v>
      </c>
      <c r="J271" s="33">
        <f>F271-H271</f>
      </c>
      <c r="K271" s="28">
        <v>40</v>
      </c>
      <c r="L271" s="28">
        <v>0</v>
      </c>
      <c r="M271" s="28">
        <v>1</v>
      </c>
      <c r="N271" s="35">
        <v>1</v>
      </c>
      <c r="O271" s="34"/>
      <c r="P271" s="35">
        <v>1</v>
      </c>
      <c r="Q271" s="34"/>
      <c r="R271" s="34"/>
      <c r="S271" s="56"/>
      <c r="T271" s="35">
        <v>1</v>
      </c>
      <c r="U271" s="35">
        <v>1</v>
      </c>
      <c r="V271" s="35">
        <v>1</v>
      </c>
      <c r="W271" s="29" t="s">
        <v>74</v>
      </c>
      <c r="X271" s="28">
        <v>27</v>
      </c>
      <c r="Y271" s="28">
        <v>1</v>
      </c>
      <c r="Z271" s="28">
        <v>1</v>
      </c>
      <c r="AA271" s="28">
        <v>2</v>
      </c>
      <c r="AB271" s="28">
        <v>1</v>
      </c>
      <c r="AC271" s="28">
        <v>2</v>
      </c>
      <c r="AD271" s="28">
        <v>2</v>
      </c>
      <c r="AE271" s="28">
        <v>4</v>
      </c>
      <c r="AF271" s="28">
        <v>2</v>
      </c>
      <c r="AG271" s="28">
        <v>2</v>
      </c>
      <c r="AH271" s="29" t="s">
        <v>3243</v>
      </c>
      <c r="AI271" s="36">
        <f>IF(OR(AND(K271&lt;32, J271&lt;2), O271=1, P271=1, Q271=1, R271=1, S271=1, T271=1, U271=1, AND(W271&lt;&gt;"", W271&lt;&gt;"Oxygen", W271&lt;&gt;"LowFlow")), "Intensive", "Intermediate")</f>
      </c>
      <c r="AJ271" s="57">
        <f>IF(OR(LEFT(AH271, 1)="X", LEFT(AH271, 1)="Y", LEFT(AH271, 3)="J12M"), "CUSM", "No Match")</f>
      </c>
      <c r="AK271" s="57">
        <f>IF(AND(OR(O271=3, P271=1, Q271=1, T271=1), AJ271="no Match"), "CUSM, CHU SJ, CHUQ", "")</f>
      </c>
      <c r="AL271" s="57">
        <f>IF(AND(O271=2, ISBLANK(P271), ISBLANK(Q271), ISBLANK(R271), ISBLANK(S271), ISBLANK(T271)), "CUSM, CHU SJ, CHUS, CHUQ", "")</f>
      </c>
      <c r="AM271" s="57">
        <f>IF(AND(AJ271="no match", AK271="", AL271="", K271&lt;26), "CUSM, CHU SJ, HGJ, CHUQ, CHUS", "")</f>
      </c>
      <c r="AN271" s="57">
        <f>IF(AND(AJ271="no match", AK271="", AL271="", K271&gt;26), "CUSM, CHU SJ, HGJ, CHUQ, CHUS, HMR", "")</f>
      </c>
    </row>
    <row x14ac:dyDescent="0.25" r="272" customHeight="1" ht="17.25">
      <c r="A272" s="41" t="s">
        <v>3244</v>
      </c>
      <c r="B272" s="28">
        <v>2</v>
      </c>
      <c r="C272" s="28">
        <v>730</v>
      </c>
      <c r="D272" s="29" t="s">
        <v>81</v>
      </c>
      <c r="E272" s="30" t="s">
        <v>50</v>
      </c>
      <c r="F272" s="31">
        <v>45074</v>
      </c>
      <c r="G272" s="32">
        <v>4.570138888888889</v>
      </c>
      <c r="H272" s="31">
        <v>45074</v>
      </c>
      <c r="I272" s="32">
        <v>4.4215277777777775</v>
      </c>
      <c r="J272" s="33">
        <f>F272-H272</f>
      </c>
      <c r="K272" s="28">
        <v>40</v>
      </c>
      <c r="L272" s="28">
        <v>6</v>
      </c>
      <c r="M272" s="28">
        <v>1</v>
      </c>
      <c r="N272" s="34"/>
      <c r="O272" s="34"/>
      <c r="P272" s="34"/>
      <c r="Q272" s="34"/>
      <c r="R272" s="34"/>
      <c r="S272" s="56"/>
      <c r="T272" s="34"/>
      <c r="U272" s="34"/>
      <c r="V272" s="34"/>
      <c r="W272" s="29" t="s">
        <v>58</v>
      </c>
      <c r="X272" s="28">
        <v>32</v>
      </c>
      <c r="Y272" s="28">
        <v>1</v>
      </c>
      <c r="Z272" s="28">
        <v>2</v>
      </c>
      <c r="AA272" s="28">
        <v>3</v>
      </c>
      <c r="AB272" s="28">
        <v>4</v>
      </c>
      <c r="AC272" s="28">
        <v>2</v>
      </c>
      <c r="AD272" s="28">
        <v>2</v>
      </c>
      <c r="AE272" s="28">
        <v>4</v>
      </c>
      <c r="AF272" s="28">
        <v>3</v>
      </c>
      <c r="AG272" s="28">
        <v>3</v>
      </c>
      <c r="AH272" s="29" t="s">
        <v>3245</v>
      </c>
      <c r="AI272" s="36">
        <f>IF(OR(AND(K272&lt;32, J272&lt;2), O272=1, P272=1, Q272=1, R272=1, S272=1, T272=1, U272=1, AND(W272&lt;&gt;"", W272&lt;&gt;"Oxygen", W272&lt;&gt;"LowFlow")), "Intensive", "Intermediate")</f>
      </c>
      <c r="AJ272" s="57">
        <f>IF(OR(LEFT(AH272, 1)="X", LEFT(AH272, 1)="Y", LEFT(AH272, 3)="J13M"), "CUSM", "No Match")</f>
      </c>
      <c r="AK272" s="57">
        <f>IF(AND(OR(O272=3, P272=1, Q272=1, T272=1), AJ272="no Match"), "CUSM, CHU SJ, CHUQ", "")</f>
      </c>
      <c r="AL272" s="57">
        <f>IF(AND(O272=2, ISBLANK(P272), ISBLANK(Q272), ISBLANK(R272), ISBLANK(S272), ISBLANK(T272)), "CUSM, CHU SJ, CHUS, CHUQ", "")</f>
      </c>
      <c r="AM272" s="57">
        <f>IF(AND(AJ272="no match", AK272="", AL272="", K272&lt;26), "CUSM, CHU SJ, HGJ, CHUQ, CHUS", "")</f>
      </c>
      <c r="AN272" s="57">
        <f>IF(AND(AJ272="no match", AK272="", AL272="", K272&gt;26), "CUSM, CHU SJ, HGJ, CHUQ, CHUS, HMR", "")</f>
      </c>
    </row>
    <row x14ac:dyDescent="0.25" r="273" customHeight="1" ht="17.25">
      <c r="A273" s="41" t="s">
        <v>3246</v>
      </c>
      <c r="B273" s="28">
        <v>2</v>
      </c>
      <c r="C273" s="35">
        <v>727</v>
      </c>
      <c r="D273" s="29" t="s">
        <v>992</v>
      </c>
      <c r="E273" s="30" t="s">
        <v>54</v>
      </c>
      <c r="F273" s="31">
        <v>45075</v>
      </c>
      <c r="G273" s="32">
        <v>4.497222222222222</v>
      </c>
      <c r="H273" s="31">
        <v>44988</v>
      </c>
      <c r="I273" s="32">
        <v>4.625</v>
      </c>
      <c r="J273" s="33">
        <f>F273-H273</f>
      </c>
      <c r="K273" s="28">
        <v>29</v>
      </c>
      <c r="L273" s="28">
        <v>4</v>
      </c>
      <c r="M273" s="28">
        <v>1</v>
      </c>
      <c r="N273" s="28">
        <v>1</v>
      </c>
      <c r="O273" s="28">
        <v>2</v>
      </c>
      <c r="P273" s="28">
        <v>1</v>
      </c>
      <c r="Q273" s="34"/>
      <c r="R273" s="34"/>
      <c r="S273" s="56"/>
      <c r="T273" s="34"/>
      <c r="U273" s="34"/>
      <c r="V273" s="34"/>
      <c r="W273" s="29" t="s">
        <v>74</v>
      </c>
      <c r="X273" s="28">
        <v>38</v>
      </c>
      <c r="Y273" s="28">
        <v>1</v>
      </c>
      <c r="Z273" s="28">
        <v>2</v>
      </c>
      <c r="AA273" s="28">
        <v>2</v>
      </c>
      <c r="AB273" s="28">
        <v>1</v>
      </c>
      <c r="AC273" s="28">
        <v>2</v>
      </c>
      <c r="AD273" s="28">
        <v>2</v>
      </c>
      <c r="AE273" s="28">
        <v>4</v>
      </c>
      <c r="AF273" s="28">
        <v>2</v>
      </c>
      <c r="AG273" s="28">
        <v>2</v>
      </c>
      <c r="AH273" s="29" t="s">
        <v>3247</v>
      </c>
      <c r="AI273" s="36">
        <f>IF(OR(AND(K273&lt;32, J273&lt;2), O273=1, P273=1, Q273=1, R273=1, S273=1, T273=1, U273=1, AND(W273&lt;&gt;"", W273&lt;&gt;"Oxygen", W273&lt;&gt;"LowFlow")), "Intensive", "Intermediate")</f>
      </c>
      <c r="AJ273" s="57">
        <f>IF(OR(LEFT(AH273, 1)="X", LEFT(AH273, 1)="Y", LEFT(AH273, 3)="J14M"), "CUSM", "No Match")</f>
      </c>
      <c r="AK273" s="57">
        <f>IF(AND(OR(O273=3, P273=1, Q273=1, T273=1), AJ273="no Match"), "CUSM, CHU SJ, CHUQ", "")</f>
      </c>
      <c r="AL273" s="57">
        <f>IF(AND(O273=2, ISBLANK(P273), ISBLANK(Q273), ISBLANK(R273), ISBLANK(S273), ISBLANK(T273)), "CUSM, CHU SJ, CHUS, CHUQ", "")</f>
      </c>
      <c r="AM273" s="57">
        <f>IF(AND(AJ273="no match", AK273="", AL273="", K273&lt;26), "CUSM, CHU SJ, HGJ, CHUQ, CHUS", "")</f>
      </c>
      <c r="AN273" s="57">
        <f>IF(AND(AJ273="no match", AK273="", AL273="", K273&gt;26), "CUSM, CHU SJ, HGJ, CHUQ, CHUS, HMR", "")</f>
      </c>
    </row>
    <row x14ac:dyDescent="0.25" r="274" customHeight="1" ht="17.25">
      <c r="A274" s="41" t="s">
        <v>3248</v>
      </c>
      <c r="B274" s="28">
        <v>2</v>
      </c>
      <c r="C274" s="35">
        <v>779</v>
      </c>
      <c r="D274" s="29" t="s">
        <v>136</v>
      </c>
      <c r="E274" s="30" t="s">
        <v>54</v>
      </c>
      <c r="F274" s="31">
        <v>45075</v>
      </c>
      <c r="G274" s="32">
        <v>4.493055555555555</v>
      </c>
      <c r="H274" s="31">
        <v>45073</v>
      </c>
      <c r="I274" s="32">
        <v>4.185416666666667</v>
      </c>
      <c r="J274" s="33">
        <f>F274-H274</f>
      </c>
      <c r="K274" s="28">
        <v>39</v>
      </c>
      <c r="L274" s="28">
        <v>4</v>
      </c>
      <c r="M274" s="28">
        <v>1</v>
      </c>
      <c r="N274" s="38"/>
      <c r="O274" s="38"/>
      <c r="P274" s="34"/>
      <c r="Q274" s="34"/>
      <c r="R274" s="34"/>
      <c r="S274" s="56"/>
      <c r="T274" s="34"/>
      <c r="U274" s="34"/>
      <c r="V274" s="34"/>
      <c r="W274" s="29"/>
      <c r="X274" s="28">
        <v>38</v>
      </c>
      <c r="Y274" s="28">
        <v>1</v>
      </c>
      <c r="Z274" s="28">
        <v>2</v>
      </c>
      <c r="AA274" s="28">
        <v>1</v>
      </c>
      <c r="AB274" s="28">
        <v>1</v>
      </c>
      <c r="AC274" s="28">
        <v>2</v>
      </c>
      <c r="AD274" s="28">
        <v>2</v>
      </c>
      <c r="AE274" s="28">
        <v>4</v>
      </c>
      <c r="AF274" s="28">
        <v>2</v>
      </c>
      <c r="AG274" s="28">
        <v>2</v>
      </c>
      <c r="AH274" s="29" t="s">
        <v>3249</v>
      </c>
      <c r="AI274" s="36">
        <f>IF(OR(AND(K274&lt;32, J274&lt;2), O274=1, P274=1, Q274=1, R274=1, S274=1, T274=1, U274=1, AND(W274&lt;&gt;"", W274&lt;&gt;"Oxygen", W274&lt;&gt;"LowFlow")), "Intensive", "Intermediate")</f>
      </c>
      <c r="AJ274" s="57">
        <f>IF(OR(LEFT(AH274, 1)="X", LEFT(AH274, 1)="Y", LEFT(AH274, 3)="J15M"), "CUSM", "No Match")</f>
      </c>
      <c r="AK274" s="57">
        <f>IF(AND(OR(O274=3, P274=1, Q274=1, T274=1), AJ274="no Match"), "CUSM, CHU SJ, CHUQ", "")</f>
      </c>
      <c r="AL274" s="57">
        <f>IF(AND(O274=2, ISBLANK(P274), ISBLANK(Q274), ISBLANK(R274), ISBLANK(S274), ISBLANK(T274)), "CUSM, CHU SJ, CHUS, CHUQ", "")</f>
      </c>
      <c r="AM274" s="57">
        <f>IF(AND(AJ274="no match", AK274="", AL274="", K274&lt;26), "CUSM, CHU SJ, HGJ, CHUQ, CHUS", "")</f>
      </c>
      <c r="AN274" s="57">
        <f>IF(AND(AJ274="no match", AK274="", AL274="", K274&gt;26), "CUSM, CHU SJ, HGJ, CHUQ, CHUS, HMR", "")</f>
      </c>
    </row>
    <row x14ac:dyDescent="0.25" r="275" customHeight="1" ht="17.25">
      <c r="A275" s="41" t="s">
        <v>3250</v>
      </c>
      <c r="B275" s="28">
        <v>2</v>
      </c>
      <c r="C275" s="35">
        <v>824</v>
      </c>
      <c r="D275" s="29" t="s">
        <v>57</v>
      </c>
      <c r="E275" s="30" t="s">
        <v>54</v>
      </c>
      <c r="F275" s="31">
        <v>45076</v>
      </c>
      <c r="G275" s="32">
        <v>4.552083333333334</v>
      </c>
      <c r="H275" s="31">
        <v>45065</v>
      </c>
      <c r="I275" s="32">
        <v>4.679861111111111</v>
      </c>
      <c r="J275" s="33">
        <f>F275-H275</f>
      </c>
      <c r="K275" s="28">
        <v>34</v>
      </c>
      <c r="L275" s="28">
        <v>5</v>
      </c>
      <c r="M275" s="28">
        <v>1</v>
      </c>
      <c r="N275" s="38"/>
      <c r="O275" s="34"/>
      <c r="P275" s="38"/>
      <c r="Q275" s="34"/>
      <c r="R275" s="34"/>
      <c r="S275" s="56"/>
      <c r="T275" s="34"/>
      <c r="U275" s="34"/>
      <c r="V275" s="34"/>
      <c r="W275" s="29"/>
      <c r="X275" s="28">
        <v>28</v>
      </c>
      <c r="Y275" s="28">
        <v>2</v>
      </c>
      <c r="Z275" s="28">
        <v>1</v>
      </c>
      <c r="AA275" s="28">
        <v>1</v>
      </c>
      <c r="AB275" s="28">
        <v>1</v>
      </c>
      <c r="AC275" s="28">
        <v>2</v>
      </c>
      <c r="AD275" s="28">
        <v>2</v>
      </c>
      <c r="AE275" s="28">
        <v>4</v>
      </c>
      <c r="AF275" s="28">
        <v>2</v>
      </c>
      <c r="AG275" s="28">
        <v>3</v>
      </c>
      <c r="AH275" s="29" t="s">
        <v>3251</v>
      </c>
      <c r="AI275" s="36">
        <f>IF(OR(AND(K275&lt;32, J275&lt;2), O275=1, P275=1, Q275=1, R275=1, S275=1, T275=1, U275=1, AND(W275&lt;&gt;"", W275&lt;&gt;"Oxygen", W275&lt;&gt;"LowFlow")), "Intensive", "Intermediate")</f>
      </c>
      <c r="AJ275" s="57">
        <f>IF(OR(LEFT(AH275, 1)="X", LEFT(AH275, 1)="Y", LEFT(AH275, 3)="J16M"), "CUSM", "No Match")</f>
      </c>
      <c r="AK275" s="57">
        <f>IF(AND(OR(O275=3, P275=1, Q275=1, T275=1), AJ275="no Match"), "CUSM, CHU SJ, CHUQ", "")</f>
      </c>
      <c r="AL275" s="57">
        <f>IF(AND(O275=2, ISBLANK(P275), ISBLANK(Q275), ISBLANK(R275), ISBLANK(S275), ISBLANK(T275)), "CUSM, CHU SJ, CHUS, CHUQ", "")</f>
      </c>
      <c r="AM275" s="57">
        <f>IF(AND(AJ275="no match", AK275="", AL275="", K275&lt;26), "CUSM, CHU SJ, HGJ, CHUQ, CHUS", "")</f>
      </c>
      <c r="AN275" s="57">
        <f>IF(AND(AJ275="no match", AK275="", AL275="", K275&gt;26), "CUSM, CHU SJ, HGJ, CHUQ, CHUS, HMR", "")</f>
      </c>
    </row>
    <row x14ac:dyDescent="0.25" r="276" customHeight="1" ht="17.25">
      <c r="A276" s="41" t="s">
        <v>3252</v>
      </c>
      <c r="B276" s="28">
        <v>2</v>
      </c>
      <c r="C276" s="35">
        <v>820</v>
      </c>
      <c r="D276" s="29" t="s">
        <v>69</v>
      </c>
      <c r="E276" s="30" t="s">
        <v>50</v>
      </c>
      <c r="F276" s="31">
        <v>45076</v>
      </c>
      <c r="G276" s="32">
        <v>4.75</v>
      </c>
      <c r="H276" s="31">
        <v>45076</v>
      </c>
      <c r="I276" s="32">
        <v>4.006944444444445</v>
      </c>
      <c r="J276" s="33">
        <f>F276-H276</f>
      </c>
      <c r="K276" s="28">
        <v>36</v>
      </c>
      <c r="L276" s="28">
        <v>0</v>
      </c>
      <c r="M276" s="28">
        <v>2</v>
      </c>
      <c r="N276" s="34"/>
      <c r="O276" s="34"/>
      <c r="P276" s="34"/>
      <c r="Q276" s="34"/>
      <c r="R276" s="34"/>
      <c r="S276" s="56"/>
      <c r="T276" s="34"/>
      <c r="U276" s="34"/>
      <c r="V276" s="34"/>
      <c r="W276" s="29" t="s">
        <v>74</v>
      </c>
      <c r="X276" s="28">
        <v>34</v>
      </c>
      <c r="Y276" s="28">
        <v>2</v>
      </c>
      <c r="Z276" s="28">
        <v>1</v>
      </c>
      <c r="AA276" s="28">
        <v>3</v>
      </c>
      <c r="AB276" s="28">
        <v>1</v>
      </c>
      <c r="AC276" s="28">
        <v>2</v>
      </c>
      <c r="AD276" s="28">
        <v>2</v>
      </c>
      <c r="AE276" s="28">
        <v>4</v>
      </c>
      <c r="AF276" s="28">
        <v>3</v>
      </c>
      <c r="AG276" s="28">
        <v>2</v>
      </c>
      <c r="AH276" s="29" t="s">
        <v>3253</v>
      </c>
      <c r="AI276" s="36">
        <f>IF(OR(AND(K276&lt;32, J276&lt;2), O276=1, P276=1, Q276=1, R276=1, S276=1, T276=1, U276=1, AND(W276&lt;&gt;"", W276&lt;&gt;"Oxygen", W276&lt;&gt;"LowFlow")), "Intensive", "Intermediate")</f>
      </c>
      <c r="AJ276" s="57">
        <f>IF(OR(LEFT(AH276, 1)="X", LEFT(AH276, 1)="Y", LEFT(AH276, 3)="J17M"), "CUSM", "No Match")</f>
      </c>
      <c r="AK276" s="57">
        <f>IF(AND(OR(O276=3, P276=1, Q276=1, T276=1), AJ276="no Match"), "CUSM, CHU SJ, CHUQ", "")</f>
      </c>
      <c r="AL276" s="57">
        <f>IF(AND(O276=2, ISBLANK(P276), ISBLANK(Q276), ISBLANK(R276), ISBLANK(S276), ISBLANK(T276)), "CUSM, CHU SJ, CHUS, CHUQ", "")</f>
      </c>
      <c r="AM276" s="57">
        <f>IF(AND(AJ276="no match", AK276="", AL276="", K276&lt;26), "CUSM, CHU SJ, HGJ, CHUQ, CHUS", "")</f>
      </c>
      <c r="AN276" s="57">
        <f>IF(AND(AJ276="no match", AK276="", AL276="", K276&gt;26), "CUSM, CHU SJ, HGJ, CHUQ, CHUS, HMR", "")</f>
      </c>
    </row>
    <row x14ac:dyDescent="0.25" r="277" customHeight="1" ht="17.25">
      <c r="A277" s="41" t="s">
        <v>3254</v>
      </c>
      <c r="B277" s="28">
        <v>2</v>
      </c>
      <c r="C277" s="28">
        <v>831</v>
      </c>
      <c r="D277" s="29" t="s">
        <v>313</v>
      </c>
      <c r="E277" s="30" t="s">
        <v>54</v>
      </c>
      <c r="F277" s="31">
        <v>45077</v>
      </c>
      <c r="G277" s="32">
        <v>4.8125</v>
      </c>
      <c r="H277" s="31">
        <v>45077</v>
      </c>
      <c r="I277" s="32">
        <v>4.403472222222222</v>
      </c>
      <c r="J277" s="33">
        <f>F277-H277</f>
      </c>
      <c r="K277" s="28">
        <v>38</v>
      </c>
      <c r="L277" s="28">
        <v>0</v>
      </c>
      <c r="M277" s="28">
        <v>1</v>
      </c>
      <c r="N277" s="35">
        <v>1</v>
      </c>
      <c r="O277" s="34"/>
      <c r="P277" s="34"/>
      <c r="Q277" s="34"/>
      <c r="R277" s="34"/>
      <c r="S277" s="56"/>
      <c r="T277" s="34"/>
      <c r="U277" s="34"/>
      <c r="V277" s="34"/>
      <c r="W277" s="29" t="s">
        <v>58</v>
      </c>
      <c r="X277" s="28">
        <v>28</v>
      </c>
      <c r="Y277" s="28">
        <v>1</v>
      </c>
      <c r="Z277" s="28">
        <v>1</v>
      </c>
      <c r="AA277" s="28">
        <v>1</v>
      </c>
      <c r="AB277" s="28">
        <v>1</v>
      </c>
      <c r="AC277" s="28">
        <v>2</v>
      </c>
      <c r="AD277" s="28">
        <v>2</v>
      </c>
      <c r="AE277" s="28">
        <v>4</v>
      </c>
      <c r="AF277" s="28">
        <v>2</v>
      </c>
      <c r="AG277" s="28">
        <v>2</v>
      </c>
      <c r="AH277" s="29" t="s">
        <v>3255</v>
      </c>
      <c r="AI277" s="36">
        <f>IF(OR(AND(K277&lt;32, J277&lt;2), O277=1, P277=1, Q277=1, R277=1, S277=1, T277=1, U277=1, AND(W277&lt;&gt;"", W277&lt;&gt;"Oxygen", W277&lt;&gt;"LowFlow")), "Intensive", "Intermediate")</f>
      </c>
      <c r="AJ277" s="57">
        <f>IF(OR(LEFT(AH277, 1)="X", LEFT(AH277, 1)="Y", LEFT(AH277, 3)="J18M"), "CUSM", "No Match")</f>
      </c>
      <c r="AK277" s="57">
        <f>IF(AND(OR(O277=3, P277=1, Q277=1, T277=1), AJ277="no Match"), "CUSM, CHU SJ, CHUQ", "")</f>
      </c>
      <c r="AL277" s="57">
        <f>IF(AND(O277=2, ISBLANK(P277), ISBLANK(Q277), ISBLANK(R277), ISBLANK(S277), ISBLANK(T277)), "CUSM, CHU SJ, CHUS, CHUQ", "")</f>
      </c>
      <c r="AM277" s="57">
        <f>IF(AND(AJ277="no match", AK277="", AL277="", K277&lt;26), "CUSM, CHU SJ, HGJ, CHUQ, CHUS", "")</f>
      </c>
      <c r="AN277" s="57">
        <f>IF(AND(AJ277="no match", AK277="", AL277="", K277&gt;26), "CUSM, CHU SJ, HGJ, CHUQ, CHUS, HMR", "")</f>
      </c>
    </row>
    <row x14ac:dyDescent="0.25" r="278" customHeight="1" ht="17.25">
      <c r="A278" s="41" t="s">
        <v>3256</v>
      </c>
      <c r="B278" s="28">
        <v>2</v>
      </c>
      <c r="C278" s="28">
        <v>779</v>
      </c>
      <c r="D278" s="29" t="s">
        <v>136</v>
      </c>
      <c r="E278" s="30" t="s">
        <v>54</v>
      </c>
      <c r="F278" s="31">
        <v>45077</v>
      </c>
      <c r="G278" s="32">
        <v>4.705555555555556</v>
      </c>
      <c r="H278" s="31">
        <v>45073</v>
      </c>
      <c r="I278" s="32">
        <v>4.629861111111111</v>
      </c>
      <c r="J278" s="33">
        <f>F278-H278</f>
      </c>
      <c r="K278" s="28">
        <v>40</v>
      </c>
      <c r="L278" s="28">
        <v>4</v>
      </c>
      <c r="M278" s="28">
        <v>2</v>
      </c>
      <c r="N278" s="34"/>
      <c r="O278" s="34"/>
      <c r="P278" s="34"/>
      <c r="Q278" s="34"/>
      <c r="R278" s="34"/>
      <c r="S278" s="56"/>
      <c r="T278" s="34"/>
      <c r="U278" s="34"/>
      <c r="V278" s="34"/>
      <c r="W278" s="29"/>
      <c r="X278" s="28">
        <v>35</v>
      </c>
      <c r="Y278" s="28">
        <v>1</v>
      </c>
      <c r="Z278" s="28">
        <v>1</v>
      </c>
      <c r="AA278" s="28">
        <v>2</v>
      </c>
      <c r="AB278" s="28">
        <v>1</v>
      </c>
      <c r="AC278" s="28">
        <v>2</v>
      </c>
      <c r="AD278" s="28">
        <v>2</v>
      </c>
      <c r="AE278" s="28">
        <v>4</v>
      </c>
      <c r="AF278" s="28">
        <v>2</v>
      </c>
      <c r="AG278" s="28">
        <v>3</v>
      </c>
      <c r="AH278" s="29" t="s">
        <v>3257</v>
      </c>
      <c r="AI278" s="36">
        <f>IF(OR(AND(K278&lt;32, J278&lt;2), O278=1, P278=1, Q278=1, R278=1, S278=1, T278=1, U278=1, AND(W278&lt;&gt;"", W278&lt;&gt;"Oxygen", W278&lt;&gt;"LowFlow")), "Intensive", "Intermediate")</f>
      </c>
      <c r="AJ278" s="57">
        <f>IF(OR(LEFT(AH278, 1)="X", LEFT(AH278, 1)="Y", LEFT(AH278, 3)="J19M"), "CUSM", "No Match")</f>
      </c>
      <c r="AK278" s="57">
        <f>IF(AND(OR(O278=3, P278=1, Q278=1, T278=1), AJ278="no Match"), "CUSM, CHU SJ, CHUQ", "")</f>
      </c>
      <c r="AL278" s="57">
        <f>IF(AND(O278=2, ISBLANK(P278), ISBLANK(Q278), ISBLANK(R278), ISBLANK(S278), ISBLANK(T278)), "CUSM, CHU SJ, CHUS, CHUQ", "")</f>
      </c>
      <c r="AM278" s="57">
        <f>IF(AND(AJ278="no match", AK278="", AL278="", K278&lt;26), "CUSM, CHU SJ, HGJ, CHUQ, CHUS", "")</f>
      </c>
      <c r="AN278" s="57">
        <f>IF(AND(AJ278="no match", AK278="", AL278="", K278&gt;26), "CUSM, CHU SJ, HGJ, CHUQ, CHUS, HMR", "")</f>
      </c>
    </row>
    <row x14ac:dyDescent="0.25" r="279" customHeight="1" ht="17.25">
      <c r="A279" s="41" t="s">
        <v>3258</v>
      </c>
      <c r="B279" s="28">
        <v>2</v>
      </c>
      <c r="C279" s="35">
        <v>825</v>
      </c>
      <c r="D279" s="29" t="s">
        <v>77</v>
      </c>
      <c r="E279" s="30" t="s">
        <v>54</v>
      </c>
      <c r="F279" s="31">
        <v>45077</v>
      </c>
      <c r="G279" s="32">
        <v>4.513888888888889</v>
      </c>
      <c r="H279" s="31">
        <v>45077</v>
      </c>
      <c r="I279" s="32">
        <v>4.320833333333333</v>
      </c>
      <c r="J279" s="33">
        <f>F279-H279</f>
      </c>
      <c r="K279" s="28">
        <v>39</v>
      </c>
      <c r="L279" s="28">
        <v>3</v>
      </c>
      <c r="M279" s="28">
        <v>2</v>
      </c>
      <c r="N279" s="28">
        <v>1</v>
      </c>
      <c r="O279" s="28">
        <v>2</v>
      </c>
      <c r="P279" s="28">
        <v>1</v>
      </c>
      <c r="Q279" s="34"/>
      <c r="R279" s="34"/>
      <c r="S279" s="56"/>
      <c r="T279" s="34"/>
      <c r="U279" s="34"/>
      <c r="V279" s="34"/>
      <c r="W279" s="29" t="s">
        <v>58</v>
      </c>
      <c r="X279" s="28">
        <v>35</v>
      </c>
      <c r="Y279" s="28">
        <v>1</v>
      </c>
      <c r="Z279" s="28">
        <v>2</v>
      </c>
      <c r="AA279" s="28">
        <v>3</v>
      </c>
      <c r="AB279" s="28">
        <v>4</v>
      </c>
      <c r="AC279" s="28">
        <v>1</v>
      </c>
      <c r="AD279" s="28">
        <v>1</v>
      </c>
      <c r="AE279" s="28">
        <v>4</v>
      </c>
      <c r="AF279" s="28">
        <v>2</v>
      </c>
      <c r="AG279" s="28">
        <v>3</v>
      </c>
      <c r="AH279" s="29" t="s">
        <v>3259</v>
      </c>
      <c r="AI279" s="36">
        <f>IF(OR(AND(K279&lt;32, J279&lt;2), O279=1, P279=1, Q279=1, R279=1, S279=1, T279=1, U279=1, AND(W279&lt;&gt;"", W279&lt;&gt;"Oxygen", W279&lt;&gt;"LowFlow")), "Intensive", "Intermediate")</f>
      </c>
      <c r="AJ279" s="57">
        <f>IF(OR(LEFT(AH279, 1)="X", LEFT(AH279, 1)="Y", LEFT(AH279, 3)="J20M"), "CUSM", "No Match")</f>
      </c>
      <c r="AK279" s="57">
        <f>IF(AND(OR(O279=3, P279=1, Q279=1, T279=1), AJ279="no Match"), "CUSM, CHU SJ, CHUQ", "")</f>
      </c>
      <c r="AL279" s="57">
        <f>IF(AND(O279=2, ISBLANK(P279), ISBLANK(Q279), ISBLANK(R279), ISBLANK(S279), ISBLANK(T279)), "CUSM, CHU SJ, CHUS, CHUQ", "")</f>
      </c>
      <c r="AM279" s="57">
        <f>IF(AND(AJ279="no match", AK279="", AL279="", K279&lt;26), "CUSM, CHU SJ, HGJ, CHUQ, CHUS", "")</f>
      </c>
      <c r="AN279" s="57">
        <f>IF(AND(AJ279="no match", AK279="", AL279="", K279&gt;26), "CUSM, CHU SJ, HGJ, CHUQ, CHUS, HMR", "")</f>
      </c>
    </row>
    <row x14ac:dyDescent="0.25" r="280" customHeight="1" ht="17.25">
      <c r="A280" s="41" t="s">
        <v>3260</v>
      </c>
      <c r="B280" s="28">
        <v>2</v>
      </c>
      <c r="C280" s="35">
        <v>782</v>
      </c>
      <c r="D280" s="29" t="s">
        <v>95</v>
      </c>
      <c r="E280" s="30" t="s">
        <v>50</v>
      </c>
      <c r="F280" s="31">
        <v>45077</v>
      </c>
      <c r="G280" s="32">
        <v>4.239583333333334</v>
      </c>
      <c r="H280" s="31">
        <v>45075</v>
      </c>
      <c r="I280" s="32">
        <v>4.272916666666667</v>
      </c>
      <c r="J280" s="33">
        <f>F280-H280</f>
      </c>
      <c r="K280" s="28">
        <v>37</v>
      </c>
      <c r="L280" s="28">
        <v>1</v>
      </c>
      <c r="M280" s="28">
        <v>2</v>
      </c>
      <c r="N280" s="34"/>
      <c r="O280" s="34"/>
      <c r="P280" s="34"/>
      <c r="Q280" s="34"/>
      <c r="R280" s="34"/>
      <c r="S280" s="56"/>
      <c r="T280" s="34"/>
      <c r="U280" s="34"/>
      <c r="V280" s="34"/>
      <c r="W280" s="29"/>
      <c r="X280" s="28">
        <v>33</v>
      </c>
      <c r="Y280" s="28">
        <v>1</v>
      </c>
      <c r="Z280" s="28">
        <v>1</v>
      </c>
      <c r="AA280" s="28">
        <v>3</v>
      </c>
      <c r="AB280" s="28">
        <v>1</v>
      </c>
      <c r="AC280" s="28">
        <v>2</v>
      </c>
      <c r="AD280" s="28">
        <v>2</v>
      </c>
      <c r="AE280" s="28">
        <v>4</v>
      </c>
      <c r="AF280" s="28">
        <v>3</v>
      </c>
      <c r="AG280" s="28">
        <v>2</v>
      </c>
      <c r="AH280" s="29" t="s">
        <v>3261</v>
      </c>
      <c r="AI280" s="36">
        <f>IF(OR(AND(K280&lt;32, J280&lt;2), O280=1, P280=1, Q280=1, R280=1, S280=1, T280=1, U280=1, AND(W280&lt;&gt;"", W280&lt;&gt;"Oxygen", W280&lt;&gt;"LowFlow")), "Intensive", "Intermediate")</f>
      </c>
      <c r="AJ280" s="57">
        <f>IF(OR(LEFT(AH280, 1)="X", LEFT(AH280, 1)="Y", LEFT(AH280, 3)="J21M"), "CUSM", "No Match")</f>
      </c>
      <c r="AK280" s="57">
        <f>IF(AND(OR(O280=3, P280=1, Q280=1, T280=1), AJ280="no Match"), "CUSM, CHU SJ, CHUQ", "")</f>
      </c>
      <c r="AL280" s="57">
        <f>IF(AND(O280=2, ISBLANK(P280), ISBLANK(Q280), ISBLANK(R280), ISBLANK(S280), ISBLANK(T280)), "CUSM, CHU SJ, CHUS, CHUQ", "")</f>
      </c>
      <c r="AM280" s="57">
        <f>IF(AND(AJ280="no match", AK280="", AL280="", K280&lt;26), "CUSM, CHU SJ, HGJ, CHUQ, CHUS", "")</f>
      </c>
      <c r="AN280" s="57">
        <f>IF(AND(AJ280="no match", AK280="", AL280="", K280&gt;26), "CUSM, CHU SJ, HGJ, CHUQ, CHUS, HMR", "")</f>
      </c>
    </row>
    <row x14ac:dyDescent="0.25" r="281" customHeight="1" ht="17.25">
      <c r="A281" s="41" t="s">
        <v>3262</v>
      </c>
      <c r="B281" s="28">
        <v>2</v>
      </c>
      <c r="C281" s="35">
        <v>852</v>
      </c>
      <c r="D281" s="29" t="s">
        <v>3263</v>
      </c>
      <c r="E281" s="30" t="s">
        <v>54</v>
      </c>
      <c r="F281" s="31">
        <v>45079</v>
      </c>
      <c r="G281" s="32">
        <v>4.458333333333334</v>
      </c>
      <c r="H281" s="31">
        <v>45079</v>
      </c>
      <c r="I281" s="32">
        <v>4.38125</v>
      </c>
      <c r="J281" s="33">
        <f>F281-H281</f>
      </c>
      <c r="K281" s="28">
        <v>24</v>
      </c>
      <c r="L281" s="28">
        <v>3</v>
      </c>
      <c r="M281" s="28">
        <v>1</v>
      </c>
      <c r="N281" s="34"/>
      <c r="O281" s="34"/>
      <c r="P281" s="34"/>
      <c r="Q281" s="34"/>
      <c r="R281" s="34"/>
      <c r="S281" s="56"/>
      <c r="T281" s="34"/>
      <c r="U281" s="34"/>
      <c r="V281" s="34"/>
      <c r="W281" s="29" t="s">
        <v>74</v>
      </c>
      <c r="X281" s="28">
        <v>37</v>
      </c>
      <c r="Y281" s="28">
        <v>1</v>
      </c>
      <c r="Z281" s="28">
        <v>2</v>
      </c>
      <c r="AA281" s="28">
        <v>3</v>
      </c>
      <c r="AB281" s="28">
        <v>1</v>
      </c>
      <c r="AC281" s="28">
        <v>3</v>
      </c>
      <c r="AD281" s="28">
        <v>3</v>
      </c>
      <c r="AE281" s="28">
        <v>3</v>
      </c>
      <c r="AF281" s="28">
        <v>2</v>
      </c>
      <c r="AG281" s="28">
        <v>2</v>
      </c>
      <c r="AH281" s="29" t="s">
        <v>165</v>
      </c>
      <c r="AI281" s="36">
        <f>IF(OR(AND(K281&lt;32, J281&lt;2), O281=1, P281=1, Q281=1, R281=1, S281=1, T281=1, U281=1, AND(W281&lt;&gt;"", W281&lt;&gt;"Oxygen", W281&lt;&gt;"LowFlow")), "Intensive", "Intermediate")</f>
      </c>
      <c r="AJ281" s="57">
        <f>IF(OR(LEFT(AH281, 1)="X", LEFT(AH281, 1)="Y", LEFT(AH281, 3)="J22M"), "CUSM", "No Match")</f>
      </c>
      <c r="AK281" s="57">
        <f>IF(AND(OR(O281=3, P281=1, Q281=1, T281=1), AJ281="no Match"), "CUSM, CHU SJ, CHUQ", "")</f>
      </c>
      <c r="AL281" s="57">
        <f>IF(AND(O281=2, ISBLANK(P281), ISBLANK(Q281), ISBLANK(R281), ISBLANK(S281), ISBLANK(T281)), "CUSM, CHU SJ, CHUS, CHUQ", "")</f>
      </c>
      <c r="AM281" s="57">
        <f>IF(AND(AJ281="no match", AK281="", AL281="", K281&lt;26), "CUSM, CHU SJ, HGJ, CHUQ, CHUS", "")</f>
      </c>
      <c r="AN281" s="57">
        <f>IF(AND(AJ281="no match", AK281="", AL281="", K281&gt;26), "CUSM, CHU SJ, HGJ, CHUQ, CHUS, HMR", "")</f>
      </c>
    </row>
    <row x14ac:dyDescent="0.25" r="282" customHeight="1" ht="17.25">
      <c r="A282" s="41" t="s">
        <v>3264</v>
      </c>
      <c r="B282" s="28">
        <v>2</v>
      </c>
      <c r="C282" s="28">
        <v>793</v>
      </c>
      <c r="D282" s="29" t="s">
        <v>266</v>
      </c>
      <c r="E282" s="30" t="s">
        <v>149</v>
      </c>
      <c r="F282" s="31">
        <v>45080</v>
      </c>
      <c r="G282" s="32">
        <v>4.967361111111111</v>
      </c>
      <c r="H282" s="31">
        <v>45079</v>
      </c>
      <c r="I282" s="32">
        <v>4.317361111111111</v>
      </c>
      <c r="J282" s="33">
        <f>F282-H282</f>
      </c>
      <c r="K282" s="28">
        <v>32</v>
      </c>
      <c r="L282" s="28">
        <v>0</v>
      </c>
      <c r="M282" s="28">
        <v>2</v>
      </c>
      <c r="N282" s="34"/>
      <c r="O282" s="34"/>
      <c r="P282" s="34"/>
      <c r="Q282" s="34"/>
      <c r="R282" s="34"/>
      <c r="S282" s="56"/>
      <c r="T282" s="34"/>
      <c r="U282" s="34"/>
      <c r="V282" s="34"/>
      <c r="W282" s="29" t="s">
        <v>74</v>
      </c>
      <c r="X282" s="28">
        <v>32</v>
      </c>
      <c r="Y282" s="28">
        <v>1</v>
      </c>
      <c r="Z282" s="28">
        <v>2</v>
      </c>
      <c r="AA282" s="28">
        <v>1</v>
      </c>
      <c r="AB282" s="28">
        <v>4</v>
      </c>
      <c r="AC282" s="28">
        <v>2</v>
      </c>
      <c r="AD282" s="28">
        <v>2</v>
      </c>
      <c r="AE282" s="28">
        <v>4</v>
      </c>
      <c r="AF282" s="28">
        <v>3</v>
      </c>
      <c r="AG282" s="28">
        <v>2</v>
      </c>
      <c r="AH282" s="29" t="s">
        <v>3265</v>
      </c>
      <c r="AI282" s="36">
        <f>IF(OR(AND(K282&lt;32, J282&lt;2), O282=1, P282=1, Q282=1, R282=1, S282=1, T282=1, U282=1, AND(W282&lt;&gt;"", W282&lt;&gt;"Oxygen", W282&lt;&gt;"LowFlow")), "Intensive", "Intermediate")</f>
      </c>
      <c r="AJ282" s="57">
        <f>IF(OR(LEFT(AH282, 1)="X", LEFT(AH282, 1)="Y", LEFT(AH282, 3)="J23M"), "CUSM", "No Match")</f>
      </c>
      <c r="AK282" s="57">
        <f>IF(AND(OR(O282=3, P282=1, Q282=1, T282=1), AJ282="no Match"), "CUSM, CHU SJ, CHUQ", "")</f>
      </c>
      <c r="AL282" s="57">
        <f>IF(AND(O282=2, ISBLANK(P282), ISBLANK(Q282), ISBLANK(R282), ISBLANK(S282), ISBLANK(T282)), "CUSM, CHU SJ, CHUS, CHUQ", "")</f>
      </c>
      <c r="AM282" s="57">
        <f>IF(AND(AJ282="no match", AK282="", AL282="", K282&lt;26), "CUSM, CHU SJ, HGJ, CHUQ, CHUS", "")</f>
      </c>
      <c r="AN282" s="57">
        <f>IF(AND(AJ282="no match", AK282="", AL282="", K282&gt;26), "CUSM, CHU SJ, HGJ, CHUQ, CHUS, HMR", "")</f>
      </c>
    </row>
    <row x14ac:dyDescent="0.25" r="283" customHeight="1" ht="17.25">
      <c r="A283" s="41" t="s">
        <v>3266</v>
      </c>
      <c r="B283" s="28">
        <v>2</v>
      </c>
      <c r="C283" s="35">
        <v>754</v>
      </c>
      <c r="D283" s="29" t="s">
        <v>504</v>
      </c>
      <c r="E283" s="30" t="s">
        <v>149</v>
      </c>
      <c r="F283" s="31">
        <v>45081</v>
      </c>
      <c r="G283" s="32">
        <v>4.811111111111111</v>
      </c>
      <c r="H283" s="31">
        <v>45081</v>
      </c>
      <c r="I283" s="32">
        <v>4.079166666666667</v>
      </c>
      <c r="J283" s="33">
        <f>F283-H283</f>
      </c>
      <c r="K283" s="28">
        <v>30</v>
      </c>
      <c r="L283" s="28">
        <v>0</v>
      </c>
      <c r="M283" s="28">
        <v>2</v>
      </c>
      <c r="N283" s="38"/>
      <c r="O283" s="34"/>
      <c r="P283" s="34"/>
      <c r="Q283" s="34"/>
      <c r="R283" s="34"/>
      <c r="S283" s="56"/>
      <c r="T283" s="34"/>
      <c r="U283" s="34"/>
      <c r="V283" s="34"/>
      <c r="W283" s="29" t="s">
        <v>164</v>
      </c>
      <c r="X283" s="28">
        <v>23</v>
      </c>
      <c r="Y283" s="28">
        <v>1</v>
      </c>
      <c r="Z283" s="28">
        <v>2</v>
      </c>
      <c r="AA283" s="28">
        <v>3</v>
      </c>
      <c r="AB283" s="28">
        <v>4</v>
      </c>
      <c r="AC283" s="28">
        <v>2</v>
      </c>
      <c r="AD283" s="28">
        <v>2</v>
      </c>
      <c r="AE283" s="28">
        <v>4</v>
      </c>
      <c r="AF283" s="28">
        <v>3</v>
      </c>
      <c r="AG283" s="28">
        <v>2</v>
      </c>
      <c r="AH283" s="29" t="s">
        <v>3267</v>
      </c>
      <c r="AI283" s="36">
        <f>IF(OR(AND(K283&lt;32, J283&lt;2), O283=1, P283=1, Q283=1, R283=1, S283=1, T283=1, U283=1, AND(W283&lt;&gt;"", W283&lt;&gt;"Oxygen", W283&lt;&gt;"LowFlow")), "Intensive", "Intermediate")</f>
      </c>
      <c r="AJ283" s="57">
        <f>IF(OR(LEFT(AH283, 1)="X", LEFT(AH283, 1)="Y", LEFT(AH283, 3)="J24M"), "CUSM", "No Match")</f>
      </c>
      <c r="AK283" s="57">
        <f>IF(AND(OR(O283=3, P283=1, Q283=1, T283=1), AJ283="no Match"), "CUSM, CHU SJ, CHUQ", "")</f>
      </c>
      <c r="AL283" s="57">
        <f>IF(AND(O283=2, ISBLANK(P283), ISBLANK(Q283), ISBLANK(R283), ISBLANK(S283), ISBLANK(T283)), "CUSM, CHU SJ, CHUS, CHUQ", "")</f>
      </c>
      <c r="AM283" s="57">
        <f>IF(AND(AJ283="no match", AK283="", AL283="", K283&lt;26), "CUSM, CHU SJ, HGJ, CHUQ, CHUS", "")</f>
      </c>
      <c r="AN283" s="57">
        <f>IF(AND(AJ283="no match", AK283="", AL283="", K283&gt;26), "CUSM, CHU SJ, HGJ, CHUQ, CHUS, HMR", "")</f>
      </c>
    </row>
    <row x14ac:dyDescent="0.25" r="284" customHeight="1" ht="17.25">
      <c r="A284" s="41" t="s">
        <v>3268</v>
      </c>
      <c r="B284" s="28">
        <v>2</v>
      </c>
      <c r="C284" s="28">
        <v>806</v>
      </c>
      <c r="D284" s="29" t="s">
        <v>438</v>
      </c>
      <c r="E284" s="30" t="s">
        <v>54</v>
      </c>
      <c r="F284" s="31">
        <v>45082</v>
      </c>
      <c r="G284" s="32">
        <v>4.0993055555555555</v>
      </c>
      <c r="H284" s="31">
        <v>45081</v>
      </c>
      <c r="I284" s="32">
        <v>4.865277777777777</v>
      </c>
      <c r="J284" s="33">
        <f>F284-H284</f>
      </c>
      <c r="K284" s="28">
        <v>39</v>
      </c>
      <c r="L284" s="28">
        <v>3</v>
      </c>
      <c r="M284" s="28">
        <v>1</v>
      </c>
      <c r="N284" s="35">
        <v>1</v>
      </c>
      <c r="O284" s="34"/>
      <c r="P284" s="34"/>
      <c r="Q284" s="34"/>
      <c r="R284" s="34"/>
      <c r="S284" s="56"/>
      <c r="T284" s="35">
        <v>1</v>
      </c>
      <c r="U284" s="34"/>
      <c r="V284" s="34"/>
      <c r="W284" s="29" t="s">
        <v>74</v>
      </c>
      <c r="X284" s="28">
        <v>24</v>
      </c>
      <c r="Y284" s="28">
        <v>1</v>
      </c>
      <c r="Z284" s="28">
        <v>1</v>
      </c>
      <c r="AA284" s="28">
        <v>2</v>
      </c>
      <c r="AB284" s="28">
        <v>1</v>
      </c>
      <c r="AC284" s="28">
        <v>2</v>
      </c>
      <c r="AD284" s="28">
        <v>1</v>
      </c>
      <c r="AE284" s="28">
        <v>4</v>
      </c>
      <c r="AF284" s="28">
        <v>2</v>
      </c>
      <c r="AG284" s="28">
        <v>2</v>
      </c>
      <c r="AH284" s="29" t="s">
        <v>3269</v>
      </c>
      <c r="AI284" s="36">
        <f>IF(OR(AND(K284&lt;32, J284&lt;2), O284=1, P284=1, Q284=1, R284=1, S284=1, T284=1, U284=1, AND(W284&lt;&gt;"", W284&lt;&gt;"Oxygen", W284&lt;&gt;"LowFlow")), "Intensive", "Intermediate")</f>
      </c>
      <c r="AJ284" s="57">
        <f>IF(OR(LEFT(AH284, 1)="X", LEFT(AH284, 1)="Y", LEFT(AH284, 3)="J25M"), "CUSM", "No Match")</f>
      </c>
      <c r="AK284" s="57">
        <f>IF(AND(OR(O284=3, P284=1, Q284=1, T284=1), AJ284="no Match"), "CUSM, CHU SJ, CHUQ", "")</f>
      </c>
      <c r="AL284" s="57">
        <f>IF(AND(O284=2, ISBLANK(P284), ISBLANK(Q284), ISBLANK(R284), ISBLANK(S284), ISBLANK(T284)), "CUSM, CHU SJ, CHUS, CHUQ", "")</f>
      </c>
      <c r="AM284" s="57">
        <f>IF(AND(AJ284="no match", AK284="", AL284="", K284&lt;26), "CUSM, CHU SJ, HGJ, CHUQ, CHUS", "")</f>
      </c>
      <c r="AN284" s="57">
        <f>IF(AND(AJ284="no match", AK284="", AL284="", K284&gt;26), "CUSM, CHU SJ, HGJ, CHUQ, CHUS, HMR", "")</f>
      </c>
    </row>
    <row x14ac:dyDescent="0.25" r="285" customHeight="1" ht="17.25">
      <c r="A285" s="41" t="s">
        <v>3270</v>
      </c>
      <c r="B285" s="28">
        <v>2</v>
      </c>
      <c r="C285" s="35">
        <v>839</v>
      </c>
      <c r="D285" s="29" t="s">
        <v>53</v>
      </c>
      <c r="E285" s="30" t="s">
        <v>50</v>
      </c>
      <c r="F285" s="31">
        <v>45082</v>
      </c>
      <c r="G285" s="32">
        <v>4.895833333333334</v>
      </c>
      <c r="H285" s="31">
        <v>45082</v>
      </c>
      <c r="I285" s="32">
        <v>4.754861111111111</v>
      </c>
      <c r="J285" s="33">
        <f>F285-H285</f>
      </c>
      <c r="K285" s="28">
        <v>34</v>
      </c>
      <c r="L285" s="28">
        <v>0</v>
      </c>
      <c r="M285" s="28">
        <v>1</v>
      </c>
      <c r="N285" s="38"/>
      <c r="O285" s="34"/>
      <c r="P285" s="38"/>
      <c r="Q285" s="34"/>
      <c r="R285" s="34"/>
      <c r="S285" s="56"/>
      <c r="T285" s="35">
        <v>1</v>
      </c>
      <c r="U285" s="34"/>
      <c r="V285" s="35">
        <v>1</v>
      </c>
      <c r="W285" s="29" t="s">
        <v>74</v>
      </c>
      <c r="X285" s="28">
        <v>33</v>
      </c>
      <c r="Y285" s="28">
        <v>1</v>
      </c>
      <c r="Z285" s="28">
        <v>2</v>
      </c>
      <c r="AA285" s="28">
        <v>1</v>
      </c>
      <c r="AB285" s="28">
        <v>1</v>
      </c>
      <c r="AC285" s="28">
        <v>2</v>
      </c>
      <c r="AD285" s="28">
        <v>2</v>
      </c>
      <c r="AE285" s="28">
        <v>4</v>
      </c>
      <c r="AF285" s="28">
        <v>3</v>
      </c>
      <c r="AG285" s="28">
        <v>2</v>
      </c>
      <c r="AH285" s="29" t="s">
        <v>3271</v>
      </c>
      <c r="AI285" s="36">
        <f>IF(OR(AND(K285&lt;32, J285&lt;2), O285=1, P285=1, Q285=1, R285=1, S285=1, T285=1, U285=1, AND(W285&lt;&gt;"", W285&lt;&gt;"Oxygen", W285&lt;&gt;"LowFlow")), "Intensive", "Intermediate")</f>
      </c>
      <c r="AJ285" s="57">
        <f>IF(OR(LEFT(AH285, 1)="X", LEFT(AH285, 1)="Y", LEFT(AH285, 3)="J26M"), "CUSM", "No Match")</f>
      </c>
      <c r="AK285" s="57">
        <f>IF(AND(OR(O285=3, P285=1, Q285=1, T285=1), AJ285="no Match"), "CUSM, CHU SJ, CHUQ", "")</f>
      </c>
      <c r="AL285" s="57">
        <f>IF(AND(O285=2, ISBLANK(P285), ISBLANK(Q285), ISBLANK(R285), ISBLANK(S285), ISBLANK(T285)), "CUSM, CHU SJ, CHUS, CHUQ", "")</f>
      </c>
      <c r="AM285" s="57">
        <f>IF(AND(AJ285="no match", AK285="", AL285="", K285&lt;26), "CUSM, CHU SJ, HGJ, CHUQ, CHUS", "")</f>
      </c>
      <c r="AN285" s="57">
        <f>IF(AND(AJ285="no match", AK285="", AL285="", K285&gt;26), "CUSM, CHU SJ, HGJ, CHUQ, CHUS, HMR", "")</f>
      </c>
    </row>
    <row x14ac:dyDescent="0.25" r="286" customHeight="1" ht="17.25">
      <c r="A286" s="41" t="s">
        <v>3272</v>
      </c>
      <c r="B286" s="28">
        <v>2</v>
      </c>
      <c r="C286" s="28">
        <v>748</v>
      </c>
      <c r="D286" s="29" t="s">
        <v>145</v>
      </c>
      <c r="E286" s="30" t="s">
        <v>118</v>
      </c>
      <c r="F286" s="31">
        <v>45083</v>
      </c>
      <c r="G286" s="32">
        <v>4.979166666666666</v>
      </c>
      <c r="H286" s="31">
        <v>45083</v>
      </c>
      <c r="I286" s="32">
        <v>4.553472222222222</v>
      </c>
      <c r="J286" s="33">
        <f>F286-H286</f>
      </c>
      <c r="K286" s="28">
        <v>35</v>
      </c>
      <c r="L286" s="28">
        <v>1</v>
      </c>
      <c r="M286" s="28">
        <v>2</v>
      </c>
      <c r="N286" s="34"/>
      <c r="O286" s="34"/>
      <c r="P286" s="34"/>
      <c r="Q286" s="34"/>
      <c r="R286" s="34"/>
      <c r="S286" s="56"/>
      <c r="T286" s="35">
        <v>1</v>
      </c>
      <c r="U286" s="34"/>
      <c r="V286" s="35">
        <v>1</v>
      </c>
      <c r="W286" s="29" t="s">
        <v>58</v>
      </c>
      <c r="X286" s="28">
        <v>31</v>
      </c>
      <c r="Y286" s="28">
        <v>1</v>
      </c>
      <c r="Z286" s="28">
        <v>2</v>
      </c>
      <c r="AA286" s="28">
        <v>2</v>
      </c>
      <c r="AB286" s="28">
        <v>1</v>
      </c>
      <c r="AC286" s="28">
        <v>2</v>
      </c>
      <c r="AD286" s="28">
        <v>1</v>
      </c>
      <c r="AE286" s="28">
        <v>4</v>
      </c>
      <c r="AF286" s="28">
        <v>2</v>
      </c>
      <c r="AG286" s="28">
        <v>2</v>
      </c>
      <c r="AH286" s="29" t="s">
        <v>3273</v>
      </c>
      <c r="AI286" s="36">
        <f>IF(OR(AND(K286&lt;32, J286&lt;2), O286=1, P286=1, Q286=1, R286=1, S286=1, T286=1, U286=1, AND(W286&lt;&gt;"", W286&lt;&gt;"Oxygen", W286&lt;&gt;"LowFlow")), "Intensive", "Intermediate")</f>
      </c>
      <c r="AJ286" s="57">
        <f>IF(OR(LEFT(AH286, 1)="X", LEFT(AH286, 1)="Y", LEFT(AH286, 3)="J27M"), "CUSM", "No Match")</f>
      </c>
      <c r="AK286" s="57">
        <f>IF(AND(OR(O286=3, P286=1, Q286=1, T286=1), AJ286="no Match"), "CUSM, CHU SJ, CHUQ", "")</f>
      </c>
      <c r="AL286" s="57">
        <f>IF(AND(O286=2, ISBLANK(P286), ISBLANK(Q286), ISBLANK(R286), ISBLANK(S286), ISBLANK(T286)), "CUSM, CHU SJ, CHUS, CHUQ", "")</f>
      </c>
      <c r="AM286" s="57">
        <f>IF(AND(AJ286="no match", AK286="", AL286="", K286&lt;26), "CUSM, CHU SJ, HGJ, CHUQ, CHUS", "")</f>
      </c>
      <c r="AN286" s="57">
        <f>IF(AND(AJ286="no match", AK286="", AL286="", K286&gt;26), "CUSM, CHU SJ, HGJ, CHUQ, CHUS, HMR", "")</f>
      </c>
    </row>
    <row x14ac:dyDescent="0.25" r="287" customHeight="1" ht="17.25">
      <c r="A287" s="41" t="s">
        <v>3274</v>
      </c>
      <c r="B287" s="28">
        <v>2</v>
      </c>
      <c r="C287" s="35">
        <v>796</v>
      </c>
      <c r="D287" s="29" t="s">
        <v>63</v>
      </c>
      <c r="E287" s="30" t="s">
        <v>78</v>
      </c>
      <c r="F287" s="31">
        <v>45083</v>
      </c>
      <c r="G287" s="32">
        <v>4.916666666666666</v>
      </c>
      <c r="H287" s="31">
        <v>45083</v>
      </c>
      <c r="I287" s="32">
        <v>4.698611111111111</v>
      </c>
      <c r="J287" s="33">
        <f>F287-H287</f>
      </c>
      <c r="K287" s="28">
        <v>41</v>
      </c>
      <c r="L287" s="28">
        <v>0</v>
      </c>
      <c r="M287" s="28">
        <v>2</v>
      </c>
      <c r="N287" s="38"/>
      <c r="O287" s="38"/>
      <c r="P287" s="38"/>
      <c r="Q287" s="34"/>
      <c r="R287" s="34"/>
      <c r="S287" s="56"/>
      <c r="T287" s="34"/>
      <c r="U287" s="34"/>
      <c r="V287" s="34"/>
      <c r="W287" s="29" t="s">
        <v>74</v>
      </c>
      <c r="X287" s="28">
        <v>32</v>
      </c>
      <c r="Y287" s="28">
        <v>1</v>
      </c>
      <c r="Z287" s="28">
        <v>2</v>
      </c>
      <c r="AA287" s="28">
        <v>1</v>
      </c>
      <c r="AB287" s="28">
        <v>1</v>
      </c>
      <c r="AC287" s="28">
        <v>2</v>
      </c>
      <c r="AD287" s="28">
        <v>2</v>
      </c>
      <c r="AE287" s="28">
        <v>4</v>
      </c>
      <c r="AF287" s="28">
        <v>1</v>
      </c>
      <c r="AG287" s="28">
        <v>2</v>
      </c>
      <c r="AH287" s="29" t="s">
        <v>3275</v>
      </c>
      <c r="AI287" s="36">
        <f>IF(OR(AND(K287&lt;32, J287&lt;2), O287=1, P287=1, Q287=1, R287=1, S287=1, T287=1, U287=1, AND(W287&lt;&gt;"", W287&lt;&gt;"Oxygen", W287&lt;&gt;"LowFlow")), "Intensive", "Intermediate")</f>
      </c>
      <c r="AJ287" s="57">
        <f>IF(OR(LEFT(AH287, 1)="X", LEFT(AH287, 1)="Y", LEFT(AH287, 3)="J28M"), "CUSM", "No Match")</f>
      </c>
      <c r="AK287" s="57">
        <f>IF(AND(OR(O287=3, P287=1, Q287=1, T287=1), AJ287="no Match"), "CUSM, CHU SJ, CHUQ", "")</f>
      </c>
      <c r="AL287" s="57">
        <f>IF(AND(O287=2, ISBLANK(P287), ISBLANK(Q287), ISBLANK(R287), ISBLANK(S287), ISBLANK(T287)), "CUSM, CHU SJ, CHUS, CHUQ", "")</f>
      </c>
      <c r="AM287" s="57">
        <f>IF(AND(AJ287="no match", AK287="", AL287="", K287&lt;26), "CUSM, CHU SJ, HGJ, CHUQ, CHUS", "")</f>
      </c>
      <c r="AN287" s="57">
        <f>IF(AND(AJ287="no match", AK287="", AL287="", K287&gt;26), "CUSM, CHU SJ, HGJ, CHUQ, CHUS, HMR", "")</f>
      </c>
    </row>
    <row x14ac:dyDescent="0.25" r="288" customHeight="1" ht="17.25">
      <c r="A288" s="41" t="s">
        <v>3276</v>
      </c>
      <c r="B288" s="28">
        <v>2</v>
      </c>
      <c r="C288" s="35">
        <v>824</v>
      </c>
      <c r="D288" s="29" t="s">
        <v>57</v>
      </c>
      <c r="E288" s="30" t="s">
        <v>50</v>
      </c>
      <c r="F288" s="31">
        <v>45083</v>
      </c>
      <c r="G288" s="32">
        <v>4.947916666666666</v>
      </c>
      <c r="H288" s="31">
        <v>45083</v>
      </c>
      <c r="I288" s="32">
        <v>4.743055555555555</v>
      </c>
      <c r="J288" s="33">
        <f>F288-H288</f>
      </c>
      <c r="K288" s="28">
        <v>39</v>
      </c>
      <c r="L288" s="28">
        <v>1</v>
      </c>
      <c r="M288" s="28">
        <v>1</v>
      </c>
      <c r="N288" s="34"/>
      <c r="O288" s="34"/>
      <c r="P288" s="34"/>
      <c r="Q288" s="34"/>
      <c r="R288" s="34"/>
      <c r="S288" s="56"/>
      <c r="T288" s="34"/>
      <c r="U288" s="34"/>
      <c r="V288" s="34"/>
      <c r="W288" s="29" t="s">
        <v>58</v>
      </c>
      <c r="X288" s="28">
        <v>37</v>
      </c>
      <c r="Y288" s="28">
        <v>1</v>
      </c>
      <c r="Z288" s="28">
        <v>1</v>
      </c>
      <c r="AA288" s="28">
        <v>3</v>
      </c>
      <c r="AB288" s="28">
        <v>1</v>
      </c>
      <c r="AC288" s="28">
        <v>2</v>
      </c>
      <c r="AD288" s="28">
        <v>2</v>
      </c>
      <c r="AE288" s="28">
        <v>4</v>
      </c>
      <c r="AF288" s="28">
        <v>2</v>
      </c>
      <c r="AG288" s="28">
        <v>2</v>
      </c>
      <c r="AH288" s="29" t="s">
        <v>3277</v>
      </c>
      <c r="AI288" s="36">
        <f>IF(OR(AND(K288&lt;32, J288&lt;2), O288=1, P288=1, Q288=1, R288=1, S288=1, T288=1, U288=1, AND(W288&lt;&gt;"", W288&lt;&gt;"Oxygen", W288&lt;&gt;"LowFlow")), "Intensive", "Intermediate")</f>
      </c>
      <c r="AJ288" s="57">
        <f>IF(OR(LEFT(AH288, 1)="X", LEFT(AH288, 1)="Y", LEFT(AH288, 3)="J29M"), "CUSM", "No Match")</f>
      </c>
      <c r="AK288" s="57">
        <f>IF(AND(OR(O288=3, P288=1, Q288=1, T288=1), AJ288="no Match"), "CUSM, CHU SJ, CHUQ", "")</f>
      </c>
      <c r="AL288" s="57">
        <f>IF(AND(O288=2, ISBLANK(P288), ISBLANK(Q288), ISBLANK(R288), ISBLANK(S288), ISBLANK(T288)), "CUSM, CHU SJ, CHUS, CHUQ", "")</f>
      </c>
      <c r="AM288" s="57">
        <f>IF(AND(AJ288="no match", AK288="", AL288="", K288&lt;26), "CUSM, CHU SJ, HGJ, CHUQ, CHUS", "")</f>
      </c>
      <c r="AN288" s="57">
        <f>IF(AND(AJ288="no match", AK288="", AL288="", K288&gt;26), "CUSM, CHU SJ, HGJ, CHUQ, CHUS, HMR", "")</f>
      </c>
    </row>
    <row x14ac:dyDescent="0.25" r="289" customHeight="1" ht="17.25">
      <c r="A289" s="41" t="s">
        <v>3278</v>
      </c>
      <c r="B289" s="28">
        <v>2</v>
      </c>
      <c r="C289" s="35">
        <v>825</v>
      </c>
      <c r="D289" s="29" t="s">
        <v>77</v>
      </c>
      <c r="E289" s="30" t="s">
        <v>50</v>
      </c>
      <c r="F289" s="31">
        <v>45083</v>
      </c>
      <c r="G289" s="32">
        <v>4.29375</v>
      </c>
      <c r="H289" s="31">
        <v>45083</v>
      </c>
      <c r="I289" s="32">
        <v>4.205555555555556</v>
      </c>
      <c r="J289" s="33">
        <f>F289-H289</f>
      </c>
      <c r="K289" s="28">
        <v>25</v>
      </c>
      <c r="L289" s="28">
        <v>5</v>
      </c>
      <c r="M289" s="28">
        <v>1</v>
      </c>
      <c r="N289" s="34"/>
      <c r="O289" s="34"/>
      <c r="P289" s="34"/>
      <c r="Q289" s="34"/>
      <c r="R289" s="34"/>
      <c r="S289" s="56"/>
      <c r="T289" s="34"/>
      <c r="U289" s="34"/>
      <c r="V289" s="34"/>
      <c r="W289" s="29" t="s">
        <v>58</v>
      </c>
      <c r="X289" s="28">
        <v>34</v>
      </c>
      <c r="Y289" s="28">
        <v>1</v>
      </c>
      <c r="Z289" s="28">
        <v>2</v>
      </c>
      <c r="AA289" s="28">
        <v>3</v>
      </c>
      <c r="AB289" s="28">
        <v>1</v>
      </c>
      <c r="AC289" s="28">
        <v>1</v>
      </c>
      <c r="AD289" s="28">
        <v>2</v>
      </c>
      <c r="AE289" s="28">
        <v>4</v>
      </c>
      <c r="AF289" s="28">
        <v>2</v>
      </c>
      <c r="AG289" s="28">
        <v>2</v>
      </c>
      <c r="AH289" s="29" t="s">
        <v>3279</v>
      </c>
      <c r="AI289" s="36">
        <f>IF(OR(AND(K289&lt;32, J289&lt;2), O289=1, P289=1, Q289=1, R289=1, S289=1, T289=1, U289=1, AND(W289&lt;&gt;"", W289&lt;&gt;"Oxygen", W289&lt;&gt;"LowFlow")), "Intensive", "Intermediate")</f>
      </c>
      <c r="AJ289" s="57">
        <f>IF(OR(LEFT(AH289, 1)="X", LEFT(AH289, 1)="Y", LEFT(AH289, 3)="J30M"), "CUSM", "No Match")</f>
      </c>
      <c r="AK289" s="57">
        <f>IF(AND(OR(O289=3, P289=1, Q289=1, T289=1), AJ289="no Match"), "CUSM, CHU SJ, CHUQ", "")</f>
      </c>
      <c r="AL289" s="57">
        <f>IF(AND(O289=2, ISBLANK(P289), ISBLANK(Q289), ISBLANK(R289), ISBLANK(S289), ISBLANK(T289)), "CUSM, CHU SJ, CHUS, CHUQ", "")</f>
      </c>
      <c r="AM289" s="57">
        <f>IF(AND(AJ289="no match", AK289="", AL289="", K289&lt;26), "CUSM, CHU SJ, HGJ, CHUQ, CHUS", "")</f>
      </c>
      <c r="AN289" s="57">
        <f>IF(AND(AJ289="no match", AK289="", AL289="", K289&gt;26), "CUSM, CHU SJ, HGJ, CHUQ, CHUS, HMR", "")</f>
      </c>
    </row>
    <row x14ac:dyDescent="0.25" r="290" customHeight="1" ht="17.25">
      <c r="A290" s="41" t="s">
        <v>3280</v>
      </c>
      <c r="B290" s="28">
        <v>2</v>
      </c>
      <c r="C290" s="35">
        <v>806</v>
      </c>
      <c r="D290" s="29" t="s">
        <v>438</v>
      </c>
      <c r="E290" s="30" t="s">
        <v>54</v>
      </c>
      <c r="F290" s="31">
        <v>45085</v>
      </c>
      <c r="G290" s="32">
        <v>4.131944444444445</v>
      </c>
      <c r="H290" s="31">
        <v>45084</v>
      </c>
      <c r="I290" s="32">
        <v>4.876388888888889</v>
      </c>
      <c r="J290" s="33">
        <f>F290-H290</f>
      </c>
      <c r="K290" s="28">
        <v>39</v>
      </c>
      <c r="L290" s="28">
        <v>1</v>
      </c>
      <c r="M290" s="28">
        <v>2</v>
      </c>
      <c r="N290" s="34"/>
      <c r="O290" s="34"/>
      <c r="P290" s="34"/>
      <c r="Q290" s="34"/>
      <c r="R290" s="34"/>
      <c r="S290" s="56"/>
      <c r="T290" s="35">
        <v>1</v>
      </c>
      <c r="U290" s="34"/>
      <c r="V290" s="34"/>
      <c r="W290" s="29" t="s">
        <v>74</v>
      </c>
      <c r="X290" s="28">
        <v>42</v>
      </c>
      <c r="Y290" s="28">
        <v>1</v>
      </c>
      <c r="Z290" s="28">
        <v>1</v>
      </c>
      <c r="AA290" s="28">
        <v>3</v>
      </c>
      <c r="AB290" s="28">
        <v>1</v>
      </c>
      <c r="AC290" s="28">
        <v>2</v>
      </c>
      <c r="AD290" s="28">
        <v>2</v>
      </c>
      <c r="AE290" s="28">
        <v>2</v>
      </c>
      <c r="AF290" s="28">
        <v>2</v>
      </c>
      <c r="AG290" s="28">
        <v>2</v>
      </c>
      <c r="AH290" s="29" t="s">
        <v>3281</v>
      </c>
      <c r="AI290" s="36">
        <f>IF(OR(AND(K290&lt;32, J290&lt;2), O290=1, P290=1, Q290=1, R290=1, S290=1, T290=1, U290=1, AND(W290&lt;&gt;"", W290&lt;&gt;"Oxygen", W290&lt;&gt;"LowFlow")), "Intensive", "Intermediate")</f>
      </c>
      <c r="AJ290" s="57">
        <f>IF(OR(LEFT(AH290, 1)="X", LEFT(AH290, 1)="Y", LEFT(AH290, 3)="J31M"), "CUSM", "No Match")</f>
      </c>
      <c r="AK290" s="57">
        <f>IF(AND(OR(O290=3, P290=1, Q290=1, T290=1), AJ290="no Match"), "CUSM, CHU SJ, CHUQ", "")</f>
      </c>
      <c r="AL290" s="57">
        <f>IF(AND(O290=2, ISBLANK(P290), ISBLANK(Q290), ISBLANK(R290), ISBLANK(S290), ISBLANK(T290)), "CUSM, CHU SJ, CHUS, CHUQ", "")</f>
      </c>
      <c r="AM290" s="57">
        <f>IF(AND(AJ290="no match", AK290="", AL290="", K290&lt;26), "CUSM, CHU SJ, HGJ, CHUQ, CHUS", "")</f>
      </c>
      <c r="AN290" s="57">
        <f>IF(AND(AJ290="no match", AK290="", AL290="", K290&gt;26), "CUSM, CHU SJ, HGJ, CHUQ, CHUS, HMR", "")</f>
      </c>
    </row>
    <row x14ac:dyDescent="0.25" r="291" customHeight="1" ht="17.25">
      <c r="A291" s="41" t="s">
        <v>3282</v>
      </c>
      <c r="B291" s="28">
        <v>2</v>
      </c>
      <c r="C291" s="35">
        <v>822</v>
      </c>
      <c r="D291" s="29" t="s">
        <v>167</v>
      </c>
      <c r="E291" s="30" t="s">
        <v>54</v>
      </c>
      <c r="F291" s="31">
        <v>45085</v>
      </c>
      <c r="G291" s="32">
        <v>4.363888888888889</v>
      </c>
      <c r="H291" s="31">
        <v>45083</v>
      </c>
      <c r="I291" s="32">
        <v>4.585416666666667</v>
      </c>
      <c r="J291" s="33">
        <f>F291-H291</f>
      </c>
      <c r="K291" s="28">
        <v>39</v>
      </c>
      <c r="L291" s="28">
        <v>1</v>
      </c>
      <c r="M291" s="28">
        <v>1</v>
      </c>
      <c r="N291" s="35">
        <v>1</v>
      </c>
      <c r="O291" s="34"/>
      <c r="P291" s="34"/>
      <c r="Q291" s="34"/>
      <c r="R291" s="34"/>
      <c r="S291" s="56"/>
      <c r="T291" s="34"/>
      <c r="U291" s="34"/>
      <c r="V291" s="38"/>
      <c r="W291" s="29"/>
      <c r="X291" s="28">
        <v>28</v>
      </c>
      <c r="Y291" s="28">
        <v>1</v>
      </c>
      <c r="Z291" s="28">
        <v>1</v>
      </c>
      <c r="AA291" s="28">
        <v>2</v>
      </c>
      <c r="AB291" s="28">
        <v>1</v>
      </c>
      <c r="AC291" s="28">
        <v>2</v>
      </c>
      <c r="AD291" s="28">
        <v>2</v>
      </c>
      <c r="AE291" s="28">
        <v>4</v>
      </c>
      <c r="AF291" s="28">
        <v>2</v>
      </c>
      <c r="AG291" s="28">
        <v>2</v>
      </c>
      <c r="AH291" s="29" t="s">
        <v>1176</v>
      </c>
      <c r="AI291" s="36">
        <f>IF(OR(AND(K291&lt;32, J291&lt;2), O291=1, P291=1, Q291=1, R291=1, S291=1, T291=1, U291=1, AND(W291&lt;&gt;"", W291&lt;&gt;"Oxygen", W291&lt;&gt;"LowFlow")), "Intensive", "Intermediate")</f>
      </c>
      <c r="AJ291" s="57">
        <f>IF(OR(LEFT(AH291, 1)="X", LEFT(AH291, 1)="Y", LEFT(AH291, 3)="J32M"), "CUSM", "No Match")</f>
      </c>
      <c r="AK291" s="57">
        <f>IF(AND(OR(O291=3, P291=1, Q291=1, T291=1), AJ291="no Match"), "CUSM, CHU SJ, CHUQ", "")</f>
      </c>
      <c r="AL291" s="57">
        <f>IF(AND(O291=2, ISBLANK(P291), ISBLANK(Q291), ISBLANK(R291), ISBLANK(S291), ISBLANK(T291)), "CUSM, CHU SJ, CHUS, CHUQ", "")</f>
      </c>
      <c r="AM291" s="57">
        <f>IF(AND(AJ291="no match", AK291="", AL291="", K291&lt;26), "CUSM, CHU SJ, HGJ, CHUQ, CHUS", "")</f>
      </c>
      <c r="AN291" s="57">
        <f>IF(AND(AJ291="no match", AK291="", AL291="", K291&gt;26), "CUSM, CHU SJ, HGJ, CHUQ, CHUS, HMR", "")</f>
      </c>
    </row>
    <row x14ac:dyDescent="0.25" r="292" customHeight="1" ht="17.25">
      <c r="A292" s="41" t="s">
        <v>3283</v>
      </c>
      <c r="B292" s="28">
        <v>2</v>
      </c>
      <c r="C292" s="35">
        <v>820</v>
      </c>
      <c r="D292" s="29" t="s">
        <v>69</v>
      </c>
      <c r="E292" s="30" t="s">
        <v>50</v>
      </c>
      <c r="F292" s="31">
        <v>45086</v>
      </c>
      <c r="G292" s="32">
        <v>4.729166666666666</v>
      </c>
      <c r="H292" s="31">
        <v>45084</v>
      </c>
      <c r="I292" s="32">
        <v>4.860416666666667</v>
      </c>
      <c r="J292" s="33">
        <f>F292-H292</f>
      </c>
      <c r="K292" s="28">
        <v>39</v>
      </c>
      <c r="L292" s="28">
        <v>0</v>
      </c>
      <c r="M292" s="28">
        <v>1</v>
      </c>
      <c r="N292" s="35">
        <v>1</v>
      </c>
      <c r="O292" s="34"/>
      <c r="P292" s="35">
        <v>1</v>
      </c>
      <c r="Q292" s="34"/>
      <c r="R292" s="34"/>
      <c r="S292" s="56"/>
      <c r="T292" s="34"/>
      <c r="U292" s="34"/>
      <c r="V292" s="34"/>
      <c r="W292" s="29" t="s">
        <v>58</v>
      </c>
      <c r="X292" s="28">
        <v>29</v>
      </c>
      <c r="Y292" s="28">
        <v>1</v>
      </c>
      <c r="Z292" s="28">
        <v>1</v>
      </c>
      <c r="AA292" s="28">
        <v>3</v>
      </c>
      <c r="AB292" s="28">
        <v>1</v>
      </c>
      <c r="AC292" s="28">
        <v>2</v>
      </c>
      <c r="AD292" s="28">
        <v>1</v>
      </c>
      <c r="AE292" s="28">
        <v>4</v>
      </c>
      <c r="AF292" s="28">
        <v>3</v>
      </c>
      <c r="AG292" s="28">
        <v>2</v>
      </c>
      <c r="AH292" s="29" t="s">
        <v>3284</v>
      </c>
      <c r="AI292" s="36">
        <f>IF(OR(AND(K292&lt;32, J292&lt;2), O292=1, P292=1, Q292=1, R292=1, S292=1, T292=1, U292=1, AND(W292&lt;&gt;"", W292&lt;&gt;"Oxygen", W292&lt;&gt;"LowFlow")), "Intensive", "Intermediate")</f>
      </c>
      <c r="AJ292" s="57">
        <f>IF(OR(LEFT(AH292, 1)="X", LEFT(AH292, 1)="Y", LEFT(AH292, 3)="J33M"), "CUSM", "No Match")</f>
      </c>
      <c r="AK292" s="57">
        <f>IF(AND(OR(O292=3, P292=1, Q292=1, T292=1), AJ292="no Match"), "CUSM, CHU SJ, CHUQ", "")</f>
      </c>
      <c r="AL292" s="57">
        <f>IF(AND(O292=2, ISBLANK(P292), ISBLANK(Q292), ISBLANK(R292), ISBLANK(S292), ISBLANK(T292)), "CUSM, CHU SJ, CHUS, CHUQ", "")</f>
      </c>
      <c r="AM292" s="57">
        <f>IF(AND(AJ292="no match", AK292="", AL292="", K292&lt;26), "CUSM, CHU SJ, HGJ, CHUQ, CHUS", "")</f>
      </c>
      <c r="AN292" s="57">
        <f>IF(AND(AJ292="no match", AK292="", AL292="", K292&gt;26), "CUSM, CHU SJ, HGJ, CHUQ, CHUS, HMR", "")</f>
      </c>
    </row>
    <row x14ac:dyDescent="0.25" r="293" customHeight="1" ht="17.25">
      <c r="A293" s="41" t="s">
        <v>3285</v>
      </c>
      <c r="B293" s="28">
        <v>2</v>
      </c>
      <c r="C293" s="28">
        <v>824</v>
      </c>
      <c r="D293" s="29" t="s">
        <v>57</v>
      </c>
      <c r="E293" s="30" t="s">
        <v>54</v>
      </c>
      <c r="F293" s="31">
        <v>45087</v>
      </c>
      <c r="G293" s="32">
        <v>4.741666666666667</v>
      </c>
      <c r="H293" s="31">
        <v>45083</v>
      </c>
      <c r="I293" s="32">
        <v>4.676388888888889</v>
      </c>
      <c r="J293" s="33">
        <f>F293-H293</f>
      </c>
      <c r="K293" s="28">
        <v>40</v>
      </c>
      <c r="L293" s="28">
        <v>0</v>
      </c>
      <c r="M293" s="28">
        <v>1</v>
      </c>
      <c r="N293" s="28">
        <v>1</v>
      </c>
      <c r="O293" s="35">
        <v>2</v>
      </c>
      <c r="P293" s="28">
        <v>1</v>
      </c>
      <c r="Q293" s="34"/>
      <c r="R293" s="34"/>
      <c r="S293" s="56"/>
      <c r="T293" s="38"/>
      <c r="U293" s="34"/>
      <c r="V293" s="38"/>
      <c r="W293" s="29"/>
      <c r="X293" s="28">
        <v>35</v>
      </c>
      <c r="Y293" s="28">
        <v>1</v>
      </c>
      <c r="Z293" s="28">
        <v>1</v>
      </c>
      <c r="AA293" s="28">
        <v>1</v>
      </c>
      <c r="AB293" s="28">
        <v>1</v>
      </c>
      <c r="AC293" s="28">
        <v>2</v>
      </c>
      <c r="AD293" s="28">
        <v>1</v>
      </c>
      <c r="AE293" s="28">
        <v>4</v>
      </c>
      <c r="AF293" s="28">
        <v>2</v>
      </c>
      <c r="AG293" s="28">
        <v>3</v>
      </c>
      <c r="AH293" s="29" t="s">
        <v>3286</v>
      </c>
      <c r="AI293" s="36">
        <f>IF(OR(AND(K293&lt;32, J293&lt;2), O293=1, P293=1, Q293=1, R293=1, S293=1, T293=1, U293=1, AND(W293&lt;&gt;"", W293&lt;&gt;"Oxygen", W293&lt;&gt;"LowFlow")), "Intensive", "Intermediate")</f>
      </c>
      <c r="AJ293" s="57">
        <f>IF(OR(LEFT(AH293, 1)="X", LEFT(AH293, 1)="Y", LEFT(AH293, 3)="J34M"), "CUSM", "No Match")</f>
      </c>
      <c r="AK293" s="57">
        <f>IF(AND(OR(O293=3, P293=1, Q293=1, T293=1), AJ293="no Match"), "CUSM, CHU SJ, CHUQ", "")</f>
      </c>
      <c r="AL293" s="57">
        <f>IF(AND(O293=2, ISBLANK(P293), ISBLANK(Q293), ISBLANK(R293), ISBLANK(S293), ISBLANK(T293)), "CUSM, CHU SJ, CHUS, CHUQ", "")</f>
      </c>
      <c r="AM293" s="57">
        <f>IF(AND(AJ293="no match", AK293="", AL293="", K293&lt;26), "CUSM, CHU SJ, HGJ, CHUQ, CHUS", "")</f>
      </c>
      <c r="AN293" s="57">
        <f>IF(AND(AJ293="no match", AK293="", AL293="", K293&gt;26), "CUSM, CHU SJ, HGJ, CHUQ, CHUS, HMR", "")</f>
      </c>
    </row>
    <row x14ac:dyDescent="0.25" r="294" customHeight="1" ht="17.25">
      <c r="A294" s="41" t="s">
        <v>3287</v>
      </c>
      <c r="B294" s="28">
        <v>2</v>
      </c>
      <c r="C294" s="35">
        <v>779</v>
      </c>
      <c r="D294" s="29" t="s">
        <v>136</v>
      </c>
      <c r="E294" s="30" t="s">
        <v>54</v>
      </c>
      <c r="F294" s="31">
        <v>45088</v>
      </c>
      <c r="G294" s="32">
        <v>4.602777777777778</v>
      </c>
      <c r="H294" s="31">
        <v>45087</v>
      </c>
      <c r="I294" s="32">
        <v>4.416666666666666</v>
      </c>
      <c r="J294" s="33">
        <f>F294-H294</f>
      </c>
      <c r="K294" s="28">
        <v>41</v>
      </c>
      <c r="L294" s="28">
        <v>0</v>
      </c>
      <c r="M294" s="28">
        <v>1</v>
      </c>
      <c r="N294" s="35">
        <v>1</v>
      </c>
      <c r="O294" s="34"/>
      <c r="P294" s="34"/>
      <c r="Q294" s="34"/>
      <c r="R294" s="34"/>
      <c r="S294" s="56"/>
      <c r="T294" s="34"/>
      <c r="U294" s="34"/>
      <c r="V294" s="34"/>
      <c r="W294" s="29"/>
      <c r="X294" s="28">
        <v>30</v>
      </c>
      <c r="Y294" s="28">
        <v>1</v>
      </c>
      <c r="Z294" s="28">
        <v>1</v>
      </c>
      <c r="AA294" s="28">
        <v>3</v>
      </c>
      <c r="AB294" s="28">
        <v>1</v>
      </c>
      <c r="AC294" s="28">
        <v>1</v>
      </c>
      <c r="AD294" s="28">
        <v>3</v>
      </c>
      <c r="AE294" s="28">
        <v>4</v>
      </c>
      <c r="AF294" s="28">
        <v>3</v>
      </c>
      <c r="AG294" s="28">
        <v>2</v>
      </c>
      <c r="AH294" s="29" t="s">
        <v>3288</v>
      </c>
      <c r="AI294" s="36">
        <f>IF(OR(AND(K294&lt;32, J294&lt;2), O294=1, P294=1, Q294=1, R294=1, S294=1, T294=1, U294=1, AND(W294&lt;&gt;"", W294&lt;&gt;"Oxygen", W294&lt;&gt;"LowFlow")), "Intensive", "Intermediate")</f>
      </c>
      <c r="AJ294" s="57">
        <f>IF(OR(LEFT(AH294, 1)="X", LEFT(AH294, 1)="Y", LEFT(AH294, 3)="J35M"), "CUSM", "No Match")</f>
      </c>
      <c r="AK294" s="57">
        <f>IF(AND(OR(O294=3, P294=1, Q294=1, T294=1), AJ294="no Match"), "CUSM, CHU SJ, CHUQ", "")</f>
      </c>
      <c r="AL294" s="57">
        <f>IF(AND(O294=2, ISBLANK(P294), ISBLANK(Q294), ISBLANK(R294), ISBLANK(S294), ISBLANK(T294)), "CUSM, CHU SJ, CHUS, CHUQ", "")</f>
      </c>
      <c r="AM294" s="57">
        <f>IF(AND(AJ294="no match", AK294="", AL294="", K294&lt;26), "CUSM, CHU SJ, HGJ, CHUQ, CHUS", "")</f>
      </c>
      <c r="AN294" s="57">
        <f>IF(AND(AJ294="no match", AK294="", AL294="", K294&gt;26), "CUSM, CHU SJ, HGJ, CHUQ, CHUS, HMR", "")</f>
      </c>
    </row>
    <row x14ac:dyDescent="0.25" r="295" customHeight="1" ht="17.25">
      <c r="A295" s="41" t="s">
        <v>3289</v>
      </c>
      <c r="B295" s="28">
        <v>2</v>
      </c>
      <c r="C295" s="28">
        <v>825</v>
      </c>
      <c r="D295" s="29" t="s">
        <v>77</v>
      </c>
      <c r="E295" s="30" t="s">
        <v>50</v>
      </c>
      <c r="F295" s="31">
        <v>45088</v>
      </c>
      <c r="G295" s="32">
        <v>4.076388888888889</v>
      </c>
      <c r="H295" s="31">
        <v>45087</v>
      </c>
      <c r="I295" s="32">
        <v>4.905555555555555</v>
      </c>
      <c r="J295" s="33">
        <f>F295-H295</f>
      </c>
      <c r="K295" s="28">
        <v>34</v>
      </c>
      <c r="L295" s="28">
        <v>0</v>
      </c>
      <c r="M295" s="28">
        <v>1</v>
      </c>
      <c r="N295" s="34"/>
      <c r="O295" s="34"/>
      <c r="P295" s="34"/>
      <c r="Q295" s="34"/>
      <c r="R295" s="34"/>
      <c r="S295" s="56"/>
      <c r="T295" s="34"/>
      <c r="U295" s="34"/>
      <c r="V295" s="34"/>
      <c r="W295" s="29" t="s">
        <v>74</v>
      </c>
      <c r="X295" s="28">
        <v>25</v>
      </c>
      <c r="Y295" s="28">
        <v>1</v>
      </c>
      <c r="Z295" s="28">
        <v>1</v>
      </c>
      <c r="AA295" s="28">
        <v>2</v>
      </c>
      <c r="AB295" s="28">
        <v>4</v>
      </c>
      <c r="AC295" s="28">
        <v>3</v>
      </c>
      <c r="AD295" s="28">
        <v>3</v>
      </c>
      <c r="AE295" s="28">
        <v>3</v>
      </c>
      <c r="AF295" s="28">
        <v>3</v>
      </c>
      <c r="AG295" s="28">
        <v>1</v>
      </c>
      <c r="AH295" s="29" t="s">
        <v>3290</v>
      </c>
      <c r="AI295" s="36">
        <f>IF(OR(AND(K295&lt;32, J295&lt;2), O295=1, P295=1, Q295=1, R295=1, S295=1, T295=1, U295=1, AND(W295&lt;&gt;"", W295&lt;&gt;"Oxygen", W295&lt;&gt;"LowFlow")), "Intensive", "Intermediate")</f>
      </c>
      <c r="AJ295" s="57">
        <f>IF(OR(LEFT(AH295, 1)="X", LEFT(AH295, 1)="Y", LEFT(AH295, 3)="J36M"), "CUSM", "No Match")</f>
      </c>
      <c r="AK295" s="57">
        <f>IF(AND(OR(O295=3, P295=1, Q295=1, T295=1), AJ295="no Match"), "CUSM, CHU SJ, CHUQ", "")</f>
      </c>
      <c r="AL295" s="57">
        <f>IF(AND(O295=2, ISBLANK(P295), ISBLANK(Q295), ISBLANK(R295), ISBLANK(S295), ISBLANK(T295)), "CUSM, CHU SJ, CHUS, CHUQ", "")</f>
      </c>
      <c r="AM295" s="57">
        <f>IF(AND(AJ295="no match", AK295="", AL295="", K295&lt;26), "CUSM, CHU SJ, HGJ, CHUQ, CHUS", "")</f>
      </c>
      <c r="AN295" s="57">
        <f>IF(AND(AJ295="no match", AK295="", AL295="", K295&gt;26), "CUSM, CHU SJ, HGJ, CHUQ, CHUS, HMR", "")</f>
      </c>
    </row>
    <row x14ac:dyDescent="0.25" r="296" customHeight="1" ht="17.25">
      <c r="A296" s="41" t="s">
        <v>3291</v>
      </c>
      <c r="B296" s="28">
        <v>2</v>
      </c>
      <c r="C296" s="28">
        <v>835</v>
      </c>
      <c r="D296" s="29" t="s">
        <v>170</v>
      </c>
      <c r="E296" s="30" t="s">
        <v>50</v>
      </c>
      <c r="F296" s="31">
        <v>45089</v>
      </c>
      <c r="G296" s="32">
        <v>4.222222222222222</v>
      </c>
      <c r="H296" s="31">
        <v>45089</v>
      </c>
      <c r="I296" s="32">
        <v>4.032638888888889</v>
      </c>
      <c r="J296" s="33">
        <f>F296-H296</f>
      </c>
      <c r="K296" s="28">
        <v>34</v>
      </c>
      <c r="L296" s="28">
        <v>5</v>
      </c>
      <c r="M296" s="28">
        <v>1</v>
      </c>
      <c r="N296" s="34"/>
      <c r="O296" s="34"/>
      <c r="P296" s="34"/>
      <c r="Q296" s="34"/>
      <c r="R296" s="34"/>
      <c r="S296" s="56"/>
      <c r="T296" s="35">
        <v>1</v>
      </c>
      <c r="U296" s="38"/>
      <c r="V296" s="38"/>
      <c r="W296" s="29" t="s">
        <v>74</v>
      </c>
      <c r="X296" s="28">
        <v>34</v>
      </c>
      <c r="Y296" s="28">
        <v>1</v>
      </c>
      <c r="Z296" s="28">
        <v>2</v>
      </c>
      <c r="AA296" s="28">
        <v>2</v>
      </c>
      <c r="AB296" s="28">
        <v>1</v>
      </c>
      <c r="AC296" s="28">
        <v>2</v>
      </c>
      <c r="AD296" s="28">
        <v>2</v>
      </c>
      <c r="AE296" s="28">
        <v>4</v>
      </c>
      <c r="AF296" s="28">
        <v>2</v>
      </c>
      <c r="AG296" s="28">
        <v>2</v>
      </c>
      <c r="AH296" s="29" t="s">
        <v>3292</v>
      </c>
      <c r="AI296" s="36">
        <f>IF(OR(AND(K296&lt;32, J296&lt;2), O296=1, P296=1, Q296=1, R296=1, S296=1, T296=1, U296=1, AND(W296&lt;&gt;"", W296&lt;&gt;"Oxygen", W296&lt;&gt;"LowFlow")), "Intensive", "Intermediate")</f>
      </c>
      <c r="AJ296" s="57">
        <f>IF(OR(LEFT(AH296, 1)="X", LEFT(AH296, 1)="Y", LEFT(AH296, 3)="J37M"), "CUSM", "No Match")</f>
      </c>
      <c r="AK296" s="57">
        <f>IF(AND(OR(O296=3, P296=1, Q296=1, T296=1), AJ296="no Match"), "CUSM, CHU SJ, CHUQ", "")</f>
      </c>
      <c r="AL296" s="57">
        <f>IF(AND(O296=2, ISBLANK(P296), ISBLANK(Q296), ISBLANK(R296), ISBLANK(S296), ISBLANK(T296)), "CUSM, CHU SJ, CHUS, CHUQ", "")</f>
      </c>
      <c r="AM296" s="57">
        <f>IF(AND(AJ296="no match", AK296="", AL296="", K296&lt;26), "CUSM, CHU SJ, HGJ, CHUQ, CHUS", "")</f>
      </c>
      <c r="AN296" s="57">
        <f>IF(AND(AJ296="no match", AK296="", AL296="", K296&gt;26), "CUSM, CHU SJ, HGJ, CHUQ, CHUS, HMR", "")</f>
      </c>
    </row>
    <row x14ac:dyDescent="0.25" r="297" customHeight="1" ht="17.25">
      <c r="A297" s="41" t="s">
        <v>3293</v>
      </c>
      <c r="B297" s="28">
        <v>2</v>
      </c>
      <c r="C297" s="35">
        <v>822</v>
      </c>
      <c r="D297" s="29" t="s">
        <v>167</v>
      </c>
      <c r="E297" s="30" t="s">
        <v>50</v>
      </c>
      <c r="F297" s="31">
        <v>45089</v>
      </c>
      <c r="G297" s="32">
        <v>4.8284722222222225</v>
      </c>
      <c r="H297" s="31">
        <v>45089</v>
      </c>
      <c r="I297" s="32">
        <v>4.635416666666666</v>
      </c>
      <c r="J297" s="33">
        <f>F297-H297</f>
      </c>
      <c r="K297" s="28">
        <v>39</v>
      </c>
      <c r="L297" s="28">
        <v>5</v>
      </c>
      <c r="M297" s="28">
        <v>1</v>
      </c>
      <c r="N297" s="38"/>
      <c r="O297" s="34"/>
      <c r="P297" s="34"/>
      <c r="Q297" s="34"/>
      <c r="R297" s="34"/>
      <c r="S297" s="56"/>
      <c r="T297" s="34"/>
      <c r="U297" s="34"/>
      <c r="V297" s="34"/>
      <c r="W297" s="29" t="s">
        <v>58</v>
      </c>
      <c r="X297" s="28">
        <v>26</v>
      </c>
      <c r="Y297" s="28">
        <v>1</v>
      </c>
      <c r="Z297" s="28">
        <v>1</v>
      </c>
      <c r="AA297" s="28">
        <v>2</v>
      </c>
      <c r="AB297" s="28">
        <v>1</v>
      </c>
      <c r="AC297" s="28">
        <v>2</v>
      </c>
      <c r="AD297" s="28">
        <v>2</v>
      </c>
      <c r="AE297" s="28">
        <v>4</v>
      </c>
      <c r="AF297" s="28">
        <v>1</v>
      </c>
      <c r="AG297" s="28">
        <v>2</v>
      </c>
      <c r="AH297" s="29" t="s">
        <v>3294</v>
      </c>
      <c r="AI297" s="36">
        <f>IF(OR(AND(K297&lt;32, J297&lt;2), O297=1, P297=1, Q297=1, R297=1, S297=1, T297=1, U297=1, AND(W297&lt;&gt;"", W297&lt;&gt;"Oxygen", W297&lt;&gt;"LowFlow")), "Intensive", "Intermediate")</f>
      </c>
      <c r="AJ297" s="57">
        <f>IF(OR(LEFT(AH297, 1)="X", LEFT(AH297, 1)="Y", LEFT(AH297, 3)="J38M"), "CUSM", "No Match")</f>
      </c>
      <c r="AK297" s="57">
        <f>IF(AND(OR(O297=3, P297=1, Q297=1, T297=1), AJ297="no Match"), "CUSM, CHU SJ, CHUQ", "")</f>
      </c>
      <c r="AL297" s="57">
        <f>IF(AND(O297=2, ISBLANK(P297), ISBLANK(Q297), ISBLANK(R297), ISBLANK(S297), ISBLANK(T297)), "CUSM, CHU SJ, CHUS, CHUQ", "")</f>
      </c>
      <c r="AM297" s="57">
        <f>IF(AND(AJ297="no match", AK297="", AL297="", K297&lt;26), "CUSM, CHU SJ, HGJ, CHUQ, CHUS", "")</f>
      </c>
      <c r="AN297" s="57">
        <f>IF(AND(AJ297="no match", AK297="", AL297="", K297&gt;26), "CUSM, CHU SJ, HGJ, CHUQ, CHUS, HMR", "")</f>
      </c>
    </row>
    <row x14ac:dyDescent="0.25" r="298" customHeight="1" ht="17.25">
      <c r="A298" s="41" t="s">
        <v>3295</v>
      </c>
      <c r="B298" s="28">
        <v>2</v>
      </c>
      <c r="C298" s="35">
        <v>820</v>
      </c>
      <c r="D298" s="29" t="s">
        <v>69</v>
      </c>
      <c r="E298" s="30" t="s">
        <v>50</v>
      </c>
      <c r="F298" s="31">
        <v>45089</v>
      </c>
      <c r="G298" s="32">
        <v>4.510416666666666</v>
      </c>
      <c r="H298" s="31">
        <v>45087</v>
      </c>
      <c r="I298" s="32">
        <v>4.841666666666667</v>
      </c>
      <c r="J298" s="33">
        <f>F298-H298</f>
      </c>
      <c r="K298" s="28">
        <v>41</v>
      </c>
      <c r="L298" s="28">
        <v>0</v>
      </c>
      <c r="M298" s="28">
        <v>1</v>
      </c>
      <c r="N298" s="34"/>
      <c r="O298" s="34"/>
      <c r="P298" s="34"/>
      <c r="Q298" s="34"/>
      <c r="R298" s="34"/>
      <c r="S298" s="56"/>
      <c r="T298" s="34"/>
      <c r="U298" s="34"/>
      <c r="V298" s="34"/>
      <c r="W298" s="29"/>
      <c r="X298" s="28">
        <v>32</v>
      </c>
      <c r="Y298" s="28">
        <v>1</v>
      </c>
      <c r="Z298" s="28">
        <v>1</v>
      </c>
      <c r="AA298" s="28">
        <v>2</v>
      </c>
      <c r="AB298" s="28">
        <v>1</v>
      </c>
      <c r="AC298" s="28">
        <v>2</v>
      </c>
      <c r="AD298" s="28">
        <v>2</v>
      </c>
      <c r="AE298" s="28">
        <v>4</v>
      </c>
      <c r="AF298" s="28">
        <v>2</v>
      </c>
      <c r="AG298" s="28">
        <v>2</v>
      </c>
      <c r="AH298" s="29" t="s">
        <v>3296</v>
      </c>
      <c r="AI298" s="36">
        <f>IF(OR(AND(K298&lt;32, J298&lt;2), O298=1, P298=1, Q298=1, R298=1, S298=1, T298=1, U298=1, AND(W298&lt;&gt;"", W298&lt;&gt;"Oxygen", W298&lt;&gt;"LowFlow")), "Intensive", "Intermediate")</f>
      </c>
      <c r="AJ298" s="57">
        <f>IF(OR(LEFT(AH298, 1)="X", LEFT(AH298, 1)="Y", LEFT(AH298, 3)="J39M"), "CUSM", "No Match")</f>
      </c>
      <c r="AK298" s="57">
        <f>IF(AND(OR(O298=3, P298=1, Q298=1, T298=1), AJ298="no Match"), "CUSM, CHU SJ, CHUQ", "")</f>
      </c>
      <c r="AL298" s="57">
        <f>IF(AND(O298=2, ISBLANK(P298), ISBLANK(Q298), ISBLANK(R298), ISBLANK(S298), ISBLANK(T298)), "CUSM, CHU SJ, CHUS, CHUQ", "")</f>
      </c>
      <c r="AM298" s="57">
        <f>IF(AND(AJ298="no match", AK298="", AL298="", K298&lt;26), "CUSM, CHU SJ, HGJ, CHUQ, CHUS", "")</f>
      </c>
      <c r="AN298" s="57">
        <f>IF(AND(AJ298="no match", AK298="", AL298="", K298&gt;26), "CUSM, CHU SJ, HGJ, CHUQ, CHUS, HMR", "")</f>
      </c>
    </row>
    <row x14ac:dyDescent="0.25" r="299" customHeight="1" ht="17.25">
      <c r="A299" s="41" t="s">
        <v>3297</v>
      </c>
      <c r="B299" s="28">
        <v>2</v>
      </c>
      <c r="C299" s="35">
        <v>839</v>
      </c>
      <c r="D299" s="29" t="s">
        <v>53</v>
      </c>
      <c r="E299" s="30" t="s">
        <v>78</v>
      </c>
      <c r="F299" s="31">
        <v>45090</v>
      </c>
      <c r="G299" s="32">
        <v>4.215277777777778</v>
      </c>
      <c r="H299" s="31">
        <v>45090</v>
      </c>
      <c r="I299" s="32">
        <v>4.061111111111111</v>
      </c>
      <c r="J299" s="33">
        <f>F299-H299</f>
      </c>
      <c r="K299" s="28">
        <v>39</v>
      </c>
      <c r="L299" s="28">
        <v>0</v>
      </c>
      <c r="M299" s="28">
        <v>2</v>
      </c>
      <c r="N299" s="34"/>
      <c r="O299" s="34"/>
      <c r="P299" s="34"/>
      <c r="Q299" s="34"/>
      <c r="R299" s="34"/>
      <c r="S299" s="56"/>
      <c r="T299" s="34"/>
      <c r="U299" s="34"/>
      <c r="V299" s="34"/>
      <c r="W299" s="29" t="s">
        <v>164</v>
      </c>
      <c r="X299" s="28">
        <v>38</v>
      </c>
      <c r="Y299" s="28">
        <v>1</v>
      </c>
      <c r="Z299" s="28">
        <v>1</v>
      </c>
      <c r="AA299" s="28">
        <v>2</v>
      </c>
      <c r="AB299" s="28">
        <v>1</v>
      </c>
      <c r="AC299" s="28">
        <v>2</v>
      </c>
      <c r="AD299" s="28">
        <v>2</v>
      </c>
      <c r="AE299" s="28">
        <v>4</v>
      </c>
      <c r="AF299" s="28">
        <v>2</v>
      </c>
      <c r="AG299" s="28">
        <v>2</v>
      </c>
      <c r="AH299" s="29" t="s">
        <v>3298</v>
      </c>
      <c r="AI299" s="36">
        <f>IF(OR(AND(K299&lt;32, J299&lt;2), O299=1, P299=1, Q299=1, R299=1, S299=1, T299=1, U299=1, AND(W299&lt;&gt;"", W299&lt;&gt;"Oxygen", W299&lt;&gt;"LowFlow")), "Intensive", "Intermediate")</f>
      </c>
      <c r="AJ299" s="57">
        <f>IF(OR(LEFT(AH299, 1)="X", LEFT(AH299, 1)="Y", LEFT(AH299, 3)="J40M"), "CUSM", "No Match")</f>
      </c>
      <c r="AK299" s="57">
        <f>IF(AND(OR(O299=3, P299=1, Q299=1, T299=1), AJ299="no Match"), "CUSM, CHU SJ, CHUQ", "")</f>
      </c>
      <c r="AL299" s="57">
        <f>IF(AND(O299=2, ISBLANK(P299), ISBLANK(Q299), ISBLANK(R299), ISBLANK(S299), ISBLANK(T299)), "CUSM, CHU SJ, CHUS, CHUQ", "")</f>
      </c>
      <c r="AM299" s="57">
        <f>IF(AND(AJ299="no match", AK299="", AL299="", K299&lt;26), "CUSM, CHU SJ, HGJ, CHUQ, CHUS", "")</f>
      </c>
      <c r="AN299" s="57">
        <f>IF(AND(AJ299="no match", AK299="", AL299="", K299&gt;26), "CUSM, CHU SJ, HGJ, CHUQ, CHUS, HMR", "")</f>
      </c>
    </row>
    <row x14ac:dyDescent="0.25" r="300" customHeight="1" ht="17.25">
      <c r="A300" s="41" t="s">
        <v>3299</v>
      </c>
      <c r="B300" s="28">
        <v>2</v>
      </c>
      <c r="C300" s="35">
        <v>730</v>
      </c>
      <c r="D300" s="29" t="s">
        <v>81</v>
      </c>
      <c r="E300" s="30" t="s">
        <v>50</v>
      </c>
      <c r="F300" s="31">
        <v>45091</v>
      </c>
      <c r="G300" s="32">
        <v>4.084027777777777</v>
      </c>
      <c r="H300" s="31">
        <v>45090</v>
      </c>
      <c r="I300" s="32">
        <v>4.932638888888889</v>
      </c>
      <c r="J300" s="33">
        <f>F300-H300</f>
      </c>
      <c r="K300" s="28">
        <v>40</v>
      </c>
      <c r="L300" s="28">
        <v>4</v>
      </c>
      <c r="M300" s="28">
        <v>2</v>
      </c>
      <c r="N300" s="28">
        <v>1</v>
      </c>
      <c r="O300" s="34"/>
      <c r="P300" s="28">
        <v>1</v>
      </c>
      <c r="Q300" s="34"/>
      <c r="R300" s="34"/>
      <c r="S300" s="56"/>
      <c r="T300" s="35">
        <v>1</v>
      </c>
      <c r="U300" s="34"/>
      <c r="V300" s="38"/>
      <c r="W300" s="29" t="s">
        <v>74</v>
      </c>
      <c r="X300" s="28">
        <v>32</v>
      </c>
      <c r="Y300" s="28">
        <v>1</v>
      </c>
      <c r="Z300" s="28">
        <v>2</v>
      </c>
      <c r="AA300" s="28">
        <v>1</v>
      </c>
      <c r="AB300" s="28">
        <v>2</v>
      </c>
      <c r="AC300" s="28">
        <v>2</v>
      </c>
      <c r="AD300" s="28">
        <v>2</v>
      </c>
      <c r="AE300" s="28">
        <v>4</v>
      </c>
      <c r="AF300" s="28">
        <v>3</v>
      </c>
      <c r="AG300" s="28">
        <v>2</v>
      </c>
      <c r="AH300" s="29" t="s">
        <v>3300</v>
      </c>
      <c r="AI300" s="36">
        <f>IF(OR(AND(K300&lt;32, J300&lt;2), O300=1, P300=1, Q300=1, R300=1, S300=1, T300=1, U300=1, AND(W300&lt;&gt;"", W300&lt;&gt;"Oxygen", W300&lt;&gt;"LowFlow")), "Intensive", "Intermediate")</f>
      </c>
      <c r="AJ300" s="57">
        <f>IF(OR(LEFT(AH300, 1)="X", LEFT(AH300, 1)="Y", LEFT(AH300, 3)="J41M"), "CUSM", "No Match")</f>
      </c>
      <c r="AK300" s="57">
        <f>IF(AND(OR(O300=3, P300=1, Q300=1, T300=1), AJ300="no Match"), "CUSM, CHU SJ, CHUQ", "")</f>
      </c>
      <c r="AL300" s="57">
        <f>IF(AND(O300=2, ISBLANK(P300), ISBLANK(Q300), ISBLANK(R300), ISBLANK(S300), ISBLANK(T300)), "CUSM, CHU SJ, CHUS, CHUQ", "")</f>
      </c>
      <c r="AM300" s="57">
        <f>IF(AND(AJ300="no match", AK300="", AL300="", K300&lt;26), "CUSM, CHU SJ, HGJ, CHUQ, CHUS", "")</f>
      </c>
      <c r="AN300" s="57">
        <f>IF(AND(AJ300="no match", AK300="", AL300="", K300&gt;26), "CUSM, CHU SJ, HGJ, CHUQ, CHUS, HMR", "")</f>
      </c>
    </row>
    <row x14ac:dyDescent="0.25" r="301" customHeight="1" ht="17.25">
      <c r="A301" s="41" t="s">
        <v>3301</v>
      </c>
      <c r="B301" s="28">
        <v>2</v>
      </c>
      <c r="C301" s="35">
        <v>831</v>
      </c>
      <c r="D301" s="29" t="s">
        <v>313</v>
      </c>
      <c r="E301" s="30" t="s">
        <v>50</v>
      </c>
      <c r="F301" s="31">
        <v>45091</v>
      </c>
      <c r="G301" s="32">
        <v>4.320833333333333</v>
      </c>
      <c r="H301" s="31">
        <v>45091</v>
      </c>
      <c r="I301" s="32">
        <v>4.115972222222222</v>
      </c>
      <c r="J301" s="33">
        <f>F301-H301</f>
      </c>
      <c r="K301" s="28">
        <v>41</v>
      </c>
      <c r="L301" s="28">
        <v>3</v>
      </c>
      <c r="M301" s="28">
        <v>1</v>
      </c>
      <c r="N301" s="38"/>
      <c r="O301" s="38"/>
      <c r="P301" s="34"/>
      <c r="Q301" s="34"/>
      <c r="R301" s="34"/>
      <c r="S301" s="56"/>
      <c r="T301" s="35">
        <v>1</v>
      </c>
      <c r="U301" s="38"/>
      <c r="V301" s="38"/>
      <c r="W301" s="29"/>
      <c r="X301" s="28">
        <v>28</v>
      </c>
      <c r="Y301" s="28">
        <v>1</v>
      </c>
      <c r="Z301" s="28">
        <v>2</v>
      </c>
      <c r="AA301" s="28">
        <v>1</v>
      </c>
      <c r="AB301" s="28">
        <v>1</v>
      </c>
      <c r="AC301" s="28">
        <v>2</v>
      </c>
      <c r="AD301" s="28">
        <v>1</v>
      </c>
      <c r="AE301" s="28">
        <v>4</v>
      </c>
      <c r="AF301" s="28">
        <v>1</v>
      </c>
      <c r="AG301" s="28">
        <v>2</v>
      </c>
      <c r="AH301" s="29" t="s">
        <v>3302</v>
      </c>
      <c r="AI301" s="36">
        <f>IF(OR(AND(K301&lt;32, J301&lt;2), O301=1, P301=1, Q301=1, R301=1, S301=1, T301=1, U301=1, AND(W301&lt;&gt;"", W301&lt;&gt;"Oxygen", W301&lt;&gt;"LowFlow")), "Intensive", "Intermediate")</f>
      </c>
      <c r="AJ301" s="57">
        <f>IF(OR(LEFT(AH301, 1)="X", LEFT(AH301, 1)="Y", LEFT(AH301, 3)="J42M"), "CUSM", "No Match")</f>
      </c>
      <c r="AK301" s="57">
        <f>IF(AND(OR(O301=3, P301=1, Q301=1, T301=1), AJ301="no Match"), "CUSM, CHU SJ, CHUQ", "")</f>
      </c>
      <c r="AL301" s="57">
        <f>IF(AND(O301=2, ISBLANK(P301), ISBLANK(Q301), ISBLANK(R301), ISBLANK(S301), ISBLANK(T301)), "CUSM, CHU SJ, CHUS, CHUQ", "")</f>
      </c>
      <c r="AM301" s="57">
        <f>IF(AND(AJ301="no match", AK301="", AL301="", K301&lt;26), "CUSM, CHU SJ, HGJ, CHUQ, CHUS", "")</f>
      </c>
      <c r="AN301" s="57">
        <f>IF(AND(AJ301="no match", AK301="", AL301="", K301&gt;26), "CUSM, CHU SJ, HGJ, CHUQ, CHUS, HMR", "")</f>
      </c>
    </row>
    <row x14ac:dyDescent="0.25" r="302" customHeight="1" ht="17.25">
      <c r="A302" s="41" t="s">
        <v>3303</v>
      </c>
      <c r="B302" s="28">
        <v>2</v>
      </c>
      <c r="C302" s="28">
        <v>782</v>
      </c>
      <c r="D302" s="29" t="s">
        <v>95</v>
      </c>
      <c r="E302" s="30" t="s">
        <v>50</v>
      </c>
      <c r="F302" s="31">
        <v>45092</v>
      </c>
      <c r="G302" s="32">
        <v>4.278472222222222</v>
      </c>
      <c r="H302" s="31">
        <v>45092</v>
      </c>
      <c r="I302" s="32">
        <v>4.107638888888889</v>
      </c>
      <c r="J302" s="33">
        <f>F302-H302</f>
      </c>
      <c r="K302" s="28">
        <v>40</v>
      </c>
      <c r="L302" s="28">
        <v>0</v>
      </c>
      <c r="M302" s="28">
        <v>1</v>
      </c>
      <c r="N302" s="34"/>
      <c r="O302" s="34"/>
      <c r="P302" s="34"/>
      <c r="Q302" s="34"/>
      <c r="R302" s="34"/>
      <c r="S302" s="56"/>
      <c r="T302" s="34"/>
      <c r="U302" s="34"/>
      <c r="V302" s="34"/>
      <c r="W302" s="29"/>
      <c r="X302" s="28">
        <v>31</v>
      </c>
      <c r="Y302" s="28">
        <v>1</v>
      </c>
      <c r="Z302" s="28">
        <v>2</v>
      </c>
      <c r="AA302" s="28">
        <v>1</v>
      </c>
      <c r="AB302" s="28">
        <v>1</v>
      </c>
      <c r="AC302" s="28">
        <v>2</v>
      </c>
      <c r="AD302" s="28">
        <v>2</v>
      </c>
      <c r="AE302" s="28">
        <v>3</v>
      </c>
      <c r="AF302" s="28">
        <v>2</v>
      </c>
      <c r="AG302" s="28">
        <v>2</v>
      </c>
      <c r="AH302" s="29" t="s">
        <v>3304</v>
      </c>
      <c r="AI302" s="36">
        <f>IF(OR(AND(K302&lt;32, J302&lt;2), O302=1, P302=1, Q302=1, R302=1, S302=1, T302=1, U302=1, AND(W302&lt;&gt;"", W302&lt;&gt;"Oxygen", W302&lt;&gt;"LowFlow")), "Intensive", "Intermediate")</f>
      </c>
      <c r="AJ302" s="57">
        <f>IF(OR(LEFT(AH302, 1)="X", LEFT(AH302, 1)="Y", LEFT(AH302, 3)="J43M"), "CUSM", "No Match")</f>
      </c>
      <c r="AK302" s="57">
        <f>IF(AND(OR(O302=3, P302=1, Q302=1, T302=1), AJ302="no Match"), "CUSM, CHU SJ, CHUQ", "")</f>
      </c>
      <c r="AL302" s="57">
        <f>IF(AND(O302=2, ISBLANK(P302), ISBLANK(Q302), ISBLANK(R302), ISBLANK(S302), ISBLANK(T302)), "CUSM, CHU SJ, CHUS, CHUQ", "")</f>
      </c>
      <c r="AM302" s="57">
        <f>IF(AND(AJ302="no match", AK302="", AL302="", K302&lt;26), "CUSM, CHU SJ, HGJ, CHUQ, CHUS", "")</f>
      </c>
      <c r="AN302" s="57">
        <f>IF(AND(AJ302="no match", AK302="", AL302="", K302&gt;26), "CUSM, CHU SJ, HGJ, CHUQ, CHUS, HMR", "")</f>
      </c>
    </row>
    <row x14ac:dyDescent="0.25" r="303" customHeight="1" ht="17.25">
      <c r="A303" s="41" t="s">
        <v>3305</v>
      </c>
      <c r="B303" s="28">
        <v>2</v>
      </c>
      <c r="C303" s="28">
        <v>782</v>
      </c>
      <c r="D303" s="29" t="s">
        <v>95</v>
      </c>
      <c r="E303" s="30" t="s">
        <v>78</v>
      </c>
      <c r="F303" s="31">
        <v>45093</v>
      </c>
      <c r="G303" s="32">
        <v>4.774305555555555</v>
      </c>
      <c r="H303" s="31">
        <v>45093</v>
      </c>
      <c r="I303" s="32">
        <v>4.598611111111111</v>
      </c>
      <c r="J303" s="33">
        <f>F303-H303</f>
      </c>
      <c r="K303" s="28">
        <v>29</v>
      </c>
      <c r="L303" s="28">
        <v>0</v>
      </c>
      <c r="M303" s="28">
        <v>1</v>
      </c>
      <c r="N303" s="35">
        <v>1</v>
      </c>
      <c r="O303" s="34"/>
      <c r="P303" s="35">
        <v>1</v>
      </c>
      <c r="Q303" s="34"/>
      <c r="R303" s="34"/>
      <c r="S303" s="56"/>
      <c r="T303" s="34"/>
      <c r="U303" s="34"/>
      <c r="V303" s="34"/>
      <c r="W303" s="29" t="s">
        <v>74</v>
      </c>
      <c r="X303" s="28">
        <v>37</v>
      </c>
      <c r="Y303" s="28">
        <v>2</v>
      </c>
      <c r="Z303" s="28">
        <v>1</v>
      </c>
      <c r="AA303" s="28">
        <v>1</v>
      </c>
      <c r="AB303" s="28">
        <v>4</v>
      </c>
      <c r="AC303" s="28">
        <v>2</v>
      </c>
      <c r="AD303" s="28">
        <v>1</v>
      </c>
      <c r="AE303" s="28">
        <v>4</v>
      </c>
      <c r="AF303" s="28">
        <v>3</v>
      </c>
      <c r="AG303" s="28">
        <v>2</v>
      </c>
      <c r="AH303" s="29" t="s">
        <v>3306</v>
      </c>
      <c r="AI303" s="36">
        <f>IF(OR(AND(K303&lt;32, J303&lt;2), O303=1, P303=1, Q303=1, R303=1, S303=1, T303=1, U303=1, AND(W303&lt;&gt;"", W303&lt;&gt;"Oxygen", W303&lt;&gt;"LowFlow")), "Intensive", "Intermediate")</f>
      </c>
      <c r="AJ303" s="57">
        <f>IF(OR(LEFT(AH303, 1)="X", LEFT(AH303, 1)="Y", LEFT(AH303, 3)="J44M"), "CUSM", "No Match")</f>
      </c>
      <c r="AK303" s="57">
        <f>IF(AND(OR(O303=3, P303=1, Q303=1, T303=1), AJ303="no Match"), "CUSM, CHU SJ, CHUQ", "")</f>
      </c>
      <c r="AL303" s="57">
        <f>IF(AND(O303=2, ISBLANK(P303), ISBLANK(Q303), ISBLANK(R303), ISBLANK(S303), ISBLANK(T303)), "CUSM, CHU SJ, CHUS, CHUQ", "")</f>
      </c>
      <c r="AM303" s="57">
        <f>IF(AND(AJ303="no match", AK303="", AL303="", K303&lt;26), "CUSM, CHU SJ, HGJ, CHUQ, CHUS", "")</f>
      </c>
      <c r="AN303" s="57">
        <f>IF(AND(AJ303="no match", AK303="", AL303="", K303&gt;26), "CUSM, CHU SJ, HGJ, CHUQ, CHUS, HMR", "")</f>
      </c>
    </row>
    <row x14ac:dyDescent="0.25" r="304" customHeight="1" ht="17.25">
      <c r="A304" s="41" t="s">
        <v>3307</v>
      </c>
      <c r="B304" s="28">
        <v>2</v>
      </c>
      <c r="C304" s="28">
        <v>782</v>
      </c>
      <c r="D304" s="29" t="s">
        <v>95</v>
      </c>
      <c r="E304" s="30" t="s">
        <v>78</v>
      </c>
      <c r="F304" s="31">
        <v>45093</v>
      </c>
      <c r="G304" s="32">
        <v>4.864583333333334</v>
      </c>
      <c r="H304" s="31">
        <v>45093</v>
      </c>
      <c r="I304" s="32">
        <v>4.6402777777777775</v>
      </c>
      <c r="J304" s="33">
        <f>F304-H304</f>
      </c>
      <c r="K304" s="28">
        <v>29</v>
      </c>
      <c r="L304" s="28">
        <v>0</v>
      </c>
      <c r="M304" s="28">
        <v>1</v>
      </c>
      <c r="N304" s="34"/>
      <c r="O304" s="34"/>
      <c r="P304" s="34"/>
      <c r="Q304" s="34"/>
      <c r="R304" s="34"/>
      <c r="S304" s="56"/>
      <c r="T304" s="38"/>
      <c r="U304" s="34"/>
      <c r="V304" s="34"/>
      <c r="W304" s="29" t="s">
        <v>74</v>
      </c>
      <c r="X304" s="28">
        <v>37</v>
      </c>
      <c r="Y304" s="28">
        <v>2</v>
      </c>
      <c r="Z304" s="28">
        <v>1</v>
      </c>
      <c r="AA304" s="28">
        <v>1</v>
      </c>
      <c r="AB304" s="28">
        <v>4</v>
      </c>
      <c r="AC304" s="28">
        <v>2</v>
      </c>
      <c r="AD304" s="28">
        <v>1</v>
      </c>
      <c r="AE304" s="28">
        <v>4</v>
      </c>
      <c r="AF304" s="35">
        <v>3</v>
      </c>
      <c r="AG304" s="28">
        <v>2</v>
      </c>
      <c r="AH304" s="29" t="s">
        <v>3306</v>
      </c>
      <c r="AI304" s="36">
        <f>IF(OR(AND(K304&lt;32, J304&lt;2), O304=1, P304=1, Q304=1, R304=1, S304=1, T304=1, U304=1, AND(W304&lt;&gt;"", W304&lt;&gt;"Oxygen", W304&lt;&gt;"LowFlow")), "Intensive", "Intermediate")</f>
      </c>
      <c r="AJ304" s="57">
        <f>IF(OR(LEFT(AH304, 1)="X", LEFT(AH304, 1)="Y", LEFT(AH304, 3)="J45M"), "CUSM", "No Match")</f>
      </c>
      <c r="AK304" s="57">
        <f>IF(AND(OR(O304=3, P304=1, Q304=1, T304=1), AJ304="no Match"), "CUSM, CHU SJ, CHUQ", "")</f>
      </c>
      <c r="AL304" s="57">
        <f>IF(AND(O304=2, ISBLANK(P304), ISBLANK(Q304), ISBLANK(R304), ISBLANK(S304), ISBLANK(T304)), "CUSM, CHU SJ, CHUS, CHUQ", "")</f>
      </c>
      <c r="AM304" s="57">
        <f>IF(AND(AJ304="no match", AK304="", AL304="", K304&lt;26), "CUSM, CHU SJ, HGJ, CHUQ, CHUS", "")</f>
      </c>
      <c r="AN304" s="57">
        <f>IF(AND(AJ304="no match", AK304="", AL304="", K304&gt;26), "CUSM, CHU SJ, HGJ, CHUQ, CHUS, HMR", "")</f>
      </c>
    </row>
    <row x14ac:dyDescent="0.25" r="305" customHeight="1" ht="17.25">
      <c r="A305" s="41" t="s">
        <v>3308</v>
      </c>
      <c r="B305" s="28">
        <v>2</v>
      </c>
      <c r="C305" s="35">
        <v>824</v>
      </c>
      <c r="D305" s="29" t="s">
        <v>57</v>
      </c>
      <c r="E305" s="30" t="s">
        <v>50</v>
      </c>
      <c r="F305" s="31">
        <v>45093</v>
      </c>
      <c r="G305" s="32">
        <v>4.590277777777778</v>
      </c>
      <c r="H305" s="31">
        <v>45092</v>
      </c>
      <c r="I305" s="32">
        <v>4.329861111111111</v>
      </c>
      <c r="J305" s="33">
        <f>F305-H305</f>
      </c>
      <c r="K305" s="28">
        <v>38</v>
      </c>
      <c r="L305" s="28">
        <v>2</v>
      </c>
      <c r="M305" s="28">
        <v>1</v>
      </c>
      <c r="N305" s="35">
        <v>1</v>
      </c>
      <c r="O305" s="35">
        <v>2</v>
      </c>
      <c r="P305" s="35">
        <v>1</v>
      </c>
      <c r="Q305" s="34"/>
      <c r="R305" s="34"/>
      <c r="S305" s="56"/>
      <c r="T305" s="34"/>
      <c r="U305" s="34"/>
      <c r="V305" s="34"/>
      <c r="W305" s="29"/>
      <c r="X305" s="28">
        <v>33</v>
      </c>
      <c r="Y305" s="28">
        <v>1</v>
      </c>
      <c r="Z305" s="28">
        <v>1</v>
      </c>
      <c r="AA305" s="28">
        <v>2</v>
      </c>
      <c r="AB305" s="28">
        <v>1</v>
      </c>
      <c r="AC305" s="28">
        <v>2</v>
      </c>
      <c r="AD305" s="28">
        <v>1</v>
      </c>
      <c r="AE305" s="28">
        <v>3</v>
      </c>
      <c r="AF305" s="28">
        <v>3</v>
      </c>
      <c r="AG305" s="28">
        <v>2</v>
      </c>
      <c r="AH305" s="29" t="s">
        <v>3309</v>
      </c>
      <c r="AI305" s="36">
        <f>IF(OR(AND(K305&lt;32, J305&lt;2), O305=1, P305=1, Q305=1, R305=1, S305=1, T305=1, U305=1, AND(W305&lt;&gt;"", W305&lt;&gt;"Oxygen", W305&lt;&gt;"LowFlow")), "Intensive", "Intermediate")</f>
      </c>
      <c r="AJ305" s="57">
        <f>IF(OR(LEFT(AH305, 1)="X", LEFT(AH305, 1)="Y", LEFT(AH305, 3)="J46M"), "CUSM", "No Match")</f>
      </c>
      <c r="AK305" s="57">
        <f>IF(AND(OR(O305=3, P305=1, Q305=1, T305=1), AJ305="no Match"), "CUSM, CHU SJ, CHUQ", "")</f>
      </c>
      <c r="AL305" s="57">
        <f>IF(AND(O305=2, ISBLANK(P305), ISBLANK(Q305), ISBLANK(R305), ISBLANK(S305), ISBLANK(T305)), "CUSM, CHU SJ, CHUS, CHUQ", "")</f>
      </c>
      <c r="AM305" s="57">
        <f>IF(AND(AJ305="no match", AK305="", AL305="", K305&lt;26), "CUSM, CHU SJ, HGJ, CHUQ, CHUS", "")</f>
      </c>
      <c r="AN305" s="57">
        <f>IF(AND(AJ305="no match", AK305="", AL305="", K305&gt;26), "CUSM, CHU SJ, HGJ, CHUQ, CHUS, HMR", "")</f>
      </c>
    </row>
    <row x14ac:dyDescent="0.25" r="306" customHeight="1" ht="17.25">
      <c r="A306" s="41" t="s">
        <v>3310</v>
      </c>
      <c r="B306" s="28">
        <v>2</v>
      </c>
      <c r="C306" s="28">
        <v>779</v>
      </c>
      <c r="D306" s="29" t="s">
        <v>136</v>
      </c>
      <c r="E306" s="30" t="s">
        <v>50</v>
      </c>
      <c r="F306" s="31">
        <v>45093</v>
      </c>
      <c r="G306" s="32">
        <v>4.420138888888889</v>
      </c>
      <c r="H306" s="31">
        <v>45093</v>
      </c>
      <c r="I306" s="32">
        <v>4.204861111111111</v>
      </c>
      <c r="J306" s="33">
        <f>F306-H306</f>
      </c>
      <c r="K306" s="28">
        <v>41</v>
      </c>
      <c r="L306" s="28">
        <v>1</v>
      </c>
      <c r="M306" s="28">
        <v>1</v>
      </c>
      <c r="N306" s="28">
        <v>1</v>
      </c>
      <c r="O306" s="35">
        <v>2</v>
      </c>
      <c r="P306" s="28">
        <v>1</v>
      </c>
      <c r="Q306" s="34"/>
      <c r="R306" s="35">
        <v>1</v>
      </c>
      <c r="S306" s="56"/>
      <c r="T306" s="34"/>
      <c r="U306" s="34"/>
      <c r="V306" s="34"/>
      <c r="W306" s="29" t="s">
        <v>74</v>
      </c>
      <c r="X306" s="28">
        <v>35</v>
      </c>
      <c r="Y306" s="28">
        <v>1</v>
      </c>
      <c r="Z306" s="28">
        <v>2</v>
      </c>
      <c r="AA306" s="28">
        <v>1</v>
      </c>
      <c r="AB306" s="28">
        <v>1</v>
      </c>
      <c r="AC306" s="28">
        <v>2</v>
      </c>
      <c r="AD306" s="28">
        <v>2</v>
      </c>
      <c r="AE306" s="28">
        <v>4</v>
      </c>
      <c r="AF306" s="28">
        <v>2</v>
      </c>
      <c r="AG306" s="28">
        <v>2</v>
      </c>
      <c r="AH306" s="29" t="s">
        <v>3311</v>
      </c>
      <c r="AI306" s="36">
        <f>IF(OR(AND(K306&lt;32, J306&lt;2), O306=1, P306=1, Q306=1, R306=1, S306=1, T306=1, U306=1, AND(W306&lt;&gt;"", W306&lt;&gt;"Oxygen", W306&lt;&gt;"LowFlow")), "Intensive", "Intermediate")</f>
      </c>
      <c r="AJ306" s="57">
        <f>IF(OR(LEFT(AH306, 1)="X", LEFT(AH306, 1)="Y", LEFT(AH306, 3)="J47M"), "CUSM", "No Match")</f>
      </c>
      <c r="AK306" s="57">
        <f>IF(AND(OR(O306=3, P306=1, Q306=1, T306=1), AJ306="no Match"), "CUSM, CHU SJ, CHUQ", "")</f>
      </c>
      <c r="AL306" s="57">
        <f>IF(AND(O306=2, ISBLANK(P306), ISBLANK(Q306), ISBLANK(R306), ISBLANK(S306), ISBLANK(T306)), "CUSM, CHU SJ, CHUS, CHUQ", "")</f>
      </c>
      <c r="AM306" s="57">
        <f>IF(AND(AJ306="no match", AK306="", AL306="", K306&lt;26), "CUSM, CHU SJ, HGJ, CHUQ, CHUS", "")</f>
      </c>
      <c r="AN306" s="57">
        <f>IF(AND(AJ306="no match", AK306="", AL306="", K306&gt;26), "CUSM, CHU SJ, HGJ, CHUQ, CHUS, HMR", "")</f>
      </c>
    </row>
    <row x14ac:dyDescent="0.25" r="307" customHeight="1" ht="17.25">
      <c r="A307" s="41" t="s">
        <v>3312</v>
      </c>
      <c r="B307" s="28">
        <v>2</v>
      </c>
      <c r="C307" s="35">
        <v>817</v>
      </c>
      <c r="D307" s="29" t="s">
        <v>163</v>
      </c>
      <c r="E307" s="30" t="s">
        <v>220</v>
      </c>
      <c r="F307" s="31">
        <v>45093</v>
      </c>
      <c r="G307" s="32">
        <v>4.71875</v>
      </c>
      <c r="H307" s="31">
        <v>45093</v>
      </c>
      <c r="I307" s="32">
        <v>4.522222222222222</v>
      </c>
      <c r="J307" s="33">
        <f>F307-H307</f>
      </c>
      <c r="K307" s="28">
        <v>28</v>
      </c>
      <c r="L307" s="28">
        <v>0</v>
      </c>
      <c r="M307" s="28">
        <v>1</v>
      </c>
      <c r="N307" s="34"/>
      <c r="O307" s="34"/>
      <c r="P307" s="34"/>
      <c r="Q307" s="34"/>
      <c r="R307" s="34"/>
      <c r="S307" s="56"/>
      <c r="T307" s="34"/>
      <c r="U307" s="34"/>
      <c r="V307" s="34"/>
      <c r="W307" s="29" t="s">
        <v>74</v>
      </c>
      <c r="X307" s="28">
        <v>38</v>
      </c>
      <c r="Y307" s="28">
        <v>1</v>
      </c>
      <c r="Z307" s="28">
        <v>1</v>
      </c>
      <c r="AA307" s="28">
        <v>2</v>
      </c>
      <c r="AB307" s="28">
        <v>1</v>
      </c>
      <c r="AC307" s="28">
        <v>2</v>
      </c>
      <c r="AD307" s="28">
        <v>2</v>
      </c>
      <c r="AE307" s="28">
        <v>4</v>
      </c>
      <c r="AF307" s="28">
        <v>2</v>
      </c>
      <c r="AG307" s="28">
        <v>2</v>
      </c>
      <c r="AH307" s="29" t="s">
        <v>3313</v>
      </c>
      <c r="AI307" s="36">
        <f>IF(OR(AND(K307&lt;32, J307&lt;2), O307=1, P307=1, Q307=1, R307=1, S307=1, T307=1, U307=1, AND(W307&lt;&gt;"", W307&lt;&gt;"Oxygen", W307&lt;&gt;"LowFlow")), "Intensive", "Intermediate")</f>
      </c>
      <c r="AJ307" s="57">
        <f>IF(OR(LEFT(AH307, 1)="X", LEFT(AH307, 1)="Y", LEFT(AH307, 3)="J48M"), "CUSM", "No Match")</f>
      </c>
      <c r="AK307" s="57">
        <f>IF(AND(OR(O307=3, P307=1, Q307=1, T307=1), AJ307="no Match"), "CUSM, CHU SJ, CHUQ", "")</f>
      </c>
      <c r="AL307" s="57">
        <f>IF(AND(O307=2, ISBLANK(P307), ISBLANK(Q307), ISBLANK(R307), ISBLANK(S307), ISBLANK(T307)), "CUSM, CHU SJ, CHUS, CHUQ", "")</f>
      </c>
      <c r="AM307" s="57">
        <f>IF(AND(AJ307="no match", AK307="", AL307="", K307&lt;26), "CUSM, CHU SJ, HGJ, CHUQ, CHUS", "")</f>
      </c>
      <c r="AN307" s="57">
        <f>IF(AND(AJ307="no match", AK307="", AL307="", K307&gt;26), "CUSM, CHU SJ, HGJ, CHUQ, CHUS, HMR", "")</f>
      </c>
    </row>
    <row x14ac:dyDescent="0.25" r="308" customHeight="1" ht="17.25">
      <c r="A308" s="41" t="s">
        <v>3314</v>
      </c>
      <c r="B308" s="28">
        <v>2</v>
      </c>
      <c r="C308" s="28">
        <v>839</v>
      </c>
      <c r="D308" s="29" t="s">
        <v>53</v>
      </c>
      <c r="E308" s="30" t="s">
        <v>50</v>
      </c>
      <c r="F308" s="31">
        <v>45094</v>
      </c>
      <c r="G308" s="32">
        <v>4.065972222222222</v>
      </c>
      <c r="H308" s="31">
        <v>45093</v>
      </c>
      <c r="I308" s="32">
        <v>4.4430555555555555</v>
      </c>
      <c r="J308" s="33">
        <f>F308-H308</f>
      </c>
      <c r="K308" s="28">
        <v>40</v>
      </c>
      <c r="L308" s="28">
        <v>0</v>
      </c>
      <c r="M308" s="28">
        <v>2</v>
      </c>
      <c r="N308" s="38"/>
      <c r="O308" s="38"/>
      <c r="P308" s="38"/>
      <c r="Q308" s="34"/>
      <c r="R308" s="34"/>
      <c r="S308" s="56"/>
      <c r="T308" s="34"/>
      <c r="U308" s="34"/>
      <c r="V308" s="34"/>
      <c r="W308" s="29"/>
      <c r="X308" s="28">
        <v>40</v>
      </c>
      <c r="Y308" s="28">
        <v>1</v>
      </c>
      <c r="Z308" s="28">
        <v>1</v>
      </c>
      <c r="AA308" s="28">
        <v>2</v>
      </c>
      <c r="AB308" s="28">
        <v>1</v>
      </c>
      <c r="AC308" s="28">
        <v>2</v>
      </c>
      <c r="AD308" s="28">
        <v>2</v>
      </c>
      <c r="AE308" s="28">
        <v>4</v>
      </c>
      <c r="AF308" s="28">
        <v>2</v>
      </c>
      <c r="AG308" s="28">
        <v>2</v>
      </c>
      <c r="AH308" s="29" t="s">
        <v>3315</v>
      </c>
      <c r="AI308" s="36">
        <f>IF(OR(AND(K308&lt;32, J308&lt;2), O308=1, P308=1, Q308=1, R308=1, S308=1, T308=1, U308=1, AND(W308&lt;&gt;"", W308&lt;&gt;"Oxygen", W308&lt;&gt;"LowFlow")), "Intensive", "Intermediate")</f>
      </c>
      <c r="AJ308" s="57">
        <f>IF(OR(LEFT(AH308, 1)="X", LEFT(AH308, 1)="Y", LEFT(AH308, 3)="J49M"), "CUSM", "No Match")</f>
      </c>
      <c r="AK308" s="57">
        <f>IF(AND(OR(O308=3, P308=1, Q308=1, T308=1), AJ308="no Match"), "CUSM, CHU SJ, CHUQ", "")</f>
      </c>
      <c r="AL308" s="57">
        <f>IF(AND(O308=2, ISBLANK(P308), ISBLANK(Q308), ISBLANK(R308), ISBLANK(S308), ISBLANK(T308)), "CUSM, CHU SJ, CHUS, CHUQ", "")</f>
      </c>
      <c r="AM308" s="57">
        <f>IF(AND(AJ308="no match", AK308="", AL308="", K308&lt;26), "CUSM, CHU SJ, HGJ, CHUQ, CHUS", "")</f>
      </c>
      <c r="AN308" s="57">
        <f>IF(AND(AJ308="no match", AK308="", AL308="", K308&gt;26), "CUSM, CHU SJ, HGJ, CHUQ, CHUS, HMR", "")</f>
      </c>
    </row>
    <row x14ac:dyDescent="0.25" r="309" customHeight="1" ht="17.25">
      <c r="A309" s="41" t="s">
        <v>3316</v>
      </c>
      <c r="B309" s="28">
        <v>2</v>
      </c>
      <c r="C309" s="35">
        <v>727</v>
      </c>
      <c r="D309" s="29" t="s">
        <v>992</v>
      </c>
      <c r="E309" s="30" t="s">
        <v>50</v>
      </c>
      <c r="F309" s="31">
        <v>45096</v>
      </c>
      <c r="G309" s="32">
        <v>4.9319444444444445</v>
      </c>
      <c r="H309" s="31">
        <v>45092</v>
      </c>
      <c r="I309" s="32">
        <v>4.333333333333334</v>
      </c>
      <c r="J309" s="33">
        <f>F309-H309</f>
      </c>
      <c r="K309" s="28">
        <v>38</v>
      </c>
      <c r="L309" s="28">
        <v>2</v>
      </c>
      <c r="M309" s="28">
        <v>2</v>
      </c>
      <c r="N309" s="38"/>
      <c r="O309" s="38"/>
      <c r="P309" s="38"/>
      <c r="Q309" s="34"/>
      <c r="R309" s="34"/>
      <c r="S309" s="56"/>
      <c r="T309" s="34"/>
      <c r="U309" s="34"/>
      <c r="V309" s="34"/>
      <c r="W309" s="29"/>
      <c r="X309" s="28">
        <v>33</v>
      </c>
      <c r="Y309" s="28">
        <v>1</v>
      </c>
      <c r="Z309" s="28">
        <v>1</v>
      </c>
      <c r="AA309" s="28">
        <v>3</v>
      </c>
      <c r="AB309" s="28">
        <v>1</v>
      </c>
      <c r="AC309" s="28">
        <v>2</v>
      </c>
      <c r="AD309" s="28">
        <v>2</v>
      </c>
      <c r="AE309" s="28">
        <v>4</v>
      </c>
      <c r="AF309" s="28">
        <v>3</v>
      </c>
      <c r="AG309" s="28">
        <v>2</v>
      </c>
      <c r="AH309" s="29" t="s">
        <v>3317</v>
      </c>
      <c r="AI309" s="36">
        <f>IF(OR(AND(K309&lt;32, J309&lt;2), O309=1, P309=1, Q309=1, R309=1, S309=1, T309=1, U309=1, AND(W309&lt;&gt;"", W309&lt;&gt;"Oxygen", W309&lt;&gt;"LowFlow")), "Intensive", "Intermediate")</f>
      </c>
      <c r="AJ309" s="57">
        <f>IF(OR(LEFT(AH309, 1)="X", LEFT(AH309, 1)="Y", LEFT(AH309, 3)="J50M"), "CUSM", "No Match")</f>
      </c>
      <c r="AK309" s="57">
        <f>IF(AND(OR(O309=3, P309=1, Q309=1, T309=1), AJ309="no Match"), "CUSM, CHU SJ, CHUQ", "")</f>
      </c>
      <c r="AL309" s="57">
        <f>IF(AND(O309=2, ISBLANK(P309), ISBLANK(Q309), ISBLANK(R309), ISBLANK(S309), ISBLANK(T309)), "CUSM, CHU SJ, CHUS, CHUQ", "")</f>
      </c>
      <c r="AM309" s="57">
        <f>IF(AND(AJ309="no match", AK309="", AL309="", K309&lt;26), "CUSM, CHU SJ, HGJ, CHUQ, CHUS", "")</f>
      </c>
      <c r="AN309" s="57">
        <f>IF(AND(AJ309="no match", AK309="", AL309="", K309&gt;26), "CUSM, CHU SJ, HGJ, CHUQ, CHUS, HMR", "")</f>
      </c>
    </row>
    <row x14ac:dyDescent="0.25" r="310" customHeight="1" ht="17.25">
      <c r="A310" s="41" t="s">
        <v>3318</v>
      </c>
      <c r="B310" s="28">
        <v>2</v>
      </c>
      <c r="C310" s="35">
        <v>839</v>
      </c>
      <c r="D310" s="29" t="s">
        <v>53</v>
      </c>
      <c r="E310" s="30" t="s">
        <v>54</v>
      </c>
      <c r="F310" s="31">
        <v>45097</v>
      </c>
      <c r="G310" s="40">
        <v>4.5625</v>
      </c>
      <c r="H310" s="31">
        <v>45095</v>
      </c>
      <c r="I310" s="32">
        <v>4.888888888888889</v>
      </c>
      <c r="J310" s="33">
        <f>F310-H310</f>
      </c>
      <c r="K310" s="28">
        <v>37</v>
      </c>
      <c r="L310" s="28">
        <v>2</v>
      </c>
      <c r="M310" s="28">
        <v>2</v>
      </c>
      <c r="N310" s="34"/>
      <c r="O310" s="34"/>
      <c r="P310" s="34"/>
      <c r="Q310" s="34"/>
      <c r="R310" s="34"/>
      <c r="S310" s="56"/>
      <c r="T310" s="34"/>
      <c r="U310" s="34"/>
      <c r="V310" s="34"/>
      <c r="W310" s="29"/>
      <c r="X310" s="28">
        <v>32</v>
      </c>
      <c r="Y310" s="28">
        <v>1</v>
      </c>
      <c r="Z310" s="28">
        <v>1</v>
      </c>
      <c r="AA310" s="28">
        <v>2</v>
      </c>
      <c r="AB310" s="28">
        <v>1</v>
      </c>
      <c r="AC310" s="28">
        <v>2</v>
      </c>
      <c r="AD310" s="28">
        <v>2</v>
      </c>
      <c r="AE310" s="28">
        <v>4</v>
      </c>
      <c r="AF310" s="28">
        <v>2</v>
      </c>
      <c r="AG310" s="28">
        <v>2</v>
      </c>
      <c r="AH310" s="29" t="s">
        <v>3319</v>
      </c>
      <c r="AI310" s="36">
        <f>IF(OR(AND(K310&lt;32, J310&lt;2), O310=1, P310=1, Q310=1, R310=1, S310=1, T310=1, U310=1, AND(W310&lt;&gt;"", W310&lt;&gt;"Oxygen", W310&lt;&gt;"LowFlow")), "Intensive", "Intermediate")</f>
      </c>
      <c r="AJ310" s="57">
        <f>IF(OR(LEFT(AH310, 1)="X", LEFT(AH310, 1)="Y", LEFT(AH310, 3)="J51M"), "CUSM", "No Match")</f>
      </c>
      <c r="AK310" s="57">
        <f>IF(AND(OR(O310=3, P310=1, Q310=1, T310=1), AJ310="no Match"), "CUSM, CHU SJ, CHUQ", "")</f>
      </c>
      <c r="AL310" s="57">
        <f>IF(AND(O310=2, ISBLANK(P310), ISBLANK(Q310), ISBLANK(R310), ISBLANK(S310), ISBLANK(T310)), "CUSM, CHU SJ, CHUS, CHUQ", "")</f>
      </c>
      <c r="AM310" s="57">
        <f>IF(AND(AJ310="no match", AK310="", AL310="", K310&lt;26), "CUSM, CHU SJ, HGJ, CHUQ, CHUS", "")</f>
      </c>
      <c r="AN310" s="57">
        <f>IF(AND(AJ310="no match", AK310="", AL310="", K310&gt;26), "CUSM, CHU SJ, HGJ, CHUQ, CHUS, HMR", "")</f>
      </c>
    </row>
    <row x14ac:dyDescent="0.25" r="311" customHeight="1" ht="17.25">
      <c r="A311" s="41" t="s">
        <v>3320</v>
      </c>
      <c r="B311" s="28">
        <v>2</v>
      </c>
      <c r="C311" s="35">
        <v>820</v>
      </c>
      <c r="D311" s="29" t="s">
        <v>69</v>
      </c>
      <c r="E311" s="30" t="s">
        <v>54</v>
      </c>
      <c r="F311" s="31">
        <v>45099</v>
      </c>
      <c r="G311" s="32">
        <v>4.154861111111111</v>
      </c>
      <c r="H311" s="31">
        <v>45097</v>
      </c>
      <c r="I311" s="32">
        <v>4.4118055555555555</v>
      </c>
      <c r="J311" s="33">
        <f>F311-H311</f>
      </c>
      <c r="K311" s="28">
        <v>36</v>
      </c>
      <c r="L311" s="28">
        <v>5</v>
      </c>
      <c r="M311" s="28">
        <v>1</v>
      </c>
      <c r="N311" s="28">
        <v>1</v>
      </c>
      <c r="O311" s="38"/>
      <c r="P311" s="38"/>
      <c r="Q311" s="34"/>
      <c r="R311" s="34"/>
      <c r="S311" s="56"/>
      <c r="T311" s="34"/>
      <c r="U311" s="34"/>
      <c r="V311" s="38"/>
      <c r="W311" s="29"/>
      <c r="X311" s="28">
        <v>27</v>
      </c>
      <c r="Y311" s="28">
        <v>2</v>
      </c>
      <c r="Z311" s="28">
        <v>2</v>
      </c>
      <c r="AA311" s="28">
        <v>2</v>
      </c>
      <c r="AB311" s="28">
        <v>1</v>
      </c>
      <c r="AC311" s="28">
        <v>2</v>
      </c>
      <c r="AD311" s="28">
        <v>1</v>
      </c>
      <c r="AE311" s="28">
        <v>2</v>
      </c>
      <c r="AF311" s="28">
        <v>2</v>
      </c>
      <c r="AG311" s="28">
        <v>2</v>
      </c>
      <c r="AH311" s="29" t="s">
        <v>3321</v>
      </c>
      <c r="AI311" s="36">
        <f>IF(OR(AND(K311&lt;32, J311&lt;2), O311=1, P311=1, Q311=1, R311=1, S311=1, T311=1, U311=1, AND(W311&lt;&gt;"", W311&lt;&gt;"Oxygen", W311&lt;&gt;"LowFlow")), "Intensive", "Intermediate")</f>
      </c>
      <c r="AJ311" s="57">
        <f>IF(OR(LEFT(AH311, 1)="X", LEFT(AH311, 1)="Y", LEFT(AH311, 3)="J52M"), "CUSM", "No Match")</f>
      </c>
      <c r="AK311" s="57">
        <f>IF(AND(OR(O311=3, P311=1, Q311=1, T311=1), AJ311="no Match"), "CUSM, CHU SJ, CHUQ", "")</f>
      </c>
      <c r="AL311" s="57">
        <f>IF(AND(O311=2, ISBLANK(P311), ISBLANK(Q311), ISBLANK(R311), ISBLANK(S311), ISBLANK(T311)), "CUSM, CHU SJ, CHUS, CHUQ", "")</f>
      </c>
      <c r="AM311" s="57">
        <f>IF(AND(AJ311="no match", AK311="", AL311="", K311&lt;26), "CUSM, CHU SJ, HGJ, CHUQ, CHUS", "")</f>
      </c>
      <c r="AN311" s="57">
        <f>IF(AND(AJ311="no match", AK311="", AL311="", K311&gt;26), "CUSM, CHU SJ, HGJ, CHUQ, CHUS, HMR", "")</f>
      </c>
    </row>
    <row x14ac:dyDescent="0.25" r="312" customHeight="1" ht="17.25">
      <c r="A312" s="41" t="s">
        <v>3322</v>
      </c>
      <c r="B312" s="28">
        <v>2</v>
      </c>
      <c r="C312" s="28">
        <v>3</v>
      </c>
      <c r="D312" s="29" t="s">
        <v>537</v>
      </c>
      <c r="E312" s="30" t="s">
        <v>78</v>
      </c>
      <c r="F312" s="31">
        <v>45099</v>
      </c>
      <c r="G312" s="32">
        <v>4.625</v>
      </c>
      <c r="H312" s="31">
        <v>45097</v>
      </c>
      <c r="I312" s="32">
        <v>4.45</v>
      </c>
      <c r="J312" s="33">
        <f>F312-H312</f>
      </c>
      <c r="K312" s="28">
        <v>38</v>
      </c>
      <c r="L312" s="28">
        <v>0</v>
      </c>
      <c r="M312" s="28">
        <v>2</v>
      </c>
      <c r="N312" s="34"/>
      <c r="O312" s="34"/>
      <c r="P312" s="34"/>
      <c r="Q312" s="34"/>
      <c r="R312" s="34"/>
      <c r="S312" s="56"/>
      <c r="T312" s="34"/>
      <c r="U312" s="34"/>
      <c r="V312" s="34"/>
      <c r="W312" s="29"/>
      <c r="X312" s="28">
        <v>28</v>
      </c>
      <c r="Y312" s="28">
        <v>1</v>
      </c>
      <c r="Z312" s="28">
        <v>1</v>
      </c>
      <c r="AA312" s="28">
        <v>2</v>
      </c>
      <c r="AB312" s="28">
        <v>4</v>
      </c>
      <c r="AC312" s="28">
        <v>2</v>
      </c>
      <c r="AD312" s="28">
        <v>2</v>
      </c>
      <c r="AE312" s="28">
        <v>4</v>
      </c>
      <c r="AF312" s="28">
        <v>2</v>
      </c>
      <c r="AG312" s="28">
        <v>2</v>
      </c>
      <c r="AH312" s="29" t="s">
        <v>3323</v>
      </c>
      <c r="AI312" s="36">
        <f>IF(OR(AND(K312&lt;32, J312&lt;2), O312=1, P312=1, Q312=1, R312=1, S312=1, T312=1, U312=1, AND(W312&lt;&gt;"", W312&lt;&gt;"Oxygen", W312&lt;&gt;"LowFlow")), "Intensive", "Intermediate")</f>
      </c>
      <c r="AJ312" s="57">
        <f>IF(OR(LEFT(AH312, 1)="X", LEFT(AH312, 1)="Y", LEFT(AH312, 3)="J53M"), "CUSM", "No Match")</f>
      </c>
      <c r="AK312" s="57">
        <f>IF(AND(OR(O312=3, P312=1, Q312=1, T312=1), AJ312="no Match"), "CUSM, CHU SJ, CHUQ", "")</f>
      </c>
      <c r="AL312" s="57">
        <f>IF(AND(O312=2, ISBLANK(P312), ISBLANK(Q312), ISBLANK(R312), ISBLANK(S312), ISBLANK(T312)), "CUSM, CHU SJ, CHUS, CHUQ", "")</f>
      </c>
      <c r="AM312" s="57">
        <f>IF(AND(AJ312="no match", AK312="", AL312="", K312&lt;26), "CUSM, CHU SJ, HGJ, CHUQ, CHUS", "")</f>
      </c>
      <c r="AN312" s="57">
        <f>IF(AND(AJ312="no match", AK312="", AL312="", K312&gt;26), "CUSM, CHU SJ, HGJ, CHUQ, CHUS, HMR", "")</f>
      </c>
    </row>
    <row x14ac:dyDescent="0.25" r="313" customHeight="1" ht="17.25">
      <c r="A313" s="41" t="s">
        <v>3324</v>
      </c>
      <c r="B313" s="28">
        <v>2</v>
      </c>
      <c r="C313" s="35">
        <v>822</v>
      </c>
      <c r="D313" s="29" t="s">
        <v>167</v>
      </c>
      <c r="E313" s="30" t="s">
        <v>50</v>
      </c>
      <c r="F313" s="31">
        <v>45099</v>
      </c>
      <c r="G313" s="32">
        <v>4.975694444444445</v>
      </c>
      <c r="H313" s="31">
        <v>45099</v>
      </c>
      <c r="I313" s="32">
        <v>4.75625</v>
      </c>
      <c r="J313" s="33">
        <f>F313-H313</f>
      </c>
      <c r="K313" s="28">
        <v>37</v>
      </c>
      <c r="L313" s="28">
        <v>2</v>
      </c>
      <c r="M313" s="28">
        <v>2</v>
      </c>
      <c r="N313" s="38"/>
      <c r="O313" s="34"/>
      <c r="P313" s="38"/>
      <c r="Q313" s="34"/>
      <c r="R313" s="34"/>
      <c r="S313" s="56"/>
      <c r="T313" s="35">
        <v>1</v>
      </c>
      <c r="U313" s="34"/>
      <c r="V313" s="34"/>
      <c r="W313" s="29"/>
      <c r="X313" s="28">
        <v>28</v>
      </c>
      <c r="Y313" s="28">
        <v>1</v>
      </c>
      <c r="Z313" s="28">
        <v>2</v>
      </c>
      <c r="AA313" s="28">
        <v>2</v>
      </c>
      <c r="AB313" s="28">
        <v>1</v>
      </c>
      <c r="AC313" s="28">
        <v>2</v>
      </c>
      <c r="AD313" s="28">
        <v>2</v>
      </c>
      <c r="AE313" s="28">
        <v>4</v>
      </c>
      <c r="AF313" s="28">
        <v>2</v>
      </c>
      <c r="AG313" s="28">
        <v>2</v>
      </c>
      <c r="AH313" s="29" t="s">
        <v>3130</v>
      </c>
      <c r="AI313" s="36">
        <f>IF(OR(AND(K313&lt;32, J313&lt;2), O313=1, P313=1, Q313=1, R313=1, S313=1, T313=1, U313=1, AND(W313&lt;&gt;"", W313&lt;&gt;"Oxygen", W313&lt;&gt;"LowFlow")), "Intensive", "Intermediate")</f>
      </c>
      <c r="AJ313" s="57">
        <f>IF(OR(LEFT(AH313, 1)="X", LEFT(AH313, 1)="Y", LEFT(AH313, 3)="J54M"), "CUSM", "No Match")</f>
      </c>
      <c r="AK313" s="57">
        <f>IF(AND(OR(O313=3, P313=1, Q313=1, T313=1), AJ313="no Match"), "CUSM, CHU SJ, CHUQ", "")</f>
      </c>
      <c r="AL313" s="57">
        <f>IF(AND(O313=2, ISBLANK(P313), ISBLANK(Q313), ISBLANK(R313), ISBLANK(S313), ISBLANK(T313)), "CUSM, CHU SJ, CHUS, CHUQ", "")</f>
      </c>
      <c r="AM313" s="57">
        <f>IF(AND(AJ313="no match", AK313="", AL313="", K313&lt;26), "CUSM, CHU SJ, HGJ, CHUQ, CHUS", "")</f>
      </c>
      <c r="AN313" s="57">
        <f>IF(AND(AJ313="no match", AK313="", AL313="", K313&gt;26), "CUSM, CHU SJ, HGJ, CHUQ, CHUS, HMR", "")</f>
      </c>
    </row>
    <row x14ac:dyDescent="0.25" r="314" customHeight="1" ht="17.25">
      <c r="A314" s="41" t="s">
        <v>3325</v>
      </c>
      <c r="B314" s="28">
        <v>2</v>
      </c>
      <c r="C314" s="28">
        <v>831</v>
      </c>
      <c r="D314" s="29" t="s">
        <v>313</v>
      </c>
      <c r="E314" s="30" t="s">
        <v>50</v>
      </c>
      <c r="F314" s="31">
        <v>45099</v>
      </c>
      <c r="G314" s="32">
        <v>4.916666666666666</v>
      </c>
      <c r="H314" s="31">
        <v>45099</v>
      </c>
      <c r="I314" s="32">
        <v>4.802777777777777</v>
      </c>
      <c r="J314" s="33">
        <f>F314-H314</f>
      </c>
      <c r="K314" s="28">
        <v>38</v>
      </c>
      <c r="L314" s="28">
        <v>1</v>
      </c>
      <c r="M314" s="28">
        <v>1</v>
      </c>
      <c r="N314" s="38"/>
      <c r="O314" s="38"/>
      <c r="P314" s="38"/>
      <c r="Q314" s="34"/>
      <c r="R314" s="34"/>
      <c r="S314" s="56"/>
      <c r="T314" s="35">
        <v>1</v>
      </c>
      <c r="U314" s="34"/>
      <c r="V314" s="34"/>
      <c r="W314" s="29" t="s">
        <v>74</v>
      </c>
      <c r="X314" s="28">
        <v>40</v>
      </c>
      <c r="Y314" s="28">
        <v>1</v>
      </c>
      <c r="Z314" s="28">
        <v>1</v>
      </c>
      <c r="AA314" s="28">
        <v>2</v>
      </c>
      <c r="AB314" s="28">
        <v>1</v>
      </c>
      <c r="AC314" s="28">
        <v>2</v>
      </c>
      <c r="AD314" s="28">
        <v>2</v>
      </c>
      <c r="AE314" s="28">
        <v>4</v>
      </c>
      <c r="AF314" s="28">
        <v>2</v>
      </c>
      <c r="AG314" s="28">
        <v>2</v>
      </c>
      <c r="AH314" s="29" t="s">
        <v>3326</v>
      </c>
      <c r="AI314" s="36">
        <f>IF(OR(AND(K314&lt;32, J314&lt;2), O314=1, P314=1, Q314=1, R314=1, S314=1, T314=1, U314=1, AND(W314&lt;&gt;"", W314&lt;&gt;"Oxygen", W314&lt;&gt;"LowFlow")), "Intensive", "Intermediate")</f>
      </c>
      <c r="AJ314" s="57">
        <f>IF(OR(LEFT(AH314, 1)="X", LEFT(AH314, 1)="Y", LEFT(AH314, 3)="J55M"), "CUSM", "No Match")</f>
      </c>
      <c r="AK314" s="57">
        <f>IF(AND(OR(O314=3, P314=1, Q314=1, T314=1), AJ314="no Match"), "CUSM, CHU SJ, CHUQ", "")</f>
      </c>
      <c r="AL314" s="57">
        <f>IF(AND(O314=2, ISBLANK(P314), ISBLANK(Q314), ISBLANK(R314), ISBLANK(S314), ISBLANK(T314)), "CUSM, CHU SJ, CHUS, CHUQ", "")</f>
      </c>
      <c r="AM314" s="57">
        <f>IF(AND(AJ314="no match", AK314="", AL314="", K314&lt;26), "CUSM, CHU SJ, HGJ, CHUQ, CHUS", "")</f>
      </c>
      <c r="AN314" s="57">
        <f>IF(AND(AJ314="no match", AK314="", AL314="", K314&gt;26), "CUSM, CHU SJ, HGJ, CHUQ, CHUS, HMR", "")</f>
      </c>
    </row>
    <row x14ac:dyDescent="0.25" r="315" customHeight="1" ht="17.25">
      <c r="A315" s="41" t="s">
        <v>3327</v>
      </c>
      <c r="B315" s="28">
        <v>2</v>
      </c>
      <c r="C315" s="35">
        <v>822</v>
      </c>
      <c r="D315" s="29" t="s">
        <v>167</v>
      </c>
      <c r="E315" s="30" t="s">
        <v>78</v>
      </c>
      <c r="F315" s="31">
        <v>45100</v>
      </c>
      <c r="G315" s="32">
        <v>4.201388888888889</v>
      </c>
      <c r="H315" s="31">
        <v>45099</v>
      </c>
      <c r="I315" s="32">
        <v>4.8902777777777775</v>
      </c>
      <c r="J315" s="33">
        <f>F315-H315</f>
      </c>
      <c r="K315" s="28">
        <v>35</v>
      </c>
      <c r="L315" s="28">
        <v>0</v>
      </c>
      <c r="M315" s="28">
        <v>1</v>
      </c>
      <c r="N315" s="34"/>
      <c r="O315" s="35">
        <v>2</v>
      </c>
      <c r="P315" s="34"/>
      <c r="Q315" s="34"/>
      <c r="R315" s="34"/>
      <c r="S315" s="56"/>
      <c r="T315" s="34"/>
      <c r="U315" s="34"/>
      <c r="V315" s="34"/>
      <c r="W315" s="29"/>
      <c r="X315" s="28">
        <v>42</v>
      </c>
      <c r="Y315" s="28">
        <v>1</v>
      </c>
      <c r="Z315" s="28">
        <v>2</v>
      </c>
      <c r="AA315" s="28">
        <v>3</v>
      </c>
      <c r="AB315" s="28">
        <v>4</v>
      </c>
      <c r="AC315" s="28">
        <v>2</v>
      </c>
      <c r="AD315" s="28">
        <v>1</v>
      </c>
      <c r="AE315" s="28">
        <v>4</v>
      </c>
      <c r="AF315" s="35">
        <v>3</v>
      </c>
      <c r="AG315" s="28">
        <v>2</v>
      </c>
      <c r="AH315" s="29" t="s">
        <v>3328</v>
      </c>
      <c r="AI315" s="36">
        <f>IF(OR(AND(K315&lt;32, J315&lt;2), O315=1, P315=1, Q315=1, R315=1, S315=1, T315=1, U315=1, AND(W315&lt;&gt;"", W315&lt;&gt;"Oxygen", W315&lt;&gt;"LowFlow")), "Intensive", "Intermediate")</f>
      </c>
      <c r="AJ315" s="57">
        <f>IF(OR(LEFT(AH315, 1)="X", LEFT(AH315, 1)="Y", LEFT(AH315, 3)="J56M"), "CUSM", "No Match")</f>
      </c>
      <c r="AK315" s="57">
        <f>IF(AND(OR(O315=3, P315=1, Q315=1, T315=1), AJ315="no Match"), "CUSM, CHU SJ, CHUQ", "")</f>
      </c>
      <c r="AL315" s="57">
        <f>IF(AND(O315=2, ISBLANK(P315), ISBLANK(Q315), ISBLANK(R315), ISBLANK(S315), ISBLANK(T315)), "CUSM, CHU SJ, CHUS, CHUQ", "")</f>
      </c>
      <c r="AM315" s="57">
        <f>IF(AND(AJ315="no match", AK315="", AL315="", K315&lt;26), "CUSM, CHU SJ, HGJ, CHUQ, CHUS", "")</f>
      </c>
      <c r="AN315" s="57">
        <f>IF(AND(AJ315="no match", AK315="", AL315="", K315&gt;26), "CUSM, CHU SJ, HGJ, CHUQ, CHUS, HMR", "")</f>
      </c>
    </row>
    <row x14ac:dyDescent="0.25" r="316" customHeight="1" ht="17.25">
      <c r="A316" s="41" t="s">
        <v>3329</v>
      </c>
      <c r="B316" s="28">
        <v>2</v>
      </c>
      <c r="C316" s="35">
        <v>779</v>
      </c>
      <c r="D316" s="29" t="s">
        <v>136</v>
      </c>
      <c r="E316" s="30" t="s">
        <v>78</v>
      </c>
      <c r="F316" s="31">
        <v>45100</v>
      </c>
      <c r="G316" s="32">
        <v>4.395833333333334</v>
      </c>
      <c r="H316" s="31">
        <v>45100</v>
      </c>
      <c r="I316" s="32">
        <v>4.180555555555555</v>
      </c>
      <c r="J316" s="33">
        <f>F316-H316</f>
      </c>
      <c r="K316" s="28">
        <v>33</v>
      </c>
      <c r="L316" s="28">
        <v>0</v>
      </c>
      <c r="M316" s="28">
        <v>1</v>
      </c>
      <c r="N316" s="34"/>
      <c r="O316" s="34"/>
      <c r="P316" s="34"/>
      <c r="Q316" s="34"/>
      <c r="R316" s="34"/>
      <c r="S316" s="56"/>
      <c r="T316" s="34"/>
      <c r="U316" s="34"/>
      <c r="V316" s="34"/>
      <c r="W316" s="29" t="s">
        <v>74</v>
      </c>
      <c r="X316" s="28">
        <v>31</v>
      </c>
      <c r="Y316" s="28">
        <v>1</v>
      </c>
      <c r="Z316" s="28">
        <v>2</v>
      </c>
      <c r="AA316" s="28">
        <v>1</v>
      </c>
      <c r="AB316" s="28">
        <v>2</v>
      </c>
      <c r="AC316" s="28">
        <v>2</v>
      </c>
      <c r="AD316" s="28">
        <v>1</v>
      </c>
      <c r="AE316" s="28">
        <v>4</v>
      </c>
      <c r="AF316" s="28">
        <v>2</v>
      </c>
      <c r="AG316" s="28">
        <v>2</v>
      </c>
      <c r="AH316" s="29" t="s">
        <v>3330</v>
      </c>
      <c r="AI316" s="36">
        <f>IF(OR(AND(K316&lt;32, J316&lt;2), O316=1, P316=1, Q316=1, R316=1, S316=1, T316=1, U316=1, AND(W316&lt;&gt;"", W316&lt;&gt;"Oxygen", W316&lt;&gt;"LowFlow")), "Intensive", "Intermediate")</f>
      </c>
      <c r="AJ316" s="57">
        <f>IF(OR(LEFT(AH316, 1)="X", LEFT(AH316, 1)="Y", LEFT(AH316, 3)="J57M"), "CUSM", "No Match")</f>
      </c>
      <c r="AK316" s="57">
        <f>IF(AND(OR(O316=3, P316=1, Q316=1, T316=1), AJ316="no Match"), "CUSM, CHU SJ, CHUQ", "")</f>
      </c>
      <c r="AL316" s="57">
        <f>IF(AND(O316=2, ISBLANK(P316), ISBLANK(Q316), ISBLANK(R316), ISBLANK(S316), ISBLANK(T316)), "CUSM, CHU SJ, CHUS, CHUQ", "")</f>
      </c>
      <c r="AM316" s="57">
        <f>IF(AND(AJ316="no match", AK316="", AL316="", K316&lt;26), "CUSM, CHU SJ, HGJ, CHUQ, CHUS", "")</f>
      </c>
      <c r="AN316" s="57">
        <f>IF(AND(AJ316="no match", AK316="", AL316="", K316&gt;26), "CUSM, CHU SJ, HGJ, CHUQ, CHUS, HMR", "")</f>
      </c>
    </row>
    <row x14ac:dyDescent="0.25" r="317" customHeight="1" ht="17.25">
      <c r="A317" s="41" t="s">
        <v>3331</v>
      </c>
      <c r="B317" s="28">
        <v>2</v>
      </c>
      <c r="C317" s="35">
        <v>734</v>
      </c>
      <c r="D317" s="29" t="s">
        <v>264</v>
      </c>
      <c r="E317" s="30" t="s">
        <v>50</v>
      </c>
      <c r="F317" s="31">
        <v>45100</v>
      </c>
      <c r="G317" s="32">
        <v>4.010416666666666</v>
      </c>
      <c r="H317" s="31">
        <v>45099</v>
      </c>
      <c r="I317" s="32">
        <v>4.172916666666667</v>
      </c>
      <c r="J317" s="33">
        <f>F317-H317</f>
      </c>
      <c r="K317" s="28">
        <v>41</v>
      </c>
      <c r="L317" s="28">
        <v>1</v>
      </c>
      <c r="M317" s="28">
        <v>1</v>
      </c>
      <c r="N317" s="35">
        <v>1</v>
      </c>
      <c r="O317" s="34"/>
      <c r="P317" s="34"/>
      <c r="Q317" s="34"/>
      <c r="R317" s="34"/>
      <c r="S317" s="56"/>
      <c r="T317" s="34"/>
      <c r="U317" s="34"/>
      <c r="V317" s="34"/>
      <c r="W317" s="29"/>
      <c r="X317" s="28">
        <v>32</v>
      </c>
      <c r="Y317" s="28">
        <v>1</v>
      </c>
      <c r="Z317" s="28">
        <v>2</v>
      </c>
      <c r="AA317" s="28">
        <v>2</v>
      </c>
      <c r="AB317" s="28">
        <v>1</v>
      </c>
      <c r="AC317" s="28">
        <v>2</v>
      </c>
      <c r="AD317" s="28">
        <v>2</v>
      </c>
      <c r="AE317" s="28">
        <v>4</v>
      </c>
      <c r="AF317" s="28">
        <v>1</v>
      </c>
      <c r="AG317" s="28">
        <v>2</v>
      </c>
      <c r="AH317" s="29" t="s">
        <v>3332</v>
      </c>
      <c r="AI317" s="36">
        <f>IF(OR(AND(K317&lt;32, J317&lt;2), O317=1, P317=1, Q317=1, R317=1, S317=1, T317=1, U317=1, AND(W317&lt;&gt;"", W317&lt;&gt;"Oxygen", W317&lt;&gt;"LowFlow")), "Intensive", "Intermediate")</f>
      </c>
      <c r="AJ317" s="57">
        <f>IF(OR(LEFT(AH317, 1)="X", LEFT(AH317, 1)="Y", LEFT(AH317, 3)="J58M"), "CUSM", "No Match")</f>
      </c>
      <c r="AK317" s="57">
        <f>IF(AND(OR(O317=3, P317=1, Q317=1, T317=1), AJ317="no Match"), "CUSM, CHU SJ, CHUQ", "")</f>
      </c>
      <c r="AL317" s="57">
        <f>IF(AND(O317=2, ISBLANK(P317), ISBLANK(Q317), ISBLANK(R317), ISBLANK(S317), ISBLANK(T317)), "CUSM, CHU SJ, CHUS, CHUQ", "")</f>
      </c>
      <c r="AM317" s="57">
        <f>IF(AND(AJ317="no match", AK317="", AL317="", K317&lt;26), "CUSM, CHU SJ, HGJ, CHUQ, CHUS", "")</f>
      </c>
      <c r="AN317" s="57">
        <f>IF(AND(AJ317="no match", AK317="", AL317="", K317&gt;26), "CUSM, CHU SJ, HGJ, CHUQ, CHUS, HMR", "")</f>
      </c>
    </row>
    <row x14ac:dyDescent="0.25" r="318" customHeight="1" ht="17.25">
      <c r="A318" s="41" t="s">
        <v>3333</v>
      </c>
      <c r="B318" s="28">
        <v>2</v>
      </c>
      <c r="C318" s="34"/>
      <c r="D318" s="29"/>
      <c r="E318" s="30" t="s">
        <v>118</v>
      </c>
      <c r="F318" s="31">
        <v>45101</v>
      </c>
      <c r="G318" s="32">
        <v>4.479166666666666</v>
      </c>
      <c r="H318" s="31">
        <v>45101</v>
      </c>
      <c r="I318" s="32">
        <v>4.279861111111111</v>
      </c>
      <c r="J318" s="33">
        <f>F318-H318</f>
      </c>
      <c r="K318" s="28">
        <v>40</v>
      </c>
      <c r="L318" s="28">
        <v>3</v>
      </c>
      <c r="M318" s="28">
        <v>2</v>
      </c>
      <c r="N318" s="34"/>
      <c r="O318" s="34"/>
      <c r="P318" s="34"/>
      <c r="Q318" s="34"/>
      <c r="R318" s="34"/>
      <c r="S318" s="56"/>
      <c r="T318" s="35">
        <v>1</v>
      </c>
      <c r="U318" s="34"/>
      <c r="V318" s="34"/>
      <c r="W318" s="29" t="s">
        <v>164</v>
      </c>
      <c r="X318" s="28">
        <v>17</v>
      </c>
      <c r="Y318" s="28">
        <v>1</v>
      </c>
      <c r="Z318" s="28">
        <v>2</v>
      </c>
      <c r="AA318" s="28">
        <v>1</v>
      </c>
      <c r="AB318" s="28">
        <v>4</v>
      </c>
      <c r="AC318" s="28">
        <v>2</v>
      </c>
      <c r="AD318" s="28">
        <v>2</v>
      </c>
      <c r="AE318" s="28">
        <v>4</v>
      </c>
      <c r="AF318" s="28">
        <v>3</v>
      </c>
      <c r="AG318" s="28">
        <v>2</v>
      </c>
      <c r="AH318" s="29" t="s">
        <v>3334</v>
      </c>
      <c r="AI318" s="36">
        <f>IF(OR(AND(K318&lt;32, J318&lt;2), O318=1, P318=1, Q318=1, R318=1, S318=1, T318=1, U318=1, AND(W318&lt;&gt;"", W318&lt;&gt;"Oxygen", W318&lt;&gt;"LowFlow")), "Intensive", "Intermediate")</f>
      </c>
      <c r="AJ318" s="57">
        <f>IF(OR(LEFT(AH318, 1)="X", LEFT(AH318, 1)="Y", LEFT(AH318, 3)="J59M"), "CUSM", "No Match")</f>
      </c>
      <c r="AK318" s="57">
        <f>IF(AND(OR(O318=3, P318=1, Q318=1, T318=1), AJ318="no Match"), "CUSM, CHU SJ, CHUQ", "")</f>
      </c>
      <c r="AL318" s="57">
        <f>IF(AND(O318=2, ISBLANK(P318), ISBLANK(Q318), ISBLANK(R318), ISBLANK(S318), ISBLANK(T318)), "CUSM, CHU SJ, CHUS, CHUQ", "")</f>
      </c>
      <c r="AM318" s="57">
        <f>IF(AND(AJ318="no match", AK318="", AL318="", K318&lt;26), "CUSM, CHU SJ, HGJ, CHUQ, CHUS", "")</f>
      </c>
      <c r="AN318" s="57">
        <f>IF(AND(AJ318="no match", AK318="", AL318="", K318&gt;26), "CUSM, CHU SJ, HGJ, CHUQ, CHUS, HMR", "")</f>
      </c>
    </row>
    <row x14ac:dyDescent="0.25" r="319" customHeight="1" ht="17.25">
      <c r="A319" s="41" t="s">
        <v>3335</v>
      </c>
      <c r="B319" s="28">
        <v>2</v>
      </c>
      <c r="C319" s="35">
        <v>730</v>
      </c>
      <c r="D319" s="29" t="s">
        <v>81</v>
      </c>
      <c r="E319" s="30" t="s">
        <v>50</v>
      </c>
      <c r="F319" s="31">
        <v>45101</v>
      </c>
      <c r="G319" s="32">
        <v>4.527777777777778</v>
      </c>
      <c r="H319" s="31">
        <v>45097</v>
      </c>
      <c r="I319" s="32">
        <v>4.304861111111111</v>
      </c>
      <c r="J319" s="33">
        <f>F319-H319</f>
      </c>
      <c r="K319" s="28">
        <v>39</v>
      </c>
      <c r="L319" s="28">
        <v>2</v>
      </c>
      <c r="M319" s="28">
        <v>1</v>
      </c>
      <c r="N319" s="34"/>
      <c r="O319" s="34"/>
      <c r="P319" s="34"/>
      <c r="Q319" s="34"/>
      <c r="R319" s="34"/>
      <c r="S319" s="56"/>
      <c r="T319" s="34"/>
      <c r="U319" s="34"/>
      <c r="V319" s="34"/>
      <c r="W319" s="29"/>
      <c r="X319" s="28">
        <v>35</v>
      </c>
      <c r="Y319" s="28">
        <v>1</v>
      </c>
      <c r="Z319" s="28">
        <v>1</v>
      </c>
      <c r="AA319" s="28">
        <v>2</v>
      </c>
      <c r="AB319" s="28">
        <v>1</v>
      </c>
      <c r="AC319" s="28">
        <v>2</v>
      </c>
      <c r="AD319" s="28">
        <v>1</v>
      </c>
      <c r="AE319" s="28">
        <v>4</v>
      </c>
      <c r="AF319" s="28">
        <v>2</v>
      </c>
      <c r="AG319" s="28">
        <v>2</v>
      </c>
      <c r="AH319" s="29" t="s">
        <v>3336</v>
      </c>
      <c r="AI319" s="36">
        <f>IF(OR(AND(K319&lt;32, J319&lt;2), O319=1, P319=1, Q319=1, R319=1, S319=1, T319=1, U319=1, AND(W319&lt;&gt;"", W319&lt;&gt;"Oxygen", W319&lt;&gt;"LowFlow")), "Intensive", "Intermediate")</f>
      </c>
      <c r="AJ319" s="57">
        <f>IF(OR(LEFT(AH319, 1)="X", LEFT(AH319, 1)="Y", LEFT(AH319, 3)="J60M"), "CUSM", "No Match")</f>
      </c>
      <c r="AK319" s="57">
        <f>IF(AND(OR(O319=3, P319=1, Q319=1, T319=1), AJ319="no Match"), "CUSM, CHU SJ, CHUQ", "")</f>
      </c>
      <c r="AL319" s="57">
        <f>IF(AND(O319=2, ISBLANK(P319), ISBLANK(Q319), ISBLANK(R319), ISBLANK(S319), ISBLANK(T319)), "CUSM, CHU SJ, CHUS, CHUQ", "")</f>
      </c>
      <c r="AM319" s="57">
        <f>IF(AND(AJ319="no match", AK319="", AL319="", K319&lt;26), "CUSM, CHU SJ, HGJ, CHUQ, CHUS", "")</f>
      </c>
      <c r="AN319" s="57">
        <f>IF(AND(AJ319="no match", AK319="", AL319="", K319&gt;26), "CUSM, CHU SJ, HGJ, CHUQ, CHUS, HMR", "")</f>
      </c>
    </row>
    <row x14ac:dyDescent="0.25" r="320" customHeight="1" ht="17.25">
      <c r="A320" s="41" t="s">
        <v>3337</v>
      </c>
      <c r="B320" s="28">
        <v>2</v>
      </c>
      <c r="C320" s="28">
        <v>815</v>
      </c>
      <c r="D320" s="29" t="s">
        <v>100</v>
      </c>
      <c r="E320" s="30" t="s">
        <v>50</v>
      </c>
      <c r="F320" s="31">
        <v>45102</v>
      </c>
      <c r="G320" s="32">
        <v>4.782638888888889</v>
      </c>
      <c r="H320" s="31">
        <v>45102</v>
      </c>
      <c r="I320" s="32">
        <v>4.229166666666666</v>
      </c>
      <c r="J320" s="33">
        <f>F320-H320</f>
      </c>
      <c r="K320" s="28">
        <v>38</v>
      </c>
      <c r="L320" s="28">
        <v>5</v>
      </c>
      <c r="M320" s="28">
        <v>1</v>
      </c>
      <c r="N320" s="34"/>
      <c r="O320" s="34"/>
      <c r="P320" s="34"/>
      <c r="Q320" s="34"/>
      <c r="R320" s="34"/>
      <c r="S320" s="56"/>
      <c r="T320" s="28">
        <v>1</v>
      </c>
      <c r="U320" s="34"/>
      <c r="V320" s="34"/>
      <c r="W320" s="29" t="s">
        <v>58</v>
      </c>
      <c r="X320" s="28">
        <v>20</v>
      </c>
      <c r="Y320" s="28">
        <v>1</v>
      </c>
      <c r="Z320" s="28">
        <v>1</v>
      </c>
      <c r="AA320" s="28">
        <v>2</v>
      </c>
      <c r="AB320" s="28">
        <v>1</v>
      </c>
      <c r="AC320" s="28">
        <v>2</v>
      </c>
      <c r="AD320" s="28">
        <v>2</v>
      </c>
      <c r="AE320" s="28">
        <v>4</v>
      </c>
      <c r="AF320" s="28">
        <v>2</v>
      </c>
      <c r="AG320" s="28">
        <v>2</v>
      </c>
      <c r="AH320" s="29" t="s">
        <v>3338</v>
      </c>
      <c r="AI320" s="36">
        <f>IF(OR(AND(K320&lt;32, J320&lt;2), O320=1, P320=1, Q320=1, R320=1, S320=1, T320=1, U320=1, AND(W320&lt;&gt;"", W320&lt;&gt;"Oxygen", W320&lt;&gt;"LowFlow")), "Intensive", "Intermediate")</f>
      </c>
      <c r="AJ320" s="57">
        <f>IF(OR(LEFT(AH320, 1)="X", LEFT(AH320, 1)="Y", LEFT(AH320, 3)="J61M"), "CUSM", "No Match")</f>
      </c>
      <c r="AK320" s="57">
        <f>IF(AND(OR(O320=3, P320=1, Q320=1, T320=1), AJ320="no Match"), "CUSM, CHU SJ, CHUQ", "")</f>
      </c>
      <c r="AL320" s="57">
        <f>IF(AND(O320=2, ISBLANK(P320), ISBLANK(Q320), ISBLANK(R320), ISBLANK(S320), ISBLANK(T320)), "CUSM, CHU SJ, CHUS, CHUQ", "")</f>
      </c>
      <c r="AM320" s="57">
        <f>IF(AND(AJ320="no match", AK320="", AL320="", K320&lt;26), "CUSM, CHU SJ, HGJ, CHUQ, CHUS", "")</f>
      </c>
      <c r="AN320" s="57">
        <f>IF(AND(AJ320="no match", AK320="", AL320="", K320&gt;26), "CUSM, CHU SJ, HGJ, CHUQ, CHUS, HMR", "")</f>
      </c>
    </row>
    <row x14ac:dyDescent="0.25" r="321" customHeight="1" ht="17.25">
      <c r="A321" s="41" t="s">
        <v>3339</v>
      </c>
      <c r="B321" s="28">
        <v>2</v>
      </c>
      <c r="C321" s="35">
        <v>809</v>
      </c>
      <c r="D321" s="29" t="s">
        <v>117</v>
      </c>
      <c r="E321" s="30" t="s">
        <v>118</v>
      </c>
      <c r="F321" s="31">
        <v>45103</v>
      </c>
      <c r="G321" s="32">
        <v>4.373611111111111</v>
      </c>
      <c r="H321" s="31">
        <v>45103</v>
      </c>
      <c r="I321" s="32">
        <v>4.136805555555556</v>
      </c>
      <c r="J321" s="33">
        <f>F321-H321</f>
      </c>
      <c r="K321" s="28">
        <v>30</v>
      </c>
      <c r="L321" s="28">
        <v>1</v>
      </c>
      <c r="M321" s="28">
        <v>1</v>
      </c>
      <c r="N321" s="35">
        <v>1</v>
      </c>
      <c r="O321" s="34"/>
      <c r="P321" s="34"/>
      <c r="Q321" s="34"/>
      <c r="R321" s="34"/>
      <c r="S321" s="56"/>
      <c r="T321" s="34"/>
      <c r="U321" s="34"/>
      <c r="V321" s="34"/>
      <c r="W321" s="29" t="s">
        <v>74</v>
      </c>
      <c r="X321" s="28">
        <v>25</v>
      </c>
      <c r="Y321" s="28">
        <v>1</v>
      </c>
      <c r="Z321" s="28">
        <v>2</v>
      </c>
      <c r="AA321" s="28">
        <v>1</v>
      </c>
      <c r="AB321" s="28">
        <v>4</v>
      </c>
      <c r="AC321" s="28">
        <v>2</v>
      </c>
      <c r="AD321" s="28">
        <v>2</v>
      </c>
      <c r="AE321" s="28">
        <v>4</v>
      </c>
      <c r="AF321" s="28">
        <v>2</v>
      </c>
      <c r="AG321" s="28">
        <v>2</v>
      </c>
      <c r="AH321" s="29" t="s">
        <v>3340</v>
      </c>
      <c r="AI321" s="36">
        <f>IF(OR(AND(K321&lt;32, J321&lt;2), O321=1, P321=1, Q321=1, R321=1, S321=1, T321=1, U321=1, AND(W321&lt;&gt;"", W321&lt;&gt;"Oxygen", W321&lt;&gt;"LowFlow")), "Intensive", "Intermediate")</f>
      </c>
      <c r="AJ321" s="57">
        <f>IF(OR(LEFT(AH321, 1)="X", LEFT(AH321, 1)="Y", LEFT(AH321, 3)="J62M"), "CUSM", "No Match")</f>
      </c>
      <c r="AK321" s="57">
        <f>IF(AND(OR(O321=3, P321=1, Q321=1, T321=1), AJ321="no Match"), "CUSM, CHU SJ, CHUQ", "")</f>
      </c>
      <c r="AL321" s="57">
        <f>IF(AND(O321=2, ISBLANK(P321), ISBLANK(Q321), ISBLANK(R321), ISBLANK(S321), ISBLANK(T321)), "CUSM, CHU SJ, CHUS, CHUQ", "")</f>
      </c>
      <c r="AM321" s="57">
        <f>IF(AND(AJ321="no match", AK321="", AL321="", K321&lt;26), "CUSM, CHU SJ, HGJ, CHUQ, CHUS", "")</f>
      </c>
      <c r="AN321" s="57">
        <f>IF(AND(AJ321="no match", AK321="", AL321="", K321&gt;26), "CUSM, CHU SJ, HGJ, CHUQ, CHUS, HMR", "")</f>
      </c>
    </row>
    <row x14ac:dyDescent="0.25" r="322" customHeight="1" ht="17.25">
      <c r="A322" s="41" t="s">
        <v>3341</v>
      </c>
      <c r="B322" s="28">
        <v>2</v>
      </c>
      <c r="C322" s="35">
        <v>783</v>
      </c>
      <c r="D322" s="29" t="s">
        <v>3342</v>
      </c>
      <c r="E322" s="30" t="s">
        <v>149</v>
      </c>
      <c r="F322" s="31">
        <v>45104</v>
      </c>
      <c r="G322" s="32">
        <v>4.510416666666666</v>
      </c>
      <c r="H322" s="31">
        <v>45104</v>
      </c>
      <c r="I322" s="32">
        <v>4.204861111111111</v>
      </c>
      <c r="J322" s="33">
        <f>F322-H322</f>
      </c>
      <c r="K322" s="28">
        <v>30</v>
      </c>
      <c r="L322" s="28">
        <v>0</v>
      </c>
      <c r="M322" s="28">
        <v>1</v>
      </c>
      <c r="N322" s="38"/>
      <c r="O322" s="34"/>
      <c r="P322" s="34"/>
      <c r="Q322" s="34"/>
      <c r="R322" s="34"/>
      <c r="S322" s="56"/>
      <c r="T322" s="34"/>
      <c r="U322" s="34"/>
      <c r="V322" s="34"/>
      <c r="W322" s="29" t="s">
        <v>74</v>
      </c>
      <c r="X322" s="28">
        <v>32</v>
      </c>
      <c r="Y322" s="28">
        <v>1</v>
      </c>
      <c r="Z322" s="28">
        <v>1</v>
      </c>
      <c r="AA322" s="28">
        <v>1</v>
      </c>
      <c r="AB322" s="28">
        <v>1</v>
      </c>
      <c r="AC322" s="28">
        <v>2</v>
      </c>
      <c r="AD322" s="28">
        <v>2</v>
      </c>
      <c r="AE322" s="28">
        <v>4</v>
      </c>
      <c r="AF322" s="28">
        <v>3</v>
      </c>
      <c r="AG322" s="28">
        <v>2</v>
      </c>
      <c r="AH322" s="29" t="s">
        <v>3343</v>
      </c>
      <c r="AI322" s="36">
        <f>IF(OR(AND(K322&lt;32, J322&lt;2), O322=1, P322=1, Q322=1, R322=1, S322=1, T322=1, U322=1, AND(W322&lt;&gt;"", W322&lt;&gt;"Oxygen", W322&lt;&gt;"LowFlow")), "Intensive", "Intermediate")</f>
      </c>
      <c r="AJ322" s="57">
        <f>IF(OR(LEFT(AH322, 1)="X", LEFT(AH322, 1)="Y", LEFT(AH322, 3)="J63M"), "CUSM", "No Match")</f>
      </c>
      <c r="AK322" s="57">
        <f>IF(AND(OR(O322=3, P322=1, Q322=1, T322=1), AJ322="no Match"), "CUSM, CHU SJ, CHUQ", "")</f>
      </c>
      <c r="AL322" s="57">
        <f>IF(AND(O322=2, ISBLANK(P322), ISBLANK(Q322), ISBLANK(R322), ISBLANK(S322), ISBLANK(T322)), "CUSM, CHU SJ, CHUS, CHUQ", "")</f>
      </c>
      <c r="AM322" s="57">
        <f>IF(AND(AJ322="no match", AK322="", AL322="", K322&lt;26), "CUSM, CHU SJ, HGJ, CHUQ, CHUS", "")</f>
      </c>
      <c r="AN322" s="57">
        <f>IF(AND(AJ322="no match", AK322="", AL322="", K322&gt;26), "CUSM, CHU SJ, HGJ, CHUQ, CHUS, HMR", "")</f>
      </c>
    </row>
    <row x14ac:dyDescent="0.25" r="323" customHeight="1" ht="17.25">
      <c r="A323" s="41" t="s">
        <v>3344</v>
      </c>
      <c r="B323" s="28">
        <v>2</v>
      </c>
      <c r="C323" s="35">
        <v>730</v>
      </c>
      <c r="D323" s="29" t="s">
        <v>81</v>
      </c>
      <c r="E323" s="30" t="s">
        <v>50</v>
      </c>
      <c r="F323" s="31">
        <v>45104</v>
      </c>
      <c r="G323" s="32">
        <v>4.489583333333334</v>
      </c>
      <c r="H323" s="31">
        <v>45104</v>
      </c>
      <c r="I323" s="32">
        <v>4.324305555555556</v>
      </c>
      <c r="J323" s="33">
        <f>F323-H323</f>
      </c>
      <c r="K323" s="28">
        <v>40</v>
      </c>
      <c r="L323" s="28">
        <v>3</v>
      </c>
      <c r="M323" s="28">
        <v>1</v>
      </c>
      <c r="N323" s="34"/>
      <c r="O323" s="34"/>
      <c r="P323" s="34"/>
      <c r="Q323" s="34"/>
      <c r="R323" s="34"/>
      <c r="S323" s="56"/>
      <c r="T323" s="34"/>
      <c r="U323" s="34"/>
      <c r="V323" s="34"/>
      <c r="W323" s="29" t="s">
        <v>58</v>
      </c>
      <c r="X323" s="28">
        <v>32</v>
      </c>
      <c r="Y323" s="28">
        <v>1</v>
      </c>
      <c r="Z323" s="28">
        <v>1</v>
      </c>
      <c r="AA323" s="28">
        <v>2</v>
      </c>
      <c r="AB323" s="28">
        <v>1</v>
      </c>
      <c r="AC323" s="28">
        <v>2</v>
      </c>
      <c r="AD323" s="28">
        <v>2</v>
      </c>
      <c r="AE323" s="28">
        <v>4</v>
      </c>
      <c r="AF323" s="28">
        <v>2</v>
      </c>
      <c r="AG323" s="28">
        <v>2</v>
      </c>
      <c r="AH323" s="29" t="s">
        <v>3345</v>
      </c>
      <c r="AI323" s="36">
        <f>IF(OR(AND(K323&lt;32, J323&lt;2), O323=1, P323=1, Q323=1, R323=1, S323=1, T323=1, U323=1, AND(W323&lt;&gt;"", W323&lt;&gt;"Oxygen", W323&lt;&gt;"LowFlow")), "Intensive", "Intermediate")</f>
      </c>
      <c r="AJ323" s="57">
        <f>IF(OR(LEFT(AH323, 1)="X", LEFT(AH323, 1)="Y", LEFT(AH323, 3)="J0M"), "CUSM", "No Match")</f>
      </c>
      <c r="AK323" s="57">
        <f>IF(AND(OR(O323=3, P323=1, Q323=1, T323=1), AJ323="no Match"), "CUSM, CHU SJ, CHUQ", "")</f>
      </c>
      <c r="AL323" s="57">
        <f>IF(AND(O323=2, ISBLANK(P323), ISBLANK(Q323), ISBLANK(R323), ISBLANK(S323), ISBLANK(T323)), "CUSM, CHU SJ, CHUS, CHUQ", "")</f>
      </c>
      <c r="AM323" s="57">
        <f>IF(AND(AJ323="no match", AK323="", AL323="", K323&lt;26), "CUSM, CHU SJ, HGJ, CHUQ, CHUS", "")</f>
      </c>
      <c r="AN323" s="57">
        <f>IF(AND(AJ323="no match", AK323="", AL323="", K323&gt;26), "CUSM, CHU SJ, HGJ, CHUQ, CHUS, HMR", "")</f>
      </c>
    </row>
    <row x14ac:dyDescent="0.25" r="324" customHeight="1" ht="17.25">
      <c r="A324" s="41" t="s">
        <v>3346</v>
      </c>
      <c r="B324" s="28">
        <v>2</v>
      </c>
      <c r="C324" s="35">
        <v>780</v>
      </c>
      <c r="D324" s="29" t="s">
        <v>190</v>
      </c>
      <c r="E324" s="30" t="s">
        <v>54</v>
      </c>
      <c r="F324" s="31">
        <v>45105</v>
      </c>
      <c r="G324" s="32">
        <v>4.340277777777778</v>
      </c>
      <c r="H324" s="31">
        <v>45104</v>
      </c>
      <c r="I324" s="32">
        <v>4.986805555555556</v>
      </c>
      <c r="J324" s="33">
        <f>F324-H324</f>
      </c>
      <c r="K324" s="28">
        <v>39</v>
      </c>
      <c r="L324" s="28">
        <v>6</v>
      </c>
      <c r="M324" s="28">
        <v>1</v>
      </c>
      <c r="N324" s="38"/>
      <c r="O324" s="38"/>
      <c r="P324" s="38"/>
      <c r="Q324" s="34"/>
      <c r="R324" s="34"/>
      <c r="S324" s="56"/>
      <c r="T324" s="35">
        <v>1</v>
      </c>
      <c r="U324" s="34"/>
      <c r="V324" s="34"/>
      <c r="W324" s="29" t="s">
        <v>164</v>
      </c>
      <c r="X324" s="28">
        <v>30</v>
      </c>
      <c r="Y324" s="28">
        <v>1</v>
      </c>
      <c r="Z324" s="28">
        <v>1</v>
      </c>
      <c r="AA324" s="28">
        <v>2</v>
      </c>
      <c r="AB324" s="28">
        <v>2</v>
      </c>
      <c r="AC324" s="28">
        <v>2</v>
      </c>
      <c r="AD324" s="28">
        <v>2</v>
      </c>
      <c r="AE324" s="28">
        <v>4</v>
      </c>
      <c r="AF324" s="28">
        <v>2</v>
      </c>
      <c r="AG324" s="28">
        <v>2</v>
      </c>
      <c r="AH324" s="29" t="s">
        <v>3347</v>
      </c>
      <c r="AI324" s="36">
        <f>IF(OR(AND(K324&lt;32, J324&lt;2), O324=1, P324=1, Q324=1, R324=1, S324=1, T324=1, U324=1, AND(W324&lt;&gt;"", W324&lt;&gt;"Oxygen", W324&lt;&gt;"LowFlow")), "Intensive", "Intermediate")</f>
      </c>
      <c r="AJ324" s="57">
        <f>IF(OR(LEFT(AH324, 1)="X", LEFT(AH324, 1)="Y", LEFT(AH324, 3)="J1M"), "CUSM", "No Match")</f>
      </c>
      <c r="AK324" s="57">
        <f>IF(AND(OR(O324=3, P324=1, Q324=1, T324=1), AJ324="no Match"), "CUSM, CHU SJ, CHUQ", "")</f>
      </c>
      <c r="AL324" s="57">
        <f>IF(AND(O324=2, ISBLANK(P324), ISBLANK(Q324), ISBLANK(R324), ISBLANK(S324), ISBLANK(T324)), "CUSM, CHU SJ, CHUS, CHUQ", "")</f>
      </c>
      <c r="AM324" s="57">
        <f>IF(AND(AJ324="no match", AK324="", AL324="", K324&lt;26), "CUSM, CHU SJ, HGJ, CHUQ, CHUS", "")</f>
      </c>
      <c r="AN324" s="57">
        <f>IF(AND(AJ324="no match", AK324="", AL324="", K324&gt;26), "CUSM, CHU SJ, HGJ, CHUQ, CHUS, HMR", "")</f>
      </c>
    </row>
    <row x14ac:dyDescent="0.25" r="325" customHeight="1" ht="17.25">
      <c r="A325" s="41" t="s">
        <v>3348</v>
      </c>
      <c r="B325" s="28">
        <v>2</v>
      </c>
      <c r="C325" s="28">
        <v>795</v>
      </c>
      <c r="D325" s="29" t="s">
        <v>73</v>
      </c>
      <c r="E325" s="30" t="s">
        <v>54</v>
      </c>
      <c r="F325" s="31">
        <v>45106</v>
      </c>
      <c r="G325" s="32">
        <v>4.238888888888889</v>
      </c>
      <c r="H325" s="31">
        <v>45106</v>
      </c>
      <c r="I325" s="32">
        <v>4.007638888888889</v>
      </c>
      <c r="J325" s="33">
        <f>F325-H325</f>
      </c>
      <c r="K325" s="28">
        <v>38</v>
      </c>
      <c r="L325" s="28">
        <v>5</v>
      </c>
      <c r="M325" s="28">
        <v>1</v>
      </c>
      <c r="N325" s="38"/>
      <c r="O325" s="38"/>
      <c r="P325" s="38"/>
      <c r="Q325" s="34"/>
      <c r="R325" s="34"/>
      <c r="S325" s="56"/>
      <c r="T325" s="34"/>
      <c r="U325" s="34"/>
      <c r="V325" s="34"/>
      <c r="W325" s="29"/>
      <c r="X325" s="28">
        <v>22</v>
      </c>
      <c r="Y325" s="28">
        <v>1</v>
      </c>
      <c r="Z325" s="28">
        <v>1</v>
      </c>
      <c r="AA325" s="28">
        <v>3</v>
      </c>
      <c r="AB325" s="28">
        <v>2</v>
      </c>
      <c r="AC325" s="28">
        <v>2</v>
      </c>
      <c r="AD325" s="28">
        <v>2</v>
      </c>
      <c r="AE325" s="28">
        <v>4</v>
      </c>
      <c r="AF325" s="28">
        <v>2</v>
      </c>
      <c r="AG325" s="28">
        <v>2</v>
      </c>
      <c r="AH325" s="29" t="s">
        <v>3349</v>
      </c>
      <c r="AI325" s="36">
        <f>IF(OR(AND(K325&lt;32, J325&lt;2), O325=1, P325=1, Q325=1, R325=1, S325=1, T325=1, U325=1, AND(W325&lt;&gt;"", W325&lt;&gt;"Oxygen", W325&lt;&gt;"LowFlow")), "Intensive", "Intermediate")</f>
      </c>
      <c r="AJ325" s="57">
        <f>IF(OR(LEFT(AH325, 1)="X", LEFT(AH325, 1)="Y", LEFT(AH325, 3)="J2M"), "CUSM", "No Match")</f>
      </c>
      <c r="AK325" s="57">
        <f>IF(AND(OR(O325=3, P325=1, Q325=1, T325=1), AJ325="no Match"), "CUSM, CHU SJ, CHUQ", "")</f>
      </c>
      <c r="AL325" s="57">
        <f>IF(AND(O325=2, ISBLANK(P325), ISBLANK(Q325), ISBLANK(R325), ISBLANK(S325), ISBLANK(T325)), "CUSM, CHU SJ, CHUS, CHUQ", "")</f>
      </c>
      <c r="AM325" s="57">
        <f>IF(AND(AJ325="no match", AK325="", AL325="", K325&lt;26), "CUSM, CHU SJ, HGJ, CHUQ, CHUS", "")</f>
      </c>
      <c r="AN325" s="57">
        <f>IF(AND(AJ325="no match", AK325="", AL325="", K325&gt;26), "CUSM, CHU SJ, HGJ, CHUQ, CHUS, HMR", "")</f>
      </c>
    </row>
    <row x14ac:dyDescent="0.25" r="326" customHeight="1" ht="17.25">
      <c r="A326" s="41" t="s">
        <v>3350</v>
      </c>
      <c r="B326" s="28">
        <v>2</v>
      </c>
      <c r="C326" s="35">
        <v>831</v>
      </c>
      <c r="D326" s="29" t="s">
        <v>313</v>
      </c>
      <c r="E326" s="30" t="s">
        <v>54</v>
      </c>
      <c r="F326" s="31">
        <v>45107</v>
      </c>
      <c r="G326" s="32">
        <v>4.444444444444445</v>
      </c>
      <c r="H326" s="31">
        <v>45106</v>
      </c>
      <c r="I326" s="32">
        <v>4.010416666666666</v>
      </c>
      <c r="J326" s="33">
        <f>F326-H326</f>
      </c>
      <c r="K326" s="28">
        <v>40</v>
      </c>
      <c r="L326" s="28">
        <v>0</v>
      </c>
      <c r="M326" s="28">
        <v>1</v>
      </c>
      <c r="N326" s="28">
        <v>1</v>
      </c>
      <c r="O326" s="35">
        <v>2</v>
      </c>
      <c r="P326" s="28">
        <v>1</v>
      </c>
      <c r="Q326" s="34"/>
      <c r="R326" s="34"/>
      <c r="S326" s="56"/>
      <c r="T326" s="38"/>
      <c r="U326" s="34"/>
      <c r="V326" s="38"/>
      <c r="W326" s="29" t="s">
        <v>58</v>
      </c>
      <c r="X326" s="28">
        <v>33</v>
      </c>
      <c r="Y326" s="28">
        <v>1</v>
      </c>
      <c r="Z326" s="28">
        <v>2</v>
      </c>
      <c r="AA326" s="28">
        <v>2</v>
      </c>
      <c r="AB326" s="28">
        <v>1</v>
      </c>
      <c r="AC326" s="28">
        <v>2</v>
      </c>
      <c r="AD326" s="28">
        <v>1</v>
      </c>
      <c r="AE326" s="28">
        <v>4</v>
      </c>
      <c r="AF326" s="28">
        <v>2</v>
      </c>
      <c r="AG326" s="28">
        <v>2</v>
      </c>
      <c r="AH326" s="29" t="s">
        <v>3351</v>
      </c>
      <c r="AI326" s="36">
        <f>IF(OR(AND(K326&lt;32, J326&lt;2), O326=1, P326=1, Q326=1, R326=1, S326=1, T326=1, U326=1, AND(W326&lt;&gt;"", W326&lt;&gt;"Oxygen", W326&lt;&gt;"LowFlow")), "Intensive", "Intermediate")</f>
      </c>
      <c r="AJ326" s="57">
        <f>IF(OR(LEFT(AH326, 1)="X", LEFT(AH326, 1)="Y", LEFT(AH326, 3)="J3M"), "CUSM", "No Match")</f>
      </c>
      <c r="AK326" s="57">
        <f>IF(AND(OR(O326=3, P326=1, Q326=1, T326=1), AJ326="no Match"), "CUSM, CHU SJ, CHUQ", "")</f>
      </c>
      <c r="AL326" s="57">
        <f>IF(AND(O326=2, ISBLANK(P326), ISBLANK(Q326), ISBLANK(R326), ISBLANK(S326), ISBLANK(T326)), "CUSM, CHU SJ, CHUS, CHUQ", "")</f>
      </c>
      <c r="AM326" s="57">
        <f>IF(AND(AJ326="no match", AK326="", AL326="", K326&lt;26), "CUSM, CHU SJ, HGJ, CHUQ, CHUS", "")</f>
      </c>
      <c r="AN326" s="57">
        <f>IF(AND(AJ326="no match", AK326="", AL326="", K326&gt;26), "CUSM, CHU SJ, HGJ, CHUQ, CHUS, HMR", "")</f>
      </c>
    </row>
    <row x14ac:dyDescent="0.25" r="327" customHeight="1" ht="17.25">
      <c r="A327" s="41" t="s">
        <v>3352</v>
      </c>
      <c r="B327" s="28">
        <v>2</v>
      </c>
      <c r="C327" s="35">
        <v>817</v>
      </c>
      <c r="D327" s="29" t="s">
        <v>163</v>
      </c>
      <c r="E327" s="30" t="s">
        <v>50</v>
      </c>
      <c r="F327" s="31">
        <v>45107</v>
      </c>
      <c r="G327" s="32">
        <v>4.211805555555555</v>
      </c>
      <c r="H327" s="31">
        <v>45106</v>
      </c>
      <c r="I327" s="32">
        <v>4.979861111111111</v>
      </c>
      <c r="J327" s="33">
        <f>F327-H327</f>
      </c>
      <c r="K327" s="28">
        <v>38</v>
      </c>
      <c r="L327" s="28">
        <v>6</v>
      </c>
      <c r="M327" s="28">
        <v>2</v>
      </c>
      <c r="N327" s="34"/>
      <c r="O327" s="34"/>
      <c r="P327" s="34"/>
      <c r="Q327" s="34"/>
      <c r="R327" s="34"/>
      <c r="S327" s="56"/>
      <c r="T327" s="34"/>
      <c r="U327" s="34"/>
      <c r="V327" s="34"/>
      <c r="W327" s="29" t="s">
        <v>58</v>
      </c>
      <c r="X327" s="28">
        <v>36</v>
      </c>
      <c r="Y327" s="28">
        <v>1</v>
      </c>
      <c r="Z327" s="28">
        <v>1</v>
      </c>
      <c r="AA327" s="28">
        <v>2</v>
      </c>
      <c r="AB327" s="28">
        <v>1</v>
      </c>
      <c r="AC327" s="28">
        <v>2</v>
      </c>
      <c r="AD327" s="28">
        <v>2</v>
      </c>
      <c r="AE327" s="28">
        <v>4</v>
      </c>
      <c r="AF327" s="28">
        <v>2</v>
      </c>
      <c r="AG327" s="28">
        <v>2</v>
      </c>
      <c r="AH327" s="29" t="s">
        <v>1336</v>
      </c>
      <c r="AI327" s="36">
        <f>IF(OR(AND(K327&lt;32, J327&lt;2), O327=1, P327=1, Q327=1, R327=1, S327=1, T327=1, U327=1, AND(W327&lt;&gt;"", W327&lt;&gt;"Oxygen", W327&lt;&gt;"LowFlow")), "Intensive", "Intermediate")</f>
      </c>
      <c r="AJ327" s="57">
        <f>IF(OR(LEFT(AH327, 1)="X", LEFT(AH327, 1)="Y", LEFT(AH327, 3)="J4M"), "CUSM", "No Match")</f>
      </c>
      <c r="AK327" s="57">
        <f>IF(AND(OR(O327=3, P327=1, Q327=1, T327=1), AJ327="no Match"), "CUSM, CHU SJ, CHUQ", "")</f>
      </c>
      <c r="AL327" s="57">
        <f>IF(AND(O327=2, ISBLANK(P327), ISBLANK(Q327), ISBLANK(R327), ISBLANK(S327), ISBLANK(T327)), "CUSM, CHU SJ, CHUS, CHUQ", "")</f>
      </c>
      <c r="AM327" s="57">
        <f>IF(AND(AJ327="no match", AK327="", AL327="", K327&lt;26), "CUSM, CHU SJ, HGJ, CHUQ, CHUS", "")</f>
      </c>
      <c r="AN327" s="57">
        <f>IF(AND(AJ327="no match", AK327="", AL327="", K327&gt;26), "CUSM, CHU SJ, HGJ, CHUQ, CHUS, HMR", "")</f>
      </c>
    </row>
    <row x14ac:dyDescent="0.25" r="328" customHeight="1" ht="17.25">
      <c r="A328" s="41" t="s">
        <v>3353</v>
      </c>
      <c r="B328" s="28">
        <v>2</v>
      </c>
      <c r="C328" s="35">
        <v>730</v>
      </c>
      <c r="D328" s="29" t="s">
        <v>81</v>
      </c>
      <c r="E328" s="30" t="s">
        <v>78</v>
      </c>
      <c r="F328" s="31">
        <v>45108</v>
      </c>
      <c r="G328" s="32">
        <v>4.083333333333334</v>
      </c>
      <c r="H328" s="31">
        <v>45107</v>
      </c>
      <c r="I328" s="32">
        <v>4.779861111111111</v>
      </c>
      <c r="J328" s="33">
        <f>F328-H328</f>
      </c>
      <c r="K328" s="28">
        <v>37</v>
      </c>
      <c r="L328" s="28">
        <v>0</v>
      </c>
      <c r="M328" s="28">
        <v>1</v>
      </c>
      <c r="N328" s="34"/>
      <c r="O328" s="34"/>
      <c r="P328" s="34"/>
      <c r="Q328" s="34"/>
      <c r="R328" s="34"/>
      <c r="S328" s="56"/>
      <c r="T328" s="34"/>
      <c r="U328" s="34"/>
      <c r="V328" s="34"/>
      <c r="W328" s="29" t="s">
        <v>58</v>
      </c>
      <c r="X328" s="28">
        <v>28</v>
      </c>
      <c r="Y328" s="28">
        <v>1</v>
      </c>
      <c r="Z328" s="28">
        <v>1</v>
      </c>
      <c r="AA328" s="28">
        <v>2</v>
      </c>
      <c r="AB328" s="28">
        <v>1</v>
      </c>
      <c r="AC328" s="28">
        <v>2</v>
      </c>
      <c r="AD328" s="28">
        <v>2</v>
      </c>
      <c r="AE328" s="28">
        <v>4</v>
      </c>
      <c r="AF328" s="28">
        <v>3</v>
      </c>
      <c r="AG328" s="28">
        <v>2</v>
      </c>
      <c r="AH328" s="29" t="s">
        <v>3354</v>
      </c>
      <c r="AI328" s="36">
        <f>IF(OR(AND(K328&lt;32, J328&lt;2), O328=1, P328=1, Q328=1, R328=1, S328=1, T328=1, U328=1, AND(W328&lt;&gt;"", W328&lt;&gt;"Oxygen", W328&lt;&gt;"LowFlow")), "Intensive", "Intermediate")</f>
      </c>
      <c r="AJ328" s="57">
        <f>IF(OR(LEFT(AH328, 1)="X", LEFT(AH328, 1)="Y", LEFT(AH328, 3)="J5M"), "CUSM", "No Match")</f>
      </c>
      <c r="AK328" s="57">
        <f>IF(AND(OR(O328=3, P328=1, Q328=1, T328=1), AJ328="no Match"), "CUSM, CHU SJ, CHUQ", "")</f>
      </c>
      <c r="AL328" s="57">
        <f>IF(AND(O328=2, ISBLANK(P328), ISBLANK(Q328), ISBLANK(R328), ISBLANK(S328), ISBLANK(T328)), "CUSM, CHU SJ, CHUS, CHUQ", "")</f>
      </c>
      <c r="AM328" s="57">
        <f>IF(AND(AJ328="no match", AK328="", AL328="", K328&lt;26), "CUSM, CHU SJ, HGJ, CHUQ, CHUS", "")</f>
      </c>
      <c r="AN328" s="57">
        <f>IF(AND(AJ328="no match", AK328="", AL328="", K328&gt;26), "CUSM, CHU SJ, HGJ, CHUQ, CHUS, HMR", "")</f>
      </c>
    </row>
    <row x14ac:dyDescent="0.25" r="329" customHeight="1" ht="17.25">
      <c r="A329" s="41" t="s">
        <v>3355</v>
      </c>
      <c r="B329" s="28">
        <v>2</v>
      </c>
      <c r="C329" s="28">
        <v>756</v>
      </c>
      <c r="D329" s="29" t="s">
        <v>66</v>
      </c>
      <c r="E329" s="30" t="s">
        <v>50</v>
      </c>
      <c r="F329" s="31">
        <v>45108</v>
      </c>
      <c r="G329" s="32">
        <v>4.572916666666666</v>
      </c>
      <c r="H329" s="31">
        <v>45108</v>
      </c>
      <c r="I329" s="32">
        <v>4.4125</v>
      </c>
      <c r="J329" s="33">
        <f>F329-H329</f>
      </c>
      <c r="K329" s="28">
        <v>39</v>
      </c>
      <c r="L329" s="28">
        <v>3</v>
      </c>
      <c r="M329" s="28">
        <v>1</v>
      </c>
      <c r="N329" s="38"/>
      <c r="O329" s="34"/>
      <c r="P329" s="34"/>
      <c r="Q329" s="38"/>
      <c r="R329" s="34"/>
      <c r="S329" s="56"/>
      <c r="T329" s="28">
        <v>1</v>
      </c>
      <c r="U329" s="34"/>
      <c r="V329" s="34"/>
      <c r="W329" s="29"/>
      <c r="X329" s="28">
        <v>30</v>
      </c>
      <c r="Y329" s="28">
        <v>1</v>
      </c>
      <c r="Z329" s="28">
        <v>2</v>
      </c>
      <c r="AA329" s="28">
        <v>3</v>
      </c>
      <c r="AB329" s="28">
        <v>1</v>
      </c>
      <c r="AC329" s="28">
        <v>2</v>
      </c>
      <c r="AD329" s="28">
        <v>2</v>
      </c>
      <c r="AE329" s="28">
        <v>4</v>
      </c>
      <c r="AF329" s="28">
        <v>3</v>
      </c>
      <c r="AG329" s="28">
        <v>2</v>
      </c>
      <c r="AH329" s="29" t="s">
        <v>3356</v>
      </c>
      <c r="AI329" s="36">
        <f>IF(OR(AND(K329&lt;32, J329&lt;2), O329=1, P329=1, Q329=1, R329=1, S329=1, T329=1, U329=1, AND(W329&lt;&gt;"", W329&lt;&gt;"Oxygen", W329&lt;&gt;"LowFlow")), "Intensive", "Intermediate")</f>
      </c>
      <c r="AJ329" s="57">
        <f>IF(OR(LEFT(AH329, 1)="X", LEFT(AH329, 1)="Y", LEFT(AH329, 3)="J6M"), "CUSM", "No Match")</f>
      </c>
      <c r="AK329" s="57">
        <f>IF(AND(OR(O329=3, P329=1, Q329=1, T329=1), AJ329="no Match"), "CUSM, CHU SJ, CHUQ", "")</f>
      </c>
      <c r="AL329" s="57">
        <f>IF(AND(O329=2, ISBLANK(P329), ISBLANK(Q329), ISBLANK(R329), ISBLANK(S329), ISBLANK(T329)), "CUSM, CHU SJ, CHUS, CHUQ", "")</f>
      </c>
      <c r="AM329" s="57">
        <f>IF(AND(AJ329="no match", AK329="", AL329="", K329&lt;26), "CUSM, CHU SJ, HGJ, CHUQ, CHUS", "")</f>
      </c>
      <c r="AN329" s="57">
        <f>IF(AND(AJ329="no match", AK329="", AL329="", K329&gt;26), "CUSM, CHU SJ, HGJ, CHUQ, CHUS, HMR", "")</f>
      </c>
    </row>
    <row x14ac:dyDescent="0.25" r="330" customHeight="1" ht="17.25">
      <c r="A330" s="41" t="s">
        <v>3357</v>
      </c>
      <c r="B330" s="28">
        <v>2</v>
      </c>
      <c r="C330" s="28">
        <v>1019</v>
      </c>
      <c r="D330" s="29" t="s">
        <v>354</v>
      </c>
      <c r="E330" s="30" t="s">
        <v>54</v>
      </c>
      <c r="F330" s="31">
        <v>45109</v>
      </c>
      <c r="G330" s="32">
        <v>4.743055555555555</v>
      </c>
      <c r="H330" s="31">
        <v>45108</v>
      </c>
      <c r="I330" s="32">
        <v>4.066666666666666</v>
      </c>
      <c r="J330" s="33">
        <f>F330-H330</f>
      </c>
      <c r="K330" s="28">
        <v>41</v>
      </c>
      <c r="L330" s="28">
        <v>0</v>
      </c>
      <c r="M330" s="28">
        <v>1</v>
      </c>
      <c r="N330" s="34"/>
      <c r="O330" s="34"/>
      <c r="P330" s="34"/>
      <c r="Q330" s="34"/>
      <c r="R330" s="34"/>
      <c r="S330" s="56"/>
      <c r="T330" s="34"/>
      <c r="U330" s="34"/>
      <c r="V330" s="34"/>
      <c r="W330" s="29"/>
      <c r="X330" s="28">
        <v>27</v>
      </c>
      <c r="Y330" s="28">
        <v>1</v>
      </c>
      <c r="Z330" s="28">
        <v>1</v>
      </c>
      <c r="AA330" s="28">
        <v>2</v>
      </c>
      <c r="AB330" s="28">
        <v>1</v>
      </c>
      <c r="AC330" s="28">
        <v>2</v>
      </c>
      <c r="AD330" s="28">
        <v>2</v>
      </c>
      <c r="AE330" s="28">
        <v>4</v>
      </c>
      <c r="AF330" s="28">
        <v>2</v>
      </c>
      <c r="AG330" s="28">
        <v>2</v>
      </c>
      <c r="AH330" s="29" t="s">
        <v>3358</v>
      </c>
      <c r="AI330" s="36">
        <f>IF(OR(AND(K330&lt;32, J330&lt;2), O330=1, P330=1, Q330=1, R330=1, S330=1, T330=1, U330=1, AND(W330&lt;&gt;"", W330&lt;&gt;"Oxygen", W330&lt;&gt;"LowFlow")), "Intensive", "Intermediate")</f>
      </c>
      <c r="AJ330" s="57">
        <f>IF(OR(LEFT(AH330, 1)="X", LEFT(AH330, 1)="Y", LEFT(AH330, 3)="J7M"), "CUSM", "No Match")</f>
      </c>
      <c r="AK330" s="57">
        <f>IF(AND(OR(O330=3, P330=1, Q330=1, T330=1), AJ330="no Match"), "CUSM, CHU SJ, CHUQ", "")</f>
      </c>
      <c r="AL330" s="57">
        <f>IF(AND(O330=2, ISBLANK(P330), ISBLANK(Q330), ISBLANK(R330), ISBLANK(S330), ISBLANK(T330)), "CUSM, CHU SJ, CHUS, CHUQ", "")</f>
      </c>
      <c r="AM330" s="57">
        <f>IF(AND(AJ330="no match", AK330="", AL330="", K330&lt;26), "CUSM, CHU SJ, HGJ, CHUQ, CHUS", "")</f>
      </c>
      <c r="AN330" s="57">
        <f>IF(AND(AJ330="no match", AK330="", AL330="", K330&gt;26), "CUSM, CHU SJ, HGJ, CHUQ, CHUS, HMR", "")</f>
      </c>
    </row>
    <row x14ac:dyDescent="0.25" r="331" customHeight="1" ht="17.25">
      <c r="A331" s="41" t="s">
        <v>3359</v>
      </c>
      <c r="B331" s="28">
        <v>2</v>
      </c>
      <c r="C331" s="35">
        <v>831</v>
      </c>
      <c r="D331" s="29" t="s">
        <v>313</v>
      </c>
      <c r="E331" s="30" t="s">
        <v>50</v>
      </c>
      <c r="F331" s="31">
        <v>45109</v>
      </c>
      <c r="G331" s="32">
        <v>4.597222222222222</v>
      </c>
      <c r="H331" s="31">
        <v>45108</v>
      </c>
      <c r="I331" s="32">
        <v>4.010416666666666</v>
      </c>
      <c r="J331" s="33">
        <f>F331-H331</f>
      </c>
      <c r="K331" s="28">
        <v>40</v>
      </c>
      <c r="L331" s="28">
        <v>3</v>
      </c>
      <c r="M331" s="28">
        <v>2</v>
      </c>
      <c r="N331" s="35">
        <v>1</v>
      </c>
      <c r="O331" s="34"/>
      <c r="P331" s="35">
        <v>1</v>
      </c>
      <c r="Q331" s="34"/>
      <c r="R331" s="34"/>
      <c r="S331" s="56"/>
      <c r="T331" s="34"/>
      <c r="U331" s="34"/>
      <c r="V331" s="34"/>
      <c r="W331" s="29" t="s">
        <v>106</v>
      </c>
      <c r="X331" s="28">
        <v>38</v>
      </c>
      <c r="Y331" s="28">
        <v>1</v>
      </c>
      <c r="Z331" s="28">
        <v>1</v>
      </c>
      <c r="AA331" s="28">
        <v>1</v>
      </c>
      <c r="AB331" s="28">
        <v>1</v>
      </c>
      <c r="AC331" s="28">
        <v>1</v>
      </c>
      <c r="AD331" s="28">
        <v>2</v>
      </c>
      <c r="AE331" s="28">
        <v>4</v>
      </c>
      <c r="AF331" s="28">
        <v>2</v>
      </c>
      <c r="AG331" s="28">
        <v>2</v>
      </c>
      <c r="AH331" s="29" t="s">
        <v>1030</v>
      </c>
      <c r="AI331" s="36">
        <f>IF(OR(AND(K331&lt;32, J331&lt;2), O331=1, P331=1, Q331=1, R331=1, S331=1, T331=1, U331=1, AND(W331&lt;&gt;"", W331&lt;&gt;"Oxygen", W331&lt;&gt;"LowFlow")), "Intensive", "Intermediate")</f>
      </c>
      <c r="AJ331" s="57">
        <f>IF(OR(LEFT(AH331, 1)="X", LEFT(AH331, 1)="Y", LEFT(AH331, 3)="J8M"), "CUSM", "No Match")</f>
      </c>
      <c r="AK331" s="57">
        <f>IF(AND(OR(O331=3, P331=1, Q331=1, T331=1), AJ331="no Match"), "CUSM, CHU SJ, CHUQ", "")</f>
      </c>
      <c r="AL331" s="57">
        <f>IF(AND(O331=2, ISBLANK(P331), ISBLANK(Q331), ISBLANK(R331), ISBLANK(S331), ISBLANK(T331)), "CUSM, CHU SJ, CHUS, CHUQ", "")</f>
      </c>
      <c r="AM331" s="57">
        <f>IF(AND(AJ331="no match", AK331="", AL331="", K331&lt;26), "CUSM, CHU SJ, HGJ, CHUQ, CHUS", "")</f>
      </c>
      <c r="AN331" s="57">
        <f>IF(AND(AJ331="no match", AK331="", AL331="", K331&gt;26), "CUSM, CHU SJ, HGJ, CHUQ, CHUS, HMR", "")</f>
      </c>
    </row>
    <row x14ac:dyDescent="0.25" r="332" customHeight="1" ht="17.25">
      <c r="A332" s="41" t="s">
        <v>3360</v>
      </c>
      <c r="B332" s="28">
        <v>2</v>
      </c>
      <c r="C332" s="35">
        <v>756</v>
      </c>
      <c r="D332" s="29" t="s">
        <v>66</v>
      </c>
      <c r="E332" s="30" t="s">
        <v>50</v>
      </c>
      <c r="F332" s="31">
        <v>45109</v>
      </c>
      <c r="G332" s="32">
        <v>4.490972222222222</v>
      </c>
      <c r="H332" s="31">
        <v>45101</v>
      </c>
      <c r="I332" s="32">
        <v>4.507638888888889</v>
      </c>
      <c r="J332" s="33">
        <f>F332-H332</f>
      </c>
      <c r="K332" s="28">
        <v>33</v>
      </c>
      <c r="L332" s="28">
        <v>4</v>
      </c>
      <c r="M332" s="28">
        <v>1</v>
      </c>
      <c r="N332" s="34"/>
      <c r="O332" s="34"/>
      <c r="P332" s="34"/>
      <c r="Q332" s="34"/>
      <c r="R332" s="34"/>
      <c r="S332" s="56"/>
      <c r="T332" s="34"/>
      <c r="U332" s="34"/>
      <c r="V332" s="34"/>
      <c r="W332" s="29"/>
      <c r="X332" s="28">
        <v>38</v>
      </c>
      <c r="Y332" s="28">
        <v>1</v>
      </c>
      <c r="Z332" s="28">
        <v>1</v>
      </c>
      <c r="AA332" s="28">
        <v>1</v>
      </c>
      <c r="AB332" s="28">
        <v>1</v>
      </c>
      <c r="AC332" s="28">
        <v>1</v>
      </c>
      <c r="AD332" s="28">
        <v>2</v>
      </c>
      <c r="AE332" s="28">
        <v>4</v>
      </c>
      <c r="AF332" s="28">
        <v>2</v>
      </c>
      <c r="AG332" s="28">
        <v>2</v>
      </c>
      <c r="AH332" s="29" t="s">
        <v>3361</v>
      </c>
      <c r="AI332" s="36">
        <f>IF(OR(AND(K332&lt;32, J332&lt;2), O332=1, P332=1, Q332=1, R332=1, S332=1, T332=1, U332=1, AND(W332&lt;&gt;"", W332&lt;&gt;"Oxygen", W332&lt;&gt;"LowFlow")), "Intensive", "Intermediate")</f>
      </c>
      <c r="AJ332" s="57">
        <f>IF(OR(LEFT(AH332, 1)="X", LEFT(AH332, 1)="Y", LEFT(AH332, 3)="J9M"), "CUSM", "No Match")</f>
      </c>
      <c r="AK332" s="57">
        <f>IF(AND(OR(O332=3, P332=1, Q332=1, T332=1), AJ332="no Match"), "CUSM, CHU SJ, CHUQ", "")</f>
      </c>
      <c r="AL332" s="57">
        <f>IF(AND(O332=2, ISBLANK(P332), ISBLANK(Q332), ISBLANK(R332), ISBLANK(S332), ISBLANK(T332)), "CUSM, CHU SJ, CHUS, CHUQ", "")</f>
      </c>
      <c r="AM332" s="57">
        <f>IF(AND(AJ332="no match", AK332="", AL332="", K332&lt;26), "CUSM, CHU SJ, HGJ, CHUQ, CHUS", "")</f>
      </c>
      <c r="AN332" s="57">
        <f>IF(AND(AJ332="no match", AK332="", AL332="", K332&gt;26), "CUSM, CHU SJ, HGJ, CHUQ, CHUS, HMR", "")</f>
      </c>
    </row>
    <row x14ac:dyDescent="0.25" r="333" customHeight="1" ht="17.25">
      <c r="A333" s="41" t="s">
        <v>3362</v>
      </c>
      <c r="B333" s="28">
        <v>2</v>
      </c>
      <c r="C333" s="35">
        <v>776</v>
      </c>
      <c r="D333" s="29" t="s">
        <v>84</v>
      </c>
      <c r="E333" s="30" t="s">
        <v>50</v>
      </c>
      <c r="F333" s="31">
        <v>45110</v>
      </c>
      <c r="G333" s="32">
        <v>4.5055555555555555</v>
      </c>
      <c r="H333" s="31">
        <v>45109</v>
      </c>
      <c r="I333" s="32">
        <v>4.353472222222223</v>
      </c>
      <c r="J333" s="33">
        <f>F333-H333</f>
      </c>
      <c r="K333" s="28">
        <v>39</v>
      </c>
      <c r="L333" s="28">
        <v>3</v>
      </c>
      <c r="M333" s="28">
        <v>2</v>
      </c>
      <c r="N333" s="34"/>
      <c r="O333" s="34"/>
      <c r="P333" s="34"/>
      <c r="Q333" s="34"/>
      <c r="R333" s="34"/>
      <c r="S333" s="56"/>
      <c r="T333" s="35">
        <v>1</v>
      </c>
      <c r="U333" s="34"/>
      <c r="V333" s="34"/>
      <c r="W333" s="29" t="s">
        <v>74</v>
      </c>
      <c r="X333" s="28">
        <v>37</v>
      </c>
      <c r="Y333" s="28">
        <v>1</v>
      </c>
      <c r="Z333" s="28">
        <v>2</v>
      </c>
      <c r="AA333" s="28">
        <v>3</v>
      </c>
      <c r="AB333" s="28">
        <v>1</v>
      </c>
      <c r="AC333" s="28">
        <v>2</v>
      </c>
      <c r="AD333" s="28">
        <v>2</v>
      </c>
      <c r="AE333" s="28">
        <v>4</v>
      </c>
      <c r="AF333" s="28">
        <v>3</v>
      </c>
      <c r="AG333" s="28">
        <v>2</v>
      </c>
      <c r="AH333" s="29" t="s">
        <v>776</v>
      </c>
      <c r="AI333" s="36">
        <f>IF(OR(AND(K333&lt;32, J333&lt;2), O333=1, P333=1, Q333=1, R333=1, S333=1, T333=1, U333=1, AND(W333&lt;&gt;"", W333&lt;&gt;"Oxygen", W333&lt;&gt;"LowFlow")), "Intensive", "Intermediate")</f>
      </c>
      <c r="AJ333" s="57">
        <f>IF(OR(LEFT(AH333, 1)="X", LEFT(AH333, 1)="Y", LEFT(AH333, 3)="J10M"), "CUSM", "No Match")</f>
      </c>
      <c r="AK333" s="57">
        <f>IF(AND(OR(O333=3, P333=1, Q333=1, T333=1), AJ333="no Match"), "CUSM, CHU SJ, CHUQ", "")</f>
      </c>
      <c r="AL333" s="57">
        <f>IF(AND(O333=2, ISBLANK(P333), ISBLANK(Q333), ISBLANK(R333), ISBLANK(S333), ISBLANK(T333)), "CUSM, CHU SJ, CHUS, CHUQ", "")</f>
      </c>
      <c r="AM333" s="57">
        <f>IF(AND(AJ333="no match", AK333="", AL333="", K333&lt;26), "CUSM, CHU SJ, HGJ, CHUQ, CHUS", "")</f>
      </c>
      <c r="AN333" s="57">
        <f>IF(AND(AJ333="no match", AK333="", AL333="", K333&gt;26), "CUSM, CHU SJ, HGJ, CHUQ, CHUS, HMR", "")</f>
      </c>
    </row>
    <row x14ac:dyDescent="0.25" r="334" customHeight="1" ht="17.25">
      <c r="A334" s="41" t="s">
        <v>3363</v>
      </c>
      <c r="B334" s="28">
        <v>2</v>
      </c>
      <c r="C334" s="35">
        <v>817</v>
      </c>
      <c r="D334" s="29" t="s">
        <v>163</v>
      </c>
      <c r="E334" s="30" t="s">
        <v>50</v>
      </c>
      <c r="F334" s="31">
        <v>45110</v>
      </c>
      <c r="G334" s="32">
        <v>4.423611111111111</v>
      </c>
      <c r="H334" s="31">
        <v>45110</v>
      </c>
      <c r="I334" s="32">
        <v>4.192361111111111</v>
      </c>
      <c r="J334" s="33">
        <f>F334-H334</f>
      </c>
      <c r="K334" s="28">
        <v>26</v>
      </c>
      <c r="L334" s="28">
        <v>0</v>
      </c>
      <c r="M334" s="28">
        <v>1</v>
      </c>
      <c r="N334" s="34"/>
      <c r="O334" s="34"/>
      <c r="P334" s="34"/>
      <c r="Q334" s="34"/>
      <c r="R334" s="34"/>
      <c r="S334" s="56"/>
      <c r="T334" s="34"/>
      <c r="U334" s="35">
        <v>1</v>
      </c>
      <c r="V334" s="35">
        <v>1</v>
      </c>
      <c r="W334" s="29" t="s">
        <v>70</v>
      </c>
      <c r="X334" s="28">
        <v>21</v>
      </c>
      <c r="Y334" s="28">
        <v>1</v>
      </c>
      <c r="Z334" s="28">
        <v>1</v>
      </c>
      <c r="AA334" s="28">
        <v>2</v>
      </c>
      <c r="AB334" s="28">
        <v>1</v>
      </c>
      <c r="AC334" s="28">
        <v>2</v>
      </c>
      <c r="AD334" s="28">
        <v>2</v>
      </c>
      <c r="AE334" s="28">
        <v>1</v>
      </c>
      <c r="AF334" s="28">
        <v>1</v>
      </c>
      <c r="AG334" s="28">
        <v>2</v>
      </c>
      <c r="AH334" s="29" t="s">
        <v>1101</v>
      </c>
      <c r="AI334" s="36">
        <f>IF(OR(AND(K334&lt;32, J334&lt;2), O334=1, P334=1, Q334=1, R334=1, S334=1, T334=1, U334=1, AND(W334&lt;&gt;"", W334&lt;&gt;"Oxygen", W334&lt;&gt;"LowFlow")), "Intensive", "Intermediate")</f>
      </c>
      <c r="AJ334" s="57">
        <f>IF(OR(LEFT(AH334, 1)="X", LEFT(AH334, 1)="Y", LEFT(AH334, 3)="J11M"), "CUSM", "No Match")</f>
      </c>
      <c r="AK334" s="57">
        <f>IF(AND(OR(O334=3, P334=1, Q334=1, T334=1), AJ334="no Match"), "CUSM, CHU SJ, CHUQ", "")</f>
      </c>
      <c r="AL334" s="57">
        <f>IF(AND(O334=2, ISBLANK(P334), ISBLANK(Q334), ISBLANK(R334), ISBLANK(S334), ISBLANK(T334)), "CUSM, CHU SJ, CHUS, CHUQ", "")</f>
      </c>
      <c r="AM334" s="57">
        <f>IF(AND(AJ334="no match", AK334="", AL334="", K334&lt;26), "CUSM, CHU SJ, HGJ, CHUQ, CHUS", "")</f>
      </c>
      <c r="AN334" s="57">
        <f>IF(AND(AJ334="no match", AK334="", AL334="", K334&gt;26), "CUSM, CHU SJ, HGJ, CHUQ, CHUS, HMR", "")</f>
      </c>
    </row>
    <row x14ac:dyDescent="0.25" r="335" customHeight="1" ht="17.25">
      <c r="A335" s="41" t="s">
        <v>3364</v>
      </c>
      <c r="B335" s="28">
        <v>2</v>
      </c>
      <c r="C335" s="35">
        <v>820</v>
      </c>
      <c r="D335" s="29" t="s">
        <v>69</v>
      </c>
      <c r="E335" s="30" t="s">
        <v>54</v>
      </c>
      <c r="F335" s="31">
        <v>45111</v>
      </c>
      <c r="G335" s="32">
        <v>4.200694444444444</v>
      </c>
      <c r="H335" s="31">
        <v>45106</v>
      </c>
      <c r="I335" s="39"/>
      <c r="J335" s="33">
        <f>F335-H335</f>
      </c>
      <c r="K335" s="28">
        <v>36</v>
      </c>
      <c r="L335" s="28">
        <v>1</v>
      </c>
      <c r="M335" s="28">
        <v>2</v>
      </c>
      <c r="N335" s="34"/>
      <c r="O335" s="34"/>
      <c r="P335" s="34"/>
      <c r="Q335" s="34"/>
      <c r="R335" s="34"/>
      <c r="S335" s="56"/>
      <c r="T335" s="34"/>
      <c r="U335" s="34"/>
      <c r="V335" s="34"/>
      <c r="W335" s="29" t="s">
        <v>164</v>
      </c>
      <c r="X335" s="28">
        <v>32</v>
      </c>
      <c r="Y335" s="28">
        <v>1</v>
      </c>
      <c r="Z335" s="28">
        <v>1</v>
      </c>
      <c r="AA335" s="28">
        <v>3</v>
      </c>
      <c r="AB335" s="28">
        <v>1</v>
      </c>
      <c r="AC335" s="28">
        <v>1</v>
      </c>
      <c r="AD335" s="28">
        <v>1</v>
      </c>
      <c r="AE335" s="28">
        <v>4</v>
      </c>
      <c r="AF335" s="28">
        <v>3</v>
      </c>
      <c r="AG335" s="28">
        <v>2</v>
      </c>
      <c r="AH335" s="29" t="s">
        <v>3365</v>
      </c>
      <c r="AI335" s="36">
        <f>IF(OR(AND(K335&lt;32, J335&lt;2), O335=1, P335=1, Q335=1, R335=1, S335=1, T335=1, U335=1, AND(W335&lt;&gt;"", W335&lt;&gt;"Oxygen", W335&lt;&gt;"LowFlow")), "Intensive", "Intermediate")</f>
      </c>
      <c r="AJ335" s="57">
        <f>IF(OR(LEFT(AH335, 1)="X", LEFT(AH335, 1)="Y", LEFT(AH335, 3)="J12M"), "CUSM", "No Match")</f>
      </c>
      <c r="AK335" s="57">
        <f>IF(AND(OR(O335=3, P335=1, Q335=1, T335=1), AJ335="no Match"), "CUSM, CHU SJ, CHUQ", "")</f>
      </c>
      <c r="AL335" s="57">
        <f>IF(AND(O335=2, ISBLANK(P335), ISBLANK(Q335), ISBLANK(R335), ISBLANK(S335), ISBLANK(T335)), "CUSM, CHU SJ, CHUS, CHUQ", "")</f>
      </c>
      <c r="AM335" s="57">
        <f>IF(AND(AJ335="no match", AK335="", AL335="", K335&lt;26), "CUSM, CHU SJ, HGJ, CHUQ, CHUS", "")</f>
      </c>
      <c r="AN335" s="57">
        <f>IF(AND(AJ335="no match", AK335="", AL335="", K335&gt;26), "CUSM, CHU SJ, HGJ, CHUQ, CHUS, HMR", "")</f>
      </c>
    </row>
    <row x14ac:dyDescent="0.25" r="336" customHeight="1" ht="17.25">
      <c r="A336" s="41" t="s">
        <v>3366</v>
      </c>
      <c r="B336" s="28">
        <v>2</v>
      </c>
      <c r="C336" s="28">
        <v>779</v>
      </c>
      <c r="D336" s="29" t="s">
        <v>136</v>
      </c>
      <c r="E336" s="30" t="s">
        <v>50</v>
      </c>
      <c r="F336" s="31">
        <v>45112</v>
      </c>
      <c r="G336" s="32">
        <v>4.138888888888889</v>
      </c>
      <c r="H336" s="31">
        <v>45111</v>
      </c>
      <c r="I336" s="32">
        <v>4.996527777777778</v>
      </c>
      <c r="J336" s="33">
        <f>F336-H336</f>
      </c>
      <c r="K336" s="28">
        <v>41</v>
      </c>
      <c r="L336" s="28">
        <v>0</v>
      </c>
      <c r="M336" s="28">
        <v>1</v>
      </c>
      <c r="N336" s="34"/>
      <c r="O336" s="34"/>
      <c r="P336" s="34"/>
      <c r="Q336" s="34"/>
      <c r="R336" s="34"/>
      <c r="S336" s="56"/>
      <c r="T336" s="35">
        <v>1</v>
      </c>
      <c r="U336" s="34"/>
      <c r="V336" s="34"/>
      <c r="W336" s="29" t="s">
        <v>74</v>
      </c>
      <c r="X336" s="28">
        <v>33</v>
      </c>
      <c r="Y336" s="28">
        <v>1</v>
      </c>
      <c r="Z336" s="28">
        <v>2</v>
      </c>
      <c r="AA336" s="28">
        <v>1</v>
      </c>
      <c r="AB336" s="28">
        <v>1</v>
      </c>
      <c r="AC336" s="28">
        <v>2</v>
      </c>
      <c r="AD336" s="28">
        <v>1</v>
      </c>
      <c r="AE336" s="28">
        <v>4</v>
      </c>
      <c r="AF336" s="28">
        <v>2</v>
      </c>
      <c r="AG336" s="28">
        <v>2</v>
      </c>
      <c r="AH336" s="29" t="s">
        <v>3367</v>
      </c>
      <c r="AI336" s="36">
        <f>IF(OR(AND(K336&lt;32, J336&lt;2), O336=1, P336=1, Q336=1, R336=1, S336=1, T336=1, U336=1, AND(W336&lt;&gt;"", W336&lt;&gt;"Oxygen", W336&lt;&gt;"LowFlow")), "Intensive", "Intermediate")</f>
      </c>
      <c r="AJ336" s="57">
        <f>IF(OR(LEFT(AH336, 1)="X", LEFT(AH336, 1)="Y", LEFT(AH336, 3)="J13M"), "CUSM", "No Match")</f>
      </c>
      <c r="AK336" s="57">
        <f>IF(AND(OR(O336=3, P336=1, Q336=1, T336=1), AJ336="no Match"), "CUSM, CHU SJ, CHUQ", "")</f>
      </c>
      <c r="AL336" s="57">
        <f>IF(AND(O336=2, ISBLANK(P336), ISBLANK(Q336), ISBLANK(R336), ISBLANK(S336), ISBLANK(T336)), "CUSM, CHU SJ, CHUS, CHUQ", "")</f>
      </c>
      <c r="AM336" s="57">
        <f>IF(AND(AJ336="no match", AK336="", AL336="", K336&lt;26), "CUSM, CHU SJ, HGJ, CHUQ, CHUS", "")</f>
      </c>
      <c r="AN336" s="57">
        <f>IF(AND(AJ336="no match", AK336="", AL336="", K336&gt;26), "CUSM, CHU SJ, HGJ, CHUQ, CHUS, HMR", "")</f>
      </c>
    </row>
    <row x14ac:dyDescent="0.25" r="337" customHeight="1" ht="17.25">
      <c r="A337" s="41" t="s">
        <v>3368</v>
      </c>
      <c r="B337" s="28">
        <v>2</v>
      </c>
      <c r="C337" s="35">
        <v>796</v>
      </c>
      <c r="D337" s="29" t="s">
        <v>63</v>
      </c>
      <c r="E337" s="30" t="s">
        <v>220</v>
      </c>
      <c r="F337" s="31">
        <v>45112</v>
      </c>
      <c r="G337" s="32">
        <v>4.366666666666667</v>
      </c>
      <c r="H337" s="31">
        <v>45112</v>
      </c>
      <c r="I337" s="32">
        <v>4.2027777777777775</v>
      </c>
      <c r="J337" s="33">
        <f>F337-H337</f>
      </c>
      <c r="K337" s="28">
        <v>27</v>
      </c>
      <c r="L337" s="28">
        <v>2</v>
      </c>
      <c r="M337" s="28">
        <v>1</v>
      </c>
      <c r="N337" s="34"/>
      <c r="O337" s="34"/>
      <c r="P337" s="34"/>
      <c r="Q337" s="34"/>
      <c r="R337" s="34"/>
      <c r="S337" s="56"/>
      <c r="T337" s="34"/>
      <c r="U337" s="34"/>
      <c r="V337" s="38"/>
      <c r="W337" s="29" t="s">
        <v>74</v>
      </c>
      <c r="X337" s="28">
        <v>25</v>
      </c>
      <c r="Y337" s="28">
        <v>1</v>
      </c>
      <c r="Z337" s="28">
        <v>1</v>
      </c>
      <c r="AA337" s="28">
        <v>1</v>
      </c>
      <c r="AB337" s="28">
        <v>1</v>
      </c>
      <c r="AC337" s="28">
        <v>2</v>
      </c>
      <c r="AD337" s="28">
        <v>2</v>
      </c>
      <c r="AE337" s="28">
        <v>3</v>
      </c>
      <c r="AF337" s="28">
        <v>2</v>
      </c>
      <c r="AG337" s="28">
        <v>2</v>
      </c>
      <c r="AH337" s="29" t="s">
        <v>2509</v>
      </c>
      <c r="AI337" s="36">
        <f>IF(OR(AND(K337&lt;32, J337&lt;2), O337=1, P337=1, Q337=1, R337=1, S337=1, T337=1, U337=1, AND(W337&lt;&gt;"", W337&lt;&gt;"Oxygen", W337&lt;&gt;"LowFlow")), "Intensive", "Intermediate")</f>
      </c>
      <c r="AJ337" s="57">
        <f>IF(OR(LEFT(AH337, 1)="X", LEFT(AH337, 1)="Y", LEFT(AH337, 3)="J14M"), "CUSM", "No Match")</f>
      </c>
      <c r="AK337" s="57">
        <f>IF(AND(OR(O337=3, P337=1, Q337=1, T337=1), AJ337="no Match"), "CUSM, CHU SJ, CHUQ", "")</f>
      </c>
      <c r="AL337" s="57">
        <f>IF(AND(O337=2, ISBLANK(P337), ISBLANK(Q337), ISBLANK(R337), ISBLANK(S337), ISBLANK(T337)), "CUSM, CHU SJ, CHUS, CHUQ", "")</f>
      </c>
      <c r="AM337" s="57">
        <f>IF(AND(AJ337="no match", AK337="", AL337="", K337&lt;26), "CUSM, CHU SJ, HGJ, CHUQ, CHUS", "")</f>
      </c>
      <c r="AN337" s="57">
        <f>IF(AND(AJ337="no match", AK337="", AL337="", K337&gt;26), "CUSM, CHU SJ, HGJ, CHUQ, CHUS, HMR", "")</f>
      </c>
    </row>
    <row x14ac:dyDescent="0.25" r="338" customHeight="1" ht="17.25">
      <c r="A338" s="41" t="s">
        <v>3369</v>
      </c>
      <c r="B338" s="28">
        <v>2</v>
      </c>
      <c r="C338" s="35">
        <v>776</v>
      </c>
      <c r="D338" s="29" t="s">
        <v>84</v>
      </c>
      <c r="E338" s="30" t="s">
        <v>50</v>
      </c>
      <c r="F338" s="31">
        <v>45113</v>
      </c>
      <c r="G338" s="32">
        <v>4.642361111111111</v>
      </c>
      <c r="H338" s="31">
        <v>45113</v>
      </c>
      <c r="I338" s="32">
        <v>4.284722222222222</v>
      </c>
      <c r="J338" s="33">
        <f>F338-H338</f>
      </c>
      <c r="K338" s="28">
        <v>39</v>
      </c>
      <c r="L338" s="28">
        <v>0</v>
      </c>
      <c r="M338" s="28">
        <v>2</v>
      </c>
      <c r="N338" s="35">
        <v>1</v>
      </c>
      <c r="O338" s="35">
        <v>2</v>
      </c>
      <c r="P338" s="35">
        <v>1</v>
      </c>
      <c r="Q338" s="34"/>
      <c r="R338" s="34"/>
      <c r="S338" s="56"/>
      <c r="T338" s="34"/>
      <c r="U338" s="34"/>
      <c r="V338" s="34"/>
      <c r="W338" s="29" t="s">
        <v>74</v>
      </c>
      <c r="X338" s="28">
        <v>29</v>
      </c>
      <c r="Y338" s="28">
        <v>1</v>
      </c>
      <c r="Z338" s="28">
        <v>1</v>
      </c>
      <c r="AA338" s="28">
        <v>2</v>
      </c>
      <c r="AB338" s="28">
        <v>1</v>
      </c>
      <c r="AC338" s="28">
        <v>2</v>
      </c>
      <c r="AD338" s="28">
        <v>2</v>
      </c>
      <c r="AE338" s="28">
        <v>4</v>
      </c>
      <c r="AF338" s="35">
        <v>3</v>
      </c>
      <c r="AG338" s="28">
        <v>2</v>
      </c>
      <c r="AH338" s="29" t="s">
        <v>1648</v>
      </c>
      <c r="AI338" s="36">
        <f>IF(OR(AND(K338&lt;32, J338&lt;2), O338=1, P338=1, Q338=1, R338=1, S338=1, T338=1, U338=1, AND(W338&lt;&gt;"", W338&lt;&gt;"Oxygen", W338&lt;&gt;"LowFlow")), "Intensive", "Intermediate")</f>
      </c>
      <c r="AJ338" s="57">
        <f>IF(OR(LEFT(AH338, 1)="X", LEFT(AH338, 1)="Y", LEFT(AH338, 3)="J15M"), "CUSM", "No Match")</f>
      </c>
      <c r="AK338" s="57">
        <f>IF(AND(OR(O338=3, P338=1, Q338=1, T338=1), AJ338="no Match"), "CUSM, CHU SJ, CHUQ", "")</f>
      </c>
      <c r="AL338" s="57">
        <f>IF(AND(O338=2, ISBLANK(P338), ISBLANK(Q338), ISBLANK(R338), ISBLANK(S338), ISBLANK(T338)), "CUSM, CHU SJ, CHUS, CHUQ", "")</f>
      </c>
      <c r="AM338" s="57">
        <f>IF(AND(AJ338="no match", AK338="", AL338="", K338&lt;26), "CUSM, CHU SJ, HGJ, CHUQ, CHUS", "")</f>
      </c>
      <c r="AN338" s="57">
        <f>IF(AND(AJ338="no match", AK338="", AL338="", K338&gt;26), "CUSM, CHU SJ, HGJ, CHUQ, CHUS, HMR", "")</f>
      </c>
    </row>
    <row x14ac:dyDescent="0.25" r="339" customHeight="1" ht="17.25">
      <c r="A339" s="41" t="s">
        <v>3370</v>
      </c>
      <c r="B339" s="28">
        <v>2</v>
      </c>
      <c r="C339" s="28">
        <v>734</v>
      </c>
      <c r="D339" s="29" t="s">
        <v>264</v>
      </c>
      <c r="E339" s="30" t="s">
        <v>220</v>
      </c>
      <c r="F339" s="31">
        <v>45113</v>
      </c>
      <c r="G339" s="32">
        <v>4.916666666666666</v>
      </c>
      <c r="H339" s="31">
        <v>45090</v>
      </c>
      <c r="I339" s="32">
        <v>4.43125</v>
      </c>
      <c r="J339" s="33">
        <f>F339-H339</f>
      </c>
      <c r="K339" s="28">
        <v>32</v>
      </c>
      <c r="L339" s="28">
        <v>4</v>
      </c>
      <c r="M339" s="28">
        <v>1</v>
      </c>
      <c r="N339" s="34"/>
      <c r="O339" s="34"/>
      <c r="P339" s="34"/>
      <c r="Q339" s="34"/>
      <c r="R339" s="34"/>
      <c r="S339" s="56"/>
      <c r="T339" s="34"/>
      <c r="U339" s="34"/>
      <c r="V339" s="34"/>
      <c r="W339" s="29" t="s">
        <v>58</v>
      </c>
      <c r="X339" s="35">
        <v>38</v>
      </c>
      <c r="Y339" s="28">
        <v>1</v>
      </c>
      <c r="Z339" s="28">
        <v>1</v>
      </c>
      <c r="AA339" s="28">
        <v>1</v>
      </c>
      <c r="AB339" s="28">
        <v>2</v>
      </c>
      <c r="AC339" s="28">
        <v>3</v>
      </c>
      <c r="AD339" s="28">
        <v>3</v>
      </c>
      <c r="AE339" s="28">
        <v>4</v>
      </c>
      <c r="AF339" s="28">
        <v>2</v>
      </c>
      <c r="AG339" s="28">
        <v>2</v>
      </c>
      <c r="AH339" s="29" t="s">
        <v>3371</v>
      </c>
      <c r="AI339" s="36">
        <f>IF(OR(AND(K339&lt;32, J339&lt;2), O339=1, P339=1, Q339=1, R339=1, S339=1, T339=1, U339=1, AND(W339&lt;&gt;"", W339&lt;&gt;"Oxygen", W339&lt;&gt;"LowFlow")), "Intensive", "Intermediate")</f>
      </c>
      <c r="AJ339" s="57">
        <f>IF(OR(LEFT(AH339, 1)="X", LEFT(AH339, 1)="Y", LEFT(AH339, 3)="J16M"), "CUSM", "No Match")</f>
      </c>
      <c r="AK339" s="57">
        <f>IF(AND(OR(O339=3, P339=1, Q339=1, T339=1), AJ339="no Match"), "CUSM, CHU SJ, CHUQ", "")</f>
      </c>
      <c r="AL339" s="57">
        <f>IF(AND(O339=2, ISBLANK(P339), ISBLANK(Q339), ISBLANK(R339), ISBLANK(S339), ISBLANK(T339)), "CUSM, CHU SJ, CHUS, CHUQ", "")</f>
      </c>
      <c r="AM339" s="57">
        <f>IF(AND(AJ339="no match", AK339="", AL339="", K339&lt;26), "CUSM, CHU SJ, HGJ, CHUQ, CHUS", "")</f>
      </c>
      <c r="AN339" s="57">
        <f>IF(AND(AJ339="no match", AK339="", AL339="", K339&gt;26), "CUSM, CHU SJ, HGJ, CHUQ, CHUS, HMR", "")</f>
      </c>
    </row>
    <row x14ac:dyDescent="0.25" r="340" customHeight="1" ht="17.25">
      <c r="A340" s="41" t="s">
        <v>3372</v>
      </c>
      <c r="B340" s="28">
        <v>2</v>
      </c>
      <c r="C340" s="35">
        <v>833</v>
      </c>
      <c r="D340" s="29" t="s">
        <v>376</v>
      </c>
      <c r="E340" s="30" t="s">
        <v>54</v>
      </c>
      <c r="F340" s="31">
        <v>45114</v>
      </c>
      <c r="G340" s="32">
        <v>4.739583333333334</v>
      </c>
      <c r="H340" s="31">
        <v>45112</v>
      </c>
      <c r="I340" s="32">
        <v>4.864583333333334</v>
      </c>
      <c r="J340" s="33">
        <f>F340-H340</f>
      </c>
      <c r="K340" s="28">
        <v>38</v>
      </c>
      <c r="L340" s="28">
        <v>2</v>
      </c>
      <c r="M340" s="28">
        <v>1</v>
      </c>
      <c r="N340" s="34"/>
      <c r="O340" s="35">
        <v>2</v>
      </c>
      <c r="P340" s="34"/>
      <c r="Q340" s="34"/>
      <c r="R340" s="34"/>
      <c r="S340" s="56"/>
      <c r="T340" s="34"/>
      <c r="U340" s="34"/>
      <c r="V340" s="34"/>
      <c r="W340" s="29"/>
      <c r="X340" s="28">
        <v>26</v>
      </c>
      <c r="Y340" s="28">
        <v>1</v>
      </c>
      <c r="Z340" s="28">
        <v>1</v>
      </c>
      <c r="AA340" s="28">
        <v>2</v>
      </c>
      <c r="AB340" s="28">
        <v>4</v>
      </c>
      <c r="AC340" s="28">
        <v>2</v>
      </c>
      <c r="AD340" s="28">
        <v>2</v>
      </c>
      <c r="AE340" s="28">
        <v>4</v>
      </c>
      <c r="AF340" s="28">
        <v>2</v>
      </c>
      <c r="AG340" s="28">
        <v>2</v>
      </c>
      <c r="AH340" s="29" t="s">
        <v>1030</v>
      </c>
      <c r="AI340" s="36">
        <f>IF(OR(AND(K340&lt;32, J340&lt;2), O340=1, P340=1, Q340=1, R340=1, S340=1, T340=1, U340=1, AND(W340&lt;&gt;"", W340&lt;&gt;"Oxygen", W340&lt;&gt;"LowFlow")), "Intensive", "Intermediate")</f>
      </c>
      <c r="AJ340" s="57">
        <f>IF(OR(LEFT(AH340, 1)="X", LEFT(AH340, 1)="Y", LEFT(AH340, 3)="J17M"), "CUSM", "No Match")</f>
      </c>
      <c r="AK340" s="57">
        <f>IF(AND(OR(O340=3, P340=1, Q340=1, T340=1), AJ340="no Match"), "CUSM, CHU SJ, CHUQ", "")</f>
      </c>
      <c r="AL340" s="57">
        <f>IF(AND(O340=2, ISBLANK(P340), ISBLANK(Q340), ISBLANK(R340), ISBLANK(S340), ISBLANK(T340)), "CUSM, CHU SJ, CHUS, CHUQ", "")</f>
      </c>
      <c r="AM340" s="57">
        <f>IF(AND(AJ340="no match", AK340="", AL340="", K340&lt;26), "CUSM, CHU SJ, HGJ, CHUQ, CHUS", "")</f>
      </c>
      <c r="AN340" s="57">
        <f>IF(AND(AJ340="no match", AK340="", AL340="", K340&gt;26), "CUSM, CHU SJ, HGJ, CHUQ, CHUS, HMR", "")</f>
      </c>
    </row>
    <row x14ac:dyDescent="0.25" r="341" customHeight="1" ht="17.25">
      <c r="A341" s="41" t="s">
        <v>3373</v>
      </c>
      <c r="B341" s="28">
        <v>2</v>
      </c>
      <c r="C341" s="28">
        <v>779</v>
      </c>
      <c r="D341" s="29" t="s">
        <v>136</v>
      </c>
      <c r="E341" s="30" t="s">
        <v>50</v>
      </c>
      <c r="F341" s="31">
        <v>45114</v>
      </c>
      <c r="G341" s="32">
        <v>4.302083333333334</v>
      </c>
      <c r="H341" s="31">
        <v>45112</v>
      </c>
      <c r="I341" s="32">
        <v>4.471527777777778</v>
      </c>
      <c r="J341" s="33">
        <f>F341-H341</f>
      </c>
      <c r="K341" s="28">
        <v>39</v>
      </c>
      <c r="L341" s="28">
        <v>5</v>
      </c>
      <c r="M341" s="28">
        <v>2</v>
      </c>
      <c r="N341" s="34"/>
      <c r="O341" s="38"/>
      <c r="P341" s="34"/>
      <c r="Q341" s="34"/>
      <c r="R341" s="34"/>
      <c r="S341" s="56"/>
      <c r="T341" s="34"/>
      <c r="U341" s="34"/>
      <c r="V341" s="34"/>
      <c r="W341" s="29" t="s">
        <v>164</v>
      </c>
      <c r="X341" s="28">
        <v>21</v>
      </c>
      <c r="Y341" s="28">
        <v>1</v>
      </c>
      <c r="Z341" s="28">
        <v>1</v>
      </c>
      <c r="AA341" s="28">
        <v>2</v>
      </c>
      <c r="AB341" s="28">
        <v>1</v>
      </c>
      <c r="AC341" s="28">
        <v>1</v>
      </c>
      <c r="AD341" s="28">
        <v>2</v>
      </c>
      <c r="AE341" s="28">
        <v>4</v>
      </c>
      <c r="AF341" s="28">
        <v>2</v>
      </c>
      <c r="AG341" s="28">
        <v>2</v>
      </c>
      <c r="AH341" s="29" t="s">
        <v>3374</v>
      </c>
      <c r="AI341" s="36">
        <f>IF(OR(AND(K341&lt;32, J341&lt;2), O341=1, P341=1, Q341=1, R341=1, S341=1, T341=1, U341=1, AND(W341&lt;&gt;"", W341&lt;&gt;"Oxygen", W341&lt;&gt;"LowFlow")), "Intensive", "Intermediate")</f>
      </c>
      <c r="AJ341" s="57">
        <f>IF(OR(LEFT(AH341, 1)="X", LEFT(AH341, 1)="Y", LEFT(AH341, 3)="J18M"), "CUSM", "No Match")</f>
      </c>
      <c r="AK341" s="57">
        <f>IF(AND(OR(O341=3, P341=1, Q341=1, T341=1), AJ341="no Match"), "CUSM, CHU SJ, CHUQ", "")</f>
      </c>
      <c r="AL341" s="57">
        <f>IF(AND(O341=2, ISBLANK(P341), ISBLANK(Q341), ISBLANK(R341), ISBLANK(S341), ISBLANK(T341)), "CUSM, CHU SJ, CHUS, CHUQ", "")</f>
      </c>
      <c r="AM341" s="57">
        <f>IF(AND(AJ341="no match", AK341="", AL341="", K341&lt;26), "CUSM, CHU SJ, HGJ, CHUQ, CHUS", "")</f>
      </c>
      <c r="AN341" s="57">
        <f>IF(AND(AJ341="no match", AK341="", AL341="", K341&gt;26), "CUSM, CHU SJ, HGJ, CHUQ, CHUS, HMR", "")</f>
      </c>
    </row>
    <row x14ac:dyDescent="0.25" r="342" customHeight="1" ht="17.25">
      <c r="A342" s="41" t="s">
        <v>3375</v>
      </c>
      <c r="B342" s="28">
        <v>2</v>
      </c>
      <c r="C342" s="35">
        <v>756</v>
      </c>
      <c r="D342" s="29" t="s">
        <v>66</v>
      </c>
      <c r="E342" s="30" t="s">
        <v>50</v>
      </c>
      <c r="F342" s="31">
        <v>45114</v>
      </c>
      <c r="G342" s="32">
        <v>4.447916666666666</v>
      </c>
      <c r="H342" s="31">
        <v>45113</v>
      </c>
      <c r="I342" s="32">
        <v>4.486805555555556</v>
      </c>
      <c r="J342" s="33">
        <f>F342-H342</f>
      </c>
      <c r="K342" s="28">
        <v>38</v>
      </c>
      <c r="L342" s="28">
        <v>6</v>
      </c>
      <c r="M342" s="28">
        <v>1</v>
      </c>
      <c r="N342" s="34"/>
      <c r="O342" s="34"/>
      <c r="P342" s="34"/>
      <c r="Q342" s="34"/>
      <c r="R342" s="34"/>
      <c r="S342" s="56"/>
      <c r="T342" s="34"/>
      <c r="U342" s="34"/>
      <c r="V342" s="34"/>
      <c r="W342" s="29" t="s">
        <v>70</v>
      </c>
      <c r="X342" s="28">
        <v>36</v>
      </c>
      <c r="Y342" s="28">
        <v>1</v>
      </c>
      <c r="Z342" s="28">
        <v>2</v>
      </c>
      <c r="AA342" s="28">
        <v>2</v>
      </c>
      <c r="AB342" s="28">
        <v>1</v>
      </c>
      <c r="AC342" s="28">
        <v>2</v>
      </c>
      <c r="AD342" s="28">
        <v>2</v>
      </c>
      <c r="AE342" s="28">
        <v>4</v>
      </c>
      <c r="AF342" s="28">
        <v>3</v>
      </c>
      <c r="AG342" s="28">
        <v>2</v>
      </c>
      <c r="AH342" s="29" t="s">
        <v>3376</v>
      </c>
      <c r="AI342" s="36">
        <f>IF(OR(AND(K342&lt;32, J342&lt;2), O342=1, P342=1, Q342=1, R342=1, S342=1, T342=1, U342=1, AND(W342&lt;&gt;"", W342&lt;&gt;"Oxygen", W342&lt;&gt;"LowFlow")), "Intensive", "Intermediate")</f>
      </c>
      <c r="AJ342" s="57">
        <f>IF(OR(LEFT(AH342, 1)="X", LEFT(AH342, 1)="Y", LEFT(AH342, 3)="J19M"), "CUSM", "No Match")</f>
      </c>
      <c r="AK342" s="57">
        <f>IF(AND(OR(O342=3, P342=1, Q342=1, T342=1), AJ342="no Match"), "CUSM, CHU SJ, CHUQ", "")</f>
      </c>
      <c r="AL342" s="57">
        <f>IF(AND(O342=2, ISBLANK(P342), ISBLANK(Q342), ISBLANK(R342), ISBLANK(S342), ISBLANK(T342)), "CUSM, CHU SJ, CHUS, CHUQ", "")</f>
      </c>
      <c r="AM342" s="57">
        <f>IF(AND(AJ342="no match", AK342="", AL342="", K342&lt;26), "CUSM, CHU SJ, HGJ, CHUQ, CHUS", "")</f>
      </c>
      <c r="AN342" s="57">
        <f>IF(AND(AJ342="no match", AK342="", AL342="", K342&gt;26), "CUSM, CHU SJ, HGJ, CHUQ, CHUS, HMR", "")</f>
      </c>
    </row>
    <row x14ac:dyDescent="0.25" r="343" customHeight="1" ht="17.25">
      <c r="A343" s="41" t="s">
        <v>3377</v>
      </c>
      <c r="B343" s="28">
        <v>2</v>
      </c>
      <c r="C343" s="35">
        <v>778</v>
      </c>
      <c r="D343" s="29" t="s">
        <v>2755</v>
      </c>
      <c r="E343" s="30" t="s">
        <v>118</v>
      </c>
      <c r="F343" s="31">
        <v>45115</v>
      </c>
      <c r="G343" s="32">
        <v>4.4944444444444445</v>
      </c>
      <c r="H343" s="31">
        <v>45115</v>
      </c>
      <c r="I343" s="32">
        <v>4.105555555555556</v>
      </c>
      <c r="J343" s="33">
        <f>F343-H343</f>
      </c>
      <c r="K343" s="28">
        <v>31</v>
      </c>
      <c r="L343" s="28">
        <v>5</v>
      </c>
      <c r="M343" s="28">
        <v>2</v>
      </c>
      <c r="N343" s="34"/>
      <c r="O343" s="34"/>
      <c r="P343" s="34"/>
      <c r="Q343" s="34"/>
      <c r="R343" s="34"/>
      <c r="S343" s="56"/>
      <c r="T343" s="34"/>
      <c r="U343" s="34"/>
      <c r="V343" s="34"/>
      <c r="W343" s="29" t="s">
        <v>74</v>
      </c>
      <c r="X343" s="28">
        <v>27</v>
      </c>
      <c r="Y343" s="28">
        <v>1</v>
      </c>
      <c r="Z343" s="28">
        <v>2</v>
      </c>
      <c r="AA343" s="28">
        <v>1</v>
      </c>
      <c r="AB343" s="28">
        <v>1</v>
      </c>
      <c r="AC343" s="28">
        <v>2</v>
      </c>
      <c r="AD343" s="28">
        <v>1</v>
      </c>
      <c r="AE343" s="28">
        <v>4</v>
      </c>
      <c r="AF343" s="28">
        <v>2</v>
      </c>
      <c r="AG343" s="28">
        <v>2</v>
      </c>
      <c r="AH343" s="29" t="s">
        <v>3378</v>
      </c>
      <c r="AI343" s="36">
        <f>IF(OR(AND(K343&lt;32, J343&lt;2), O343=1, P343=1, Q343=1, R343=1, S343=1, T343=1, U343=1, AND(W343&lt;&gt;"", W343&lt;&gt;"Oxygen", W343&lt;&gt;"LowFlow")), "Intensive", "Intermediate")</f>
      </c>
      <c r="AJ343" s="57">
        <f>IF(OR(LEFT(AH343, 1)="X", LEFT(AH343, 1)="Y", LEFT(AH343, 3)="J20M"), "CUSM", "No Match")</f>
      </c>
      <c r="AK343" s="57">
        <f>IF(AND(OR(O343=3, P343=1, Q343=1, T343=1), AJ343="no Match"), "CUSM, CHU SJ, CHUQ", "")</f>
      </c>
      <c r="AL343" s="57">
        <f>IF(AND(O343=2, ISBLANK(P343), ISBLANK(Q343), ISBLANK(R343), ISBLANK(S343), ISBLANK(T343)), "CUSM, CHU SJ, CHUS, CHUQ", "")</f>
      </c>
      <c r="AM343" s="57">
        <f>IF(AND(AJ343="no match", AK343="", AL343="", K343&lt;26), "CUSM, CHU SJ, HGJ, CHUQ, CHUS", "")</f>
      </c>
      <c r="AN343" s="57">
        <f>IF(AND(AJ343="no match", AK343="", AL343="", K343&gt;26), "CUSM, CHU SJ, HGJ, CHUQ, CHUS, HMR", "")</f>
      </c>
    </row>
    <row x14ac:dyDescent="0.25" r="344" customHeight="1" ht="17.25">
      <c r="A344" s="41" t="s">
        <v>3379</v>
      </c>
      <c r="B344" s="28">
        <v>2</v>
      </c>
      <c r="C344" s="28">
        <v>822</v>
      </c>
      <c r="D344" s="29" t="s">
        <v>167</v>
      </c>
      <c r="E344" s="30" t="s">
        <v>54</v>
      </c>
      <c r="F344" s="31">
        <v>45115</v>
      </c>
      <c r="G344" s="32">
        <v>4.538194444444445</v>
      </c>
      <c r="H344" s="31">
        <v>45113</v>
      </c>
      <c r="I344" s="32">
        <v>4.689583333333333</v>
      </c>
      <c r="J344" s="33">
        <f>F344-H344</f>
      </c>
      <c r="K344" s="28">
        <v>40</v>
      </c>
      <c r="L344" s="28">
        <v>5</v>
      </c>
      <c r="M344" s="28">
        <v>1</v>
      </c>
      <c r="N344" s="34"/>
      <c r="O344" s="34"/>
      <c r="P344" s="34"/>
      <c r="Q344" s="34"/>
      <c r="R344" s="34"/>
      <c r="S344" s="56"/>
      <c r="T344" s="34"/>
      <c r="U344" s="34"/>
      <c r="V344" s="34"/>
      <c r="W344" s="29" t="s">
        <v>106</v>
      </c>
      <c r="X344" s="28">
        <v>24</v>
      </c>
      <c r="Y344" s="28">
        <v>1</v>
      </c>
      <c r="Z344" s="28">
        <v>1</v>
      </c>
      <c r="AA344" s="28">
        <v>1</v>
      </c>
      <c r="AB344" s="28">
        <v>1</v>
      </c>
      <c r="AC344" s="28">
        <v>2</v>
      </c>
      <c r="AD344" s="28">
        <v>2</v>
      </c>
      <c r="AE344" s="28">
        <v>4</v>
      </c>
      <c r="AF344" s="28">
        <v>2</v>
      </c>
      <c r="AG344" s="28">
        <v>2</v>
      </c>
      <c r="AH344" s="29" t="s">
        <v>2537</v>
      </c>
      <c r="AI344" s="36">
        <f>IF(OR(AND(K344&lt;32, J344&lt;2), O344=1, P344=1, Q344=1, R344=1, S344=1, T344=1, U344=1, AND(W344&lt;&gt;"", W344&lt;&gt;"Oxygen", W344&lt;&gt;"LowFlow")), "Intensive", "Intermediate")</f>
      </c>
      <c r="AJ344" s="57">
        <f>IF(OR(LEFT(AH344, 1)="X", LEFT(AH344, 1)="Y", LEFT(AH344, 3)="J21M"), "CUSM", "No Match")</f>
      </c>
      <c r="AK344" s="57">
        <f>IF(AND(OR(O344=3, P344=1, Q344=1, T344=1), AJ344="no Match"), "CUSM, CHU SJ, CHUQ", "")</f>
      </c>
      <c r="AL344" s="57">
        <f>IF(AND(O344=2, ISBLANK(P344), ISBLANK(Q344), ISBLANK(R344), ISBLANK(S344), ISBLANK(T344)), "CUSM, CHU SJ, CHUS, CHUQ", "")</f>
      </c>
      <c r="AM344" s="57">
        <f>IF(AND(AJ344="no match", AK344="", AL344="", K344&lt;26), "CUSM, CHU SJ, HGJ, CHUQ, CHUS", "")</f>
      </c>
      <c r="AN344" s="57">
        <f>IF(AND(AJ344="no match", AK344="", AL344="", K344&gt;26), "CUSM, CHU SJ, HGJ, CHUQ, CHUS, HMR", "")</f>
      </c>
    </row>
    <row x14ac:dyDescent="0.25" r="345" customHeight="1" ht="17.25">
      <c r="A345" s="41" t="s">
        <v>3380</v>
      </c>
      <c r="B345" s="28">
        <v>2</v>
      </c>
      <c r="C345" s="35">
        <v>782</v>
      </c>
      <c r="D345" s="29" t="s">
        <v>95</v>
      </c>
      <c r="E345" s="30" t="s">
        <v>54</v>
      </c>
      <c r="F345" s="31">
        <v>45115</v>
      </c>
      <c r="G345" s="32">
        <v>4.160416666666666</v>
      </c>
      <c r="H345" s="31">
        <v>45111</v>
      </c>
      <c r="I345" s="32">
        <v>4.575694444444444</v>
      </c>
      <c r="J345" s="33">
        <f>F345-H345</f>
      </c>
      <c r="K345" s="28">
        <v>39</v>
      </c>
      <c r="L345" s="28">
        <v>3</v>
      </c>
      <c r="M345" s="28">
        <v>1</v>
      </c>
      <c r="N345" s="34"/>
      <c r="O345" s="34"/>
      <c r="P345" s="34"/>
      <c r="Q345" s="34"/>
      <c r="R345" s="34"/>
      <c r="S345" s="56"/>
      <c r="T345" s="34"/>
      <c r="U345" s="34"/>
      <c r="V345" s="34"/>
      <c r="W345" s="29" t="s">
        <v>164</v>
      </c>
      <c r="X345" s="28">
        <v>34</v>
      </c>
      <c r="Y345" s="28">
        <v>1</v>
      </c>
      <c r="Z345" s="28">
        <v>2</v>
      </c>
      <c r="AA345" s="28">
        <v>2</v>
      </c>
      <c r="AB345" s="28">
        <v>4</v>
      </c>
      <c r="AC345" s="28">
        <v>2</v>
      </c>
      <c r="AD345" s="28">
        <v>1</v>
      </c>
      <c r="AE345" s="28">
        <v>4</v>
      </c>
      <c r="AF345" s="28">
        <v>2</v>
      </c>
      <c r="AG345" s="28">
        <v>2</v>
      </c>
      <c r="AH345" s="29" t="s">
        <v>2559</v>
      </c>
      <c r="AI345" s="36">
        <f>IF(OR(AND(K345&lt;32, J345&lt;2), O345=1, P345=1, Q345=1, R345=1, S345=1, T345=1, U345=1, AND(W345&lt;&gt;"", W345&lt;&gt;"Oxygen", W345&lt;&gt;"LowFlow")), "Intensive", "Intermediate")</f>
      </c>
      <c r="AJ345" s="57">
        <f>IF(OR(LEFT(AH345, 1)="X", LEFT(AH345, 1)="Y", LEFT(AH345, 3)="J22M"), "CUSM", "No Match")</f>
      </c>
      <c r="AK345" s="57">
        <f>IF(AND(OR(O345=3, P345=1, Q345=1, T345=1), AJ345="no Match"), "CUSM, CHU SJ, CHUQ", "")</f>
      </c>
      <c r="AL345" s="57">
        <f>IF(AND(O345=2, ISBLANK(P345), ISBLANK(Q345), ISBLANK(R345), ISBLANK(S345), ISBLANK(T345)), "CUSM, CHU SJ, CHUS, CHUQ", "")</f>
      </c>
      <c r="AM345" s="57">
        <f>IF(AND(AJ345="no match", AK345="", AL345="", K345&lt;26), "CUSM, CHU SJ, HGJ, CHUQ, CHUS", "")</f>
      </c>
      <c r="AN345" s="57">
        <f>IF(AND(AJ345="no match", AK345="", AL345="", K345&gt;26), "CUSM, CHU SJ, HGJ, CHUQ, CHUS, HMR", "")</f>
      </c>
    </row>
    <row x14ac:dyDescent="0.25" r="346" customHeight="1" ht="17.25">
      <c r="A346" s="41" t="s">
        <v>3381</v>
      </c>
      <c r="B346" s="28">
        <v>2</v>
      </c>
      <c r="C346" s="35">
        <v>817</v>
      </c>
      <c r="D346" s="29" t="s">
        <v>163</v>
      </c>
      <c r="E346" s="30" t="s">
        <v>54</v>
      </c>
      <c r="F346" s="31">
        <v>45116</v>
      </c>
      <c r="G346" s="32">
        <v>4.275</v>
      </c>
      <c r="H346" s="31">
        <v>45114</v>
      </c>
      <c r="I346" s="32">
        <v>4.845833333333333</v>
      </c>
      <c r="J346" s="33">
        <f>F346-H346</f>
      </c>
      <c r="K346" s="28">
        <v>40</v>
      </c>
      <c r="L346" s="28">
        <v>2</v>
      </c>
      <c r="M346" s="28">
        <v>1</v>
      </c>
      <c r="N346" s="34"/>
      <c r="O346" s="34"/>
      <c r="P346" s="34"/>
      <c r="Q346" s="34"/>
      <c r="R346" s="34"/>
      <c r="S346" s="56"/>
      <c r="T346" s="34"/>
      <c r="U346" s="34"/>
      <c r="V346" s="34"/>
      <c r="W346" s="29" t="s">
        <v>74</v>
      </c>
      <c r="X346" s="28">
        <v>26</v>
      </c>
      <c r="Y346" s="28">
        <v>1</v>
      </c>
      <c r="Z346" s="28">
        <v>1</v>
      </c>
      <c r="AA346" s="28">
        <v>2</v>
      </c>
      <c r="AB346" s="28">
        <v>1</v>
      </c>
      <c r="AC346" s="28">
        <v>2</v>
      </c>
      <c r="AD346" s="28">
        <v>2</v>
      </c>
      <c r="AE346" s="28">
        <v>4</v>
      </c>
      <c r="AF346" s="28">
        <v>2</v>
      </c>
      <c r="AG346" s="28">
        <v>2</v>
      </c>
      <c r="AH346" s="29" t="s">
        <v>165</v>
      </c>
      <c r="AI346" s="36">
        <f>IF(OR(AND(K346&lt;32, J346&lt;2), O346=1, P346=1, Q346=1, R346=1, S346=1, T346=1, U346=1, AND(W346&lt;&gt;"", W346&lt;&gt;"Oxygen", W346&lt;&gt;"LowFlow")), "Intensive", "Intermediate")</f>
      </c>
      <c r="AJ346" s="57">
        <f>IF(OR(LEFT(AH346, 1)="X", LEFT(AH346, 1)="Y", LEFT(AH346, 3)="J23M"), "CUSM", "No Match")</f>
      </c>
      <c r="AK346" s="57">
        <f>IF(AND(OR(O346=3, P346=1, Q346=1, T346=1), AJ346="no Match"), "CUSM, CHU SJ, CHUQ", "")</f>
      </c>
      <c r="AL346" s="57">
        <f>IF(AND(O346=2, ISBLANK(P346), ISBLANK(Q346), ISBLANK(R346), ISBLANK(S346), ISBLANK(T346)), "CUSM, CHU SJ, CHUS, CHUQ", "")</f>
      </c>
      <c r="AM346" s="57">
        <f>IF(AND(AJ346="no match", AK346="", AL346="", K346&lt;26), "CUSM, CHU SJ, HGJ, CHUQ, CHUS", "")</f>
      </c>
      <c r="AN346" s="57">
        <f>IF(AND(AJ346="no match", AK346="", AL346="", K346&gt;26), "CUSM, CHU SJ, HGJ, CHUQ, CHUS, HMR", "")</f>
      </c>
    </row>
    <row x14ac:dyDescent="0.25" r="347" customHeight="1" ht="17.25">
      <c r="A347" s="41" t="s">
        <v>3382</v>
      </c>
      <c r="B347" s="28">
        <v>2</v>
      </c>
      <c r="C347" s="28">
        <v>776</v>
      </c>
      <c r="D347" s="29" t="s">
        <v>84</v>
      </c>
      <c r="E347" s="30" t="s">
        <v>50</v>
      </c>
      <c r="F347" s="31">
        <v>45116</v>
      </c>
      <c r="G347" s="32">
        <v>4.371527777777778</v>
      </c>
      <c r="H347" s="31">
        <v>45115</v>
      </c>
      <c r="I347" s="32">
        <v>4.986111111111111</v>
      </c>
      <c r="J347" s="33">
        <f>F347-H347</f>
      </c>
      <c r="K347" s="28">
        <v>38</v>
      </c>
      <c r="L347" s="28">
        <v>0</v>
      </c>
      <c r="M347" s="28">
        <v>2</v>
      </c>
      <c r="N347" s="34"/>
      <c r="O347" s="34"/>
      <c r="P347" s="34"/>
      <c r="Q347" s="34"/>
      <c r="R347" s="34"/>
      <c r="S347" s="56"/>
      <c r="T347" s="35">
        <v>1</v>
      </c>
      <c r="U347" s="35">
        <v>1</v>
      </c>
      <c r="V347" s="35">
        <v>1</v>
      </c>
      <c r="W347" s="29" t="s">
        <v>70</v>
      </c>
      <c r="X347" s="28">
        <v>27</v>
      </c>
      <c r="Y347" s="28">
        <v>1</v>
      </c>
      <c r="Z347" s="28">
        <v>1</v>
      </c>
      <c r="AA347" s="28">
        <v>2</v>
      </c>
      <c r="AB347" s="28">
        <v>1</v>
      </c>
      <c r="AC347" s="28">
        <v>2</v>
      </c>
      <c r="AD347" s="28">
        <v>2</v>
      </c>
      <c r="AE347" s="28">
        <v>4</v>
      </c>
      <c r="AF347" s="28">
        <v>2</v>
      </c>
      <c r="AG347" s="28">
        <v>2</v>
      </c>
      <c r="AH347" s="29" t="s">
        <v>3383</v>
      </c>
      <c r="AI347" s="36">
        <f>IF(OR(AND(K347&lt;32, J347&lt;2), O347=1, P347=1, Q347=1, R347=1, S347=1, T347=1, U347=1, AND(W347&lt;&gt;"", W347&lt;&gt;"Oxygen", W347&lt;&gt;"LowFlow")), "Intensive", "Intermediate")</f>
      </c>
      <c r="AJ347" s="57">
        <f>IF(OR(LEFT(AH347, 1)="X", LEFT(AH347, 1)="Y", LEFT(AH347, 3)="J24M"), "CUSM", "No Match")</f>
      </c>
      <c r="AK347" s="57">
        <f>IF(AND(OR(O347=3, P347=1, Q347=1, T347=1), AJ347="no Match"), "CUSM, CHU SJ, CHUQ", "")</f>
      </c>
      <c r="AL347" s="57">
        <f>IF(AND(O347=2, ISBLANK(P347), ISBLANK(Q347), ISBLANK(R347), ISBLANK(S347), ISBLANK(T347)), "CUSM, CHU SJ, CHUS, CHUQ", "")</f>
      </c>
      <c r="AM347" s="57">
        <f>IF(AND(AJ347="no match", AK347="", AL347="", K347&lt;26), "CUSM, CHU SJ, HGJ, CHUQ, CHUS", "")</f>
      </c>
      <c r="AN347" s="57">
        <f>IF(AND(AJ347="no match", AK347="", AL347="", K347&gt;26), "CUSM, CHU SJ, HGJ, CHUQ, CHUS, HMR", "")</f>
      </c>
    </row>
    <row x14ac:dyDescent="0.25" r="348" customHeight="1" ht="17.25">
      <c r="A348" s="41" t="s">
        <v>3384</v>
      </c>
      <c r="B348" s="28">
        <v>2</v>
      </c>
      <c r="C348" s="35">
        <v>824</v>
      </c>
      <c r="D348" s="29" t="s">
        <v>57</v>
      </c>
      <c r="E348" s="30" t="s">
        <v>54</v>
      </c>
      <c r="F348" s="31">
        <v>45117</v>
      </c>
      <c r="G348" s="32">
        <v>4.805555555555555</v>
      </c>
      <c r="H348" s="31">
        <v>45113</v>
      </c>
      <c r="I348" s="32">
        <v>4.975694444444445</v>
      </c>
      <c r="J348" s="33">
        <f>F348-H348</f>
      </c>
      <c r="K348" s="28">
        <v>39</v>
      </c>
      <c r="L348" s="28">
        <v>3</v>
      </c>
      <c r="M348" s="28">
        <v>1</v>
      </c>
      <c r="N348" s="34"/>
      <c r="O348" s="34"/>
      <c r="P348" s="34"/>
      <c r="Q348" s="34"/>
      <c r="R348" s="34"/>
      <c r="S348" s="56"/>
      <c r="T348" s="34"/>
      <c r="U348" s="34"/>
      <c r="V348" s="34"/>
      <c r="W348" s="29"/>
      <c r="X348" s="28">
        <v>33</v>
      </c>
      <c r="Y348" s="28">
        <v>1</v>
      </c>
      <c r="Z348" s="28">
        <v>1</v>
      </c>
      <c r="AA348" s="28">
        <v>3</v>
      </c>
      <c r="AB348" s="28">
        <v>4</v>
      </c>
      <c r="AC348" s="28">
        <v>1</v>
      </c>
      <c r="AD348" s="28">
        <v>1</v>
      </c>
      <c r="AE348" s="28">
        <v>4</v>
      </c>
      <c r="AF348" s="28">
        <v>2</v>
      </c>
      <c r="AG348" s="28">
        <v>2</v>
      </c>
      <c r="AH348" s="29" t="s">
        <v>3385</v>
      </c>
      <c r="AI348" s="36">
        <f>IF(OR(AND(K348&lt;32, J348&lt;2), O348=1, P348=1, Q348=1, R348=1, S348=1, T348=1, U348=1, AND(W348&lt;&gt;"", W348&lt;&gt;"Oxygen", W348&lt;&gt;"LowFlow")), "Intensive", "Intermediate")</f>
      </c>
      <c r="AJ348" s="57">
        <f>IF(OR(LEFT(AH348, 1)="X", LEFT(AH348, 1)="Y", LEFT(AH348, 3)="J25M"), "CUSM", "No Match")</f>
      </c>
      <c r="AK348" s="57">
        <f>IF(AND(OR(O348=3, P348=1, Q348=1, T348=1), AJ348="no Match"), "CUSM, CHU SJ, CHUQ", "")</f>
      </c>
      <c r="AL348" s="57">
        <f>IF(AND(O348=2, ISBLANK(P348), ISBLANK(Q348), ISBLANK(R348), ISBLANK(S348), ISBLANK(T348)), "CUSM, CHU SJ, CHUS, CHUQ", "")</f>
      </c>
      <c r="AM348" s="57">
        <f>IF(AND(AJ348="no match", AK348="", AL348="", K348&lt;26), "CUSM, CHU SJ, HGJ, CHUQ, CHUS", "")</f>
      </c>
      <c r="AN348" s="57">
        <f>IF(AND(AJ348="no match", AK348="", AL348="", K348&gt;26), "CUSM, CHU SJ, HGJ, CHUQ, CHUS, HMR", "")</f>
      </c>
    </row>
    <row x14ac:dyDescent="0.25" r="349" customHeight="1" ht="17.25">
      <c r="A349" s="41" t="s">
        <v>3386</v>
      </c>
      <c r="B349" s="28">
        <v>2</v>
      </c>
      <c r="C349" s="35">
        <v>820</v>
      </c>
      <c r="D349" s="29" t="s">
        <v>69</v>
      </c>
      <c r="E349" s="30" t="s">
        <v>54</v>
      </c>
      <c r="F349" s="31">
        <v>45117</v>
      </c>
      <c r="G349" s="32">
        <v>4.6875</v>
      </c>
      <c r="H349" s="31">
        <v>45113</v>
      </c>
      <c r="I349" s="32">
        <v>4.74375</v>
      </c>
      <c r="J349" s="33">
        <f>F349-H349</f>
      </c>
      <c r="K349" s="28">
        <v>38</v>
      </c>
      <c r="L349" s="28">
        <v>3</v>
      </c>
      <c r="M349" s="28">
        <v>1</v>
      </c>
      <c r="N349" s="34"/>
      <c r="O349" s="34"/>
      <c r="P349" s="34"/>
      <c r="Q349" s="34"/>
      <c r="R349" s="34"/>
      <c r="S349" s="56"/>
      <c r="T349" s="34"/>
      <c r="U349" s="34"/>
      <c r="V349" s="34"/>
      <c r="W349" s="29"/>
      <c r="X349" s="28">
        <v>44</v>
      </c>
      <c r="Y349" s="28">
        <v>1</v>
      </c>
      <c r="Z349" s="28">
        <v>1</v>
      </c>
      <c r="AA349" s="28">
        <v>3</v>
      </c>
      <c r="AB349" s="28">
        <v>4</v>
      </c>
      <c r="AC349" s="28">
        <v>2</v>
      </c>
      <c r="AD349" s="28">
        <v>2</v>
      </c>
      <c r="AE349" s="28">
        <v>4</v>
      </c>
      <c r="AF349" s="28">
        <v>2</v>
      </c>
      <c r="AG349" s="28">
        <v>2</v>
      </c>
      <c r="AH349" s="29" t="s">
        <v>3387</v>
      </c>
      <c r="AI349" s="36">
        <f>IF(OR(AND(K349&lt;32, J349&lt;2), O349=1, P349=1, Q349=1, R349=1, S349=1, T349=1, U349=1, AND(W349&lt;&gt;"", W349&lt;&gt;"Oxygen", W349&lt;&gt;"LowFlow")), "Intensive", "Intermediate")</f>
      </c>
      <c r="AJ349" s="57">
        <f>IF(OR(LEFT(AH349, 1)="X", LEFT(AH349, 1)="Y", LEFT(AH349, 3)="J26M"), "CUSM", "No Match")</f>
      </c>
      <c r="AK349" s="57">
        <f>IF(AND(OR(O349=3, P349=1, Q349=1, T349=1), AJ349="no Match"), "CUSM, CHU SJ, CHUQ", "")</f>
      </c>
      <c r="AL349" s="57">
        <f>IF(AND(O349=2, ISBLANK(P349), ISBLANK(Q349), ISBLANK(R349), ISBLANK(S349), ISBLANK(T349)), "CUSM, CHU SJ, CHUS, CHUQ", "")</f>
      </c>
      <c r="AM349" s="57">
        <f>IF(AND(AJ349="no match", AK349="", AL349="", K349&lt;26), "CUSM, CHU SJ, HGJ, CHUQ, CHUS", "")</f>
      </c>
      <c r="AN349" s="57">
        <f>IF(AND(AJ349="no match", AK349="", AL349="", K349&gt;26), "CUSM, CHU SJ, HGJ, CHUQ, CHUS, HMR", "")</f>
      </c>
    </row>
    <row x14ac:dyDescent="0.25" r="350" customHeight="1" ht="17.25">
      <c r="A350" s="41" t="s">
        <v>3388</v>
      </c>
      <c r="B350" s="28">
        <v>2</v>
      </c>
      <c r="C350" s="35">
        <v>761</v>
      </c>
      <c r="D350" s="29" t="s">
        <v>746</v>
      </c>
      <c r="E350" s="30" t="s">
        <v>149</v>
      </c>
      <c r="F350" s="31">
        <v>45118</v>
      </c>
      <c r="G350" s="32">
        <v>4.09375</v>
      </c>
      <c r="H350" s="31">
        <v>45117</v>
      </c>
      <c r="I350" s="32">
        <v>4.767361111111111</v>
      </c>
      <c r="J350" s="33">
        <f>F350-H350</f>
      </c>
      <c r="K350" s="28">
        <v>38</v>
      </c>
      <c r="L350" s="28">
        <v>0</v>
      </c>
      <c r="M350" s="28">
        <v>1</v>
      </c>
      <c r="N350" s="34"/>
      <c r="O350" s="34"/>
      <c r="P350" s="34"/>
      <c r="Q350" s="34"/>
      <c r="R350" s="34"/>
      <c r="S350" s="56"/>
      <c r="T350" s="35">
        <v>1</v>
      </c>
      <c r="U350" s="34"/>
      <c r="V350" s="35">
        <v>1</v>
      </c>
      <c r="W350" s="29" t="s">
        <v>74</v>
      </c>
      <c r="X350" s="28">
        <v>25</v>
      </c>
      <c r="Y350" s="28">
        <v>1</v>
      </c>
      <c r="Z350" s="28">
        <v>1</v>
      </c>
      <c r="AA350" s="28">
        <v>3</v>
      </c>
      <c r="AB350" s="28">
        <v>4</v>
      </c>
      <c r="AC350" s="28">
        <v>2</v>
      </c>
      <c r="AD350" s="28">
        <v>2</v>
      </c>
      <c r="AE350" s="28">
        <v>4</v>
      </c>
      <c r="AF350" s="28">
        <v>3</v>
      </c>
      <c r="AG350" s="28">
        <v>2</v>
      </c>
      <c r="AH350" s="29" t="s">
        <v>3389</v>
      </c>
      <c r="AI350" s="36">
        <f>IF(OR(AND(K350&lt;32, J350&lt;2), O350=1, P350=1, Q350=1, R350=1, S350=1, T350=1, U350=1, AND(W350&lt;&gt;"", W350&lt;&gt;"Oxygen", W350&lt;&gt;"LowFlow")), "Intensive", "Intermediate")</f>
      </c>
      <c r="AJ350" s="57">
        <f>IF(OR(LEFT(AH350, 1)="X", LEFT(AH350, 1)="Y", LEFT(AH350, 3)="J27M"), "CUSM", "No Match")</f>
      </c>
      <c r="AK350" s="57">
        <f>IF(AND(OR(O350=3, P350=1, Q350=1, T350=1), AJ350="no Match"), "CUSM, CHU SJ, CHUQ", "")</f>
      </c>
      <c r="AL350" s="57">
        <f>IF(AND(O350=2, ISBLANK(P350), ISBLANK(Q350), ISBLANK(R350), ISBLANK(S350), ISBLANK(T350)), "CUSM, CHU SJ, CHUS, CHUQ", "")</f>
      </c>
      <c r="AM350" s="57">
        <f>IF(AND(AJ350="no match", AK350="", AL350="", K350&lt;26), "CUSM, CHU SJ, HGJ, CHUQ, CHUS", "")</f>
      </c>
      <c r="AN350" s="57">
        <f>IF(AND(AJ350="no match", AK350="", AL350="", K350&gt;26), "CUSM, CHU SJ, HGJ, CHUQ, CHUS, HMR", "")</f>
      </c>
    </row>
    <row x14ac:dyDescent="0.25" r="351" customHeight="1" ht="17.25">
      <c r="A351" s="41" t="s">
        <v>3390</v>
      </c>
      <c r="B351" s="28">
        <v>2</v>
      </c>
      <c r="C351" s="35">
        <v>779</v>
      </c>
      <c r="D351" s="29" t="s">
        <v>136</v>
      </c>
      <c r="E351" s="30" t="s">
        <v>54</v>
      </c>
      <c r="F351" s="31">
        <v>45118</v>
      </c>
      <c r="G351" s="32">
        <v>4.607638888888889</v>
      </c>
      <c r="H351" s="31">
        <v>45115</v>
      </c>
      <c r="I351" s="32">
        <v>4.636805555555556</v>
      </c>
      <c r="J351" s="33">
        <f>F351-H351</f>
      </c>
      <c r="K351" s="28">
        <v>35</v>
      </c>
      <c r="L351" s="28">
        <v>0</v>
      </c>
      <c r="M351" s="28">
        <v>2</v>
      </c>
      <c r="N351" s="34"/>
      <c r="O351" s="34"/>
      <c r="P351" s="34"/>
      <c r="Q351" s="34"/>
      <c r="R351" s="34"/>
      <c r="S351" s="56"/>
      <c r="T351" s="34"/>
      <c r="U351" s="34"/>
      <c r="V351" s="34"/>
      <c r="W351" s="29"/>
      <c r="X351" s="28">
        <v>38</v>
      </c>
      <c r="Y351" s="28">
        <v>1</v>
      </c>
      <c r="Z351" s="28">
        <v>2</v>
      </c>
      <c r="AA351" s="28">
        <v>2</v>
      </c>
      <c r="AB351" s="28">
        <v>1</v>
      </c>
      <c r="AC351" s="28">
        <v>1</v>
      </c>
      <c r="AD351" s="28">
        <v>2</v>
      </c>
      <c r="AE351" s="28">
        <v>4</v>
      </c>
      <c r="AF351" s="35">
        <v>2</v>
      </c>
      <c r="AG351" s="28">
        <v>2</v>
      </c>
      <c r="AH351" s="29" t="s">
        <v>3391</v>
      </c>
      <c r="AI351" s="36">
        <f>IF(OR(AND(K351&lt;32, J351&lt;2), O351=1, P351=1, Q351=1, R351=1, S351=1, T351=1, U351=1, AND(W351&lt;&gt;"", W351&lt;&gt;"Oxygen", W351&lt;&gt;"LowFlow")), "Intensive", "Intermediate")</f>
      </c>
      <c r="AJ351" s="57">
        <f>IF(OR(LEFT(AH351, 1)="X", LEFT(AH351, 1)="Y", LEFT(AH351, 3)="J28M"), "CUSM", "No Match")</f>
      </c>
      <c r="AK351" s="57">
        <f>IF(AND(OR(O351=3, P351=1, Q351=1, T351=1), AJ351="no Match"), "CUSM, CHU SJ, CHUQ", "")</f>
      </c>
      <c r="AL351" s="57">
        <f>IF(AND(O351=2, ISBLANK(P351), ISBLANK(Q351), ISBLANK(R351), ISBLANK(S351), ISBLANK(T351)), "CUSM, CHU SJ, CHUS, CHUQ", "")</f>
      </c>
      <c r="AM351" s="57">
        <f>IF(AND(AJ351="no match", AK351="", AL351="", K351&lt;26), "CUSM, CHU SJ, HGJ, CHUQ, CHUS", "")</f>
      </c>
      <c r="AN351" s="57">
        <f>IF(AND(AJ351="no match", AK351="", AL351="", K351&gt;26), "CUSM, CHU SJ, HGJ, CHUQ, CHUS, HMR", "")</f>
      </c>
    </row>
    <row x14ac:dyDescent="0.25" r="352" customHeight="1" ht="17.25">
      <c r="A352" s="41" t="s">
        <v>3392</v>
      </c>
      <c r="B352" s="28">
        <v>2</v>
      </c>
      <c r="C352" s="28">
        <v>782</v>
      </c>
      <c r="D352" s="29" t="s">
        <v>95</v>
      </c>
      <c r="E352" s="30" t="s">
        <v>78</v>
      </c>
      <c r="F352" s="31">
        <v>45118</v>
      </c>
      <c r="G352" s="32">
        <v>4.923611111111111</v>
      </c>
      <c r="H352" s="31">
        <v>45118</v>
      </c>
      <c r="I352" s="32">
        <v>4.6819444444444445</v>
      </c>
      <c r="J352" s="33">
        <f>F352-H352</f>
      </c>
      <c r="K352" s="28">
        <v>35</v>
      </c>
      <c r="L352" s="28">
        <v>0</v>
      </c>
      <c r="M352" s="28">
        <v>2</v>
      </c>
      <c r="N352" s="38"/>
      <c r="O352" s="34"/>
      <c r="P352" s="38"/>
      <c r="Q352" s="34"/>
      <c r="R352" s="34"/>
      <c r="S352" s="56"/>
      <c r="T352" s="34"/>
      <c r="U352" s="34"/>
      <c r="V352" s="34"/>
      <c r="W352" s="29" t="s">
        <v>58</v>
      </c>
      <c r="X352" s="28">
        <v>34</v>
      </c>
      <c r="Y352" s="28">
        <v>2</v>
      </c>
      <c r="Z352" s="28">
        <v>2</v>
      </c>
      <c r="AA352" s="28">
        <v>2</v>
      </c>
      <c r="AB352" s="28">
        <v>1</v>
      </c>
      <c r="AC352" s="28">
        <v>1</v>
      </c>
      <c r="AD352" s="28">
        <v>2</v>
      </c>
      <c r="AE352" s="28">
        <v>3</v>
      </c>
      <c r="AF352" s="28">
        <v>2</v>
      </c>
      <c r="AG352" s="28">
        <v>2</v>
      </c>
      <c r="AH352" s="29" t="s">
        <v>2143</v>
      </c>
      <c r="AI352" s="36">
        <f>IF(OR(AND(K352&lt;32, J352&lt;2), O352=1, P352=1, Q352=1, R352=1, S352=1, T352=1, U352=1, AND(W352&lt;&gt;"", W352&lt;&gt;"Oxygen", W352&lt;&gt;"LowFlow")), "Intensive", "Intermediate")</f>
      </c>
      <c r="AJ352" s="57">
        <f>IF(OR(LEFT(AH352, 1)="X", LEFT(AH352, 1)="Y", LEFT(AH352, 3)="J29M"), "CUSM", "No Match")</f>
      </c>
      <c r="AK352" s="57">
        <f>IF(AND(OR(O352=3, P352=1, Q352=1, T352=1), AJ352="no Match"), "CUSM, CHU SJ, CHUQ", "")</f>
      </c>
      <c r="AL352" s="57">
        <f>IF(AND(O352=2, ISBLANK(P352), ISBLANK(Q352), ISBLANK(R352), ISBLANK(S352), ISBLANK(T352)), "CUSM, CHU SJ, CHUS, CHUQ", "")</f>
      </c>
      <c r="AM352" s="57">
        <f>IF(AND(AJ352="no match", AK352="", AL352="", K352&lt;26), "CUSM, CHU SJ, HGJ, CHUQ, CHUS", "")</f>
      </c>
      <c r="AN352" s="57">
        <f>IF(AND(AJ352="no match", AK352="", AL352="", K352&gt;26), "CUSM, CHU SJ, HGJ, CHUQ, CHUS, HMR", "")</f>
      </c>
    </row>
    <row x14ac:dyDescent="0.25" r="353" customHeight="1" ht="17.25">
      <c r="A353" s="41" t="s">
        <v>3393</v>
      </c>
      <c r="B353" s="28">
        <v>2</v>
      </c>
      <c r="C353" s="35">
        <v>779</v>
      </c>
      <c r="D353" s="29" t="s">
        <v>136</v>
      </c>
      <c r="E353" s="30" t="s">
        <v>50</v>
      </c>
      <c r="F353" s="31">
        <v>45118</v>
      </c>
      <c r="G353" s="32">
        <v>4.947916666666666</v>
      </c>
      <c r="H353" s="31">
        <v>45118</v>
      </c>
      <c r="I353" s="32">
        <v>4.027083333333334</v>
      </c>
      <c r="J353" s="33">
        <f>F353-H353</f>
      </c>
      <c r="K353" s="28">
        <v>39</v>
      </c>
      <c r="L353" s="28">
        <v>1</v>
      </c>
      <c r="M353" s="28">
        <v>2</v>
      </c>
      <c r="N353" s="38"/>
      <c r="O353" s="34"/>
      <c r="P353" s="38"/>
      <c r="Q353" s="34"/>
      <c r="R353" s="34"/>
      <c r="S353" s="56"/>
      <c r="T353" s="34"/>
      <c r="U353" s="34"/>
      <c r="V353" s="34"/>
      <c r="W353" s="29" t="s">
        <v>74</v>
      </c>
      <c r="X353" s="28">
        <v>30</v>
      </c>
      <c r="Y353" s="28">
        <v>1</v>
      </c>
      <c r="Z353" s="28">
        <v>1</v>
      </c>
      <c r="AA353" s="28">
        <v>3</v>
      </c>
      <c r="AB353" s="28">
        <v>1</v>
      </c>
      <c r="AC353" s="28">
        <v>2</v>
      </c>
      <c r="AD353" s="28">
        <v>1</v>
      </c>
      <c r="AE353" s="28">
        <v>4</v>
      </c>
      <c r="AF353" s="28">
        <v>3</v>
      </c>
      <c r="AG353" s="28">
        <v>2</v>
      </c>
      <c r="AH353" s="29" t="s">
        <v>3394</v>
      </c>
      <c r="AI353" s="36">
        <f>IF(OR(AND(K353&lt;32, J353&lt;2), O353=1, P353=1, Q353=1, R353=1, S353=1, T353=1, U353=1, AND(W353&lt;&gt;"", W353&lt;&gt;"Oxygen", W353&lt;&gt;"LowFlow")), "Intensive", "Intermediate")</f>
      </c>
      <c r="AJ353" s="57">
        <f>IF(OR(LEFT(AH353, 1)="X", LEFT(AH353, 1)="Y", LEFT(AH353, 3)="J30M"), "CUSM", "No Match")</f>
      </c>
      <c r="AK353" s="57">
        <f>IF(AND(OR(O353=3, P353=1, Q353=1, T353=1), AJ353="no Match"), "CUSM, CHU SJ, CHUQ", "")</f>
      </c>
      <c r="AL353" s="57">
        <f>IF(AND(O353=2, ISBLANK(P353), ISBLANK(Q353), ISBLANK(R353), ISBLANK(S353), ISBLANK(T353)), "CUSM, CHU SJ, CHUS, CHUQ", "")</f>
      </c>
      <c r="AM353" s="57">
        <f>IF(AND(AJ353="no match", AK353="", AL353="", K353&lt;26), "CUSM, CHU SJ, HGJ, CHUQ, CHUS", "")</f>
      </c>
      <c r="AN353" s="57">
        <f>IF(AND(AJ353="no match", AK353="", AL353="", K353&gt;26), "CUSM, CHU SJ, HGJ, CHUQ, CHUS, HMR", "")</f>
      </c>
    </row>
    <row x14ac:dyDescent="0.25" r="354" customHeight="1" ht="17.25">
      <c r="A354" s="41" t="s">
        <v>3395</v>
      </c>
      <c r="B354" s="28">
        <v>2</v>
      </c>
      <c r="C354" s="35">
        <v>734</v>
      </c>
      <c r="D354" s="29" t="s">
        <v>264</v>
      </c>
      <c r="E354" s="30" t="s">
        <v>50</v>
      </c>
      <c r="F354" s="31">
        <v>45119</v>
      </c>
      <c r="G354" s="32">
        <v>4.095833333333333</v>
      </c>
      <c r="H354" s="31">
        <v>45118</v>
      </c>
      <c r="I354" s="32">
        <v>4.950694444444444</v>
      </c>
      <c r="J354" s="33">
        <f>F354-H354</f>
      </c>
      <c r="K354" s="28">
        <v>39</v>
      </c>
      <c r="L354" s="28">
        <v>1</v>
      </c>
      <c r="M354" s="28">
        <v>2</v>
      </c>
      <c r="N354" s="34"/>
      <c r="O354" s="34"/>
      <c r="P354" s="34"/>
      <c r="Q354" s="34"/>
      <c r="R354" s="34"/>
      <c r="S354" s="56"/>
      <c r="T354" s="34"/>
      <c r="U354" s="34"/>
      <c r="V354" s="34"/>
      <c r="W354" s="29" t="s">
        <v>58</v>
      </c>
      <c r="X354" s="28">
        <v>33</v>
      </c>
      <c r="Y354" s="28">
        <v>1</v>
      </c>
      <c r="Z354" s="28">
        <v>1</v>
      </c>
      <c r="AA354" s="28">
        <v>3</v>
      </c>
      <c r="AB354" s="28">
        <v>1</v>
      </c>
      <c r="AC354" s="28">
        <v>2</v>
      </c>
      <c r="AD354" s="28">
        <v>2</v>
      </c>
      <c r="AE354" s="28">
        <v>4</v>
      </c>
      <c r="AF354" s="28">
        <v>1</v>
      </c>
      <c r="AG354" s="28">
        <v>2</v>
      </c>
      <c r="AH354" s="29" t="s">
        <v>3396</v>
      </c>
      <c r="AI354" s="36">
        <f>IF(OR(AND(K354&lt;32, J354&lt;2), O354=1, P354=1, Q354=1, R354=1, S354=1, T354=1, U354=1, AND(W354&lt;&gt;"", W354&lt;&gt;"Oxygen", W354&lt;&gt;"LowFlow")), "Intensive", "Intermediate")</f>
      </c>
      <c r="AJ354" s="57">
        <f>IF(OR(LEFT(AH354, 1)="X", LEFT(AH354, 1)="Y", LEFT(AH354, 3)="J31M"), "CUSM", "No Match")</f>
      </c>
      <c r="AK354" s="57">
        <f>IF(AND(OR(O354=3, P354=1, Q354=1, T354=1), AJ354="no Match"), "CUSM, CHU SJ, CHUQ", "")</f>
      </c>
      <c r="AL354" s="57">
        <f>IF(AND(O354=2, ISBLANK(P354), ISBLANK(Q354), ISBLANK(R354), ISBLANK(S354), ISBLANK(T354)), "CUSM, CHU SJ, CHUS, CHUQ", "")</f>
      </c>
      <c r="AM354" s="57">
        <f>IF(AND(AJ354="no match", AK354="", AL354="", K354&lt;26), "CUSM, CHU SJ, HGJ, CHUQ, CHUS", "")</f>
      </c>
      <c r="AN354" s="57">
        <f>IF(AND(AJ354="no match", AK354="", AL354="", K354&gt;26), "CUSM, CHU SJ, HGJ, CHUQ, CHUS, HMR", "")</f>
      </c>
    </row>
    <row x14ac:dyDescent="0.25" r="355" customHeight="1" ht="17.25">
      <c r="A355" s="41" t="s">
        <v>3397</v>
      </c>
      <c r="B355" s="28">
        <v>2</v>
      </c>
      <c r="C355" s="35">
        <v>1019</v>
      </c>
      <c r="D355" s="29" t="s">
        <v>354</v>
      </c>
      <c r="E355" s="30" t="s">
        <v>54</v>
      </c>
      <c r="F355" s="31">
        <v>45120</v>
      </c>
      <c r="G355" s="32">
        <v>4.6875</v>
      </c>
      <c r="H355" s="31">
        <v>45090</v>
      </c>
      <c r="I355" s="32">
        <v>4.43125</v>
      </c>
      <c r="J355" s="33">
        <f>F355-H355</f>
      </c>
      <c r="K355" s="28">
        <v>32</v>
      </c>
      <c r="L355" s="28">
        <v>4</v>
      </c>
      <c r="M355" s="28">
        <v>1</v>
      </c>
      <c r="N355" s="35">
        <v>1</v>
      </c>
      <c r="O355" s="34"/>
      <c r="P355" s="34"/>
      <c r="Q355" s="34"/>
      <c r="R355" s="34"/>
      <c r="S355" s="56"/>
      <c r="T355" s="34"/>
      <c r="U355" s="34"/>
      <c r="V355" s="34"/>
      <c r="W355" s="29" t="s">
        <v>58</v>
      </c>
      <c r="X355" s="28">
        <v>38</v>
      </c>
      <c r="Y355" s="28">
        <v>1</v>
      </c>
      <c r="Z355" s="28">
        <v>1</v>
      </c>
      <c r="AA355" s="28">
        <v>1</v>
      </c>
      <c r="AB355" s="28">
        <v>2</v>
      </c>
      <c r="AC355" s="28">
        <v>2</v>
      </c>
      <c r="AD355" s="28">
        <v>2</v>
      </c>
      <c r="AE355" s="28">
        <v>4</v>
      </c>
      <c r="AF355" s="28">
        <v>3</v>
      </c>
      <c r="AG355" s="28">
        <v>2</v>
      </c>
      <c r="AH355" s="29" t="s">
        <v>3371</v>
      </c>
      <c r="AI355" s="36">
        <f>IF(OR(AND(K355&lt;32, J355&lt;2), O355=1, P355=1, Q355=1, R355=1, S355=1, T355=1, U355=1, AND(W355&lt;&gt;"", W355&lt;&gt;"Oxygen", W355&lt;&gt;"LowFlow")), "Intensive", "Intermediate")</f>
      </c>
      <c r="AJ355" s="57">
        <f>IF(OR(LEFT(AH355, 1)="X", LEFT(AH355, 1)="Y", LEFT(AH355, 3)="J32M"), "CUSM", "No Match")</f>
      </c>
      <c r="AK355" s="57">
        <f>IF(AND(OR(O355=3, P355=1, Q355=1, T355=1), AJ355="no Match"), "CUSM, CHU SJ, CHUQ", "")</f>
      </c>
      <c r="AL355" s="57">
        <f>IF(AND(O355=2, ISBLANK(P355), ISBLANK(Q355), ISBLANK(R355), ISBLANK(S355), ISBLANK(T355)), "CUSM, CHU SJ, CHUS, CHUQ", "")</f>
      </c>
      <c r="AM355" s="57">
        <f>IF(AND(AJ355="no match", AK355="", AL355="", K355&lt;26), "CUSM, CHU SJ, HGJ, CHUQ, CHUS", "")</f>
      </c>
      <c r="AN355" s="57">
        <f>IF(AND(AJ355="no match", AK355="", AL355="", K355&gt;26), "CUSM, CHU SJ, HGJ, CHUQ, CHUS, HMR", "")</f>
      </c>
    </row>
    <row x14ac:dyDescent="0.25" r="356" customHeight="1" ht="17.25">
      <c r="A356" s="41" t="s">
        <v>3398</v>
      </c>
      <c r="B356" s="28">
        <v>2</v>
      </c>
      <c r="C356" s="35">
        <v>836</v>
      </c>
      <c r="D356" s="29" t="s">
        <v>613</v>
      </c>
      <c r="E356" s="30" t="s">
        <v>50</v>
      </c>
      <c r="F356" s="31">
        <v>45120</v>
      </c>
      <c r="G356" s="32">
        <v>4.249305555555555</v>
      </c>
      <c r="H356" s="31">
        <v>45113</v>
      </c>
      <c r="I356" s="32">
        <v>4.99375</v>
      </c>
      <c r="J356" s="33">
        <f>F356-H356</f>
      </c>
      <c r="K356" s="28">
        <v>38</v>
      </c>
      <c r="L356" s="28">
        <v>0</v>
      </c>
      <c r="M356" s="28">
        <v>1</v>
      </c>
      <c r="N356" s="34"/>
      <c r="O356" s="34"/>
      <c r="P356" s="34"/>
      <c r="Q356" s="34"/>
      <c r="R356" s="34"/>
      <c r="S356" s="56"/>
      <c r="T356" s="34"/>
      <c r="U356" s="34"/>
      <c r="V356" s="34"/>
      <c r="W356" s="29"/>
      <c r="X356" s="28">
        <v>25</v>
      </c>
      <c r="Y356" s="28">
        <v>1</v>
      </c>
      <c r="Z356" s="28">
        <v>1</v>
      </c>
      <c r="AA356" s="28">
        <v>3</v>
      </c>
      <c r="AB356" s="28">
        <v>1</v>
      </c>
      <c r="AC356" s="28">
        <v>2</v>
      </c>
      <c r="AD356" s="28">
        <v>1</v>
      </c>
      <c r="AE356" s="28">
        <v>4</v>
      </c>
      <c r="AF356" s="28">
        <v>3</v>
      </c>
      <c r="AG356" s="28">
        <v>3</v>
      </c>
      <c r="AH356" s="29" t="s">
        <v>368</v>
      </c>
      <c r="AI356" s="36">
        <f>IF(OR(AND(K356&lt;32, J356&lt;2), O356=1, P356=1, Q356=1, R356=1, S356=1, T356=1, U356=1, AND(W356&lt;&gt;"", W356&lt;&gt;"Oxygen", W356&lt;&gt;"LowFlow")), "Intensive", "Intermediate")</f>
      </c>
      <c r="AJ356" s="57">
        <f>IF(OR(LEFT(AH356, 1)="X", LEFT(AH356, 1)="Y", LEFT(AH356, 3)="J0M"), "CUSM", "No Match")</f>
      </c>
      <c r="AK356" s="57">
        <f>IF(AND(OR(O356=3, P356=1, Q356=1, T356=1), AJ356="no Match"), "CUSM, CHU SJ, CHUQ", "")</f>
      </c>
      <c r="AL356" s="57">
        <f>IF(AND(O356=2, ISBLANK(P356), ISBLANK(Q356), ISBLANK(R356), ISBLANK(S356), ISBLANK(T356)), "CUSM, CHU SJ, CHUS, CHUQ", "")</f>
      </c>
      <c r="AM356" s="57">
        <f>IF(AND(AJ356="no match", AK356="", AL356="", K356&lt;26), "CUSM, CHU SJ, HGJ, CHUQ, CHUS", "")</f>
      </c>
      <c r="AN356" s="57">
        <f>IF(AND(AJ356="no match", AK356="", AL356="", K356&gt;26), "CUSM, CHU SJ, HGJ, CHUQ, CHUS, HMR", "")</f>
      </c>
    </row>
    <row x14ac:dyDescent="0.25" r="357" customHeight="1" ht="17.25">
      <c r="A357" s="41" t="s">
        <v>3399</v>
      </c>
      <c r="B357" s="28">
        <v>2</v>
      </c>
      <c r="C357" s="35">
        <v>820</v>
      </c>
      <c r="D357" s="29" t="s">
        <v>69</v>
      </c>
      <c r="E357" s="30" t="s">
        <v>54</v>
      </c>
      <c r="F357" s="31">
        <v>45121</v>
      </c>
      <c r="G357" s="32">
        <v>4.642361111111111</v>
      </c>
      <c r="H357" s="31">
        <v>45119</v>
      </c>
      <c r="I357" s="32">
        <v>4.550694444444444</v>
      </c>
      <c r="J357" s="33">
        <f>F357-H357</f>
      </c>
      <c r="K357" s="28">
        <v>37</v>
      </c>
      <c r="L357" s="28">
        <v>6</v>
      </c>
      <c r="M357" s="28">
        <v>1</v>
      </c>
      <c r="N357" s="38"/>
      <c r="O357" s="34"/>
      <c r="P357" s="34"/>
      <c r="Q357" s="38"/>
      <c r="R357" s="34"/>
      <c r="S357" s="56"/>
      <c r="T357" s="34"/>
      <c r="U357" s="38"/>
      <c r="V357" s="38"/>
      <c r="W357" s="29"/>
      <c r="X357" s="28">
        <v>20</v>
      </c>
      <c r="Y357" s="28">
        <v>1</v>
      </c>
      <c r="Z357" s="28">
        <v>2</v>
      </c>
      <c r="AA357" s="28">
        <v>2</v>
      </c>
      <c r="AB357" s="28">
        <v>1</v>
      </c>
      <c r="AC357" s="28">
        <v>2</v>
      </c>
      <c r="AD357" s="28">
        <v>2</v>
      </c>
      <c r="AE357" s="28">
        <v>4</v>
      </c>
      <c r="AF357" s="28">
        <v>2</v>
      </c>
      <c r="AG357" s="28">
        <v>2</v>
      </c>
      <c r="AH357" s="29" t="s">
        <v>3400</v>
      </c>
      <c r="AI357" s="36">
        <f>IF(OR(AND(K357&lt;32, J357&lt;2), O357=1, P357=1, Q357=1, R357=1, S357=1, T357=1, U357=1, AND(W357&lt;&gt;"", W357&lt;&gt;"Oxygen", W357&lt;&gt;"LowFlow")), "Intensive", "Intermediate")</f>
      </c>
      <c r="AJ357" s="57">
        <f>IF(OR(LEFT(AH357, 1)="X", LEFT(AH357, 1)="Y", LEFT(AH357, 3)="J34M"), "CUSM", "No Match")</f>
      </c>
      <c r="AK357" s="57">
        <f>IF(AND(OR(O357=3, P357=1, Q357=1, T357=1), AJ357="no Match"), "CUSM, CHU SJ, CHUQ", "")</f>
      </c>
      <c r="AL357" s="57">
        <f>IF(AND(O357=2, ISBLANK(P357), ISBLANK(Q357), ISBLANK(R357), ISBLANK(S357), ISBLANK(T357)), "CUSM, CHU SJ, CHUS, CHUQ", "")</f>
      </c>
      <c r="AM357" s="57">
        <f>IF(AND(AJ357="no match", AK357="", AL357="", K357&lt;26), "CUSM, CHU SJ, HGJ, CHUQ, CHUS", "")</f>
      </c>
      <c r="AN357" s="57">
        <f>IF(AND(AJ357="no match", AK357="", AL357="", K357&gt;26), "CUSM, CHU SJ, HGJ, CHUQ, CHUS, HMR", "")</f>
      </c>
    </row>
    <row x14ac:dyDescent="0.25" r="358" customHeight="1" ht="17.25">
      <c r="A358" s="41" t="s">
        <v>3401</v>
      </c>
      <c r="B358" s="28">
        <v>2</v>
      </c>
      <c r="C358" s="35">
        <v>806</v>
      </c>
      <c r="D358" s="29" t="s">
        <v>438</v>
      </c>
      <c r="E358" s="30" t="s">
        <v>50</v>
      </c>
      <c r="F358" s="31">
        <v>45121</v>
      </c>
      <c r="G358" s="32">
        <v>4.6375</v>
      </c>
      <c r="H358" s="31">
        <v>45120</v>
      </c>
      <c r="I358" s="32">
        <v>4.642361111111111</v>
      </c>
      <c r="J358" s="33">
        <f>F358-H358</f>
      </c>
      <c r="K358" s="28">
        <v>39</v>
      </c>
      <c r="L358" s="28">
        <v>1</v>
      </c>
      <c r="M358" s="28">
        <v>1</v>
      </c>
      <c r="N358" s="38"/>
      <c r="O358" s="34"/>
      <c r="P358" s="38"/>
      <c r="Q358" s="34"/>
      <c r="R358" s="34"/>
      <c r="S358" s="56"/>
      <c r="T358" s="34"/>
      <c r="U358" s="34"/>
      <c r="V358" s="34"/>
      <c r="W358" s="29" t="s">
        <v>58</v>
      </c>
      <c r="X358" s="28">
        <v>30</v>
      </c>
      <c r="Y358" s="28">
        <v>1</v>
      </c>
      <c r="Z358" s="28">
        <v>1</v>
      </c>
      <c r="AA358" s="28">
        <v>3</v>
      </c>
      <c r="AB358" s="28">
        <v>1</v>
      </c>
      <c r="AC358" s="28">
        <v>2</v>
      </c>
      <c r="AD358" s="28">
        <v>2</v>
      </c>
      <c r="AE358" s="28">
        <v>4</v>
      </c>
      <c r="AF358" s="35">
        <v>3</v>
      </c>
      <c r="AG358" s="28">
        <v>2</v>
      </c>
      <c r="AH358" s="29" t="s">
        <v>1242</v>
      </c>
      <c r="AI358" s="36">
        <f>IF(OR(AND(K358&lt;32, J358&lt;2), O358=1, P358=1, Q358=1, R358=1, S358=1, T358=1, U358=1, AND(W358&lt;&gt;"", W358&lt;&gt;"Oxygen", W358&lt;&gt;"LowFlow")), "Intensive", "Intermediate")</f>
      </c>
      <c r="AJ358" s="57">
        <f>IF(OR(LEFT(AH358, 1)="X", LEFT(AH358, 1)="Y", LEFT(AH358, 3)="J35M"), "CUSM", "No Match")</f>
      </c>
      <c r="AK358" s="57">
        <f>IF(AND(OR(O358=3, P358=1, Q358=1, T358=1), AJ358="no Match"), "CUSM, CHU SJ, CHUQ", "")</f>
      </c>
      <c r="AL358" s="57">
        <f>IF(AND(O358=2, ISBLANK(P358), ISBLANK(Q358), ISBLANK(R358), ISBLANK(S358), ISBLANK(T358)), "CUSM, CHU SJ, CHUS, CHUQ", "")</f>
      </c>
      <c r="AM358" s="57">
        <f>IF(AND(AJ358="no match", AK358="", AL358="", K358&lt;26), "CUSM, CHU SJ, HGJ, CHUQ, CHUS", "")</f>
      </c>
      <c r="AN358" s="57">
        <f>IF(AND(AJ358="no match", AK358="", AL358="", K358&gt;26), "CUSM, CHU SJ, HGJ, CHUQ, CHUS, HMR", "")</f>
      </c>
    </row>
    <row x14ac:dyDescent="0.25" r="359" customHeight="1" ht="17.25">
      <c r="A359" s="41" t="s">
        <v>3402</v>
      </c>
      <c r="B359" s="28">
        <v>2</v>
      </c>
      <c r="C359" s="35">
        <v>734</v>
      </c>
      <c r="D359" s="29" t="s">
        <v>264</v>
      </c>
      <c r="E359" s="30" t="s">
        <v>54</v>
      </c>
      <c r="F359" s="31">
        <v>45122</v>
      </c>
      <c r="G359" s="32">
        <v>4.048611111111111</v>
      </c>
      <c r="H359" s="31">
        <v>45114</v>
      </c>
      <c r="I359" s="32">
        <v>4.192361111111111</v>
      </c>
      <c r="J359" s="33">
        <f>F359-H359</f>
      </c>
      <c r="K359" s="28">
        <v>40</v>
      </c>
      <c r="L359" s="28">
        <v>4</v>
      </c>
      <c r="M359" s="28">
        <v>1</v>
      </c>
      <c r="N359" s="38"/>
      <c r="O359" s="34"/>
      <c r="P359" s="38"/>
      <c r="Q359" s="34"/>
      <c r="R359" s="34"/>
      <c r="S359" s="56"/>
      <c r="T359" s="34"/>
      <c r="U359" s="34"/>
      <c r="V359" s="34"/>
      <c r="W359" s="29"/>
      <c r="X359" s="28">
        <v>33</v>
      </c>
      <c r="Y359" s="28">
        <v>1</v>
      </c>
      <c r="Z359" s="28">
        <v>1</v>
      </c>
      <c r="AA359" s="28">
        <v>2</v>
      </c>
      <c r="AB359" s="28">
        <v>1</v>
      </c>
      <c r="AC359" s="28">
        <v>2</v>
      </c>
      <c r="AD359" s="28">
        <v>2</v>
      </c>
      <c r="AE359" s="28">
        <v>4</v>
      </c>
      <c r="AF359" s="28">
        <v>2</v>
      </c>
      <c r="AG359" s="28">
        <v>2</v>
      </c>
      <c r="AH359" s="29" t="s">
        <v>3403</v>
      </c>
      <c r="AI359" s="36">
        <f>IF(OR(AND(K359&lt;32, J359&lt;2), O359=1, P359=1, Q359=1, R359=1, S359=1, T359=1, U359=1, AND(W359&lt;&gt;"", W359&lt;&gt;"Oxygen", W359&lt;&gt;"LowFlow")), "Intensive", "Intermediate")</f>
      </c>
      <c r="AJ359" s="57">
        <f>IF(OR(LEFT(AH359, 1)="X", LEFT(AH359, 1)="Y", LEFT(AH359, 3)="J36M"), "CUSM", "No Match")</f>
      </c>
      <c r="AK359" s="57">
        <f>IF(AND(OR(O359=3, P359=1, Q359=1, T359=1), AJ359="no Match"), "CUSM, CHU SJ, CHUQ", "")</f>
      </c>
      <c r="AL359" s="57">
        <f>IF(AND(O359=2, ISBLANK(P359), ISBLANK(Q359), ISBLANK(R359), ISBLANK(S359), ISBLANK(T359)), "CUSM, CHU SJ, CHUS, CHUQ", "")</f>
      </c>
      <c r="AM359" s="57">
        <f>IF(AND(AJ359="no match", AK359="", AL359="", K359&lt;26), "CUSM, CHU SJ, HGJ, CHUQ, CHUS", "")</f>
      </c>
      <c r="AN359" s="57">
        <f>IF(AND(AJ359="no match", AK359="", AL359="", K359&gt;26), "CUSM, CHU SJ, HGJ, CHUQ, CHUS, HMR", "")</f>
      </c>
    </row>
    <row x14ac:dyDescent="0.25" r="360" customHeight="1" ht="17.25">
      <c r="A360" s="41" t="s">
        <v>3404</v>
      </c>
      <c r="B360" s="28">
        <v>2</v>
      </c>
      <c r="C360" s="35">
        <v>822</v>
      </c>
      <c r="D360" s="29" t="s">
        <v>167</v>
      </c>
      <c r="E360" s="30" t="s">
        <v>50</v>
      </c>
      <c r="F360" s="31">
        <v>45122</v>
      </c>
      <c r="G360" s="32">
        <v>4.621527777777778</v>
      </c>
      <c r="H360" s="31">
        <v>45121</v>
      </c>
      <c r="I360" s="32">
        <v>4.945833333333333</v>
      </c>
      <c r="J360" s="33">
        <f>F360-H360</f>
      </c>
      <c r="K360" s="28">
        <v>38</v>
      </c>
      <c r="L360" s="28">
        <v>6</v>
      </c>
      <c r="M360" s="28">
        <v>2</v>
      </c>
      <c r="N360" s="34"/>
      <c r="O360" s="34"/>
      <c r="P360" s="34"/>
      <c r="Q360" s="34"/>
      <c r="R360" s="34"/>
      <c r="S360" s="56"/>
      <c r="T360" s="34"/>
      <c r="U360" s="34"/>
      <c r="V360" s="34"/>
      <c r="W360" s="29"/>
      <c r="X360" s="28">
        <v>23</v>
      </c>
      <c r="Y360" s="28">
        <v>1</v>
      </c>
      <c r="Z360" s="28">
        <v>2</v>
      </c>
      <c r="AA360" s="28">
        <v>2</v>
      </c>
      <c r="AB360" s="28">
        <v>1</v>
      </c>
      <c r="AC360" s="28">
        <v>2</v>
      </c>
      <c r="AD360" s="28">
        <v>1</v>
      </c>
      <c r="AE360" s="28">
        <v>4</v>
      </c>
      <c r="AF360" s="35">
        <v>2</v>
      </c>
      <c r="AG360" s="28">
        <v>2</v>
      </c>
      <c r="AH360" s="29" t="s">
        <v>3405</v>
      </c>
      <c r="AI360" s="36">
        <f>IF(OR(AND(K360&lt;32, J360&lt;2), O360=1, P360=1, Q360=1, R360=1, S360=1, T360=1, U360=1, AND(W360&lt;&gt;"", W360&lt;&gt;"Oxygen", W360&lt;&gt;"LowFlow")), "Intensive", "Intermediate")</f>
      </c>
      <c r="AJ360" s="57">
        <f>IF(OR(LEFT(AH360, 1)="X", LEFT(AH360, 1)="Y", LEFT(AH360, 3)="J37M"), "CUSM", "No Match")</f>
      </c>
      <c r="AK360" s="57">
        <f>IF(AND(OR(O360=3, P360=1, Q360=1, T360=1), AJ360="no Match"), "CUSM, CHU SJ, CHUQ", "")</f>
      </c>
      <c r="AL360" s="57">
        <f>IF(AND(O360=2, ISBLANK(P360), ISBLANK(Q360), ISBLANK(R360), ISBLANK(S360), ISBLANK(T360)), "CUSM, CHU SJ, CHUS, CHUQ", "")</f>
      </c>
      <c r="AM360" s="57">
        <f>IF(AND(AJ360="no match", AK360="", AL360="", K360&lt;26), "CUSM, CHU SJ, HGJ, CHUQ, CHUS", "")</f>
      </c>
      <c r="AN360" s="57">
        <f>IF(AND(AJ360="no match", AK360="", AL360="", K360&gt;26), "CUSM, CHU SJ, HGJ, CHUQ, CHUS, HMR", "")</f>
      </c>
    </row>
    <row x14ac:dyDescent="0.25" r="361" customHeight="1" ht="17.25">
      <c r="A361" s="41" t="s">
        <v>3406</v>
      </c>
      <c r="B361" s="28">
        <v>2</v>
      </c>
      <c r="C361" s="35">
        <v>822</v>
      </c>
      <c r="D361" s="29" t="s">
        <v>167</v>
      </c>
      <c r="E361" s="30" t="s">
        <v>50</v>
      </c>
      <c r="F361" s="31">
        <v>45122</v>
      </c>
      <c r="G361" s="32">
        <v>4.190972222222222</v>
      </c>
      <c r="H361" s="31">
        <v>45121</v>
      </c>
      <c r="I361" s="32">
        <v>4.963888888888889</v>
      </c>
      <c r="J361" s="33">
        <f>F361-H361</f>
      </c>
      <c r="K361" s="28">
        <v>39</v>
      </c>
      <c r="L361" s="28">
        <v>3</v>
      </c>
      <c r="M361" s="28">
        <v>2</v>
      </c>
      <c r="N361" s="34"/>
      <c r="O361" s="34"/>
      <c r="P361" s="34"/>
      <c r="Q361" s="34"/>
      <c r="R361" s="34"/>
      <c r="S361" s="56"/>
      <c r="T361" s="34"/>
      <c r="U361" s="34"/>
      <c r="V361" s="34"/>
      <c r="W361" s="29"/>
      <c r="X361" s="28">
        <v>26</v>
      </c>
      <c r="Y361" s="28">
        <v>1</v>
      </c>
      <c r="Z361" s="28">
        <v>1</v>
      </c>
      <c r="AA361" s="28">
        <v>2</v>
      </c>
      <c r="AB361" s="28">
        <v>1</v>
      </c>
      <c r="AC361" s="28">
        <v>2</v>
      </c>
      <c r="AD361" s="28">
        <v>1</v>
      </c>
      <c r="AE361" s="28">
        <v>4</v>
      </c>
      <c r="AF361" s="35">
        <v>3</v>
      </c>
      <c r="AG361" s="28">
        <v>2</v>
      </c>
      <c r="AH361" s="29" t="s">
        <v>3407</v>
      </c>
      <c r="AI361" s="36">
        <f>IF(OR(AND(K361&lt;32, J361&lt;2), O361=1, P361=1, Q361=1, R361=1, S361=1, T361=1, U361=1, AND(W361&lt;&gt;"", W361&lt;&gt;"Oxygen", W361&lt;&gt;"LowFlow")), "Intensive", "Intermediate")</f>
      </c>
      <c r="AJ361" s="57">
        <f>IF(OR(LEFT(AH361, 1)="X", LEFT(AH361, 1)="Y", LEFT(AH361, 3)="J38M"), "CUSM", "No Match")</f>
      </c>
      <c r="AK361" s="57">
        <f>IF(AND(OR(O361=3, P361=1, Q361=1, T361=1), AJ361="no Match"), "CUSM, CHU SJ, CHUQ", "")</f>
      </c>
      <c r="AL361" s="57">
        <f>IF(AND(O361=2, ISBLANK(P361), ISBLANK(Q361), ISBLANK(R361), ISBLANK(S361), ISBLANK(T361)), "CUSM, CHU SJ, CHUS, CHUQ", "")</f>
      </c>
      <c r="AM361" s="57">
        <f>IF(AND(AJ361="no match", AK361="", AL361="", K361&lt;26), "CUSM, CHU SJ, HGJ, CHUQ, CHUS", "")</f>
      </c>
      <c r="AN361" s="57">
        <f>IF(AND(AJ361="no match", AK361="", AL361="", K361&gt;26), "CUSM, CHU SJ, HGJ, CHUQ, CHUS, HMR", "")</f>
      </c>
    </row>
    <row x14ac:dyDescent="0.25" r="362" customHeight="1" ht="17.25">
      <c r="A362" s="41" t="s">
        <v>3408</v>
      </c>
      <c r="B362" s="28">
        <v>2</v>
      </c>
      <c r="C362" s="35">
        <v>809</v>
      </c>
      <c r="D362" s="29" t="s">
        <v>117</v>
      </c>
      <c r="E362" s="30" t="s">
        <v>118</v>
      </c>
      <c r="F362" s="31">
        <v>45123</v>
      </c>
      <c r="G362" s="32">
        <v>4.131944444444445</v>
      </c>
      <c r="H362" s="31">
        <v>45122</v>
      </c>
      <c r="I362" s="32">
        <v>4.923611111111111</v>
      </c>
      <c r="J362" s="33">
        <f>F362-H362</f>
      </c>
      <c r="K362" s="28">
        <v>34</v>
      </c>
      <c r="L362" s="28">
        <v>2</v>
      </c>
      <c r="M362" s="28">
        <v>2</v>
      </c>
      <c r="N362" s="34"/>
      <c r="O362" s="34"/>
      <c r="P362" s="34"/>
      <c r="Q362" s="34"/>
      <c r="R362" s="34"/>
      <c r="S362" s="56"/>
      <c r="T362" s="35">
        <v>1</v>
      </c>
      <c r="U362" s="34"/>
      <c r="V362" s="34"/>
      <c r="W362" s="29" t="s">
        <v>74</v>
      </c>
      <c r="X362" s="28">
        <v>21</v>
      </c>
      <c r="Y362" s="28">
        <v>1</v>
      </c>
      <c r="Z362" s="28">
        <v>1</v>
      </c>
      <c r="AA362" s="28">
        <v>1</v>
      </c>
      <c r="AB362" s="28">
        <v>1</v>
      </c>
      <c r="AC362" s="28">
        <v>2</v>
      </c>
      <c r="AD362" s="28">
        <v>2</v>
      </c>
      <c r="AE362" s="28">
        <v>4</v>
      </c>
      <c r="AF362" s="35">
        <v>2</v>
      </c>
      <c r="AG362" s="28">
        <v>1</v>
      </c>
      <c r="AH362" s="29" t="s">
        <v>3409</v>
      </c>
      <c r="AI362" s="36">
        <f>IF(OR(AND(K362&lt;32, J362&lt;2), O362=1, P362=1, Q362=1, R362=1, S362=1, T362=1, U362=1, AND(W362&lt;&gt;"", W362&lt;&gt;"Oxygen", W362&lt;&gt;"LowFlow")), "Intensive", "Intermediate")</f>
      </c>
      <c r="AJ362" s="57">
        <f>IF(OR(LEFT(AH362, 1)="X", LEFT(AH362, 1)="Y", LEFT(AH362, 3)="J39M"), "CUSM", "No Match")</f>
      </c>
      <c r="AK362" s="57">
        <f>IF(AND(OR(O362=3, P362=1, Q362=1, T362=1), AJ362="no Match"), "CUSM, CHU SJ, CHUQ", "")</f>
      </c>
      <c r="AL362" s="57">
        <f>IF(AND(O362=2, ISBLANK(P362), ISBLANK(Q362), ISBLANK(R362), ISBLANK(S362), ISBLANK(T362)), "CUSM, CHU SJ, CHUS, CHUQ", "")</f>
      </c>
      <c r="AM362" s="57">
        <f>IF(AND(AJ362="no match", AK362="", AL362="", K362&lt;26), "CUSM, CHU SJ, HGJ, CHUQ, CHUS", "")</f>
      </c>
      <c r="AN362" s="57">
        <f>IF(AND(AJ362="no match", AK362="", AL362="", K362&gt;26), "CUSM, CHU SJ, HGJ, CHUQ, CHUS, HMR", "")</f>
      </c>
    </row>
    <row x14ac:dyDescent="0.25" r="363" customHeight="1" ht="17.25">
      <c r="A363" s="41" t="s">
        <v>3410</v>
      </c>
      <c r="B363" s="28">
        <v>2</v>
      </c>
      <c r="C363" s="35">
        <v>817</v>
      </c>
      <c r="D363" s="29" t="s">
        <v>163</v>
      </c>
      <c r="E363" s="30" t="s">
        <v>50</v>
      </c>
      <c r="F363" s="31">
        <v>45123</v>
      </c>
      <c r="G363" s="32">
        <v>4.8069444444444445</v>
      </c>
      <c r="H363" s="31">
        <v>45121</v>
      </c>
      <c r="I363" s="32">
        <v>4.6125</v>
      </c>
      <c r="J363" s="33">
        <f>F363-H363</f>
      </c>
      <c r="K363" s="28">
        <v>36</v>
      </c>
      <c r="L363" s="28">
        <v>6</v>
      </c>
      <c r="M363" s="28">
        <v>1</v>
      </c>
      <c r="N363" s="34"/>
      <c r="O363" s="34"/>
      <c r="P363" s="34"/>
      <c r="Q363" s="34"/>
      <c r="R363" s="34"/>
      <c r="S363" s="56"/>
      <c r="T363" s="34"/>
      <c r="U363" s="34"/>
      <c r="V363" s="34"/>
      <c r="W363" s="29" t="s">
        <v>164</v>
      </c>
      <c r="X363" s="28">
        <v>33</v>
      </c>
      <c r="Y363" s="28">
        <v>2</v>
      </c>
      <c r="Z363" s="28">
        <v>1</v>
      </c>
      <c r="AA363" s="28">
        <v>1</v>
      </c>
      <c r="AB363" s="28">
        <v>1</v>
      </c>
      <c r="AC363" s="28">
        <v>2</v>
      </c>
      <c r="AD363" s="28">
        <v>2</v>
      </c>
      <c r="AE363" s="28">
        <v>4</v>
      </c>
      <c r="AF363" s="35">
        <v>3</v>
      </c>
      <c r="AG363" s="28">
        <v>2</v>
      </c>
      <c r="AH363" s="29" t="s">
        <v>3411</v>
      </c>
      <c r="AI363" s="36">
        <f>IF(OR(AND(K363&lt;32, J363&lt;2), O363=1, P363=1, Q363=1, R363=1, S363=1, T363=1, U363=1, AND(W363&lt;&gt;"", W363&lt;&gt;"Oxygen", W363&lt;&gt;"LowFlow")), "Intensive", "Intermediate")</f>
      </c>
      <c r="AJ363" s="57">
        <f>IF(OR(LEFT(AH363, 1)="X", LEFT(AH363, 1)="Y", LEFT(AH363, 3)="J40M"), "CUSM", "No Match")</f>
      </c>
      <c r="AK363" s="57">
        <f>IF(AND(OR(O363=3, P363=1, Q363=1, T363=1), AJ363="no Match"), "CUSM, CHU SJ, CHUQ", "")</f>
      </c>
      <c r="AL363" s="57">
        <f>IF(AND(O363=2, ISBLANK(P363), ISBLANK(Q363), ISBLANK(R363), ISBLANK(S363), ISBLANK(T363)), "CUSM, CHU SJ, CHUS, CHUQ", "")</f>
      </c>
      <c r="AM363" s="57">
        <f>IF(AND(AJ363="no match", AK363="", AL363="", K363&lt;26), "CUSM, CHU SJ, HGJ, CHUQ, CHUS", "")</f>
      </c>
      <c r="AN363" s="57">
        <f>IF(AND(AJ363="no match", AK363="", AL363="", K363&gt;26), "CUSM, CHU SJ, HGJ, CHUQ, CHUS, HMR", "")</f>
      </c>
    </row>
    <row x14ac:dyDescent="0.25" r="364" customHeight="1" ht="17.25">
      <c r="A364" s="41" t="s">
        <v>3412</v>
      </c>
      <c r="B364" s="28">
        <v>2</v>
      </c>
      <c r="C364" s="35">
        <v>839</v>
      </c>
      <c r="D364" s="29" t="s">
        <v>53</v>
      </c>
      <c r="E364" s="30" t="s">
        <v>54</v>
      </c>
      <c r="F364" s="31">
        <v>45124</v>
      </c>
      <c r="G364" s="32">
        <v>4.548611111111111</v>
      </c>
      <c r="H364" s="31">
        <v>45121</v>
      </c>
      <c r="I364" s="32">
        <v>4.372916666666667</v>
      </c>
      <c r="J364" s="33">
        <f>F364-H364</f>
      </c>
      <c r="K364" s="28">
        <v>38</v>
      </c>
      <c r="L364" s="28">
        <v>4</v>
      </c>
      <c r="M364" s="28">
        <v>2</v>
      </c>
      <c r="N364" s="34"/>
      <c r="O364" s="34"/>
      <c r="P364" s="34"/>
      <c r="Q364" s="34"/>
      <c r="R364" s="34"/>
      <c r="S364" s="56"/>
      <c r="T364" s="34"/>
      <c r="U364" s="34"/>
      <c r="V364" s="34"/>
      <c r="W364" s="29"/>
      <c r="X364" s="28">
        <v>23</v>
      </c>
      <c r="Y364" s="28">
        <v>2</v>
      </c>
      <c r="Z364" s="28">
        <v>2</v>
      </c>
      <c r="AA364" s="28">
        <v>3</v>
      </c>
      <c r="AB364" s="28">
        <v>4</v>
      </c>
      <c r="AC364" s="28">
        <v>2</v>
      </c>
      <c r="AD364" s="28">
        <v>2</v>
      </c>
      <c r="AE364" s="28">
        <v>4</v>
      </c>
      <c r="AF364" s="28">
        <v>2</v>
      </c>
      <c r="AG364" s="28">
        <v>2</v>
      </c>
      <c r="AH364" s="29" t="s">
        <v>3413</v>
      </c>
      <c r="AI364" s="36">
        <f>IF(OR(AND(K364&lt;32, J364&lt;2), O364=1, P364=1, Q364=1, R364=1, S364=1, T364=1, U364=1, AND(W364&lt;&gt;"", W364&lt;&gt;"Oxygen", W364&lt;&gt;"LowFlow")), "Intensive", "Intermediate")</f>
      </c>
      <c r="AJ364" s="57">
        <f>IF(OR(LEFT(AH364, 1)="X", LEFT(AH364, 1)="Y", LEFT(AH364, 3)="J41M"), "CUSM", "No Match")</f>
      </c>
      <c r="AK364" s="57">
        <f>IF(AND(OR(O364=3, P364=1, Q364=1, T364=1), AJ364="no Match"), "CUSM, CHU SJ, CHUQ", "")</f>
      </c>
      <c r="AL364" s="57">
        <f>IF(AND(O364=2, ISBLANK(P364), ISBLANK(Q364), ISBLANK(R364), ISBLANK(S364), ISBLANK(T364)), "CUSM, CHU SJ, CHUS, CHUQ", "")</f>
      </c>
      <c r="AM364" s="57">
        <f>IF(AND(AJ364="no match", AK364="", AL364="", K364&lt;26), "CUSM, CHU SJ, HGJ, CHUQ, CHUS", "")</f>
      </c>
      <c r="AN364" s="57">
        <f>IF(AND(AJ364="no match", AK364="", AL364="", K364&gt;26), "CUSM, CHU SJ, HGJ, CHUQ, CHUS, HMR", "")</f>
      </c>
    </row>
    <row x14ac:dyDescent="0.25" r="365" customHeight="1" ht="17.25">
      <c r="A365" s="41" t="s">
        <v>3414</v>
      </c>
      <c r="B365" s="28">
        <v>2</v>
      </c>
      <c r="C365" s="35">
        <v>2</v>
      </c>
      <c r="D365" s="29" t="s">
        <v>269</v>
      </c>
      <c r="E365" s="30" t="s">
        <v>50</v>
      </c>
      <c r="F365" s="31">
        <v>45124</v>
      </c>
      <c r="G365" s="32">
        <v>4.010416666666666</v>
      </c>
      <c r="H365" s="31">
        <v>45123</v>
      </c>
      <c r="I365" s="32">
        <v>4.613888888888889</v>
      </c>
      <c r="J365" s="33">
        <f>F365-H365</f>
      </c>
      <c r="K365" s="28">
        <v>41</v>
      </c>
      <c r="L365" s="28">
        <v>2</v>
      </c>
      <c r="M365" s="28">
        <v>1</v>
      </c>
      <c r="N365" s="38"/>
      <c r="O365" s="34"/>
      <c r="P365" s="34"/>
      <c r="Q365" s="34"/>
      <c r="R365" s="34"/>
      <c r="S365" s="56"/>
      <c r="T365" s="34"/>
      <c r="U365" s="34"/>
      <c r="V365" s="34"/>
      <c r="W365" s="29"/>
      <c r="X365" s="28">
        <v>40</v>
      </c>
      <c r="Y365" s="28">
        <v>1</v>
      </c>
      <c r="Z365" s="28">
        <v>1</v>
      </c>
      <c r="AA365" s="28">
        <v>3</v>
      </c>
      <c r="AB365" s="28">
        <v>1</v>
      </c>
      <c r="AC365" s="28">
        <v>2</v>
      </c>
      <c r="AD365" s="28">
        <v>2</v>
      </c>
      <c r="AE365" s="28">
        <v>4</v>
      </c>
      <c r="AF365" s="28">
        <v>3</v>
      </c>
      <c r="AG365" s="28">
        <v>3</v>
      </c>
      <c r="AH365" s="29" t="s">
        <v>3415</v>
      </c>
      <c r="AI365" s="36">
        <f>IF(OR(AND(K365&lt;32, J365&lt;2), O365=1, P365=1, Q365=1, R365=1, S365=1, T365=1, U365=1, AND(W365&lt;&gt;"", W365&lt;&gt;"Oxygen", W365&lt;&gt;"LowFlow")), "Intensive", "Intermediate")</f>
      </c>
      <c r="AJ365" s="57">
        <f>IF(OR(LEFT(AH365, 1)="X", LEFT(AH365, 1)="Y", LEFT(AH365, 3)="J42M"), "CUSM", "No Match")</f>
      </c>
      <c r="AK365" s="57">
        <f>IF(AND(OR(O365=3, P365=1, Q365=1, T365=1), AJ365="no Match"), "CUSM, CHU SJ, CHUQ", "")</f>
      </c>
      <c r="AL365" s="57">
        <f>IF(AND(O365=2, ISBLANK(P365), ISBLANK(Q365), ISBLANK(R365), ISBLANK(S365), ISBLANK(T365)), "CUSM, CHU SJ, CHUS, CHUQ", "")</f>
      </c>
      <c r="AM365" s="57">
        <f>IF(AND(AJ365="no match", AK365="", AL365="", K365&lt;26), "CUSM, CHU SJ, HGJ, CHUQ, CHUS", "")</f>
      </c>
      <c r="AN365" s="57">
        <f>IF(AND(AJ365="no match", AK365="", AL365="", K365&gt;26), "CUSM, CHU SJ, HGJ, CHUQ, CHUS, HMR", "")</f>
      </c>
    </row>
    <row x14ac:dyDescent="0.25" r="366" customHeight="1" ht="17.25">
      <c r="A366" s="41" t="s">
        <v>3416</v>
      </c>
      <c r="B366" s="28">
        <v>2</v>
      </c>
      <c r="C366" s="35">
        <v>754</v>
      </c>
      <c r="D366" s="29" t="s">
        <v>504</v>
      </c>
      <c r="E366" s="30" t="s">
        <v>149</v>
      </c>
      <c r="F366" s="31">
        <v>45125</v>
      </c>
      <c r="G366" s="32">
        <v>4.7868055555555555</v>
      </c>
      <c r="H366" s="31">
        <v>45125</v>
      </c>
      <c r="I366" s="32">
        <v>4.4215277777777775</v>
      </c>
      <c r="J366" s="33">
        <f>F366-H366</f>
      </c>
      <c r="K366" s="28">
        <v>37</v>
      </c>
      <c r="L366" s="28">
        <v>0</v>
      </c>
      <c r="M366" s="28">
        <v>1</v>
      </c>
      <c r="N366" s="35">
        <v>1</v>
      </c>
      <c r="O366" s="34"/>
      <c r="P366" s="34"/>
      <c r="Q366" s="34"/>
      <c r="R366" s="34"/>
      <c r="S366" s="56"/>
      <c r="T366" s="35">
        <v>1</v>
      </c>
      <c r="U366" s="34"/>
      <c r="V366" s="35">
        <v>1</v>
      </c>
      <c r="W366" s="29" t="s">
        <v>74</v>
      </c>
      <c r="X366" s="28">
        <v>33</v>
      </c>
      <c r="Y366" s="28">
        <v>1</v>
      </c>
      <c r="Z366" s="28">
        <v>2</v>
      </c>
      <c r="AA366" s="28">
        <v>3</v>
      </c>
      <c r="AB366" s="28">
        <v>4</v>
      </c>
      <c r="AC366" s="28">
        <v>3</v>
      </c>
      <c r="AD366" s="28">
        <v>3</v>
      </c>
      <c r="AE366" s="28">
        <v>4</v>
      </c>
      <c r="AF366" s="28">
        <v>3</v>
      </c>
      <c r="AG366" s="28">
        <v>2</v>
      </c>
      <c r="AH366" s="29" t="s">
        <v>3417</v>
      </c>
      <c r="AI366" s="36">
        <f>IF(OR(AND(K366&lt;32, J366&lt;2), O366=1, P366=1, Q366=1, R366=1, S366=1, T366=1, U366=1, AND(W366&lt;&gt;"", W366&lt;&gt;"Oxygen", W366&lt;&gt;"LowFlow")), "Intensive", "Intermediate")</f>
      </c>
      <c r="AJ366" s="57">
        <f>IF(OR(LEFT(AH366, 1)="X", LEFT(AH366, 1)="Y", LEFT(AH366, 3)="J43M"), "CUSM", "No Match")</f>
      </c>
      <c r="AK366" s="57">
        <f>IF(AND(OR(O366=3, P366=1, Q366=1, T366=1), AJ366="no Match"), "CUSM, CHU SJ, CHUQ", "")</f>
      </c>
      <c r="AL366" s="57">
        <f>IF(AND(O366=2, ISBLANK(P366), ISBLANK(Q366), ISBLANK(R366), ISBLANK(S366), ISBLANK(T366)), "CUSM, CHU SJ, CHUS, CHUQ", "")</f>
      </c>
      <c r="AM366" s="57">
        <f>IF(AND(AJ366="no match", AK366="", AL366="", K366&lt;26), "CUSM, CHU SJ, HGJ, CHUQ, CHUS", "")</f>
      </c>
      <c r="AN366" s="57">
        <f>IF(AND(AJ366="no match", AK366="", AL366="", K366&gt;26), "CUSM, CHU SJ, HGJ, CHUQ, CHUS, HMR", "")</f>
      </c>
    </row>
    <row x14ac:dyDescent="0.25" r="367" customHeight="1" ht="17.25">
      <c r="A367" s="41" t="s">
        <v>3418</v>
      </c>
      <c r="B367" s="28">
        <v>2</v>
      </c>
      <c r="C367" s="35">
        <v>820</v>
      </c>
      <c r="D367" s="29" t="s">
        <v>69</v>
      </c>
      <c r="E367" s="30" t="s">
        <v>54</v>
      </c>
      <c r="F367" s="31">
        <v>45125</v>
      </c>
      <c r="G367" s="32">
        <v>4.635416666666666</v>
      </c>
      <c r="H367" s="31">
        <v>45122</v>
      </c>
      <c r="I367" s="32">
        <v>4.598611111111111</v>
      </c>
      <c r="J367" s="33">
        <f>F367-H367</f>
      </c>
      <c r="K367" s="28">
        <v>39</v>
      </c>
      <c r="L367" s="28">
        <v>6</v>
      </c>
      <c r="M367" s="28">
        <v>1</v>
      </c>
      <c r="N367" s="35">
        <v>1</v>
      </c>
      <c r="O367" s="34"/>
      <c r="P367" s="34"/>
      <c r="Q367" s="34"/>
      <c r="R367" s="34"/>
      <c r="S367" s="56"/>
      <c r="T367" s="34"/>
      <c r="U367" s="34"/>
      <c r="V367" s="34"/>
      <c r="W367" s="29"/>
      <c r="X367" s="28">
        <v>24</v>
      </c>
      <c r="Y367" s="28">
        <v>1</v>
      </c>
      <c r="Z367" s="28">
        <v>1</v>
      </c>
      <c r="AA367" s="28">
        <v>3</v>
      </c>
      <c r="AB367" s="28">
        <v>4</v>
      </c>
      <c r="AC367" s="28">
        <v>2</v>
      </c>
      <c r="AD367" s="28">
        <v>1</v>
      </c>
      <c r="AE367" s="28">
        <v>4</v>
      </c>
      <c r="AF367" s="28">
        <v>1</v>
      </c>
      <c r="AG367" s="28">
        <v>2</v>
      </c>
      <c r="AH367" s="29" t="s">
        <v>3419</v>
      </c>
      <c r="AI367" s="36">
        <f>IF(OR(AND(K367&lt;32, J367&lt;2), O367=1, P367=1, Q367=1, R367=1, S367=1, T367=1, U367=1, AND(W367&lt;&gt;"", W367&lt;&gt;"Oxygen", W367&lt;&gt;"LowFlow")), "Intensive", "Intermediate")</f>
      </c>
      <c r="AJ367" s="57">
        <f>IF(OR(LEFT(AH367, 1)="X", LEFT(AH367, 1)="Y", LEFT(AH367, 3)="J44M"), "CUSM", "No Match")</f>
      </c>
      <c r="AK367" s="57">
        <f>IF(AND(OR(O367=3, P367=1, Q367=1, T367=1), AJ367="no Match"), "CUSM, CHU SJ, CHUQ", "")</f>
      </c>
      <c r="AL367" s="57">
        <f>IF(AND(O367=2, ISBLANK(P367), ISBLANK(Q367), ISBLANK(R367), ISBLANK(S367), ISBLANK(T367)), "CUSM, CHU SJ, CHUS, CHUQ", "")</f>
      </c>
      <c r="AM367" s="57">
        <f>IF(AND(AJ367="no match", AK367="", AL367="", K367&lt;26), "CUSM, CHU SJ, HGJ, CHUQ, CHUS", "")</f>
      </c>
      <c r="AN367" s="57">
        <f>IF(AND(AJ367="no match", AK367="", AL367="", K367&gt;26), "CUSM, CHU SJ, HGJ, CHUQ, CHUS, HMR", "")</f>
      </c>
    </row>
    <row x14ac:dyDescent="0.25" r="368" customHeight="1" ht="17.25">
      <c r="A368" s="41" t="s">
        <v>3420</v>
      </c>
      <c r="B368" s="28">
        <v>2</v>
      </c>
      <c r="C368" s="35">
        <v>734</v>
      </c>
      <c r="D368" s="29" t="s">
        <v>264</v>
      </c>
      <c r="E368" s="30" t="s">
        <v>54</v>
      </c>
      <c r="F368" s="31">
        <v>45126</v>
      </c>
      <c r="G368" s="32">
        <v>4.222222222222222</v>
      </c>
      <c r="H368" s="31">
        <v>45126</v>
      </c>
      <c r="I368" s="32">
        <v>4.090972222222222</v>
      </c>
      <c r="J368" s="33">
        <f>F368-H368</f>
      </c>
      <c r="K368" s="28">
        <v>41</v>
      </c>
      <c r="L368" s="28">
        <v>1</v>
      </c>
      <c r="M368" s="28">
        <v>2</v>
      </c>
      <c r="N368" s="35">
        <v>1</v>
      </c>
      <c r="O368" s="34"/>
      <c r="P368" s="35">
        <v>1</v>
      </c>
      <c r="Q368" s="34"/>
      <c r="R368" s="34"/>
      <c r="S368" s="56"/>
      <c r="T368" s="35">
        <v>1</v>
      </c>
      <c r="U368" s="34"/>
      <c r="V368" s="34"/>
      <c r="W368" s="29" t="s">
        <v>74</v>
      </c>
      <c r="X368" s="28">
        <v>33</v>
      </c>
      <c r="Y368" s="28">
        <v>1</v>
      </c>
      <c r="Z368" s="28">
        <v>2</v>
      </c>
      <c r="AA368" s="28">
        <v>2</v>
      </c>
      <c r="AB368" s="28">
        <v>1</v>
      </c>
      <c r="AC368" s="28">
        <v>3</v>
      </c>
      <c r="AD368" s="28">
        <v>3</v>
      </c>
      <c r="AE368" s="28">
        <v>1</v>
      </c>
      <c r="AF368" s="38"/>
      <c r="AG368" s="28">
        <v>2</v>
      </c>
      <c r="AH368" s="29" t="s">
        <v>3421</v>
      </c>
      <c r="AI368" s="36">
        <f>IF(OR(AND(K368&lt;32, J368&lt;2), O368=1, P368=1, Q368=1, R368=1, S368=1, T368=1, U368=1, AND(W368&lt;&gt;"", W368&lt;&gt;"Oxygen", W368&lt;&gt;"LowFlow")), "Intensive", "Intermediate")</f>
      </c>
      <c r="AJ368" s="57">
        <f>IF(OR(LEFT(AH368, 1)="X", LEFT(AH368, 1)="Y", LEFT(AH368, 3)="J45M"), "CUSM", "No Match")</f>
      </c>
      <c r="AK368" s="57">
        <f>IF(AND(OR(O368=3, P368=1, Q368=1, T368=1), AJ368="no Match"), "CUSM, CHU SJ, CHUQ", "")</f>
      </c>
      <c r="AL368" s="57">
        <f>IF(AND(O368=2, ISBLANK(P368), ISBLANK(Q368), ISBLANK(R368), ISBLANK(S368), ISBLANK(T368)), "CUSM, CHU SJ, CHUS, CHUQ", "")</f>
      </c>
      <c r="AM368" s="57">
        <f>IF(AND(AJ368="no match", AK368="", AL368="", K368&lt;26), "CUSM, CHU SJ, HGJ, CHUQ, CHUS", "")</f>
      </c>
      <c r="AN368" s="57">
        <f>IF(AND(AJ368="no match", AK368="", AL368="", K368&gt;26), "CUSM, CHU SJ, HGJ, CHUQ, CHUS, HMR", "")</f>
      </c>
    </row>
    <row x14ac:dyDescent="0.25" r="369" customHeight="1" ht="17.25">
      <c r="A369" s="41" t="s">
        <v>3422</v>
      </c>
      <c r="B369" s="28">
        <v>2</v>
      </c>
      <c r="C369" s="35">
        <v>796</v>
      </c>
      <c r="D369" s="29" t="s">
        <v>63</v>
      </c>
      <c r="E369" s="30" t="s">
        <v>220</v>
      </c>
      <c r="F369" s="31">
        <v>45126</v>
      </c>
      <c r="G369" s="32">
        <v>4.708333333333334</v>
      </c>
      <c r="H369" s="31">
        <v>45126</v>
      </c>
      <c r="I369" s="32">
        <v>4.458333333333334</v>
      </c>
      <c r="J369" s="33">
        <f>F369-H369</f>
      </c>
      <c r="K369" s="28">
        <v>32</v>
      </c>
      <c r="L369" s="28">
        <v>0</v>
      </c>
      <c r="M369" s="28">
        <v>1</v>
      </c>
      <c r="N369" s="38"/>
      <c r="O369" s="34"/>
      <c r="P369" s="38"/>
      <c r="Q369" s="34"/>
      <c r="R369" s="34"/>
      <c r="S369" s="56"/>
      <c r="T369" s="34"/>
      <c r="U369" s="34"/>
      <c r="V369" s="34"/>
      <c r="W369" s="29" t="s">
        <v>164</v>
      </c>
      <c r="X369" s="28">
        <v>49</v>
      </c>
      <c r="Y369" s="28">
        <v>2</v>
      </c>
      <c r="Z369" s="28">
        <v>2</v>
      </c>
      <c r="AA369" s="28">
        <v>2</v>
      </c>
      <c r="AB369" s="28">
        <v>1</v>
      </c>
      <c r="AC369" s="28">
        <v>2</v>
      </c>
      <c r="AD369" s="28">
        <v>2</v>
      </c>
      <c r="AE369" s="28">
        <v>4</v>
      </c>
      <c r="AF369" s="28">
        <v>2</v>
      </c>
      <c r="AG369" s="28">
        <v>2</v>
      </c>
      <c r="AH369" s="29" t="s">
        <v>3423</v>
      </c>
      <c r="AI369" s="36">
        <f>IF(OR(AND(K369&lt;32, J369&lt;2), O369=1, P369=1, Q369=1, R369=1, S369=1, T369=1, U369=1, AND(W369&lt;&gt;"", W369&lt;&gt;"Oxygen", W369&lt;&gt;"LowFlow")), "Intensive", "Intermediate")</f>
      </c>
      <c r="AJ369" s="57">
        <f>IF(OR(LEFT(AH369, 1)="X", LEFT(AH369, 1)="Y", LEFT(AH369, 3)="J46M"), "CUSM", "No Match")</f>
      </c>
      <c r="AK369" s="57">
        <f>IF(AND(OR(O369=3, P369=1, Q369=1, T369=1), AJ369="no Match"), "CUSM, CHU SJ, CHUQ", "")</f>
      </c>
      <c r="AL369" s="57">
        <f>IF(AND(O369=2, ISBLANK(P369), ISBLANK(Q369), ISBLANK(R369), ISBLANK(S369), ISBLANK(T369)), "CUSM, CHU SJ, CHUS, CHUQ", "")</f>
      </c>
      <c r="AM369" s="57">
        <f>IF(AND(AJ369="no match", AK369="", AL369="", K369&lt;26), "CUSM, CHU SJ, HGJ, CHUQ, CHUS", "")</f>
      </c>
      <c r="AN369" s="57">
        <f>IF(AND(AJ369="no match", AK369="", AL369="", K369&gt;26), "CUSM, CHU SJ, HGJ, CHUQ, CHUS, HMR", "")</f>
      </c>
    </row>
    <row x14ac:dyDescent="0.25" r="370" customHeight="1" ht="17.25">
      <c r="A370" s="41" t="s">
        <v>3424</v>
      </c>
      <c r="B370" s="28">
        <v>2</v>
      </c>
      <c r="C370" s="35">
        <v>796</v>
      </c>
      <c r="D370" s="29" t="s">
        <v>63</v>
      </c>
      <c r="E370" s="30" t="s">
        <v>220</v>
      </c>
      <c r="F370" s="31">
        <v>45126</v>
      </c>
      <c r="G370" s="32">
        <v>4.677083333333334</v>
      </c>
      <c r="H370" s="31">
        <v>45126</v>
      </c>
      <c r="I370" s="32">
        <v>4.459722222222222</v>
      </c>
      <c r="J370" s="33">
        <f>F370-H370</f>
      </c>
      <c r="K370" s="28">
        <v>32</v>
      </c>
      <c r="L370" s="28">
        <v>0</v>
      </c>
      <c r="M370" s="28">
        <v>1</v>
      </c>
      <c r="N370" s="34"/>
      <c r="O370" s="34"/>
      <c r="P370" s="34"/>
      <c r="Q370" s="34"/>
      <c r="R370" s="34"/>
      <c r="S370" s="56"/>
      <c r="T370" s="34"/>
      <c r="U370" s="34"/>
      <c r="V370" s="34"/>
      <c r="W370" s="29" t="s">
        <v>58</v>
      </c>
      <c r="X370" s="28">
        <v>49</v>
      </c>
      <c r="Y370" s="28">
        <v>2</v>
      </c>
      <c r="Z370" s="28">
        <v>2</v>
      </c>
      <c r="AA370" s="28">
        <v>2</v>
      </c>
      <c r="AB370" s="28">
        <v>1</v>
      </c>
      <c r="AC370" s="28">
        <v>2</v>
      </c>
      <c r="AD370" s="28">
        <v>2</v>
      </c>
      <c r="AE370" s="28">
        <v>4</v>
      </c>
      <c r="AF370" s="28">
        <v>2</v>
      </c>
      <c r="AG370" s="28">
        <v>2</v>
      </c>
      <c r="AH370" s="29" t="s">
        <v>3423</v>
      </c>
      <c r="AI370" s="36">
        <f>IF(OR(AND(K370&lt;32, J370&lt;2), O370=1, P370=1, Q370=1, R370=1, S370=1, T370=1, U370=1, AND(W370&lt;&gt;"", W370&lt;&gt;"Oxygen", W370&lt;&gt;"LowFlow")), "Intensive", "Intermediate")</f>
      </c>
      <c r="AJ370" s="57">
        <f>IF(OR(LEFT(AH370, 1)="X", LEFT(AH370, 1)="Y", LEFT(AH370, 3)="J47M"), "CUSM", "No Match")</f>
      </c>
      <c r="AK370" s="57">
        <f>IF(AND(OR(O370=3, P370=1, Q370=1, T370=1), AJ370="no Match"), "CUSM, CHU SJ, CHUQ", "")</f>
      </c>
      <c r="AL370" s="57">
        <f>IF(AND(O370=2, ISBLANK(P370), ISBLANK(Q370), ISBLANK(R370), ISBLANK(S370), ISBLANK(T370)), "CUSM, CHU SJ, CHUS, CHUQ", "")</f>
      </c>
      <c r="AM370" s="57">
        <f>IF(AND(AJ370="no match", AK370="", AL370="", K370&lt;26), "CUSM, CHU SJ, HGJ, CHUQ, CHUS", "")</f>
      </c>
      <c r="AN370" s="57">
        <f>IF(AND(AJ370="no match", AK370="", AL370="", K370&gt;26), "CUSM, CHU SJ, HGJ, CHUQ, CHUS, HMR", "")</f>
      </c>
    </row>
    <row x14ac:dyDescent="0.25" r="371" customHeight="1" ht="17.25">
      <c r="A371" s="41" t="s">
        <v>3425</v>
      </c>
      <c r="B371" s="28">
        <v>2</v>
      </c>
      <c r="C371" s="35">
        <v>820</v>
      </c>
      <c r="D371" s="29" t="s">
        <v>69</v>
      </c>
      <c r="E371" s="30" t="s">
        <v>54</v>
      </c>
      <c r="F371" s="31">
        <v>45127</v>
      </c>
      <c r="G371" s="32">
        <v>4.914583333333333</v>
      </c>
      <c r="H371" s="31">
        <v>45125</v>
      </c>
      <c r="I371" s="32">
        <v>4.170138888888889</v>
      </c>
      <c r="J371" s="33">
        <f>F371-H371</f>
      </c>
      <c r="K371" s="28">
        <v>40</v>
      </c>
      <c r="L371" s="28">
        <v>4</v>
      </c>
      <c r="M371" s="28">
        <v>2</v>
      </c>
      <c r="N371" s="34"/>
      <c r="O371" s="34"/>
      <c r="P371" s="34"/>
      <c r="Q371" s="34"/>
      <c r="R371" s="34"/>
      <c r="S371" s="56"/>
      <c r="T371" s="34"/>
      <c r="U371" s="34"/>
      <c r="V371" s="34"/>
      <c r="W371" s="29"/>
      <c r="X371" s="28">
        <v>33</v>
      </c>
      <c r="Y371" s="28">
        <v>1</v>
      </c>
      <c r="Z371" s="28">
        <v>1</v>
      </c>
      <c r="AA371" s="28">
        <v>2</v>
      </c>
      <c r="AB371" s="28">
        <v>1</v>
      </c>
      <c r="AC371" s="28">
        <v>2</v>
      </c>
      <c r="AD371" s="28">
        <v>2</v>
      </c>
      <c r="AE371" s="28">
        <v>4</v>
      </c>
      <c r="AF371" s="28">
        <v>2</v>
      </c>
      <c r="AG371" s="28">
        <v>2</v>
      </c>
      <c r="AH371" s="29" t="s">
        <v>3426</v>
      </c>
      <c r="AI371" s="36">
        <f>IF(OR(AND(K371&lt;32, J371&lt;2), O371=1, P371=1, Q371=1, R371=1, S371=1, T371=1, U371=1, AND(W371&lt;&gt;"", W371&lt;&gt;"Oxygen", W371&lt;&gt;"LowFlow")), "Intensive", "Intermediate")</f>
      </c>
      <c r="AJ371" s="57">
        <f>IF(OR(LEFT(AH371, 1)="X", LEFT(AH371, 1)="Y", LEFT(AH371, 3)="J48M"), "CUSM", "No Match")</f>
      </c>
      <c r="AK371" s="57">
        <f>IF(AND(OR(O371=3, P371=1, Q371=1, T371=1), AJ371="no Match"), "CUSM, CHU SJ, CHUQ", "")</f>
      </c>
      <c r="AL371" s="57">
        <f>IF(AND(O371=2, ISBLANK(P371), ISBLANK(Q371), ISBLANK(R371), ISBLANK(S371), ISBLANK(T371)), "CUSM, CHU SJ, CHUS, CHUQ", "")</f>
      </c>
      <c r="AM371" s="57">
        <f>IF(AND(AJ371="no match", AK371="", AL371="", K371&lt;26), "CUSM, CHU SJ, HGJ, CHUQ, CHUS", "")</f>
      </c>
      <c r="AN371" s="57">
        <f>IF(AND(AJ371="no match", AK371="", AL371="", K371&gt;26), "CUSM, CHU SJ, HGJ, CHUQ, CHUS, HMR", "")</f>
      </c>
    </row>
    <row x14ac:dyDescent="0.25" r="372" customHeight="1" ht="17.25">
      <c r="A372" s="41" t="s">
        <v>3427</v>
      </c>
      <c r="B372" s="28">
        <v>2</v>
      </c>
      <c r="C372" s="28">
        <v>835</v>
      </c>
      <c r="D372" s="29" t="s">
        <v>170</v>
      </c>
      <c r="E372" s="30" t="s">
        <v>54</v>
      </c>
      <c r="F372" s="31">
        <v>45127</v>
      </c>
      <c r="G372" s="32">
        <v>4.482638888888889</v>
      </c>
      <c r="H372" s="31">
        <v>45127</v>
      </c>
      <c r="I372" s="32">
        <v>4.131944444444445</v>
      </c>
      <c r="J372" s="33">
        <f>F372-H372</f>
      </c>
      <c r="K372" s="28">
        <v>38</v>
      </c>
      <c r="L372" s="28">
        <v>1</v>
      </c>
      <c r="M372" s="28">
        <v>1</v>
      </c>
      <c r="N372" s="35">
        <v>1</v>
      </c>
      <c r="O372" s="35">
        <v>2</v>
      </c>
      <c r="P372" s="35">
        <v>1</v>
      </c>
      <c r="Q372" s="34"/>
      <c r="R372" s="34"/>
      <c r="S372" s="56"/>
      <c r="T372" s="34"/>
      <c r="U372" s="34"/>
      <c r="V372" s="34"/>
      <c r="W372" s="29"/>
      <c r="X372" s="28">
        <v>36</v>
      </c>
      <c r="Y372" s="28">
        <v>1</v>
      </c>
      <c r="Z372" s="28">
        <v>1</v>
      </c>
      <c r="AA372" s="28">
        <v>1</v>
      </c>
      <c r="AB372" s="28">
        <v>1</v>
      </c>
      <c r="AC372" s="28">
        <v>1</v>
      </c>
      <c r="AD372" s="28">
        <v>2</v>
      </c>
      <c r="AE372" s="28">
        <v>4</v>
      </c>
      <c r="AF372" s="28">
        <v>2</v>
      </c>
      <c r="AG372" s="28">
        <v>2</v>
      </c>
      <c r="AH372" s="29" t="s">
        <v>3428</v>
      </c>
      <c r="AI372" s="36">
        <f>IF(OR(AND(K372&lt;32, J372&lt;2), O372=1, P372=1, Q372=1, R372=1, S372=1, T372=1, U372=1, AND(W372&lt;&gt;"", W372&lt;&gt;"Oxygen", W372&lt;&gt;"LowFlow")), "Intensive", "Intermediate")</f>
      </c>
      <c r="AJ372" s="57">
        <f>IF(OR(LEFT(AH372, 1)="X", LEFT(AH372, 1)="Y", LEFT(AH372, 3)="J49M"), "CUSM", "No Match")</f>
      </c>
      <c r="AK372" s="57">
        <f>IF(AND(OR(O372=3, P372=1, Q372=1, T372=1), AJ372="no Match"), "CUSM, CHU SJ, CHUQ", "")</f>
      </c>
      <c r="AL372" s="57">
        <f>IF(AND(O372=2, ISBLANK(P372), ISBLANK(Q372), ISBLANK(R372), ISBLANK(S372), ISBLANK(T372)), "CUSM, CHU SJ, CHUS, CHUQ", "")</f>
      </c>
      <c r="AM372" s="57">
        <f>IF(AND(AJ372="no match", AK372="", AL372="", K372&lt;26), "CUSM, CHU SJ, HGJ, CHUQ, CHUS", "")</f>
      </c>
      <c r="AN372" s="57">
        <f>IF(AND(AJ372="no match", AK372="", AL372="", K372&gt;26), "CUSM, CHU SJ, HGJ, CHUQ, CHUS, HMR", "")</f>
      </c>
    </row>
    <row x14ac:dyDescent="0.25" r="373" customHeight="1" ht="17.25">
      <c r="A373" s="41" t="s">
        <v>3429</v>
      </c>
      <c r="B373" s="28">
        <v>2</v>
      </c>
      <c r="C373" s="35">
        <v>756</v>
      </c>
      <c r="D373" s="29" t="s">
        <v>66</v>
      </c>
      <c r="E373" s="30" t="s">
        <v>50</v>
      </c>
      <c r="F373" s="31">
        <v>45127</v>
      </c>
      <c r="G373" s="32">
        <v>4.892361111111111</v>
      </c>
      <c r="H373" s="31">
        <v>45124</v>
      </c>
      <c r="I373" s="32">
        <v>4.288194444444445</v>
      </c>
      <c r="J373" s="33">
        <f>F373-H373</f>
      </c>
      <c r="K373" s="28">
        <v>40</v>
      </c>
      <c r="L373" s="28">
        <v>6</v>
      </c>
      <c r="M373" s="28">
        <v>1</v>
      </c>
      <c r="N373" s="38"/>
      <c r="O373" s="38"/>
      <c r="P373" s="38"/>
      <c r="Q373" s="34"/>
      <c r="R373" s="34"/>
      <c r="S373" s="56"/>
      <c r="T373" s="34"/>
      <c r="U373" s="34"/>
      <c r="V373" s="34"/>
      <c r="W373" s="29"/>
      <c r="X373" s="28">
        <v>30</v>
      </c>
      <c r="Y373" s="28">
        <v>1</v>
      </c>
      <c r="Z373" s="28">
        <v>1</v>
      </c>
      <c r="AA373" s="28">
        <v>3</v>
      </c>
      <c r="AB373" s="28">
        <v>1</v>
      </c>
      <c r="AC373" s="28">
        <v>2</v>
      </c>
      <c r="AD373" s="28">
        <v>1</v>
      </c>
      <c r="AE373" s="28">
        <v>4</v>
      </c>
      <c r="AF373" s="28">
        <v>3</v>
      </c>
      <c r="AG373" s="28">
        <v>3</v>
      </c>
      <c r="AH373" s="29" t="s">
        <v>3430</v>
      </c>
      <c r="AI373" s="36">
        <f>IF(OR(AND(K373&lt;32, J373&lt;2), O373=1, P373=1, Q373=1, R373=1, S373=1, T373=1, U373=1, AND(W373&lt;&gt;"", W373&lt;&gt;"Oxygen", W373&lt;&gt;"LowFlow")), "Intensive", "Intermediate")</f>
      </c>
      <c r="AJ373" s="57">
        <f>IF(OR(LEFT(AH373, 1)="X", LEFT(AH373, 1)="Y", LEFT(AH373, 3)="J50M"), "CUSM", "No Match")</f>
      </c>
      <c r="AK373" s="57">
        <f>IF(AND(OR(O373=3, P373=1, Q373=1, T373=1), AJ373="no Match"), "CUSM, CHU SJ, CHUQ", "")</f>
      </c>
      <c r="AL373" s="57">
        <f>IF(AND(O373=2, ISBLANK(P373), ISBLANK(Q373), ISBLANK(R373), ISBLANK(S373), ISBLANK(T373)), "CUSM, CHU SJ, CHUS, CHUQ", "")</f>
      </c>
      <c r="AM373" s="57">
        <f>IF(AND(AJ373="no match", AK373="", AL373="", K373&lt;26), "CUSM, CHU SJ, HGJ, CHUQ, CHUS", "")</f>
      </c>
      <c r="AN373" s="57">
        <f>IF(AND(AJ373="no match", AK373="", AL373="", K373&gt;26), "CUSM, CHU SJ, HGJ, CHUQ, CHUS, HMR", "")</f>
      </c>
    </row>
    <row x14ac:dyDescent="0.25" r="374" customHeight="1" ht="17.25">
      <c r="A374" s="41" t="s">
        <v>3431</v>
      </c>
      <c r="B374" s="28">
        <v>2</v>
      </c>
      <c r="C374" s="35">
        <v>839</v>
      </c>
      <c r="D374" s="29" t="s">
        <v>53</v>
      </c>
      <c r="E374" s="30" t="s">
        <v>50</v>
      </c>
      <c r="F374" s="31">
        <v>45127</v>
      </c>
      <c r="G374" s="32">
        <v>4.6875</v>
      </c>
      <c r="H374" s="31">
        <v>45127</v>
      </c>
      <c r="I374" s="32">
        <v>4.490972222222222</v>
      </c>
      <c r="J374" s="33">
        <f>F374-H374</f>
      </c>
      <c r="K374" s="28">
        <v>40</v>
      </c>
      <c r="L374" s="28">
        <v>3</v>
      </c>
      <c r="M374" s="28">
        <v>2</v>
      </c>
      <c r="N374" s="34"/>
      <c r="O374" s="34"/>
      <c r="P374" s="34"/>
      <c r="Q374" s="34"/>
      <c r="R374" s="34"/>
      <c r="S374" s="56"/>
      <c r="T374" s="34"/>
      <c r="U374" s="34"/>
      <c r="V374" s="34"/>
      <c r="W374" s="29" t="s">
        <v>58</v>
      </c>
      <c r="X374" s="28">
        <v>30</v>
      </c>
      <c r="Y374" s="28">
        <v>1</v>
      </c>
      <c r="Z374" s="28">
        <v>1</v>
      </c>
      <c r="AA374" s="28">
        <v>3</v>
      </c>
      <c r="AB374" s="28">
        <v>1</v>
      </c>
      <c r="AC374" s="28">
        <v>2</v>
      </c>
      <c r="AD374" s="28">
        <v>2</v>
      </c>
      <c r="AE374" s="28">
        <v>4</v>
      </c>
      <c r="AF374" s="28">
        <v>3</v>
      </c>
      <c r="AG374" s="28">
        <v>2</v>
      </c>
      <c r="AH374" s="29" t="s">
        <v>3432</v>
      </c>
      <c r="AI374" s="36">
        <f>IF(OR(AND(K374&lt;32, J374&lt;2), O374=1, P374=1, Q374=1, R374=1, S374=1, T374=1, U374=1, AND(W374&lt;&gt;"", W374&lt;&gt;"Oxygen", W374&lt;&gt;"LowFlow")), "Intensive", "Intermediate")</f>
      </c>
      <c r="AJ374" s="57">
        <f>IF(OR(LEFT(AH374, 1)="X", LEFT(AH374, 1)="Y", LEFT(AH374, 3)="J51M"), "CUSM", "No Match")</f>
      </c>
      <c r="AK374" s="57">
        <f>IF(AND(OR(O374=3, P374=1, Q374=1, T374=1), AJ374="no Match"), "CUSM, CHU SJ, CHUQ", "")</f>
      </c>
      <c r="AL374" s="57">
        <f>IF(AND(O374=2, ISBLANK(P374), ISBLANK(Q374), ISBLANK(R374), ISBLANK(S374), ISBLANK(T374)), "CUSM, CHU SJ, CHUS, CHUQ", "")</f>
      </c>
      <c r="AM374" s="57">
        <f>IF(AND(AJ374="no match", AK374="", AL374="", K374&lt;26), "CUSM, CHU SJ, HGJ, CHUQ, CHUS", "")</f>
      </c>
      <c r="AN374" s="57">
        <f>IF(AND(AJ374="no match", AK374="", AL374="", K374&gt;26), "CUSM, CHU SJ, HGJ, CHUQ, CHUS, HMR", "")</f>
      </c>
    </row>
    <row x14ac:dyDescent="0.25" r="375" customHeight="1" ht="17.25">
      <c r="A375" s="41" t="s">
        <v>3433</v>
      </c>
      <c r="B375" s="28">
        <v>2</v>
      </c>
      <c r="C375" s="28">
        <v>730</v>
      </c>
      <c r="D375" s="29" t="s">
        <v>81</v>
      </c>
      <c r="E375" s="30" t="s">
        <v>50</v>
      </c>
      <c r="F375" s="31">
        <v>45128</v>
      </c>
      <c r="G375" s="32">
        <v>4.291666666666666</v>
      </c>
      <c r="H375" s="31">
        <v>45124</v>
      </c>
      <c r="I375" s="32">
        <v>4.626388888888889</v>
      </c>
      <c r="J375" s="33">
        <f>F375-H375</f>
      </c>
      <c r="K375" s="28">
        <v>39</v>
      </c>
      <c r="L375" s="28">
        <v>1</v>
      </c>
      <c r="M375" s="28">
        <v>1</v>
      </c>
      <c r="N375" s="35">
        <v>1</v>
      </c>
      <c r="O375" s="35">
        <v>2</v>
      </c>
      <c r="P375" s="35">
        <v>1</v>
      </c>
      <c r="Q375" s="34"/>
      <c r="R375" s="34"/>
      <c r="S375" s="56"/>
      <c r="T375" s="34"/>
      <c r="U375" s="34"/>
      <c r="V375" s="34"/>
      <c r="W375" s="29" t="s">
        <v>106</v>
      </c>
      <c r="X375" s="28">
        <v>40</v>
      </c>
      <c r="Y375" s="28">
        <v>1</v>
      </c>
      <c r="Z375" s="28">
        <v>1</v>
      </c>
      <c r="AA375" s="28">
        <v>3</v>
      </c>
      <c r="AB375" s="28">
        <v>1</v>
      </c>
      <c r="AC375" s="28">
        <v>2</v>
      </c>
      <c r="AD375" s="28">
        <v>2</v>
      </c>
      <c r="AE375" s="28">
        <v>4</v>
      </c>
      <c r="AF375" s="28">
        <v>3</v>
      </c>
      <c r="AG375" s="28">
        <v>2</v>
      </c>
      <c r="AH375" s="29" t="s">
        <v>3434</v>
      </c>
      <c r="AI375" s="36">
        <f>IF(OR(AND(K375&lt;32, J375&lt;2), O375=1, P375=1, Q375=1, R375=1, S375=1, T375=1, U375=1, AND(W375&lt;&gt;"", W375&lt;&gt;"Oxygen", W375&lt;&gt;"LowFlow")), "Intensive", "Intermediate")</f>
      </c>
      <c r="AJ375" s="57">
        <f>IF(OR(LEFT(AH375, 1)="X", LEFT(AH375, 1)="Y", LEFT(AH375, 3)="J52M"), "CUSM", "No Match")</f>
      </c>
      <c r="AK375" s="57">
        <f>IF(AND(OR(O375=3, P375=1, Q375=1, T375=1), AJ375="no Match"), "CUSM, CHU SJ, CHUQ", "")</f>
      </c>
      <c r="AL375" s="57">
        <f>IF(AND(O375=2, ISBLANK(P375), ISBLANK(Q375), ISBLANK(R375), ISBLANK(S375), ISBLANK(T375)), "CUSM, CHU SJ, CHUS, CHUQ", "")</f>
      </c>
      <c r="AM375" s="57">
        <f>IF(AND(AJ375="no match", AK375="", AL375="", K375&lt;26), "CUSM, CHU SJ, HGJ, CHUQ, CHUS", "")</f>
      </c>
      <c r="AN375" s="57">
        <f>IF(AND(AJ375="no match", AK375="", AL375="", K375&gt;26), "CUSM, CHU SJ, HGJ, CHUQ, CHUS, HMR", "")</f>
      </c>
    </row>
    <row x14ac:dyDescent="0.25" r="376" customHeight="1" ht="17.25">
      <c r="A376" s="41" t="s">
        <v>3435</v>
      </c>
      <c r="B376" s="28">
        <v>2</v>
      </c>
      <c r="C376" s="35">
        <v>737</v>
      </c>
      <c r="D376" s="29" t="s">
        <v>202</v>
      </c>
      <c r="E376" s="30" t="s">
        <v>54</v>
      </c>
      <c r="F376" s="31">
        <v>45129</v>
      </c>
      <c r="G376" s="32">
        <v>4.590277777777778</v>
      </c>
      <c r="H376" s="31">
        <v>45127</v>
      </c>
      <c r="I376" s="39"/>
      <c r="J376" s="33">
        <f>F376-H376</f>
      </c>
      <c r="K376" s="28">
        <v>40</v>
      </c>
      <c r="L376" s="28">
        <v>3</v>
      </c>
      <c r="M376" s="28">
        <v>1</v>
      </c>
      <c r="N376" s="38"/>
      <c r="O376" s="28">
        <v>2</v>
      </c>
      <c r="P376" s="28">
        <v>1</v>
      </c>
      <c r="Q376" s="38"/>
      <c r="R376" s="34"/>
      <c r="S376" s="56"/>
      <c r="T376" s="34"/>
      <c r="U376" s="34"/>
      <c r="V376" s="34"/>
      <c r="W376" s="29"/>
      <c r="X376" s="28">
        <v>34</v>
      </c>
      <c r="Y376" s="28">
        <v>1</v>
      </c>
      <c r="Z376" s="28">
        <v>1</v>
      </c>
      <c r="AA376" s="28">
        <v>3</v>
      </c>
      <c r="AB376" s="28">
        <v>4</v>
      </c>
      <c r="AC376" s="28">
        <v>2</v>
      </c>
      <c r="AD376" s="28">
        <v>1</v>
      </c>
      <c r="AE376" s="28">
        <v>4</v>
      </c>
      <c r="AF376" s="28">
        <v>3</v>
      </c>
      <c r="AG376" s="28">
        <v>2</v>
      </c>
      <c r="AH376" s="29" t="s">
        <v>3436</v>
      </c>
      <c r="AI376" s="36">
        <f>IF(OR(AND(K376&lt;32, J376&lt;2), O376=1, P376=1, Q376=1, R376=1, S376=1, T376=1, U376=1, AND(W376&lt;&gt;"", W376&lt;&gt;"Oxygen", W376&lt;&gt;"LowFlow")), "Intensive", "Intermediate")</f>
      </c>
      <c r="AJ376" s="57">
        <f>IF(OR(LEFT(AH376, 1)="X", LEFT(AH376, 1)="Y", LEFT(AH376, 3)="J53M"), "CUSM", "No Match")</f>
      </c>
      <c r="AK376" s="57">
        <f>IF(AND(OR(O376=3, P376=1, Q376=1, T376=1), AJ376="no Match"), "CUSM, CHU SJ, CHUQ", "")</f>
      </c>
      <c r="AL376" s="57">
        <f>IF(AND(O376=2, ISBLANK(P376), ISBLANK(Q376), ISBLANK(R376), ISBLANK(S376), ISBLANK(T376)), "CUSM, CHU SJ, CHUS, CHUQ", "")</f>
      </c>
      <c r="AM376" s="57">
        <f>IF(AND(AJ376="no match", AK376="", AL376="", K376&lt;26), "CUSM, CHU SJ, HGJ, CHUQ, CHUS", "")</f>
      </c>
      <c r="AN376" s="57">
        <f>IF(AND(AJ376="no match", AK376="", AL376="", K376&gt;26), "CUSM, CHU SJ, HGJ, CHUQ, CHUS, HMR", "")</f>
      </c>
    </row>
    <row x14ac:dyDescent="0.25" r="377" customHeight="1" ht="17.25">
      <c r="A377" s="41" t="s">
        <v>3437</v>
      </c>
      <c r="B377" s="28">
        <v>2</v>
      </c>
      <c r="C377" s="35">
        <v>730</v>
      </c>
      <c r="D377" s="29" t="s">
        <v>81</v>
      </c>
      <c r="E377" s="30" t="s">
        <v>50</v>
      </c>
      <c r="F377" s="31">
        <v>45130</v>
      </c>
      <c r="G377" s="32">
        <v>4.739583333333334</v>
      </c>
      <c r="H377" s="31">
        <v>45130</v>
      </c>
      <c r="I377" s="39"/>
      <c r="J377" s="33">
        <f>F377-H377</f>
      </c>
      <c r="K377" s="28">
        <v>34</v>
      </c>
      <c r="L377" s="28">
        <v>0</v>
      </c>
      <c r="M377" s="28">
        <v>2</v>
      </c>
      <c r="N377" s="28">
        <v>1</v>
      </c>
      <c r="O377" s="34"/>
      <c r="P377" s="28">
        <v>1</v>
      </c>
      <c r="Q377" s="34"/>
      <c r="R377" s="34"/>
      <c r="S377" s="56"/>
      <c r="T377" s="34"/>
      <c r="U377" s="34"/>
      <c r="V377" s="34"/>
      <c r="W377" s="29" t="s">
        <v>58</v>
      </c>
      <c r="X377" s="28">
        <v>38</v>
      </c>
      <c r="Y377" s="28">
        <v>1</v>
      </c>
      <c r="Z377" s="38"/>
      <c r="AA377" s="38"/>
      <c r="AB377" s="38"/>
      <c r="AC377" s="28">
        <v>2</v>
      </c>
      <c r="AD377" s="28">
        <v>2</v>
      </c>
      <c r="AE377" s="38"/>
      <c r="AF377" s="34"/>
      <c r="AG377" s="28">
        <v>3</v>
      </c>
      <c r="AH377" s="29" t="s">
        <v>3438</v>
      </c>
      <c r="AI377" s="36">
        <f>IF(OR(AND(K377&lt;32, J377&lt;2), O377=1, P377=1, Q377=1, R377=1, S377=1, T377=1, U377=1, AND(W377&lt;&gt;"", W377&lt;&gt;"Oxygen", W377&lt;&gt;"LowFlow")), "Intensive", "Intermediate")</f>
      </c>
      <c r="AJ377" s="57">
        <f>IF(OR(LEFT(AH377, 1)="X", LEFT(AH377, 1)="Y", LEFT(AH377, 3)="J54M"), "CUSM", "No Match")</f>
      </c>
      <c r="AK377" s="57">
        <f>IF(AND(OR(O377=3, P377=1, Q377=1, T377=1), AJ377="no Match"), "CUSM, CHU SJ, CHUQ", "")</f>
      </c>
      <c r="AL377" s="57">
        <f>IF(AND(O377=2, ISBLANK(P377), ISBLANK(Q377), ISBLANK(R377), ISBLANK(S377), ISBLANK(T377)), "CUSM, CHU SJ, CHUS, CHUQ", "")</f>
      </c>
      <c r="AM377" s="57">
        <f>IF(AND(AJ377="no match", AK377="", AL377="", K377&lt;26), "CUSM, CHU SJ, HGJ, CHUQ, CHUS", "")</f>
      </c>
      <c r="AN377" s="57">
        <f>IF(AND(AJ377="no match", AK377="", AL377="", K377&gt;26), "CUSM, CHU SJ, HGJ, CHUQ, CHUS, HMR", "")</f>
      </c>
    </row>
    <row x14ac:dyDescent="0.25" r="378" customHeight="1" ht="17.25">
      <c r="A378" s="41" t="s">
        <v>3439</v>
      </c>
      <c r="B378" s="28">
        <v>2</v>
      </c>
      <c r="C378" s="35">
        <v>839</v>
      </c>
      <c r="D378" s="29" t="s">
        <v>53</v>
      </c>
      <c r="E378" s="30" t="s">
        <v>50</v>
      </c>
      <c r="F378" s="31">
        <v>45130</v>
      </c>
      <c r="G378" s="32">
        <v>4.46875</v>
      </c>
      <c r="H378" s="31">
        <v>45130</v>
      </c>
      <c r="I378" s="32">
        <v>4.326388888888889</v>
      </c>
      <c r="J378" s="33">
        <f>F378-H378</f>
      </c>
      <c r="K378" s="28">
        <v>42</v>
      </c>
      <c r="L378" s="28">
        <v>4</v>
      </c>
      <c r="M378" s="28">
        <v>1</v>
      </c>
      <c r="N378" s="38"/>
      <c r="O378" s="34"/>
      <c r="P378" s="38"/>
      <c r="Q378" s="34"/>
      <c r="R378" s="34"/>
      <c r="S378" s="56"/>
      <c r="T378" s="34"/>
      <c r="U378" s="34"/>
      <c r="V378" s="34"/>
      <c r="W378" s="29" t="s">
        <v>58</v>
      </c>
      <c r="X378" s="28">
        <v>30</v>
      </c>
      <c r="Y378" s="28">
        <v>1</v>
      </c>
      <c r="Z378" s="28">
        <v>2</v>
      </c>
      <c r="AA378" s="28">
        <v>3</v>
      </c>
      <c r="AB378" s="28">
        <v>1</v>
      </c>
      <c r="AC378" s="28">
        <v>2</v>
      </c>
      <c r="AD378" s="28">
        <v>2</v>
      </c>
      <c r="AE378" s="28">
        <v>4</v>
      </c>
      <c r="AF378" s="35">
        <v>3</v>
      </c>
      <c r="AG378" s="28">
        <v>2</v>
      </c>
      <c r="AH378" s="29" t="s">
        <v>3440</v>
      </c>
      <c r="AI378" s="36">
        <f>IF(OR(AND(K378&lt;32, J378&lt;2), O378=1, P378=1, Q378=1, R378=1, S378=1, T378=1, U378=1, AND(W378&lt;&gt;"", W378&lt;&gt;"Oxygen", W378&lt;&gt;"LowFlow")), "Intensive", "Intermediate")</f>
      </c>
      <c r="AJ378" s="57">
        <f>IF(OR(LEFT(AH378, 1)="X", LEFT(AH378, 1)="Y", LEFT(AH378, 3)="J55M"), "CUSM", "No Match")</f>
      </c>
      <c r="AK378" s="57">
        <f>IF(AND(OR(O378=3, P378=1, Q378=1, T378=1), AJ378="no Match"), "CUSM, CHU SJ, CHUQ", "")</f>
      </c>
      <c r="AL378" s="57">
        <f>IF(AND(O378=2, ISBLANK(P378), ISBLANK(Q378), ISBLANK(R378), ISBLANK(S378), ISBLANK(T378)), "CUSM, CHU SJ, CHUS, CHUQ", "")</f>
      </c>
      <c r="AM378" s="57">
        <f>IF(AND(AJ378="no match", AK378="", AL378="", K378&lt;26), "CUSM, CHU SJ, HGJ, CHUQ, CHUS", "")</f>
      </c>
      <c r="AN378" s="57">
        <f>IF(AND(AJ378="no match", AK378="", AL378="", K378&gt;26), "CUSM, CHU SJ, HGJ, CHUQ, CHUS, HMR", "")</f>
      </c>
    </row>
    <row x14ac:dyDescent="0.25" r="379" customHeight="1" ht="17.25">
      <c r="A379" s="41" t="s">
        <v>3441</v>
      </c>
      <c r="B379" s="28">
        <v>2</v>
      </c>
      <c r="C379" s="28">
        <v>779</v>
      </c>
      <c r="D379" s="29" t="s">
        <v>136</v>
      </c>
      <c r="E379" s="30" t="s">
        <v>50</v>
      </c>
      <c r="F379" s="31">
        <v>45131</v>
      </c>
      <c r="G379" s="40">
        <v>4.746527777777778</v>
      </c>
      <c r="H379" s="31">
        <v>45128</v>
      </c>
      <c r="I379" s="32">
        <v>4.7243055555555555</v>
      </c>
      <c r="J379" s="33">
        <f>F379-H379</f>
      </c>
      <c r="K379" s="28">
        <v>40</v>
      </c>
      <c r="L379" s="28">
        <v>4</v>
      </c>
      <c r="M379" s="28">
        <v>2</v>
      </c>
      <c r="N379" s="35">
        <v>1</v>
      </c>
      <c r="O379" s="34"/>
      <c r="P379" s="35">
        <v>1</v>
      </c>
      <c r="Q379" s="34"/>
      <c r="R379" s="34"/>
      <c r="S379" s="56"/>
      <c r="T379" s="34"/>
      <c r="U379" s="34"/>
      <c r="V379" s="34"/>
      <c r="W379" s="29"/>
      <c r="X379" s="28">
        <v>23</v>
      </c>
      <c r="Y379" s="28">
        <v>1</v>
      </c>
      <c r="Z379" s="28">
        <v>2</v>
      </c>
      <c r="AA379" s="28">
        <v>3</v>
      </c>
      <c r="AB379" s="28">
        <v>1</v>
      </c>
      <c r="AC379" s="28">
        <v>2</v>
      </c>
      <c r="AD379" s="28">
        <v>1</v>
      </c>
      <c r="AE379" s="28">
        <v>4</v>
      </c>
      <c r="AF379" s="28">
        <v>3</v>
      </c>
      <c r="AG379" s="28">
        <v>2</v>
      </c>
      <c r="AH379" s="29" t="s">
        <v>3442</v>
      </c>
      <c r="AI379" s="36">
        <f>IF(OR(AND(K379&lt;32, J379&lt;2), O379=1, P379=1, Q379=1, R379=1, S379=1, T379=1, U379=1, AND(W379&lt;&gt;"", W379&lt;&gt;"Oxygen", W379&lt;&gt;"LowFlow")), "Intensive", "Intermediate")</f>
      </c>
      <c r="AJ379" s="57">
        <f>IF(OR(LEFT(AH379, 1)="X", LEFT(AH379, 1)="Y", LEFT(AH379, 3)="J56M"), "CUSM", "No Match")</f>
      </c>
      <c r="AK379" s="57">
        <f>IF(AND(OR(O379=3, P379=1, Q379=1, T379=1), AJ379="no Match"), "CUSM, CHU SJ, CHUQ", "")</f>
      </c>
      <c r="AL379" s="57">
        <f>IF(AND(O379=2, ISBLANK(P379), ISBLANK(Q379), ISBLANK(R379), ISBLANK(S379), ISBLANK(T379)), "CUSM, CHU SJ, CHUS, CHUQ", "")</f>
      </c>
      <c r="AM379" s="57">
        <f>IF(AND(AJ379="no match", AK379="", AL379="", K379&lt;26), "CUSM, CHU SJ, HGJ, CHUQ, CHUS", "")</f>
      </c>
      <c r="AN379" s="57">
        <f>IF(AND(AJ379="no match", AK379="", AL379="", K379&gt;26), "CUSM, CHU SJ, HGJ, CHUQ, CHUS, HMR", "")</f>
      </c>
    </row>
    <row x14ac:dyDescent="0.25" r="380" customHeight="1" ht="17.25">
      <c r="A380" s="41" t="s">
        <v>3443</v>
      </c>
      <c r="B380" s="28">
        <v>2</v>
      </c>
      <c r="C380" s="35">
        <v>734</v>
      </c>
      <c r="D380" s="29" t="s">
        <v>264</v>
      </c>
      <c r="E380" s="30" t="s">
        <v>50</v>
      </c>
      <c r="F380" s="31">
        <v>45131</v>
      </c>
      <c r="G380" s="32">
        <v>4.552083333333334</v>
      </c>
      <c r="H380" s="31">
        <v>45129</v>
      </c>
      <c r="I380" s="32">
        <v>4.615972222222222</v>
      </c>
      <c r="J380" s="33">
        <f>F380-H380</f>
      </c>
      <c r="K380" s="28">
        <v>39</v>
      </c>
      <c r="L380" s="28">
        <v>4</v>
      </c>
      <c r="M380" s="28">
        <v>1</v>
      </c>
      <c r="N380" s="35">
        <v>1</v>
      </c>
      <c r="O380" s="34"/>
      <c r="P380" s="34"/>
      <c r="Q380" s="34"/>
      <c r="R380" s="34"/>
      <c r="S380" s="56"/>
      <c r="T380" s="34"/>
      <c r="U380" s="34"/>
      <c r="V380" s="34"/>
      <c r="W380" s="29"/>
      <c r="X380" s="28">
        <v>31</v>
      </c>
      <c r="Y380" s="28">
        <v>1</v>
      </c>
      <c r="Z380" s="28">
        <v>2</v>
      </c>
      <c r="AA380" s="28">
        <v>3</v>
      </c>
      <c r="AB380" s="28">
        <v>1</v>
      </c>
      <c r="AC380" s="28">
        <v>2</v>
      </c>
      <c r="AD380" s="28">
        <v>2</v>
      </c>
      <c r="AE380" s="28">
        <v>4</v>
      </c>
      <c r="AF380" s="28">
        <v>3</v>
      </c>
      <c r="AG380" s="28">
        <v>3</v>
      </c>
      <c r="AH380" s="29" t="s">
        <v>3444</v>
      </c>
      <c r="AI380" s="36">
        <f>IF(OR(AND(K380&lt;32, J380&lt;2), O380=1, P380=1, Q380=1, R380=1, S380=1, T380=1, U380=1, AND(W380&lt;&gt;"", W380&lt;&gt;"Oxygen", W380&lt;&gt;"LowFlow")), "Intensive", "Intermediate")</f>
      </c>
      <c r="AJ380" s="57">
        <f>IF(OR(LEFT(AH380, 1)="X", LEFT(AH380, 1)="Y", LEFT(AH380, 3)="J57M"), "CUSM", "No Match")</f>
      </c>
      <c r="AK380" s="57">
        <f>IF(AND(OR(O380=3, P380=1, Q380=1, T380=1), AJ380="no Match"), "CUSM, CHU SJ, CHUQ", "")</f>
      </c>
      <c r="AL380" s="57">
        <f>IF(AND(O380=2, ISBLANK(P380), ISBLANK(Q380), ISBLANK(R380), ISBLANK(S380), ISBLANK(T380)), "CUSM, CHU SJ, CHUS, CHUQ", "")</f>
      </c>
      <c r="AM380" s="57">
        <f>IF(AND(AJ380="no match", AK380="", AL380="", K380&lt;26), "CUSM, CHU SJ, HGJ, CHUQ, CHUS", "")</f>
      </c>
      <c r="AN380" s="57">
        <f>IF(AND(AJ380="no match", AK380="", AL380="", K380&gt;26), "CUSM, CHU SJ, HGJ, CHUQ, CHUS, HMR", "")</f>
      </c>
    </row>
    <row x14ac:dyDescent="0.25" r="381" customHeight="1" ht="17.25">
      <c r="A381" s="41" t="s">
        <v>3445</v>
      </c>
      <c r="B381" s="28">
        <v>2</v>
      </c>
      <c r="C381" s="35">
        <v>809</v>
      </c>
      <c r="D381" s="29" t="s">
        <v>117</v>
      </c>
      <c r="E381" s="30" t="s">
        <v>118</v>
      </c>
      <c r="F381" s="31">
        <v>45132</v>
      </c>
      <c r="G381" s="32">
        <v>4.006944444444445</v>
      </c>
      <c r="H381" s="31">
        <v>45131</v>
      </c>
      <c r="I381" s="32">
        <v>4.903472222222222</v>
      </c>
      <c r="J381" s="33">
        <f>F381-H381</f>
      </c>
      <c r="K381" s="28">
        <v>31</v>
      </c>
      <c r="L381" s="28">
        <v>6</v>
      </c>
      <c r="M381" s="28">
        <v>1</v>
      </c>
      <c r="N381" s="38"/>
      <c r="O381" s="34"/>
      <c r="P381" s="38"/>
      <c r="Q381" s="34"/>
      <c r="R381" s="34"/>
      <c r="S381" s="56"/>
      <c r="T381" s="34"/>
      <c r="U381" s="34"/>
      <c r="V381" s="34"/>
      <c r="W381" s="29" t="s">
        <v>58</v>
      </c>
      <c r="X381" s="28">
        <v>22</v>
      </c>
      <c r="Y381" s="28">
        <v>1</v>
      </c>
      <c r="Z381" s="28">
        <v>1</v>
      </c>
      <c r="AA381" s="28">
        <v>1</v>
      </c>
      <c r="AB381" s="28">
        <v>1</v>
      </c>
      <c r="AC381" s="28">
        <v>2</v>
      </c>
      <c r="AD381" s="28">
        <v>2</v>
      </c>
      <c r="AE381" s="28">
        <v>4</v>
      </c>
      <c r="AF381" s="28">
        <v>2</v>
      </c>
      <c r="AG381" s="28">
        <v>2</v>
      </c>
      <c r="AH381" s="29" t="s">
        <v>3446</v>
      </c>
      <c r="AI381" s="36">
        <f>IF(OR(AND(K381&lt;32, J381&lt;2), O381=1, P381=1, Q381=1, R381=1, S381=1, T381=1, U381=1, AND(W381&lt;&gt;"", W381&lt;&gt;"Oxygen", W381&lt;&gt;"LowFlow")), "Intensive", "Intermediate")</f>
      </c>
      <c r="AJ381" s="57">
        <f>IF(OR(LEFT(AH381, 1)="X", LEFT(AH381, 1)="Y", LEFT(AH381, 3)="J58M"), "CUSM", "No Match")</f>
      </c>
      <c r="AK381" s="57">
        <f>IF(AND(OR(O381=3, P381=1, Q381=1, T381=1), AJ381="no Match"), "CUSM, CHU SJ, CHUQ", "")</f>
      </c>
      <c r="AL381" s="57">
        <f>IF(AND(O381=2, ISBLANK(P381), ISBLANK(Q381), ISBLANK(R381), ISBLANK(S381), ISBLANK(T381)), "CUSM, CHU SJ, CHUS, CHUQ", "")</f>
      </c>
      <c r="AM381" s="57">
        <f>IF(AND(AJ381="no match", AK381="", AL381="", K381&lt;26), "CUSM, CHU SJ, HGJ, CHUQ, CHUS", "")</f>
      </c>
      <c r="AN381" s="57">
        <f>IF(AND(AJ381="no match", AK381="", AL381="", K381&gt;26), "CUSM, CHU SJ, HGJ, CHUQ, CHUS, HMR", "")</f>
      </c>
    </row>
    <row x14ac:dyDescent="0.25" r="382" customHeight="1" ht="17.25">
      <c r="A382" s="41" t="s">
        <v>3447</v>
      </c>
      <c r="B382" s="28">
        <v>2</v>
      </c>
      <c r="C382" s="28">
        <v>756</v>
      </c>
      <c r="D382" s="29" t="s">
        <v>66</v>
      </c>
      <c r="E382" s="30" t="s">
        <v>50</v>
      </c>
      <c r="F382" s="31">
        <v>45132</v>
      </c>
      <c r="G382" s="32">
        <v>4.826388888888889</v>
      </c>
      <c r="H382" s="31">
        <v>45129</v>
      </c>
      <c r="I382" s="32">
        <v>4.65</v>
      </c>
      <c r="J382" s="33">
        <f>F382-H382</f>
      </c>
      <c r="K382" s="28">
        <v>38</v>
      </c>
      <c r="L382" s="28">
        <v>6</v>
      </c>
      <c r="M382" s="28">
        <v>1</v>
      </c>
      <c r="N382" s="34"/>
      <c r="O382" s="34"/>
      <c r="P382" s="34"/>
      <c r="Q382" s="34"/>
      <c r="R382" s="34"/>
      <c r="S382" s="56"/>
      <c r="T382" s="34"/>
      <c r="U382" s="34"/>
      <c r="V382" s="34"/>
      <c r="W382" s="29"/>
      <c r="X382" s="28">
        <v>28</v>
      </c>
      <c r="Y382" s="28">
        <v>1</v>
      </c>
      <c r="Z382" s="28">
        <v>1</v>
      </c>
      <c r="AA382" s="28">
        <v>1</v>
      </c>
      <c r="AB382" s="28">
        <v>1</v>
      </c>
      <c r="AC382" s="28">
        <v>2</v>
      </c>
      <c r="AD382" s="28">
        <v>2</v>
      </c>
      <c r="AE382" s="28">
        <v>4</v>
      </c>
      <c r="AF382" s="28">
        <v>1</v>
      </c>
      <c r="AG382" s="28">
        <v>2</v>
      </c>
      <c r="AH382" s="29" t="s">
        <v>3448</v>
      </c>
      <c r="AI382" s="36">
        <f>IF(OR(AND(K382&lt;32, J382&lt;2), O382=1, P382=1, Q382=1, R382=1, S382=1, T382=1, U382=1, AND(W382&lt;&gt;"", W382&lt;&gt;"Oxygen", W382&lt;&gt;"LowFlow")), "Intensive", "Intermediate")</f>
      </c>
      <c r="AJ382" s="57">
        <f>IF(OR(LEFT(AH382, 1)="X", LEFT(AH382, 1)="Y", LEFT(AH382, 3)="J59M"), "CUSM", "No Match")</f>
      </c>
      <c r="AK382" s="57">
        <f>IF(AND(OR(O382=3, P382=1, Q382=1, T382=1), AJ382="no Match"), "CUSM, CHU SJ, CHUQ", "")</f>
      </c>
      <c r="AL382" s="57">
        <f>IF(AND(O382=2, ISBLANK(P382), ISBLANK(Q382), ISBLANK(R382), ISBLANK(S382), ISBLANK(T382)), "CUSM, CHU SJ, CHUS, CHUQ", "")</f>
      </c>
      <c r="AM382" s="57">
        <f>IF(AND(AJ382="no match", AK382="", AL382="", K382&lt;26), "CUSM, CHU SJ, HGJ, CHUQ, CHUS", "")</f>
      </c>
      <c r="AN382" s="57">
        <f>IF(AND(AJ382="no match", AK382="", AL382="", K382&gt;26), "CUSM, CHU SJ, HGJ, CHUQ, CHUS, HMR", "")</f>
      </c>
    </row>
    <row x14ac:dyDescent="0.25" r="383" customHeight="1" ht="17.25">
      <c r="A383" s="41" t="s">
        <v>3449</v>
      </c>
      <c r="B383" s="28">
        <v>2</v>
      </c>
      <c r="C383" s="28">
        <v>779</v>
      </c>
      <c r="D383" s="29" t="s">
        <v>136</v>
      </c>
      <c r="E383" s="30" t="s">
        <v>50</v>
      </c>
      <c r="F383" s="31">
        <v>45132</v>
      </c>
      <c r="G383" s="32">
        <v>4.430555555555555</v>
      </c>
      <c r="H383" s="31">
        <v>45132</v>
      </c>
      <c r="I383" s="32">
        <v>4.254166666666666</v>
      </c>
      <c r="J383" s="33">
        <f>F383-H383</f>
      </c>
      <c r="K383" s="28">
        <v>39</v>
      </c>
      <c r="L383" s="28">
        <v>5</v>
      </c>
      <c r="M383" s="28">
        <v>1</v>
      </c>
      <c r="N383" s="28">
        <v>1</v>
      </c>
      <c r="O383" s="34"/>
      <c r="P383" s="28">
        <v>1</v>
      </c>
      <c r="Q383" s="34"/>
      <c r="R383" s="34"/>
      <c r="S383" s="56"/>
      <c r="T383" s="35">
        <v>1</v>
      </c>
      <c r="U383" s="35">
        <v>1</v>
      </c>
      <c r="V383" s="35">
        <v>1</v>
      </c>
      <c r="W383" s="29" t="s">
        <v>164</v>
      </c>
      <c r="X383" s="28">
        <v>23</v>
      </c>
      <c r="Y383" s="28">
        <v>1</v>
      </c>
      <c r="Z383" s="28">
        <v>2</v>
      </c>
      <c r="AA383" s="28">
        <v>3</v>
      </c>
      <c r="AB383" s="28">
        <v>1</v>
      </c>
      <c r="AC383" s="28">
        <v>2</v>
      </c>
      <c r="AD383" s="28">
        <v>2</v>
      </c>
      <c r="AE383" s="28">
        <v>4</v>
      </c>
      <c r="AF383" s="28">
        <v>3</v>
      </c>
      <c r="AG383" s="28">
        <v>2</v>
      </c>
      <c r="AH383" s="29" t="s">
        <v>3450</v>
      </c>
      <c r="AI383" s="36">
        <f>IF(OR(AND(K383&lt;32, J383&lt;2), O383=1, P383=1, Q383=1, R383=1, S383=1, T383=1, U383=1, AND(W383&lt;&gt;"", W383&lt;&gt;"Oxygen", W383&lt;&gt;"LowFlow")), "Intensive", "Intermediate")</f>
      </c>
      <c r="AJ383" s="57">
        <f>IF(OR(LEFT(AH383, 1)="X", LEFT(AH383, 1)="Y", LEFT(AH383, 3)="J60M"), "CUSM", "No Match")</f>
      </c>
      <c r="AK383" s="57">
        <f>IF(AND(OR(O383=3, P383=1, Q383=1, T383=1), AJ383="no Match"), "CUSM, CHU SJ, CHUQ", "")</f>
      </c>
      <c r="AL383" s="57">
        <f>IF(AND(O383=2, ISBLANK(P383), ISBLANK(Q383), ISBLANK(R383), ISBLANK(S383), ISBLANK(T383)), "CUSM, CHU SJ, CHUS, CHUQ", "")</f>
      </c>
      <c r="AM383" s="57">
        <f>IF(AND(AJ383="no match", AK383="", AL383="", K383&lt;26), "CUSM, CHU SJ, HGJ, CHUQ, CHUS", "")</f>
      </c>
      <c r="AN383" s="57">
        <f>IF(AND(AJ383="no match", AK383="", AL383="", K383&gt;26), "CUSM, CHU SJ, HGJ, CHUQ, CHUS, HMR", "")</f>
      </c>
    </row>
    <row x14ac:dyDescent="0.25" r="384" customHeight="1" ht="17.25">
      <c r="A384" s="41" t="s">
        <v>3451</v>
      </c>
      <c r="B384" s="28">
        <v>2</v>
      </c>
      <c r="C384" s="35">
        <v>782</v>
      </c>
      <c r="D384" s="29" t="s">
        <v>95</v>
      </c>
      <c r="E384" s="30" t="s">
        <v>50</v>
      </c>
      <c r="F384" s="31">
        <v>45133</v>
      </c>
      <c r="G384" s="32">
        <v>4.0159722222222225</v>
      </c>
      <c r="H384" s="31">
        <v>45132</v>
      </c>
      <c r="I384" s="32">
        <v>4.925694444444444</v>
      </c>
      <c r="J384" s="33">
        <f>F384-H384</f>
      </c>
      <c r="K384" s="28">
        <v>39</v>
      </c>
      <c r="L384" s="28">
        <v>4</v>
      </c>
      <c r="M384" s="28">
        <v>1</v>
      </c>
      <c r="N384" s="35">
        <v>1</v>
      </c>
      <c r="O384" s="34"/>
      <c r="P384" s="35">
        <v>1</v>
      </c>
      <c r="Q384" s="34"/>
      <c r="R384" s="34"/>
      <c r="S384" s="56"/>
      <c r="T384" s="35">
        <v>1</v>
      </c>
      <c r="U384" s="35">
        <v>1</v>
      </c>
      <c r="V384" s="35">
        <v>1</v>
      </c>
      <c r="W384" s="29" t="s">
        <v>74</v>
      </c>
      <c r="X384" s="28">
        <v>37</v>
      </c>
      <c r="Y384" s="28">
        <v>1</v>
      </c>
      <c r="Z384" s="28">
        <v>2</v>
      </c>
      <c r="AA384" s="28">
        <v>2</v>
      </c>
      <c r="AB384" s="28">
        <v>1</v>
      </c>
      <c r="AC384" s="28">
        <v>1</v>
      </c>
      <c r="AD384" s="28">
        <v>2</v>
      </c>
      <c r="AE384" s="28">
        <v>4</v>
      </c>
      <c r="AF384" s="28">
        <v>3</v>
      </c>
      <c r="AG384" s="28">
        <v>3</v>
      </c>
      <c r="AH384" s="29" t="s">
        <v>3452</v>
      </c>
      <c r="AI384" s="36">
        <f>IF(OR(AND(K384&lt;32, J384&lt;2), O384=1, P384=1, Q384=1, R384=1, S384=1, T384=1, U384=1, AND(W384&lt;&gt;"", W384&lt;&gt;"Oxygen", W384&lt;&gt;"LowFlow")), "Intensive", "Intermediate")</f>
      </c>
      <c r="AJ384" s="57">
        <f>IF(OR(LEFT(AH384, 1)="X", LEFT(AH384, 1)="Y", LEFT(AH384, 3)="J61M"), "CUSM", "No Match")</f>
      </c>
      <c r="AK384" s="57">
        <f>IF(AND(OR(O384=3, P384=1, Q384=1, T384=1), AJ384="no Match"), "CUSM, CHU SJ, CHUQ", "")</f>
      </c>
      <c r="AL384" s="57">
        <f>IF(AND(O384=2, ISBLANK(P384), ISBLANK(Q384), ISBLANK(R384), ISBLANK(S384), ISBLANK(T384)), "CUSM, CHU SJ, CHUS, CHUQ", "")</f>
      </c>
      <c r="AM384" s="57">
        <f>IF(AND(AJ384="no match", AK384="", AL384="", K384&lt;26), "CUSM, CHU SJ, HGJ, CHUQ, CHUS", "")</f>
      </c>
      <c r="AN384" s="57">
        <f>IF(AND(AJ384="no match", AK384="", AL384="", K384&gt;26), "CUSM, CHU SJ, HGJ, CHUQ, CHUS, HMR", "")</f>
      </c>
    </row>
    <row x14ac:dyDescent="0.25" r="385" customHeight="1" ht="17.25">
      <c r="A385" s="41" t="s">
        <v>3453</v>
      </c>
      <c r="B385" s="28">
        <v>2</v>
      </c>
      <c r="C385" s="35">
        <v>730</v>
      </c>
      <c r="D385" s="29" t="s">
        <v>81</v>
      </c>
      <c r="E385" s="30" t="s">
        <v>78</v>
      </c>
      <c r="F385" s="31">
        <v>45134</v>
      </c>
      <c r="G385" s="32">
        <v>4.486111111111111</v>
      </c>
      <c r="H385" s="31">
        <v>45134</v>
      </c>
      <c r="I385" s="32">
        <v>4.347222222222222</v>
      </c>
      <c r="J385" s="33">
        <f>F385-H385</f>
      </c>
      <c r="K385" s="28">
        <v>29</v>
      </c>
      <c r="L385" s="28">
        <v>4</v>
      </c>
      <c r="M385" s="28">
        <v>2</v>
      </c>
      <c r="N385" s="34"/>
      <c r="O385" s="34"/>
      <c r="P385" s="34"/>
      <c r="Q385" s="34"/>
      <c r="R385" s="34"/>
      <c r="S385" s="56"/>
      <c r="T385" s="34"/>
      <c r="U385" s="34"/>
      <c r="V385" s="34"/>
      <c r="W385" s="29" t="s">
        <v>74</v>
      </c>
      <c r="X385" s="28">
        <v>32</v>
      </c>
      <c r="Y385" s="28">
        <v>1</v>
      </c>
      <c r="Z385" s="28">
        <v>1</v>
      </c>
      <c r="AA385" s="28">
        <v>1</v>
      </c>
      <c r="AB385" s="28">
        <v>1</v>
      </c>
      <c r="AC385" s="28">
        <v>2</v>
      </c>
      <c r="AD385" s="28">
        <v>2</v>
      </c>
      <c r="AE385" s="28">
        <v>2</v>
      </c>
      <c r="AF385" s="28">
        <v>2</v>
      </c>
      <c r="AG385" s="28">
        <v>2</v>
      </c>
      <c r="AH385" s="29" t="s">
        <v>721</v>
      </c>
      <c r="AI385" s="36">
        <f>IF(OR(AND(K385&lt;32, J385&lt;2), O385=1, P385=1, Q385=1, R385=1, S385=1, T385=1, U385=1, AND(W385&lt;&gt;"", W385&lt;&gt;"Oxygen", W385&lt;&gt;"LowFlow")), "Intensive", "Intermediate")</f>
      </c>
      <c r="AJ385" s="57">
        <f>IF(OR(LEFT(AH385, 1)="X", LEFT(AH385, 1)="Y", LEFT(AH385, 3)="J62M"), "CUSM", "No Match")</f>
      </c>
      <c r="AK385" s="57">
        <f>IF(AND(OR(O385=3, P385=1, Q385=1, T385=1), AJ385="no Match"), "CUSM, CHU SJ, CHUQ", "")</f>
      </c>
      <c r="AL385" s="57">
        <f>IF(AND(O385=2, ISBLANK(P385), ISBLANK(Q385), ISBLANK(R385), ISBLANK(S385), ISBLANK(T385)), "CUSM, CHU SJ, CHUS, CHUQ", "")</f>
      </c>
      <c r="AM385" s="57">
        <f>IF(AND(AJ385="no match", AK385="", AL385="", K385&lt;26), "CUSM, CHU SJ, HGJ, CHUQ, CHUS", "")</f>
      </c>
      <c r="AN385" s="57">
        <f>IF(AND(AJ385="no match", AK385="", AL385="", K385&gt;26), "CUSM, CHU SJ, HGJ, CHUQ, CHUS, HMR", "")</f>
      </c>
    </row>
    <row x14ac:dyDescent="0.25" r="386" customHeight="1" ht="17.25">
      <c r="A386" s="41" t="s">
        <v>3454</v>
      </c>
      <c r="B386" s="28">
        <v>2</v>
      </c>
      <c r="C386" s="35">
        <v>839</v>
      </c>
      <c r="D386" s="29" t="s">
        <v>53</v>
      </c>
      <c r="E386" s="30" t="s">
        <v>50</v>
      </c>
      <c r="F386" s="31">
        <v>45134</v>
      </c>
      <c r="G386" s="32">
        <v>4.913194444444445</v>
      </c>
      <c r="H386" s="31">
        <v>45126</v>
      </c>
      <c r="I386" s="32">
        <v>4.656944444444445</v>
      </c>
      <c r="J386" s="33">
        <f>F386-H386</f>
      </c>
      <c r="K386" s="28">
        <v>34</v>
      </c>
      <c r="L386" s="28">
        <v>4</v>
      </c>
      <c r="M386" s="28">
        <v>2</v>
      </c>
      <c r="N386" s="34"/>
      <c r="O386" s="34"/>
      <c r="P386" s="34"/>
      <c r="Q386" s="34"/>
      <c r="R386" s="34"/>
      <c r="S386" s="56"/>
      <c r="T386" s="34"/>
      <c r="U386" s="34"/>
      <c r="V386" s="34"/>
      <c r="W386" s="29" t="s">
        <v>142</v>
      </c>
      <c r="X386" s="28">
        <v>28</v>
      </c>
      <c r="Y386" s="28">
        <v>1</v>
      </c>
      <c r="Z386" s="28">
        <v>2</v>
      </c>
      <c r="AA386" s="28">
        <v>3</v>
      </c>
      <c r="AB386" s="28">
        <v>1</v>
      </c>
      <c r="AC386" s="28">
        <v>1</v>
      </c>
      <c r="AD386" s="28">
        <v>1</v>
      </c>
      <c r="AE386" s="28">
        <v>4</v>
      </c>
      <c r="AF386" s="28">
        <v>3</v>
      </c>
      <c r="AG386" s="28">
        <v>3</v>
      </c>
      <c r="AH386" s="29" t="s">
        <v>3455</v>
      </c>
      <c r="AI386" s="36">
        <f>IF(OR(AND(K386&lt;32, J386&lt;2), O386=1, P386=1, Q386=1, R386=1, S386=1, T386=1, U386=1, AND(W386&lt;&gt;"", W386&lt;&gt;"Oxygen", W386&lt;&gt;"LowFlow")), "Intensive", "Intermediate")</f>
      </c>
      <c r="AJ386" s="57">
        <f>IF(OR(LEFT(AH386, 1)="X", LEFT(AH386, 1)="Y", LEFT(AH386, 3)="J63M"), "CUSM", "No Match")</f>
      </c>
      <c r="AK386" s="57">
        <f>IF(AND(OR(O386=3, P386=1, Q386=1, T386=1), AJ386="no Match"), "CUSM, CHU SJ, CHUQ", "")</f>
      </c>
      <c r="AL386" s="57">
        <f>IF(AND(O386=2, ISBLANK(P386), ISBLANK(Q386), ISBLANK(R386), ISBLANK(S386), ISBLANK(T386)), "CUSM, CHU SJ, CHUS, CHUQ", "")</f>
      </c>
      <c r="AM386" s="57">
        <f>IF(AND(AJ386="no match", AK386="", AL386="", K386&lt;26), "CUSM, CHU SJ, HGJ, CHUQ, CHUS", "")</f>
      </c>
      <c r="AN386" s="57">
        <f>IF(AND(AJ386="no match", AK386="", AL386="", K386&gt;26), "CUSM, CHU SJ, HGJ, CHUQ, CHUS, HMR", "")</f>
      </c>
    </row>
    <row x14ac:dyDescent="0.25" r="387" customHeight="1" ht="17.25">
      <c r="A387" s="41" t="s">
        <v>3456</v>
      </c>
      <c r="B387" s="28">
        <v>2</v>
      </c>
      <c r="C387" s="28">
        <v>825</v>
      </c>
      <c r="D387" s="29" t="s">
        <v>77</v>
      </c>
      <c r="E387" s="30" t="s">
        <v>50</v>
      </c>
      <c r="F387" s="31">
        <v>45134</v>
      </c>
      <c r="G387" s="32">
        <v>4.045138888888889</v>
      </c>
      <c r="H387" s="31">
        <v>45133</v>
      </c>
      <c r="I387" s="32">
        <v>4.825</v>
      </c>
      <c r="J387" s="33">
        <f>F387-H387</f>
      </c>
      <c r="K387" s="28">
        <v>38</v>
      </c>
      <c r="L387" s="28">
        <v>5</v>
      </c>
      <c r="M387" s="28">
        <v>2</v>
      </c>
      <c r="N387" s="35">
        <v>1</v>
      </c>
      <c r="O387" s="34"/>
      <c r="P387" s="35">
        <v>1</v>
      </c>
      <c r="Q387" s="34"/>
      <c r="R387" s="34"/>
      <c r="S387" s="56"/>
      <c r="T387" s="34"/>
      <c r="U387" s="34"/>
      <c r="V387" s="34"/>
      <c r="W387" s="29" t="s">
        <v>74</v>
      </c>
      <c r="X387" s="28">
        <v>24</v>
      </c>
      <c r="Y387" s="28">
        <v>1</v>
      </c>
      <c r="Z387" s="28">
        <v>1</v>
      </c>
      <c r="AA387" s="28">
        <v>1</v>
      </c>
      <c r="AB387" s="28">
        <v>1</v>
      </c>
      <c r="AC387" s="28">
        <v>1</v>
      </c>
      <c r="AD387" s="28">
        <v>2</v>
      </c>
      <c r="AE387" s="28">
        <v>4</v>
      </c>
      <c r="AF387" s="28">
        <v>3</v>
      </c>
      <c r="AG387" s="28">
        <v>2</v>
      </c>
      <c r="AH387" s="29" t="s">
        <v>2951</v>
      </c>
      <c r="AI387" s="36">
        <f>IF(OR(AND(K387&lt;32, J387&lt;2), O387=1, P387=1, Q387=1, R387=1, S387=1, T387=1, U387=1, AND(W387&lt;&gt;"", W387&lt;&gt;"Oxygen", W387&lt;&gt;"LowFlow")), "Intensive", "Intermediate")</f>
      </c>
      <c r="AJ387" s="57">
        <f>IF(OR(LEFT(AH387, 1)="X", LEFT(AH387, 1)="Y", LEFT(AH387, 3)="J0M"), "CUSM", "No Match")</f>
      </c>
      <c r="AK387" s="57">
        <f>IF(AND(OR(O387=3, P387=1, Q387=1, T387=1), AJ387="no Match"), "CUSM, CHU SJ, CHUQ", "")</f>
      </c>
      <c r="AL387" s="57">
        <f>IF(AND(O387=2, ISBLANK(P387), ISBLANK(Q387), ISBLANK(R387), ISBLANK(S387), ISBLANK(T387)), "CUSM, CHU SJ, CHUS, CHUQ", "")</f>
      </c>
      <c r="AM387" s="57">
        <f>IF(AND(AJ387="no match", AK387="", AL387="", K387&lt;26), "CUSM, CHU SJ, HGJ, CHUQ, CHUS", "")</f>
      </c>
      <c r="AN387" s="57">
        <f>IF(AND(AJ387="no match", AK387="", AL387="", K387&gt;26), "CUSM, CHU SJ, HGJ, CHUQ, CHUS, HMR", "")</f>
      </c>
    </row>
    <row x14ac:dyDescent="0.25" r="388" customHeight="1" ht="17.25">
      <c r="A388" s="41" t="s">
        <v>3457</v>
      </c>
      <c r="B388" s="28">
        <v>2</v>
      </c>
      <c r="C388" s="28">
        <v>820</v>
      </c>
      <c r="D388" s="29" t="s">
        <v>69</v>
      </c>
      <c r="E388" s="30" t="s">
        <v>50</v>
      </c>
      <c r="F388" s="31">
        <v>45134</v>
      </c>
      <c r="G388" s="32">
        <v>4.739583333333334</v>
      </c>
      <c r="H388" s="31">
        <v>45134</v>
      </c>
      <c r="I388" s="32">
        <v>4.006944444444445</v>
      </c>
      <c r="J388" s="33">
        <f>F388-H388</f>
      </c>
      <c r="K388" s="28">
        <v>38</v>
      </c>
      <c r="L388" s="28">
        <v>2</v>
      </c>
      <c r="M388" s="28">
        <v>1</v>
      </c>
      <c r="N388" s="28">
        <v>1</v>
      </c>
      <c r="O388" s="34"/>
      <c r="P388" s="35">
        <v>1</v>
      </c>
      <c r="Q388" s="34"/>
      <c r="R388" s="34"/>
      <c r="S388" s="56"/>
      <c r="T388" s="34"/>
      <c r="U388" s="34"/>
      <c r="V388" s="34"/>
      <c r="W388" s="29"/>
      <c r="X388" s="28">
        <v>26</v>
      </c>
      <c r="Y388" s="28">
        <v>1</v>
      </c>
      <c r="Z388" s="28">
        <v>1</v>
      </c>
      <c r="AA388" s="28">
        <v>3</v>
      </c>
      <c r="AB388" s="28">
        <v>1</v>
      </c>
      <c r="AC388" s="28">
        <v>2</v>
      </c>
      <c r="AD388" s="28">
        <v>1</v>
      </c>
      <c r="AE388" s="28">
        <v>4</v>
      </c>
      <c r="AF388" s="28">
        <v>3</v>
      </c>
      <c r="AG388" s="28">
        <v>3</v>
      </c>
      <c r="AH388" s="29" t="s">
        <v>3458</v>
      </c>
      <c r="AI388" s="36">
        <f>IF(OR(AND(K388&lt;32, J388&lt;2), O388=1, P388=1, Q388=1, R388=1, S388=1, T388=1, U388=1, AND(W388&lt;&gt;"", W388&lt;&gt;"Oxygen", W388&lt;&gt;"LowFlow")), "Intensive", "Intermediate")</f>
      </c>
      <c r="AJ388" s="57">
        <f>IF(OR(LEFT(AH388, 1)="X", LEFT(AH388, 1)="Y", LEFT(AH388, 3)="J1M"), "CUSM", "No Match")</f>
      </c>
      <c r="AK388" s="57">
        <f>IF(AND(OR(O388=3, P388=1, Q388=1, T388=1), AJ388="no Match"), "CUSM, CHU SJ, CHUQ", "")</f>
      </c>
      <c r="AL388" s="57">
        <f>IF(AND(O388=2, ISBLANK(P388), ISBLANK(Q388), ISBLANK(R388), ISBLANK(S388), ISBLANK(T388)), "CUSM, CHU SJ, CHUS, CHUQ", "")</f>
      </c>
      <c r="AM388" s="57">
        <f>IF(AND(AJ388="no match", AK388="", AL388="", K388&lt;26), "CUSM, CHU SJ, HGJ, CHUQ, CHUS", "")</f>
      </c>
      <c r="AN388" s="57">
        <f>IF(AND(AJ388="no match", AK388="", AL388="", K388&gt;26), "CUSM, CHU SJ, HGJ, CHUQ, CHUS, HMR", "")</f>
      </c>
    </row>
    <row x14ac:dyDescent="0.25" r="389" customHeight="1" ht="17.25">
      <c r="A389" s="41" t="s">
        <v>3459</v>
      </c>
      <c r="B389" s="28">
        <v>2</v>
      </c>
      <c r="C389" s="28">
        <v>827</v>
      </c>
      <c r="D389" s="29" t="s">
        <v>525</v>
      </c>
      <c r="E389" s="30" t="s">
        <v>78</v>
      </c>
      <c r="F389" s="31">
        <v>45135</v>
      </c>
      <c r="G389" s="32">
        <v>4.802083333333334</v>
      </c>
      <c r="H389" s="31">
        <v>45135</v>
      </c>
      <c r="I389" s="32">
        <v>4.550694444444444</v>
      </c>
      <c r="J389" s="33">
        <f>F389-H389</f>
      </c>
      <c r="K389" s="28">
        <v>39</v>
      </c>
      <c r="L389" s="28">
        <v>0</v>
      </c>
      <c r="M389" s="28">
        <v>2</v>
      </c>
      <c r="N389" s="34"/>
      <c r="O389" s="34"/>
      <c r="P389" s="34"/>
      <c r="Q389" s="34"/>
      <c r="R389" s="34"/>
      <c r="S389" s="56"/>
      <c r="T389" s="35">
        <v>1</v>
      </c>
      <c r="U389" s="34"/>
      <c r="V389" s="34"/>
      <c r="W389" s="29" t="s">
        <v>74</v>
      </c>
      <c r="X389" s="28">
        <v>32</v>
      </c>
      <c r="Y389" s="28">
        <v>1</v>
      </c>
      <c r="Z389" s="28">
        <v>1</v>
      </c>
      <c r="AA389" s="28">
        <v>2</v>
      </c>
      <c r="AB389" s="28">
        <v>1</v>
      </c>
      <c r="AC389" s="28">
        <v>2</v>
      </c>
      <c r="AD389" s="28">
        <v>2</v>
      </c>
      <c r="AE389" s="28">
        <v>4</v>
      </c>
      <c r="AF389" s="28">
        <v>2</v>
      </c>
      <c r="AG389" s="28">
        <v>2</v>
      </c>
      <c r="AH389" s="29" t="s">
        <v>3460</v>
      </c>
      <c r="AI389" s="36">
        <f>IF(OR(AND(K389&lt;32, J389&lt;2), O389=1, P389=1, Q389=1, R389=1, S389=1, T389=1, U389=1, AND(W389&lt;&gt;"", W389&lt;&gt;"Oxygen", W389&lt;&gt;"LowFlow")), "Intensive", "Intermediate")</f>
      </c>
      <c r="AJ389" s="57">
        <f>IF(OR(LEFT(AH389, 1)="X", LEFT(AH389, 1)="Y", LEFT(AH389, 3)="J2M"), "CUSM", "No Match")</f>
      </c>
      <c r="AK389" s="57">
        <f>IF(AND(OR(O389=3, P389=1, Q389=1, T389=1), AJ389="no Match"), "CUSM, CHU SJ, CHUQ", "")</f>
      </c>
      <c r="AL389" s="57">
        <f>IF(AND(O389=2, ISBLANK(P389), ISBLANK(Q389), ISBLANK(R389), ISBLANK(S389), ISBLANK(T389)), "CUSM, CHU SJ, CHUS, CHUQ", "")</f>
      </c>
      <c r="AM389" s="57">
        <f>IF(AND(AJ389="no match", AK389="", AL389="", K389&lt;26), "CUSM, CHU SJ, HGJ, CHUQ, CHUS", "")</f>
      </c>
      <c r="AN389" s="57">
        <f>IF(AND(AJ389="no match", AK389="", AL389="", K389&gt;26), "CUSM, CHU SJ, HGJ, CHUQ, CHUS, HMR", "")</f>
      </c>
    </row>
    <row x14ac:dyDescent="0.25" r="390" customHeight="1" ht="17.25">
      <c r="A390" s="41" t="s">
        <v>3461</v>
      </c>
      <c r="B390" s="28">
        <v>2</v>
      </c>
      <c r="C390" s="35">
        <v>833</v>
      </c>
      <c r="D390" s="29" t="s">
        <v>376</v>
      </c>
      <c r="E390" s="30" t="s">
        <v>50</v>
      </c>
      <c r="F390" s="31">
        <v>45135</v>
      </c>
      <c r="G390" s="32">
        <v>4.8694444444444445</v>
      </c>
      <c r="H390" s="31">
        <v>45132</v>
      </c>
      <c r="I390" s="32">
        <v>4.7027777777777775</v>
      </c>
      <c r="J390" s="33">
        <f>F390-H390</f>
      </c>
      <c r="K390" s="28">
        <v>39</v>
      </c>
      <c r="L390" s="28">
        <v>1</v>
      </c>
      <c r="M390" s="28">
        <v>1</v>
      </c>
      <c r="N390" s="34"/>
      <c r="O390" s="34"/>
      <c r="P390" s="34"/>
      <c r="Q390" s="34"/>
      <c r="R390" s="34"/>
      <c r="S390" s="56"/>
      <c r="T390" s="34"/>
      <c r="U390" s="34"/>
      <c r="V390" s="34"/>
      <c r="W390" s="29"/>
      <c r="X390" s="28">
        <v>30</v>
      </c>
      <c r="Y390" s="28">
        <v>1</v>
      </c>
      <c r="Z390" s="28">
        <v>1</v>
      </c>
      <c r="AA390" s="28">
        <v>3</v>
      </c>
      <c r="AB390" s="28">
        <v>1</v>
      </c>
      <c r="AC390" s="28">
        <v>2</v>
      </c>
      <c r="AD390" s="28">
        <v>1</v>
      </c>
      <c r="AE390" s="28">
        <v>4</v>
      </c>
      <c r="AF390" s="28">
        <v>3</v>
      </c>
      <c r="AG390" s="28">
        <v>2</v>
      </c>
      <c r="AH390" s="29" t="s">
        <v>3462</v>
      </c>
      <c r="AI390" s="36">
        <f>IF(OR(AND(K390&lt;32, J390&lt;2), O390=1, P390=1, Q390=1, R390=1, S390=1, T390=1, U390=1, AND(W390&lt;&gt;"", W390&lt;&gt;"Oxygen", W390&lt;&gt;"LowFlow")), "Intensive", "Intermediate")</f>
      </c>
      <c r="AJ390" s="57">
        <f>IF(OR(LEFT(AH390, 1)="X", LEFT(AH390, 1)="Y", LEFT(AH390, 3)="J3M"), "CUSM", "No Match")</f>
      </c>
      <c r="AK390" s="57">
        <f>IF(AND(OR(O390=3, P390=1, Q390=1, T390=1), AJ390="no Match"), "CUSM, CHU SJ, CHUQ", "")</f>
      </c>
      <c r="AL390" s="57">
        <f>IF(AND(O390=2, ISBLANK(P390), ISBLANK(Q390), ISBLANK(R390), ISBLANK(S390), ISBLANK(T390)), "CUSM, CHU SJ, CHUS, CHUQ", "")</f>
      </c>
      <c r="AM390" s="57">
        <f>IF(AND(AJ390="no match", AK390="", AL390="", K390&lt;26), "CUSM, CHU SJ, HGJ, CHUQ, CHUS", "")</f>
      </c>
      <c r="AN390" s="57">
        <f>IF(AND(AJ390="no match", AK390="", AL390="", K390&gt;26), "CUSM, CHU SJ, HGJ, CHUQ, CHUS, HMR", "")</f>
      </c>
    </row>
    <row x14ac:dyDescent="0.25" r="391" customHeight="1" ht="17.25">
      <c r="A391" s="41" t="s">
        <v>3463</v>
      </c>
      <c r="B391" s="28">
        <v>2</v>
      </c>
      <c r="C391" s="35">
        <v>730</v>
      </c>
      <c r="D391" s="29" t="s">
        <v>81</v>
      </c>
      <c r="E391" s="30" t="s">
        <v>50</v>
      </c>
      <c r="F391" s="31">
        <v>45135</v>
      </c>
      <c r="G391" s="32">
        <v>4.4631944444444445</v>
      </c>
      <c r="H391" s="31">
        <v>45135</v>
      </c>
      <c r="I391" s="32">
        <v>4.270138888888889</v>
      </c>
      <c r="J391" s="33">
        <f>F391-H391</f>
      </c>
      <c r="K391" s="28">
        <v>39</v>
      </c>
      <c r="L391" s="28">
        <v>1</v>
      </c>
      <c r="M391" s="28">
        <v>1</v>
      </c>
      <c r="N391" s="28">
        <v>1</v>
      </c>
      <c r="O391" s="35">
        <v>2</v>
      </c>
      <c r="P391" s="35">
        <v>1</v>
      </c>
      <c r="Q391" s="34"/>
      <c r="R391" s="34"/>
      <c r="S391" s="56"/>
      <c r="T391" s="34"/>
      <c r="U391" s="34"/>
      <c r="V391" s="34"/>
      <c r="W391" s="29"/>
      <c r="X391" s="28">
        <v>37</v>
      </c>
      <c r="Y391" s="28">
        <v>1</v>
      </c>
      <c r="Z391" s="28">
        <v>1</v>
      </c>
      <c r="AA391" s="28">
        <v>3</v>
      </c>
      <c r="AB391" s="28">
        <v>1</v>
      </c>
      <c r="AC391" s="28">
        <v>2</v>
      </c>
      <c r="AD391" s="28">
        <v>2</v>
      </c>
      <c r="AE391" s="28">
        <v>4</v>
      </c>
      <c r="AF391" s="28">
        <v>3</v>
      </c>
      <c r="AG391" s="28">
        <v>2</v>
      </c>
      <c r="AH391" s="29" t="s">
        <v>3464</v>
      </c>
      <c r="AI391" s="36">
        <f>IF(OR(AND(K391&lt;32, J391&lt;2), O391=1, P391=1, Q391=1, R391=1, S391=1, T391=1, U391=1, AND(W391&lt;&gt;"", W391&lt;&gt;"Oxygen", W391&lt;&gt;"LowFlow")), "Intensive", "Intermediate")</f>
      </c>
      <c r="AJ391" s="57">
        <f>IF(OR(LEFT(AH391, 1)="X", LEFT(AH391, 1)="Y", LEFT(AH391, 3)="J4M"), "CUSM", "No Match")</f>
      </c>
      <c r="AK391" s="57">
        <f>IF(AND(OR(O391=3, P391=1, Q391=1, T391=1), AJ391="no Match"), "CUSM, CHU SJ, CHUQ", "")</f>
      </c>
      <c r="AL391" s="57">
        <f>IF(AND(O391=2, ISBLANK(P391), ISBLANK(Q391), ISBLANK(R391), ISBLANK(S391), ISBLANK(T391)), "CUSM, CHU SJ, CHUS, CHUQ", "")</f>
      </c>
      <c r="AM391" s="57">
        <f>IF(AND(AJ391="no match", AK391="", AL391="", K391&lt;26), "CUSM, CHU SJ, HGJ, CHUQ, CHUS", "")</f>
      </c>
      <c r="AN391" s="57">
        <f>IF(AND(AJ391="no match", AK391="", AL391="", K391&gt;26), "CUSM, CHU SJ, HGJ, CHUQ, CHUS, HMR", "")</f>
      </c>
    </row>
    <row x14ac:dyDescent="0.25" r="392" customHeight="1" ht="17.25">
      <c r="A392" s="41" t="s">
        <v>3465</v>
      </c>
      <c r="B392" s="28">
        <v>2</v>
      </c>
      <c r="C392" s="35">
        <v>746</v>
      </c>
      <c r="D392" s="29" t="s">
        <v>139</v>
      </c>
      <c r="E392" s="30" t="s">
        <v>54</v>
      </c>
      <c r="F392" s="31">
        <v>45136</v>
      </c>
      <c r="G392" s="32">
        <v>4.447916666666666</v>
      </c>
      <c r="H392" s="31">
        <v>45136</v>
      </c>
      <c r="I392" s="32">
        <v>4.092361111111111</v>
      </c>
      <c r="J392" s="33">
        <f>F392-H392</f>
      </c>
      <c r="K392" s="28">
        <v>39</v>
      </c>
      <c r="L392" s="28">
        <v>4</v>
      </c>
      <c r="M392" s="28">
        <v>1</v>
      </c>
      <c r="N392" s="35">
        <v>1</v>
      </c>
      <c r="O392" s="34"/>
      <c r="P392" s="35">
        <v>1</v>
      </c>
      <c r="Q392" s="34"/>
      <c r="R392" s="34"/>
      <c r="S392" s="56"/>
      <c r="T392" s="35">
        <v>1</v>
      </c>
      <c r="U392" s="34"/>
      <c r="V392" s="34"/>
      <c r="W392" s="29" t="s">
        <v>74</v>
      </c>
      <c r="X392" s="28">
        <v>34</v>
      </c>
      <c r="Y392" s="28">
        <v>1</v>
      </c>
      <c r="Z392" s="28">
        <v>2</v>
      </c>
      <c r="AA392" s="28">
        <v>2</v>
      </c>
      <c r="AB392" s="28">
        <v>4</v>
      </c>
      <c r="AC392" s="28">
        <v>2</v>
      </c>
      <c r="AD392" s="28">
        <v>2</v>
      </c>
      <c r="AE392" s="28">
        <v>4</v>
      </c>
      <c r="AF392" s="28">
        <v>2</v>
      </c>
      <c r="AG392" s="28">
        <v>2</v>
      </c>
      <c r="AH392" s="29" t="s">
        <v>3466</v>
      </c>
      <c r="AI392" s="36">
        <f>IF(OR(AND(K392&lt;32, J392&lt;2), O392=1, P392=1, Q392=1, R392=1, S392=1, T392=1, U392=1, AND(W392&lt;&gt;"", W392&lt;&gt;"Oxygen", W392&lt;&gt;"LowFlow")), "Intensive", "Intermediate")</f>
      </c>
      <c r="AJ392" s="57">
        <f>IF(OR(LEFT(AH392, 1)="X", LEFT(AH392, 1)="Y", LEFT(AH392, 3)="J5M"), "CUSM", "No Match")</f>
      </c>
      <c r="AK392" s="57">
        <f>IF(AND(OR(O392=3, P392=1, Q392=1, T392=1), AJ392="no Match"), "CUSM, CHU SJ, CHUQ", "")</f>
      </c>
      <c r="AL392" s="57">
        <f>IF(AND(O392=2, ISBLANK(P392), ISBLANK(Q392), ISBLANK(R392), ISBLANK(S392), ISBLANK(T392)), "CUSM, CHU SJ, CHUS, CHUQ", "")</f>
      </c>
      <c r="AM392" s="57">
        <f>IF(AND(AJ392="no match", AK392="", AL392="", K392&lt;26), "CUSM, CHU SJ, HGJ, CHUQ, CHUS", "")</f>
      </c>
      <c r="AN392" s="57">
        <f>IF(AND(AJ392="no match", AK392="", AL392="", K392&gt;26), "CUSM, CHU SJ, HGJ, CHUQ, CHUS, HMR", "")</f>
      </c>
    </row>
    <row x14ac:dyDescent="0.25" r="393" customHeight="1" ht="17.25">
      <c r="A393" s="41" t="s">
        <v>3467</v>
      </c>
      <c r="B393" s="28">
        <v>2</v>
      </c>
      <c r="C393" s="35">
        <v>815</v>
      </c>
      <c r="D393" s="29" t="s">
        <v>100</v>
      </c>
      <c r="E393" s="30" t="s">
        <v>78</v>
      </c>
      <c r="F393" s="31">
        <v>45136</v>
      </c>
      <c r="G393" s="32">
        <v>4.625</v>
      </c>
      <c r="H393" s="31">
        <v>45136</v>
      </c>
      <c r="I393" s="32">
        <v>4.366666666666667</v>
      </c>
      <c r="J393" s="33">
        <f>F393-H393</f>
      </c>
      <c r="K393" s="28">
        <v>36</v>
      </c>
      <c r="L393" s="28">
        <v>0</v>
      </c>
      <c r="M393" s="28">
        <v>2</v>
      </c>
      <c r="N393" s="34"/>
      <c r="O393" s="34"/>
      <c r="P393" s="34"/>
      <c r="Q393" s="34"/>
      <c r="R393" s="34"/>
      <c r="S393" s="56"/>
      <c r="T393" s="34"/>
      <c r="U393" s="34"/>
      <c r="V393" s="34"/>
      <c r="W393" s="29" t="s">
        <v>58</v>
      </c>
      <c r="X393" s="28">
        <v>31</v>
      </c>
      <c r="Y393" s="28">
        <v>1</v>
      </c>
      <c r="Z393" s="28">
        <v>2</v>
      </c>
      <c r="AA393" s="28">
        <v>2</v>
      </c>
      <c r="AB393" s="28">
        <v>1</v>
      </c>
      <c r="AC393" s="28">
        <v>2</v>
      </c>
      <c r="AD393" s="28">
        <v>1</v>
      </c>
      <c r="AE393" s="28">
        <v>4</v>
      </c>
      <c r="AF393" s="28">
        <v>2</v>
      </c>
      <c r="AG393" s="28">
        <v>2</v>
      </c>
      <c r="AH393" s="29" t="s">
        <v>3468</v>
      </c>
      <c r="AI393" s="36">
        <f>IF(OR(AND(K393&lt;32, J393&lt;2), O393=1, P393=1, Q393=1, R393=1, S393=1, T393=1, U393=1, AND(W393&lt;&gt;"", W393&lt;&gt;"Oxygen", W393&lt;&gt;"LowFlow")), "Intensive", "Intermediate")</f>
      </c>
      <c r="AJ393" s="57">
        <f>IF(OR(LEFT(AH393, 1)="X", LEFT(AH393, 1)="Y", LEFT(AH393, 3)="J6M"), "CUSM", "No Match")</f>
      </c>
      <c r="AK393" s="57">
        <f>IF(AND(OR(O393=3, P393=1, Q393=1, T393=1), AJ393="no Match"), "CUSM, CHU SJ, CHUQ", "")</f>
      </c>
      <c r="AL393" s="57">
        <f>IF(AND(O393=2, ISBLANK(P393), ISBLANK(Q393), ISBLANK(R393), ISBLANK(S393), ISBLANK(T393)), "CUSM, CHU SJ, CHUS, CHUQ", "")</f>
      </c>
      <c r="AM393" s="57">
        <f>IF(AND(AJ393="no match", AK393="", AL393="", K393&lt;26), "CUSM, CHU SJ, HGJ, CHUQ, CHUS", "")</f>
      </c>
      <c r="AN393" s="57">
        <f>IF(AND(AJ393="no match", AK393="", AL393="", K393&gt;26), "CUSM, CHU SJ, HGJ, CHUQ, CHUS, HMR", "")</f>
      </c>
    </row>
    <row x14ac:dyDescent="0.25" r="394" customHeight="1" ht="17.25">
      <c r="A394" s="41" t="s">
        <v>3469</v>
      </c>
      <c r="B394" s="28">
        <v>2</v>
      </c>
      <c r="C394" s="35">
        <v>779</v>
      </c>
      <c r="D394" s="29" t="s">
        <v>136</v>
      </c>
      <c r="E394" s="30" t="s">
        <v>50</v>
      </c>
      <c r="F394" s="31">
        <v>45136</v>
      </c>
      <c r="G394" s="32">
        <v>4.288194444444445</v>
      </c>
      <c r="H394" s="31">
        <v>45136</v>
      </c>
      <c r="I394" s="32">
        <v>4.170138888888889</v>
      </c>
      <c r="J394" s="33">
        <f>F394-H394</f>
      </c>
      <c r="K394" s="28">
        <v>40</v>
      </c>
      <c r="L394" s="28">
        <v>3</v>
      </c>
      <c r="M394" s="28">
        <v>1</v>
      </c>
      <c r="N394" s="34"/>
      <c r="O394" s="34"/>
      <c r="P394" s="34"/>
      <c r="Q394" s="34"/>
      <c r="R394" s="34"/>
      <c r="S394" s="56"/>
      <c r="T394" s="35">
        <v>1</v>
      </c>
      <c r="U394" s="34"/>
      <c r="V394" s="34"/>
      <c r="W394" s="29" t="s">
        <v>74</v>
      </c>
      <c r="X394" s="28">
        <v>31</v>
      </c>
      <c r="Y394" s="28">
        <v>1</v>
      </c>
      <c r="Z394" s="28">
        <v>2</v>
      </c>
      <c r="AA394" s="28">
        <v>3</v>
      </c>
      <c r="AB394" s="28">
        <v>1</v>
      </c>
      <c r="AC394" s="28">
        <v>2</v>
      </c>
      <c r="AD394" s="28">
        <v>2</v>
      </c>
      <c r="AE394" s="28">
        <v>4</v>
      </c>
      <c r="AF394" s="28">
        <v>1</v>
      </c>
      <c r="AG394" s="28">
        <v>2</v>
      </c>
      <c r="AH394" s="29" t="s">
        <v>3470</v>
      </c>
      <c r="AI394" s="36">
        <f>IF(OR(AND(K394&lt;32, J394&lt;2), O394=1, P394=1, Q394=1, R394=1, S394=1, T394=1, U394=1, AND(W394&lt;&gt;"", W394&lt;&gt;"Oxygen", W394&lt;&gt;"LowFlow")), "Intensive", "Intermediate")</f>
      </c>
      <c r="AJ394" s="57">
        <f>IF(OR(LEFT(AH394, 1)="X", LEFT(AH394, 1)="Y", LEFT(AH394, 3)="J7M"), "CUSM", "No Match")</f>
      </c>
      <c r="AK394" s="57">
        <f>IF(AND(OR(O394=3, P394=1, Q394=1, T394=1), AJ394="no Match"), "CUSM, CHU SJ, CHUQ", "")</f>
      </c>
      <c r="AL394" s="57">
        <f>IF(AND(O394=2, ISBLANK(P394), ISBLANK(Q394), ISBLANK(R394), ISBLANK(S394), ISBLANK(T394)), "CUSM, CHU SJ, CHUS, CHUQ", "")</f>
      </c>
      <c r="AM394" s="57">
        <f>IF(AND(AJ394="no match", AK394="", AL394="", K394&lt;26), "CUSM, CHU SJ, HGJ, CHUQ, CHUS", "")</f>
      </c>
      <c r="AN394" s="57">
        <f>IF(AND(AJ394="no match", AK394="", AL394="", K394&gt;26), "CUSM, CHU SJ, HGJ, CHUQ, CHUS, HMR", "")</f>
      </c>
    </row>
    <row x14ac:dyDescent="0.25" r="395" customHeight="1" ht="17.25">
      <c r="A395" s="41" t="s">
        <v>3471</v>
      </c>
      <c r="B395" s="28">
        <v>2</v>
      </c>
      <c r="C395" s="35">
        <v>793</v>
      </c>
      <c r="D395" s="29" t="s">
        <v>266</v>
      </c>
      <c r="E395" s="30" t="s">
        <v>50</v>
      </c>
      <c r="F395" s="31">
        <v>45136</v>
      </c>
      <c r="G395" s="32">
        <v>4.583333333333334</v>
      </c>
      <c r="H395" s="31">
        <v>45133</v>
      </c>
      <c r="I395" s="32">
        <v>4.742361111111111</v>
      </c>
      <c r="J395" s="33">
        <f>F395-H395</f>
      </c>
      <c r="K395" s="28">
        <v>39</v>
      </c>
      <c r="L395" s="28">
        <v>3</v>
      </c>
      <c r="M395" s="28">
        <v>2</v>
      </c>
      <c r="N395" s="34"/>
      <c r="O395" s="35">
        <v>2</v>
      </c>
      <c r="P395" s="34"/>
      <c r="Q395" s="34"/>
      <c r="R395" s="34"/>
      <c r="S395" s="56"/>
      <c r="T395" s="34"/>
      <c r="U395" s="34"/>
      <c r="V395" s="34"/>
      <c r="W395" s="29" t="s">
        <v>74</v>
      </c>
      <c r="X395" s="28">
        <v>27</v>
      </c>
      <c r="Y395" s="28">
        <v>1</v>
      </c>
      <c r="Z395" s="28">
        <v>2</v>
      </c>
      <c r="AA395" s="28">
        <v>3</v>
      </c>
      <c r="AB395" s="28">
        <v>1</v>
      </c>
      <c r="AC395" s="28">
        <v>2</v>
      </c>
      <c r="AD395" s="28">
        <v>2</v>
      </c>
      <c r="AE395" s="28">
        <v>4</v>
      </c>
      <c r="AF395" s="28">
        <v>3</v>
      </c>
      <c r="AG395" s="28">
        <v>2</v>
      </c>
      <c r="AH395" s="29" t="s">
        <v>3472</v>
      </c>
      <c r="AI395" s="36">
        <f>IF(OR(AND(K395&lt;32, J395&lt;2), O395=1, P395=1, Q395=1, R395=1, S395=1, T395=1, U395=1, AND(W395&lt;&gt;"", W395&lt;&gt;"Oxygen", W395&lt;&gt;"LowFlow")), "Intensive", "Intermediate")</f>
      </c>
      <c r="AJ395" s="57">
        <f>IF(OR(LEFT(AH395, 1)="X", LEFT(AH395, 1)="Y", LEFT(AH395, 3)="J8M"), "CUSM", "No Match")</f>
      </c>
      <c r="AK395" s="57">
        <f>IF(AND(OR(O395=3, P395=1, Q395=1, T395=1), AJ395="no Match"), "CUSM, CHU SJ, CHUQ", "")</f>
      </c>
      <c r="AL395" s="57">
        <f>IF(AND(O395=2, ISBLANK(P395), ISBLANK(Q395), ISBLANK(R395), ISBLANK(S395), ISBLANK(T395)), "CUSM, CHU SJ, CHUS, CHUQ", "")</f>
      </c>
      <c r="AM395" s="57">
        <f>IF(AND(AJ395="no match", AK395="", AL395="", K395&lt;26), "CUSM, CHU SJ, HGJ, CHUQ, CHUS", "")</f>
      </c>
      <c r="AN395" s="57">
        <f>IF(AND(AJ395="no match", AK395="", AL395="", K395&gt;26), "CUSM, CHU SJ, HGJ, CHUQ, CHUS, HMR", "")</f>
      </c>
    </row>
    <row x14ac:dyDescent="0.25" r="396" customHeight="1" ht="17.25">
      <c r="A396" s="41" t="s">
        <v>3473</v>
      </c>
      <c r="B396" s="28">
        <v>2</v>
      </c>
      <c r="C396" s="35">
        <v>730</v>
      </c>
      <c r="D396" s="29" t="s">
        <v>81</v>
      </c>
      <c r="E396" s="30" t="s">
        <v>50</v>
      </c>
      <c r="F396" s="31">
        <v>45136</v>
      </c>
      <c r="G396" s="32">
        <v>4.997916666666667</v>
      </c>
      <c r="H396" s="31">
        <v>45136</v>
      </c>
      <c r="I396" s="32">
        <v>4.781944444444445</v>
      </c>
      <c r="J396" s="33">
        <f>F396-H396</f>
      </c>
      <c r="K396" s="28">
        <v>38</v>
      </c>
      <c r="L396" s="28">
        <v>6</v>
      </c>
      <c r="M396" s="28">
        <v>1</v>
      </c>
      <c r="N396" s="35">
        <v>1</v>
      </c>
      <c r="O396" s="34"/>
      <c r="P396" s="34"/>
      <c r="Q396" s="34"/>
      <c r="R396" s="34"/>
      <c r="S396" s="56"/>
      <c r="T396" s="34"/>
      <c r="U396" s="34"/>
      <c r="V396" s="34"/>
      <c r="W396" s="29"/>
      <c r="X396" s="28">
        <v>32</v>
      </c>
      <c r="Y396" s="28">
        <v>1</v>
      </c>
      <c r="Z396" s="28">
        <v>1</v>
      </c>
      <c r="AA396" s="28">
        <v>1</v>
      </c>
      <c r="AB396" s="28">
        <v>1</v>
      </c>
      <c r="AC396" s="28">
        <v>2</v>
      </c>
      <c r="AD396" s="28">
        <v>2</v>
      </c>
      <c r="AE396" s="28">
        <v>4</v>
      </c>
      <c r="AF396" s="28">
        <v>3</v>
      </c>
      <c r="AG396" s="28">
        <v>2</v>
      </c>
      <c r="AH396" s="29" t="s">
        <v>3474</v>
      </c>
      <c r="AI396" s="36">
        <f>IF(OR(AND(K396&lt;32, J396&lt;2), O396=1, P396=1, Q396=1, R396=1, S396=1, T396=1, U396=1, AND(W396&lt;&gt;"", W396&lt;&gt;"Oxygen", W396&lt;&gt;"LowFlow")), "Intensive", "Intermediate")</f>
      </c>
      <c r="AJ396" s="57">
        <f>IF(OR(LEFT(AH396, 1)="X", LEFT(AH396, 1)="Y", LEFT(AH396, 3)="J9M"), "CUSM", "No Match")</f>
      </c>
      <c r="AK396" s="57">
        <f>IF(AND(OR(O396=3, P396=1, Q396=1, T396=1), AJ396="no Match"), "CUSM, CHU SJ, CHUQ", "")</f>
      </c>
      <c r="AL396" s="57">
        <f>IF(AND(O396=2, ISBLANK(P396), ISBLANK(Q396), ISBLANK(R396), ISBLANK(S396), ISBLANK(T396)), "CUSM, CHU SJ, CHUS, CHUQ", "")</f>
      </c>
      <c r="AM396" s="57">
        <f>IF(AND(AJ396="no match", AK396="", AL396="", K396&lt;26), "CUSM, CHU SJ, HGJ, CHUQ, CHUS", "")</f>
      </c>
      <c r="AN396" s="57">
        <f>IF(AND(AJ396="no match", AK396="", AL396="", K396&gt;26), "CUSM, CHU SJ, HGJ, CHUQ, CHUS, HMR", "")</f>
      </c>
    </row>
    <row x14ac:dyDescent="0.25" r="397" customHeight="1" ht="17.25">
      <c r="A397" s="41" t="s">
        <v>3475</v>
      </c>
      <c r="B397" s="28">
        <v>2</v>
      </c>
      <c r="C397" s="35">
        <v>734</v>
      </c>
      <c r="D397" s="29" t="s">
        <v>264</v>
      </c>
      <c r="E397" s="30" t="s">
        <v>54</v>
      </c>
      <c r="F397" s="31">
        <v>45137</v>
      </c>
      <c r="G397" s="32">
        <v>4.847222222222222</v>
      </c>
      <c r="H397" s="31">
        <v>45136</v>
      </c>
      <c r="I397" s="32">
        <v>4.473611111111111</v>
      </c>
      <c r="J397" s="33">
        <f>F397-H397</f>
      </c>
      <c r="K397" s="28">
        <v>40</v>
      </c>
      <c r="L397" s="28">
        <v>3</v>
      </c>
      <c r="M397" s="28">
        <v>1</v>
      </c>
      <c r="N397" s="34"/>
      <c r="O397" s="34"/>
      <c r="P397" s="34"/>
      <c r="Q397" s="34"/>
      <c r="R397" s="34"/>
      <c r="S397" s="56"/>
      <c r="T397" s="34"/>
      <c r="U397" s="34"/>
      <c r="V397" s="34"/>
      <c r="W397" s="29" t="s">
        <v>164</v>
      </c>
      <c r="X397" s="28">
        <v>32</v>
      </c>
      <c r="Y397" s="28">
        <v>1</v>
      </c>
      <c r="Z397" s="28">
        <v>2</v>
      </c>
      <c r="AA397" s="28">
        <v>2</v>
      </c>
      <c r="AB397" s="28">
        <v>1</v>
      </c>
      <c r="AC397" s="28">
        <v>2</v>
      </c>
      <c r="AD397" s="28">
        <v>2</v>
      </c>
      <c r="AE397" s="28">
        <v>3</v>
      </c>
      <c r="AF397" s="28">
        <v>2</v>
      </c>
      <c r="AG397" s="28">
        <v>2</v>
      </c>
      <c r="AH397" s="29" t="s">
        <v>3476</v>
      </c>
      <c r="AI397" s="36">
        <f>IF(OR(AND(K397&lt;32, J397&lt;2), O397=1, P397=1, Q397=1, R397=1, S397=1, T397=1, U397=1, AND(W397&lt;&gt;"", W397&lt;&gt;"Oxygen", W397&lt;&gt;"LowFlow")), "Intensive", "Intermediate")</f>
      </c>
      <c r="AJ397" s="57">
        <f>IF(OR(LEFT(AH397, 1)="X", LEFT(AH397, 1)="Y", LEFT(AH397, 3)="J10M"), "CUSM", "No Match")</f>
      </c>
      <c r="AK397" s="57">
        <f>IF(AND(OR(O397=3, P397=1, Q397=1, T397=1), AJ397="no Match"), "CUSM, CHU SJ, CHUQ", "")</f>
      </c>
      <c r="AL397" s="57">
        <f>IF(AND(O397=2, ISBLANK(P397), ISBLANK(Q397), ISBLANK(R397), ISBLANK(S397), ISBLANK(T397)), "CUSM, CHU SJ, CHUS, CHUQ", "")</f>
      </c>
      <c r="AM397" s="57">
        <f>IF(AND(AJ397="no match", AK397="", AL397="", K397&lt;26), "CUSM, CHU SJ, HGJ, CHUQ, CHUS", "")</f>
      </c>
      <c r="AN397" s="57">
        <f>IF(AND(AJ397="no match", AK397="", AL397="", K397&gt;26), "CUSM, CHU SJ, HGJ, CHUQ, CHUS, HMR", "")</f>
      </c>
    </row>
    <row x14ac:dyDescent="0.25" r="398" customHeight="1" ht="17.25">
      <c r="A398" s="41" t="s">
        <v>3477</v>
      </c>
      <c r="B398" s="28">
        <v>2</v>
      </c>
      <c r="C398" s="35">
        <v>756</v>
      </c>
      <c r="D398" s="29" t="s">
        <v>66</v>
      </c>
      <c r="E398" s="30" t="s">
        <v>50</v>
      </c>
      <c r="F398" s="31">
        <v>45137</v>
      </c>
      <c r="G398" s="32">
        <v>4.875</v>
      </c>
      <c r="H398" s="31">
        <v>45133</v>
      </c>
      <c r="I398" s="32">
        <v>4.780555555555555</v>
      </c>
      <c r="J398" s="33">
        <f>F398-H398</f>
      </c>
      <c r="K398" s="28">
        <v>35</v>
      </c>
      <c r="L398" s="28">
        <v>5</v>
      </c>
      <c r="M398" s="28">
        <v>1</v>
      </c>
      <c r="N398" s="28">
        <v>1</v>
      </c>
      <c r="O398" s="34"/>
      <c r="P398" s="35">
        <v>1</v>
      </c>
      <c r="Q398" s="34"/>
      <c r="R398" s="34"/>
      <c r="S398" s="56"/>
      <c r="T398" s="34"/>
      <c r="U398" s="34"/>
      <c r="V398" s="34"/>
      <c r="W398" s="29" t="s">
        <v>58</v>
      </c>
      <c r="X398" s="28">
        <v>32</v>
      </c>
      <c r="Y398" s="28">
        <v>1</v>
      </c>
      <c r="Z398" s="28">
        <v>1</v>
      </c>
      <c r="AA398" s="28">
        <v>3</v>
      </c>
      <c r="AB398" s="28">
        <v>1</v>
      </c>
      <c r="AC398" s="28">
        <v>2</v>
      </c>
      <c r="AD398" s="28">
        <v>2</v>
      </c>
      <c r="AE398" s="28">
        <v>4</v>
      </c>
      <c r="AF398" s="28">
        <v>3</v>
      </c>
      <c r="AG398" s="28">
        <v>2</v>
      </c>
      <c r="AH398" s="29" t="s">
        <v>3478</v>
      </c>
      <c r="AI398" s="36">
        <f>IF(OR(AND(K398&lt;32, J398&lt;2), O398=1, P398=1, Q398=1, R398=1, S398=1, T398=1, U398=1, AND(W398&lt;&gt;"", W398&lt;&gt;"Oxygen", W398&lt;&gt;"LowFlow")), "Intensive", "Intermediate")</f>
      </c>
      <c r="AJ398" s="57">
        <f>IF(OR(LEFT(AH398, 1)="X", LEFT(AH398, 1)="Y", LEFT(AH398, 3)="J11M"), "CUSM", "No Match")</f>
      </c>
      <c r="AK398" s="57">
        <f>IF(AND(OR(O398=3, P398=1, Q398=1, T398=1), AJ398="no Match"), "CUSM, CHU SJ, CHUQ", "")</f>
      </c>
      <c r="AL398" s="57">
        <f>IF(AND(O398=2, ISBLANK(P398), ISBLANK(Q398), ISBLANK(R398), ISBLANK(S398), ISBLANK(T398)), "CUSM, CHU SJ, CHUS, CHUQ", "")</f>
      </c>
      <c r="AM398" s="57">
        <f>IF(AND(AJ398="no match", AK398="", AL398="", K398&lt;26), "CUSM, CHU SJ, HGJ, CHUQ, CHUS", "")</f>
      </c>
      <c r="AN398" s="57">
        <f>IF(AND(AJ398="no match", AK398="", AL398="", K398&gt;26), "CUSM, CHU SJ, HGJ, CHUQ, CHUS, HMR", "")</f>
      </c>
    </row>
    <row x14ac:dyDescent="0.25" r="399" customHeight="1" ht="17.25">
      <c r="A399" s="41" t="s">
        <v>3479</v>
      </c>
      <c r="B399" s="28">
        <v>2</v>
      </c>
      <c r="C399" s="35">
        <v>851</v>
      </c>
      <c r="D399" s="29" t="s">
        <v>1085</v>
      </c>
      <c r="E399" s="30" t="s">
        <v>149</v>
      </c>
      <c r="F399" s="31">
        <v>45138</v>
      </c>
      <c r="G399" s="32">
        <v>4.753472222222222</v>
      </c>
      <c r="H399" s="31">
        <v>45138</v>
      </c>
      <c r="I399" s="32">
        <v>4.495138888888889</v>
      </c>
      <c r="J399" s="33">
        <f>F399-H399</f>
      </c>
      <c r="K399" s="28">
        <v>32</v>
      </c>
      <c r="L399" s="28">
        <v>0</v>
      </c>
      <c r="M399" s="28">
        <v>2</v>
      </c>
      <c r="N399" s="34"/>
      <c r="O399" s="34"/>
      <c r="P399" s="34"/>
      <c r="Q399" s="34"/>
      <c r="R399" s="34"/>
      <c r="S399" s="56"/>
      <c r="T399" s="34"/>
      <c r="U399" s="34"/>
      <c r="V399" s="34"/>
      <c r="W399" s="29" t="s">
        <v>58</v>
      </c>
      <c r="X399" s="28">
        <v>40</v>
      </c>
      <c r="Y399" s="28">
        <v>1</v>
      </c>
      <c r="Z399" s="28">
        <v>1</v>
      </c>
      <c r="AA399" s="28">
        <v>1</v>
      </c>
      <c r="AB399" s="28">
        <v>1</v>
      </c>
      <c r="AC399" s="28">
        <v>2</v>
      </c>
      <c r="AD399" s="28">
        <v>2</v>
      </c>
      <c r="AE399" s="28">
        <v>4</v>
      </c>
      <c r="AF399" s="28">
        <v>3</v>
      </c>
      <c r="AG399" s="28">
        <v>3</v>
      </c>
      <c r="AH399" s="29" t="s">
        <v>3480</v>
      </c>
      <c r="AI399" s="36">
        <f>IF(OR(AND(K399&lt;32, J399&lt;2), O399=1, P399=1, Q399=1, R399=1, S399=1, T399=1, U399=1, AND(W399&lt;&gt;"", W399&lt;&gt;"Oxygen", W399&lt;&gt;"LowFlow")), "Intensive", "Intermediate")</f>
      </c>
      <c r="AJ399" s="57">
        <f>IF(OR(LEFT(AH399, 1)="X", LEFT(AH399, 1)="Y", LEFT(AH399, 3)="J12M"), "CUSM", "No Match")</f>
      </c>
      <c r="AK399" s="57">
        <f>IF(AND(OR(O399=3, P399=1, Q399=1, T399=1), AJ399="no Match"), "CUSM, CHU SJ, CHUQ", "")</f>
      </c>
      <c r="AL399" s="57">
        <f>IF(AND(O399=2, ISBLANK(P399), ISBLANK(Q399), ISBLANK(R399), ISBLANK(S399), ISBLANK(T399)), "CUSM, CHU SJ, CHUS, CHUQ", "")</f>
      </c>
      <c r="AM399" s="57">
        <f>IF(AND(AJ399="no match", AK399="", AL399="", K399&lt;26), "CUSM, CHU SJ, HGJ, CHUQ, CHUS", "")</f>
      </c>
      <c r="AN399" s="57">
        <f>IF(AND(AJ399="no match", AK399="", AL399="", K399&gt;26), "CUSM, CHU SJ, HGJ, CHUQ, CHUS, HMR", "")</f>
      </c>
    </row>
    <row x14ac:dyDescent="0.25" r="400" customHeight="1" ht="17.25">
      <c r="A400" s="41" t="s">
        <v>3481</v>
      </c>
      <c r="B400" s="28">
        <v>2</v>
      </c>
      <c r="C400" s="35">
        <v>731</v>
      </c>
      <c r="D400" s="29" t="s">
        <v>103</v>
      </c>
      <c r="E400" s="30" t="s">
        <v>54</v>
      </c>
      <c r="F400" s="31">
        <v>45138</v>
      </c>
      <c r="G400" s="32">
        <v>4.975694444444445</v>
      </c>
      <c r="H400" s="31">
        <v>45136</v>
      </c>
      <c r="I400" s="32">
        <v>4.5368055555555555</v>
      </c>
      <c r="J400" s="33">
        <f>F400-H400</f>
      </c>
      <c r="K400" s="28">
        <v>38</v>
      </c>
      <c r="L400" s="28">
        <v>1</v>
      </c>
      <c r="M400" s="28">
        <v>1</v>
      </c>
      <c r="N400" s="34"/>
      <c r="O400" s="34"/>
      <c r="P400" s="34"/>
      <c r="Q400" s="34"/>
      <c r="R400" s="34"/>
      <c r="S400" s="56"/>
      <c r="T400" s="34"/>
      <c r="U400" s="34"/>
      <c r="V400" s="34"/>
      <c r="W400" s="29"/>
      <c r="X400" s="28">
        <v>33</v>
      </c>
      <c r="Y400" s="28">
        <v>1</v>
      </c>
      <c r="Z400" s="28">
        <v>2</v>
      </c>
      <c r="AA400" s="28">
        <v>2</v>
      </c>
      <c r="AB400" s="28">
        <v>1</v>
      </c>
      <c r="AC400" s="28">
        <v>2</v>
      </c>
      <c r="AD400" s="28">
        <v>2</v>
      </c>
      <c r="AE400" s="28">
        <v>4</v>
      </c>
      <c r="AF400" s="28">
        <v>2</v>
      </c>
      <c r="AG400" s="28">
        <v>2</v>
      </c>
      <c r="AH400" s="29" t="s">
        <v>3482</v>
      </c>
      <c r="AI400" s="36">
        <f>IF(OR(AND(K400&lt;32, J400&lt;2), O400=1, P400=1, Q400=1, R400=1, S400=1, T400=1, U400=1, AND(W400&lt;&gt;"", W400&lt;&gt;"Oxygen", W400&lt;&gt;"LowFlow")), "Intensive", "Intermediate")</f>
      </c>
      <c r="AJ400" s="57">
        <f>IF(OR(LEFT(AH400, 1)="X", LEFT(AH400, 1)="Y", LEFT(AH400, 3)="J13M"), "CUSM", "No Match")</f>
      </c>
      <c r="AK400" s="57">
        <f>IF(AND(OR(O400=3, P400=1, Q400=1, T400=1), AJ400="no Match"), "CUSM, CHU SJ, CHUQ", "")</f>
      </c>
      <c r="AL400" s="57">
        <f>IF(AND(O400=2, ISBLANK(P400), ISBLANK(Q400), ISBLANK(R400), ISBLANK(S400), ISBLANK(T400)), "CUSM, CHU SJ, CHUS, CHUQ", "")</f>
      </c>
      <c r="AM400" s="57">
        <f>IF(AND(AJ400="no match", AK400="", AL400="", K400&lt;26), "CUSM, CHU SJ, HGJ, CHUQ, CHUS", "")</f>
      </c>
      <c r="AN400" s="57">
        <f>IF(AND(AJ400="no match", AK400="", AL400="", K400&gt;26), "CUSM, CHU SJ, HGJ, CHUQ, CHUS, HMR", "")</f>
      </c>
    </row>
    <row x14ac:dyDescent="0.25" r="401" customHeight="1" ht="17.25">
      <c r="A401" s="41" t="s">
        <v>3483</v>
      </c>
      <c r="B401" s="28">
        <v>2</v>
      </c>
      <c r="C401" s="28">
        <v>731</v>
      </c>
      <c r="D401" s="29" t="s">
        <v>103</v>
      </c>
      <c r="E401" s="30" t="s">
        <v>54</v>
      </c>
      <c r="F401" s="31">
        <v>45138</v>
      </c>
      <c r="G401" s="32">
        <v>4.739583333333334</v>
      </c>
      <c r="H401" s="31">
        <v>45138</v>
      </c>
      <c r="I401" s="32">
        <v>4.144444444444444</v>
      </c>
      <c r="J401" s="33">
        <f>F401-H401</f>
      </c>
      <c r="K401" s="28">
        <v>38</v>
      </c>
      <c r="L401" s="28">
        <v>6</v>
      </c>
      <c r="M401" s="28">
        <v>2</v>
      </c>
      <c r="N401" s="34"/>
      <c r="O401" s="34"/>
      <c r="P401" s="34"/>
      <c r="Q401" s="34"/>
      <c r="R401" s="34"/>
      <c r="S401" s="56"/>
      <c r="T401" s="34"/>
      <c r="U401" s="34"/>
      <c r="V401" s="34"/>
      <c r="W401" s="29"/>
      <c r="X401" s="28">
        <v>26</v>
      </c>
      <c r="Y401" s="28">
        <v>1</v>
      </c>
      <c r="Z401" s="28">
        <v>1</v>
      </c>
      <c r="AA401" s="28">
        <v>2</v>
      </c>
      <c r="AB401" s="28">
        <v>1</v>
      </c>
      <c r="AC401" s="28">
        <v>2</v>
      </c>
      <c r="AD401" s="28">
        <v>2</v>
      </c>
      <c r="AE401" s="28">
        <v>4</v>
      </c>
      <c r="AF401" s="28">
        <v>2</v>
      </c>
      <c r="AG401" s="28">
        <v>2</v>
      </c>
      <c r="AH401" s="29" t="s">
        <v>3484</v>
      </c>
      <c r="AI401" s="36">
        <f>IF(OR(AND(K401&lt;32, J401&lt;2), O401=1, P401=1, Q401=1, R401=1, S401=1, T401=1, U401=1, AND(W401&lt;&gt;"", W401&lt;&gt;"Oxygen", W401&lt;&gt;"LowFlow")), "Intensive", "Intermediate")</f>
      </c>
      <c r="AJ401" s="57">
        <f>IF(OR(LEFT(AH401, 1)="X", LEFT(AH401, 1)="Y", LEFT(AH401, 3)="J14M"), "CUSM", "No Match")</f>
      </c>
      <c r="AK401" s="57">
        <f>IF(AND(OR(O401=3, P401=1, Q401=1, T401=1), AJ401="no Match"), "CUSM, CHU SJ, CHUQ", "")</f>
      </c>
      <c r="AL401" s="57">
        <f>IF(AND(O401=2, ISBLANK(P401), ISBLANK(Q401), ISBLANK(R401), ISBLANK(S401), ISBLANK(T401)), "CUSM, CHU SJ, CHUS, CHUQ", "")</f>
      </c>
      <c r="AM401" s="57">
        <f>IF(AND(AJ401="no match", AK401="", AL401="", K401&lt;26), "CUSM, CHU SJ, HGJ, CHUQ, CHUS", "")</f>
      </c>
      <c r="AN401" s="57">
        <f>IF(AND(AJ401="no match", AK401="", AL401="", K401&gt;26), "CUSM, CHU SJ, HGJ, CHUQ, CHUS, HMR", "")</f>
      </c>
    </row>
    <row x14ac:dyDescent="0.25" r="402" customHeight="1" ht="17.25">
      <c r="A402" s="41" t="s">
        <v>3485</v>
      </c>
      <c r="B402" s="28">
        <v>2</v>
      </c>
      <c r="C402" s="35">
        <v>824</v>
      </c>
      <c r="D402" s="29" t="s">
        <v>57</v>
      </c>
      <c r="E402" s="30" t="s">
        <v>50</v>
      </c>
      <c r="F402" s="31">
        <v>45138</v>
      </c>
      <c r="G402" s="32">
        <v>4.989583333333334</v>
      </c>
      <c r="H402" s="31">
        <v>45135</v>
      </c>
      <c r="I402" s="32">
        <v>4.861805555555556</v>
      </c>
      <c r="J402" s="33">
        <f>F402-H402</f>
      </c>
      <c r="K402" s="28">
        <v>40</v>
      </c>
      <c r="L402" s="28">
        <v>1</v>
      </c>
      <c r="M402" s="28">
        <v>1</v>
      </c>
      <c r="N402" s="35">
        <v>1</v>
      </c>
      <c r="O402" s="34"/>
      <c r="P402" s="34"/>
      <c r="Q402" s="34"/>
      <c r="R402" s="34"/>
      <c r="S402" s="56"/>
      <c r="T402" s="34"/>
      <c r="U402" s="34"/>
      <c r="V402" s="34"/>
      <c r="W402" s="29"/>
      <c r="X402" s="28">
        <v>36</v>
      </c>
      <c r="Y402" s="28">
        <v>1</v>
      </c>
      <c r="Z402" s="28">
        <v>1</v>
      </c>
      <c r="AA402" s="28">
        <v>3</v>
      </c>
      <c r="AB402" s="28">
        <v>1</v>
      </c>
      <c r="AC402" s="28">
        <v>2</v>
      </c>
      <c r="AD402" s="28">
        <v>2</v>
      </c>
      <c r="AE402" s="28">
        <v>4</v>
      </c>
      <c r="AF402" s="28">
        <v>3</v>
      </c>
      <c r="AG402" s="28">
        <v>2</v>
      </c>
      <c r="AH402" s="29" t="s">
        <v>3486</v>
      </c>
      <c r="AI402" s="36">
        <f>IF(OR(AND(K402&lt;32, J402&lt;2), O402=1, P402=1, Q402=1, R402=1, S402=1, T402=1, U402=1, AND(W402&lt;&gt;"", W402&lt;&gt;"Oxygen", W402&lt;&gt;"LowFlow")), "Intensive", "Intermediate")</f>
      </c>
      <c r="AJ402" s="57">
        <f>IF(OR(LEFT(AH402, 1)="X", LEFT(AH402, 1)="Y", LEFT(AH402, 3)="J15M"), "CUSM", "No Match")</f>
      </c>
      <c r="AK402" s="57">
        <f>IF(AND(OR(O402=3, P402=1, Q402=1, T402=1), AJ402="no Match"), "CUSM, CHU SJ, CHUQ", "")</f>
      </c>
      <c r="AL402" s="57">
        <f>IF(AND(O402=2, ISBLANK(P402), ISBLANK(Q402), ISBLANK(R402), ISBLANK(S402), ISBLANK(T402)), "CUSM, CHU SJ, CHUS, CHUQ", "")</f>
      </c>
      <c r="AM402" s="57">
        <f>IF(AND(AJ402="no match", AK402="", AL402="", K402&lt;26), "CUSM, CHU SJ, HGJ, CHUQ, CHUS", "")</f>
      </c>
      <c r="AN402" s="57">
        <f>IF(AND(AJ402="no match", AK402="", AL402="", K402&gt;26), "CUSM, CHU SJ, HGJ, CHUQ, CHUS, HMR", "")</f>
      </c>
    </row>
    <row x14ac:dyDescent="0.25" r="403" customHeight="1" ht="17.25">
      <c r="A403" s="41" t="s">
        <v>3487</v>
      </c>
      <c r="B403" s="28">
        <v>2</v>
      </c>
      <c r="C403" s="35">
        <v>825</v>
      </c>
      <c r="D403" s="29" t="s">
        <v>77</v>
      </c>
      <c r="E403" s="30" t="s">
        <v>50</v>
      </c>
      <c r="F403" s="31">
        <v>45138</v>
      </c>
      <c r="G403" s="32">
        <v>4.527777777777778</v>
      </c>
      <c r="H403" s="31">
        <v>45137</v>
      </c>
      <c r="I403" s="32">
        <v>4.232638888888889</v>
      </c>
      <c r="J403" s="33">
        <f>F403-H403</f>
      </c>
      <c r="K403" s="28">
        <v>40</v>
      </c>
      <c r="L403" s="28">
        <v>3</v>
      </c>
      <c r="M403" s="28">
        <v>1</v>
      </c>
      <c r="N403" s="28">
        <v>1</v>
      </c>
      <c r="O403" s="34"/>
      <c r="P403" s="35">
        <v>1</v>
      </c>
      <c r="Q403" s="38"/>
      <c r="R403" s="34"/>
      <c r="S403" s="56"/>
      <c r="T403" s="34"/>
      <c r="U403" s="34"/>
      <c r="V403" s="34"/>
      <c r="W403" s="29"/>
      <c r="X403" s="28">
        <v>25</v>
      </c>
      <c r="Y403" s="28">
        <v>1</v>
      </c>
      <c r="Z403" s="28">
        <v>1</v>
      </c>
      <c r="AA403" s="28">
        <v>3</v>
      </c>
      <c r="AB403" s="28">
        <v>1</v>
      </c>
      <c r="AC403" s="28">
        <v>2</v>
      </c>
      <c r="AD403" s="28">
        <v>2</v>
      </c>
      <c r="AE403" s="28">
        <v>4</v>
      </c>
      <c r="AF403" s="28">
        <v>3</v>
      </c>
      <c r="AG403" s="28">
        <v>2</v>
      </c>
      <c r="AH403" s="29" t="s">
        <v>3488</v>
      </c>
      <c r="AI403" s="36">
        <f>IF(OR(AND(K403&lt;32, J403&lt;2), O403=1, P403=1, Q403=1, R403=1, S403=1, T403=1, U403=1, AND(W403&lt;&gt;"", W403&lt;&gt;"Oxygen", W403&lt;&gt;"LowFlow")), "Intensive", "Intermediate")</f>
      </c>
      <c r="AJ403" s="57">
        <f>IF(OR(LEFT(AH403, 1)="X", LEFT(AH403, 1)="Y", LEFT(AH403, 3)="J16M"), "CUSM", "No Match")</f>
      </c>
      <c r="AK403" s="57">
        <f>IF(AND(OR(O403=3, P403=1, Q403=1, T403=1), AJ403="no Match"), "CUSM, CHU SJ, CHUQ", "")</f>
      </c>
      <c r="AL403" s="57">
        <f>IF(AND(O403=2, ISBLANK(P403), ISBLANK(Q403), ISBLANK(R403), ISBLANK(S403), ISBLANK(T403)), "CUSM, CHU SJ, CHUS, CHUQ", "")</f>
      </c>
      <c r="AM403" s="57">
        <f>IF(AND(AJ403="no match", AK403="", AL403="", K403&lt;26), "CUSM, CHU SJ, HGJ, CHUQ, CHUS", "")</f>
      </c>
      <c r="AN403" s="57">
        <f>IF(AND(AJ403="no match", AK403="", AL403="", K403&gt;26), "CUSM, CHU SJ, HGJ, CHUQ, CHUS, HMR", "")</f>
      </c>
    </row>
    <row x14ac:dyDescent="0.25" r="404" customHeight="1" ht="17.25">
      <c r="A404" s="41" t="s">
        <v>3489</v>
      </c>
      <c r="B404" s="28">
        <v>2</v>
      </c>
      <c r="C404" s="35">
        <v>825</v>
      </c>
      <c r="D404" s="29" t="s">
        <v>77</v>
      </c>
      <c r="E404" s="30" t="s">
        <v>78</v>
      </c>
      <c r="F404" s="31">
        <v>45139</v>
      </c>
      <c r="G404" s="32">
        <v>4.875</v>
      </c>
      <c r="H404" s="31">
        <v>45139</v>
      </c>
      <c r="I404" s="32">
        <v>4.629166666666666</v>
      </c>
      <c r="J404" s="33">
        <f>F404-H404</f>
      </c>
      <c r="K404" s="28">
        <v>36</v>
      </c>
      <c r="L404" s="28">
        <v>0</v>
      </c>
      <c r="M404" s="28">
        <v>1</v>
      </c>
      <c r="N404" s="38"/>
      <c r="O404" s="34"/>
      <c r="P404" s="34"/>
      <c r="Q404" s="34"/>
      <c r="R404" s="34"/>
      <c r="S404" s="56"/>
      <c r="T404" s="34"/>
      <c r="U404" s="34"/>
      <c r="V404" s="34"/>
      <c r="W404" s="29" t="s">
        <v>74</v>
      </c>
      <c r="X404" s="28">
        <v>28</v>
      </c>
      <c r="Y404" s="28">
        <v>2</v>
      </c>
      <c r="Z404" s="28">
        <v>1</v>
      </c>
      <c r="AA404" s="28">
        <v>2</v>
      </c>
      <c r="AB404" s="28">
        <v>4</v>
      </c>
      <c r="AC404" s="28">
        <v>2</v>
      </c>
      <c r="AD404" s="28">
        <v>2</v>
      </c>
      <c r="AE404" s="28">
        <v>4</v>
      </c>
      <c r="AF404" s="28">
        <v>2</v>
      </c>
      <c r="AG404" s="28">
        <v>2</v>
      </c>
      <c r="AH404" s="29" t="s">
        <v>3490</v>
      </c>
      <c r="AI404" s="36">
        <f>IF(OR(AND(K404&lt;32, J404&lt;2), O404=1, P404=1, Q404=1, R404=1, S404=1, T404=1, U404=1, AND(W404&lt;&gt;"", W404&lt;&gt;"Oxygen", W404&lt;&gt;"LowFlow")), "Intensive", "Intermediate")</f>
      </c>
      <c r="AJ404" s="57">
        <f>IF(OR(LEFT(AH404, 1)="X", LEFT(AH404, 1)="Y", LEFT(AH404, 3)="J17M"), "CUSM", "No Match")</f>
      </c>
      <c r="AK404" s="57">
        <f>IF(AND(OR(O404=3, P404=1, Q404=1, T404=1), AJ404="no Match"), "CUSM, CHU SJ, CHUQ", "")</f>
      </c>
      <c r="AL404" s="57">
        <f>IF(AND(O404=2, ISBLANK(P404), ISBLANK(Q404), ISBLANK(R404), ISBLANK(S404), ISBLANK(T404)), "CUSM, CHU SJ, CHUS, CHUQ", "")</f>
      </c>
      <c r="AM404" s="57">
        <f>IF(AND(AJ404="no match", AK404="", AL404="", K404&lt;26), "CUSM, CHU SJ, HGJ, CHUQ, CHUS", "")</f>
      </c>
      <c r="AN404" s="57">
        <f>IF(AND(AJ404="no match", AK404="", AL404="", K404&gt;26), "CUSM, CHU SJ, HGJ, CHUQ, CHUS, HMR", "")</f>
      </c>
    </row>
    <row x14ac:dyDescent="0.25" r="405" customHeight="1" ht="17.25">
      <c r="A405" s="41" t="s">
        <v>3491</v>
      </c>
      <c r="B405" s="28">
        <v>2</v>
      </c>
      <c r="C405" s="35">
        <v>825</v>
      </c>
      <c r="D405" s="29" t="s">
        <v>77</v>
      </c>
      <c r="E405" s="30" t="s">
        <v>78</v>
      </c>
      <c r="F405" s="31">
        <v>45139</v>
      </c>
      <c r="G405" s="32">
        <v>4.916666666666666</v>
      </c>
      <c r="H405" s="31">
        <v>45139</v>
      </c>
      <c r="I405" s="32">
        <v>4.635416666666666</v>
      </c>
      <c r="J405" s="33">
        <f>F405-H405</f>
      </c>
      <c r="K405" s="28">
        <v>32</v>
      </c>
      <c r="L405" s="28">
        <v>0</v>
      </c>
      <c r="M405" s="28">
        <v>1</v>
      </c>
      <c r="N405" s="34"/>
      <c r="O405" s="34"/>
      <c r="P405" s="34"/>
      <c r="Q405" s="34"/>
      <c r="R405" s="34"/>
      <c r="S405" s="56"/>
      <c r="T405" s="34"/>
      <c r="U405" s="34"/>
      <c r="V405" s="34"/>
      <c r="W405" s="29" t="s">
        <v>74</v>
      </c>
      <c r="X405" s="28">
        <v>28</v>
      </c>
      <c r="Y405" s="28">
        <v>2</v>
      </c>
      <c r="Z405" s="28">
        <v>1</v>
      </c>
      <c r="AA405" s="28">
        <v>2</v>
      </c>
      <c r="AB405" s="28">
        <v>4</v>
      </c>
      <c r="AC405" s="28">
        <v>2</v>
      </c>
      <c r="AD405" s="28">
        <v>2</v>
      </c>
      <c r="AE405" s="28">
        <v>4</v>
      </c>
      <c r="AF405" s="28">
        <v>2</v>
      </c>
      <c r="AG405" s="28">
        <v>2</v>
      </c>
      <c r="AH405" s="29" t="s">
        <v>3490</v>
      </c>
      <c r="AI405" s="36">
        <f>IF(OR(AND(K405&lt;32, J405&lt;2), O405=1, P405=1, Q405=1, R405=1, S405=1, T405=1, U405=1, AND(W405&lt;&gt;"", W405&lt;&gt;"Oxygen", W405&lt;&gt;"LowFlow")), "Intensive", "Intermediate")</f>
      </c>
      <c r="AJ405" s="57">
        <f>IF(OR(LEFT(AH405, 1)="X", LEFT(AH405, 1)="Y", LEFT(AH405, 3)="J18M"), "CUSM", "No Match")</f>
      </c>
      <c r="AK405" s="57">
        <f>IF(AND(OR(O405=3, P405=1, Q405=1, T405=1), AJ405="no Match"), "CUSM, CHU SJ, CHUQ", "")</f>
      </c>
      <c r="AL405" s="57">
        <f>IF(AND(O405=2, ISBLANK(P405), ISBLANK(Q405), ISBLANK(R405), ISBLANK(S405), ISBLANK(T405)), "CUSM, CHU SJ, CHUS, CHUQ", "")</f>
      </c>
      <c r="AM405" s="57">
        <f>IF(AND(AJ405="no match", AK405="", AL405="", K405&lt;26), "CUSM, CHU SJ, HGJ, CHUQ, CHUS", "")</f>
      </c>
      <c r="AN405" s="57">
        <f>IF(AND(AJ405="no match", AK405="", AL405="", K405&gt;26), "CUSM, CHU SJ, HGJ, CHUQ, CHUS, HMR", "")</f>
      </c>
    </row>
    <row x14ac:dyDescent="0.25" r="406" customHeight="1" ht="17.25">
      <c r="A406" s="41" t="s">
        <v>3492</v>
      </c>
      <c r="B406" s="28">
        <v>2</v>
      </c>
      <c r="C406" s="35">
        <v>831</v>
      </c>
      <c r="D406" s="29" t="s">
        <v>313</v>
      </c>
      <c r="E406" s="30" t="s">
        <v>50</v>
      </c>
      <c r="F406" s="31">
        <v>45139</v>
      </c>
      <c r="G406" s="32">
        <v>4.267361111111111</v>
      </c>
      <c r="H406" s="31">
        <v>45136</v>
      </c>
      <c r="I406" s="32">
        <v>4.372222222222222</v>
      </c>
      <c r="J406" s="33">
        <f>F406-H406</f>
      </c>
      <c r="K406" s="28">
        <v>37</v>
      </c>
      <c r="L406" s="28">
        <v>0</v>
      </c>
      <c r="M406" s="28">
        <v>2</v>
      </c>
      <c r="N406" s="35">
        <v>1</v>
      </c>
      <c r="O406" s="34"/>
      <c r="P406" s="35">
        <v>1</v>
      </c>
      <c r="Q406" s="34"/>
      <c r="R406" s="34"/>
      <c r="S406" s="56"/>
      <c r="T406" s="34"/>
      <c r="U406" s="34"/>
      <c r="V406" s="34"/>
      <c r="W406" s="29"/>
      <c r="X406" s="28">
        <v>25</v>
      </c>
      <c r="Y406" s="28">
        <v>1</v>
      </c>
      <c r="Z406" s="28">
        <v>2</v>
      </c>
      <c r="AA406" s="28">
        <v>3</v>
      </c>
      <c r="AB406" s="28">
        <v>1</v>
      </c>
      <c r="AC406" s="28">
        <v>1</v>
      </c>
      <c r="AD406" s="28">
        <v>2</v>
      </c>
      <c r="AE406" s="28">
        <v>4</v>
      </c>
      <c r="AF406" s="28">
        <v>2</v>
      </c>
      <c r="AG406" s="28">
        <v>2</v>
      </c>
      <c r="AH406" s="29" t="s">
        <v>1774</v>
      </c>
      <c r="AI406" s="36">
        <f>IF(OR(AND(K406&lt;32, J406&lt;2), O406=1, P406=1, Q406=1, R406=1, S406=1, T406=1, U406=1, AND(W406&lt;&gt;"", W406&lt;&gt;"Oxygen", W406&lt;&gt;"LowFlow")), "Intensive", "Intermediate")</f>
      </c>
      <c r="AJ406" s="57">
        <f>IF(OR(LEFT(AH406, 1)="X", LEFT(AH406, 1)="Y", LEFT(AH406, 3)="J19M"), "CUSM", "No Match")</f>
      </c>
      <c r="AK406" s="57">
        <f>IF(AND(OR(O406=3, P406=1, Q406=1, T406=1), AJ406="no Match"), "CUSM, CHU SJ, CHUQ", "")</f>
      </c>
      <c r="AL406" s="57">
        <f>IF(AND(O406=2, ISBLANK(P406), ISBLANK(Q406), ISBLANK(R406), ISBLANK(S406), ISBLANK(T406)), "CUSM, CHU SJ, CHUS, CHUQ", "")</f>
      </c>
      <c r="AM406" s="57">
        <f>IF(AND(AJ406="no match", AK406="", AL406="", K406&lt;26), "CUSM, CHU SJ, HGJ, CHUQ, CHUS", "")</f>
      </c>
      <c r="AN406" s="57">
        <f>IF(AND(AJ406="no match", AK406="", AL406="", K406&gt;26), "CUSM, CHU SJ, HGJ, CHUQ, CHUS, HMR", "")</f>
      </c>
    </row>
    <row x14ac:dyDescent="0.25" r="407" customHeight="1" ht="17.25">
      <c r="A407" s="41" t="s">
        <v>3493</v>
      </c>
      <c r="B407" s="28">
        <v>2</v>
      </c>
      <c r="C407" s="35">
        <v>730</v>
      </c>
      <c r="D407" s="29" t="s">
        <v>81</v>
      </c>
      <c r="E407" s="30" t="s">
        <v>50</v>
      </c>
      <c r="F407" s="31">
        <v>45141</v>
      </c>
      <c r="G407" s="32">
        <v>4.895833333333334</v>
      </c>
      <c r="H407" s="31">
        <v>45141</v>
      </c>
      <c r="I407" s="32">
        <v>4.723611111111111</v>
      </c>
      <c r="J407" s="33">
        <f>F407-H407</f>
      </c>
      <c r="K407" s="28">
        <v>40</v>
      </c>
      <c r="L407" s="28">
        <v>3</v>
      </c>
      <c r="M407" s="28">
        <v>1</v>
      </c>
      <c r="N407" s="34"/>
      <c r="O407" s="34"/>
      <c r="P407" s="34"/>
      <c r="Q407" s="34"/>
      <c r="R407" s="34"/>
      <c r="S407" s="56"/>
      <c r="T407" s="35">
        <v>1</v>
      </c>
      <c r="U407" s="34"/>
      <c r="V407" s="34"/>
      <c r="W407" s="29"/>
      <c r="X407" s="28">
        <v>29</v>
      </c>
      <c r="Y407" s="28">
        <v>1</v>
      </c>
      <c r="Z407" s="28">
        <v>2</v>
      </c>
      <c r="AA407" s="28">
        <v>3</v>
      </c>
      <c r="AB407" s="28">
        <v>1</v>
      </c>
      <c r="AC407" s="28">
        <v>2</v>
      </c>
      <c r="AD407" s="28">
        <v>2</v>
      </c>
      <c r="AE407" s="28">
        <v>4</v>
      </c>
      <c r="AF407" s="28">
        <v>2</v>
      </c>
      <c r="AG407" s="28">
        <v>2</v>
      </c>
      <c r="AH407" s="29" t="s">
        <v>3494</v>
      </c>
      <c r="AI407" s="36">
        <f>IF(OR(AND(K407&lt;32, J407&lt;2), O407=1, P407=1, Q407=1, R407=1, S407=1, T407=1, U407=1, AND(W407&lt;&gt;"", W407&lt;&gt;"Oxygen", W407&lt;&gt;"LowFlow")), "Intensive", "Intermediate")</f>
      </c>
      <c r="AJ407" s="57">
        <f>IF(OR(LEFT(AH407, 1)="X", LEFT(AH407, 1)="Y", LEFT(AH407, 3)="J20M"), "CUSM", "No Match")</f>
      </c>
      <c r="AK407" s="57">
        <f>IF(AND(OR(O407=3, P407=1, Q407=1, T407=1), AJ407="no Match"), "CUSM, CHU SJ, CHUQ", "")</f>
      </c>
      <c r="AL407" s="57">
        <f>IF(AND(O407=2, ISBLANK(P407), ISBLANK(Q407), ISBLANK(R407), ISBLANK(S407), ISBLANK(T407)), "CUSM, CHU SJ, CHUS, CHUQ", "")</f>
      </c>
      <c r="AM407" s="57">
        <f>IF(AND(AJ407="no match", AK407="", AL407="", K407&lt;26), "CUSM, CHU SJ, HGJ, CHUQ, CHUS", "")</f>
      </c>
      <c r="AN407" s="57">
        <f>IF(AND(AJ407="no match", AK407="", AL407="", K407&gt;26), "CUSM, CHU SJ, HGJ, CHUQ, CHUS, HMR", "")</f>
      </c>
    </row>
    <row x14ac:dyDescent="0.25" r="408" customHeight="1" ht="17.25">
      <c r="A408" s="41" t="s">
        <v>3495</v>
      </c>
      <c r="B408" s="28">
        <v>2</v>
      </c>
      <c r="C408" s="28">
        <v>756</v>
      </c>
      <c r="D408" s="29" t="s">
        <v>66</v>
      </c>
      <c r="E408" s="30" t="s">
        <v>50</v>
      </c>
      <c r="F408" s="31">
        <v>45141</v>
      </c>
      <c r="G408" s="32">
        <v>4.654166666666667</v>
      </c>
      <c r="H408" s="31">
        <v>45136</v>
      </c>
      <c r="I408" s="40">
        <v>4.6409722222222225</v>
      </c>
      <c r="J408" s="33">
        <f>F408-H408</f>
      </c>
      <c r="K408" s="28">
        <v>38</v>
      </c>
      <c r="L408" s="28">
        <v>3</v>
      </c>
      <c r="M408" s="28">
        <v>2</v>
      </c>
      <c r="N408" s="38"/>
      <c r="O408" s="38"/>
      <c r="P408" s="38"/>
      <c r="Q408" s="38"/>
      <c r="R408" s="34"/>
      <c r="S408" s="56"/>
      <c r="T408" s="34"/>
      <c r="U408" s="34"/>
      <c r="V408" s="34"/>
      <c r="W408" s="29" t="s">
        <v>58</v>
      </c>
      <c r="X408" s="28">
        <v>30</v>
      </c>
      <c r="Y408" s="28">
        <v>1</v>
      </c>
      <c r="Z408" s="28">
        <v>1</v>
      </c>
      <c r="AA408" s="28">
        <v>1</v>
      </c>
      <c r="AB408" s="35">
        <v>1</v>
      </c>
      <c r="AC408" s="28">
        <v>2</v>
      </c>
      <c r="AD408" s="28">
        <v>2</v>
      </c>
      <c r="AE408" s="28">
        <v>4</v>
      </c>
      <c r="AF408" s="28">
        <v>2</v>
      </c>
      <c r="AG408" s="28">
        <v>2</v>
      </c>
      <c r="AH408" s="29" t="s">
        <v>3496</v>
      </c>
      <c r="AI408" s="36">
        <f>IF(OR(AND(K408&lt;32, J408&lt;2), O408=1, P408=1, Q408=1, R408=1, S408=1, T408=1, U408=1, AND(W408&lt;&gt;"", W408&lt;&gt;"Oxygen", W408&lt;&gt;"LowFlow")), "Intensive", "Intermediate")</f>
      </c>
      <c r="AJ408" s="57">
        <f>IF(OR(LEFT(AH408, 1)="X", LEFT(AH408, 1)="Y", LEFT(AH408, 3)="J21M"), "CUSM", "No Match")</f>
      </c>
      <c r="AK408" s="57">
        <f>IF(AND(OR(O408=3, P408=1, Q408=1, T408=1), AJ408="no Match"), "CUSM, CHU SJ, CHUQ", "")</f>
      </c>
      <c r="AL408" s="57">
        <f>IF(AND(O408=2, ISBLANK(P408), ISBLANK(Q408), ISBLANK(R408), ISBLANK(S408), ISBLANK(T408)), "CUSM, CHU SJ, CHUS, CHUQ", "")</f>
      </c>
      <c r="AM408" s="57">
        <f>IF(AND(AJ408="no match", AK408="", AL408="", K408&lt;26), "CUSM, CHU SJ, HGJ, CHUQ, CHUS", "")</f>
      </c>
      <c r="AN408" s="57">
        <f>IF(AND(AJ408="no match", AK408="", AL408="", K408&gt;26), "CUSM, CHU SJ, HGJ, CHUQ, CHUS, HMR", "")</f>
      </c>
    </row>
    <row x14ac:dyDescent="0.25" r="409" customHeight="1" ht="17.25">
      <c r="A409" s="41" t="s">
        <v>3497</v>
      </c>
      <c r="B409" s="28">
        <v>2</v>
      </c>
      <c r="C409" s="35">
        <v>756</v>
      </c>
      <c r="D409" s="29" t="s">
        <v>66</v>
      </c>
      <c r="E409" s="30" t="s">
        <v>50</v>
      </c>
      <c r="F409" s="31">
        <v>45141</v>
      </c>
      <c r="G409" s="32">
        <v>4.252083333333333</v>
      </c>
      <c r="H409" s="31">
        <v>45141</v>
      </c>
      <c r="I409" s="32">
        <v>4.113888888888889</v>
      </c>
      <c r="J409" s="33">
        <f>F409-H409</f>
      </c>
      <c r="K409" s="28">
        <v>38</v>
      </c>
      <c r="L409" s="28">
        <v>6</v>
      </c>
      <c r="M409" s="28">
        <v>1</v>
      </c>
      <c r="N409" s="34"/>
      <c r="O409" s="34"/>
      <c r="P409" s="34"/>
      <c r="Q409" s="34"/>
      <c r="R409" s="34"/>
      <c r="S409" s="56"/>
      <c r="T409" s="35">
        <v>1</v>
      </c>
      <c r="U409" s="34"/>
      <c r="V409" s="34"/>
      <c r="W409" s="29" t="s">
        <v>74</v>
      </c>
      <c r="X409" s="28">
        <v>35</v>
      </c>
      <c r="Y409" s="28">
        <v>1</v>
      </c>
      <c r="Z409" s="28">
        <v>2</v>
      </c>
      <c r="AA409" s="28">
        <v>1</v>
      </c>
      <c r="AB409" s="28">
        <v>1</v>
      </c>
      <c r="AC409" s="28">
        <v>2</v>
      </c>
      <c r="AD409" s="28">
        <v>2</v>
      </c>
      <c r="AE409" s="28">
        <v>4</v>
      </c>
      <c r="AF409" s="28">
        <v>3</v>
      </c>
      <c r="AG409" s="28">
        <v>2</v>
      </c>
      <c r="AH409" s="29" t="s">
        <v>3498</v>
      </c>
      <c r="AI409" s="36">
        <f>IF(OR(AND(K409&lt;32, J409&lt;2), O409=1, P409=1, Q409=1, R409=1, S409=1, T409=1, U409=1, AND(W409&lt;&gt;"", W409&lt;&gt;"Oxygen", W409&lt;&gt;"LowFlow")), "Intensive", "Intermediate")</f>
      </c>
      <c r="AJ409" s="57">
        <f>IF(OR(LEFT(AH409, 1)="X", LEFT(AH409, 1)="Y", LEFT(AH409, 3)="J22M"), "CUSM", "No Match")</f>
      </c>
      <c r="AK409" s="57">
        <f>IF(AND(OR(O409=3, P409=1, Q409=1, T409=1), AJ409="no Match"), "CUSM, CHU SJ, CHUQ", "")</f>
      </c>
      <c r="AL409" s="57">
        <f>IF(AND(O409=2, ISBLANK(P409), ISBLANK(Q409), ISBLANK(R409), ISBLANK(S409), ISBLANK(T409)), "CUSM, CHU SJ, CHUS, CHUQ", "")</f>
      </c>
      <c r="AM409" s="57">
        <f>IF(AND(AJ409="no match", AK409="", AL409="", K409&lt;26), "CUSM, CHU SJ, HGJ, CHUQ, CHUS", "")</f>
      </c>
      <c r="AN409" s="57">
        <f>IF(AND(AJ409="no match", AK409="", AL409="", K409&gt;26), "CUSM, CHU SJ, HGJ, CHUQ, CHUS, HMR", "")</f>
      </c>
    </row>
    <row x14ac:dyDescent="0.25" r="410" customHeight="1" ht="17.25">
      <c r="A410" s="41" t="s">
        <v>3499</v>
      </c>
      <c r="B410" s="28">
        <v>2</v>
      </c>
      <c r="C410" s="35">
        <v>779</v>
      </c>
      <c r="D410" s="29" t="s">
        <v>136</v>
      </c>
      <c r="E410" s="30" t="s">
        <v>78</v>
      </c>
      <c r="F410" s="31">
        <v>45142</v>
      </c>
      <c r="G410" s="32">
        <v>4.03125</v>
      </c>
      <c r="H410" s="31">
        <v>45141</v>
      </c>
      <c r="I410" s="32">
        <v>4.7652777777777775</v>
      </c>
      <c r="J410" s="33">
        <f>F410-H410</f>
      </c>
      <c r="K410" s="28">
        <v>32</v>
      </c>
      <c r="L410" s="28">
        <v>0</v>
      </c>
      <c r="M410" s="28">
        <v>1</v>
      </c>
      <c r="N410" s="34"/>
      <c r="O410" s="34"/>
      <c r="P410" s="34"/>
      <c r="Q410" s="34"/>
      <c r="R410" s="34"/>
      <c r="S410" s="56"/>
      <c r="T410" s="34"/>
      <c r="U410" s="34"/>
      <c r="V410" s="34"/>
      <c r="W410" s="29" t="s">
        <v>74</v>
      </c>
      <c r="X410" s="28">
        <v>34</v>
      </c>
      <c r="Y410" s="28">
        <v>1</v>
      </c>
      <c r="Z410" s="28">
        <v>2</v>
      </c>
      <c r="AA410" s="28">
        <v>3</v>
      </c>
      <c r="AB410" s="28">
        <v>1</v>
      </c>
      <c r="AC410" s="28">
        <v>1</v>
      </c>
      <c r="AD410" s="28">
        <v>2</v>
      </c>
      <c r="AE410" s="28">
        <v>4</v>
      </c>
      <c r="AF410" s="28">
        <v>3</v>
      </c>
      <c r="AG410" s="28">
        <v>2</v>
      </c>
      <c r="AH410" s="29" t="s">
        <v>3500</v>
      </c>
      <c r="AI410" s="36">
        <f>IF(OR(AND(K410&lt;32, J410&lt;2), O410=1, P410=1, Q410=1, R410=1, S410=1, T410=1, U410=1, AND(W410&lt;&gt;"", W410&lt;&gt;"Oxygen", W410&lt;&gt;"LowFlow")), "Intensive", "Intermediate")</f>
      </c>
      <c r="AJ410" s="57">
        <f>IF(OR(LEFT(AH410, 1)="X", LEFT(AH410, 1)="Y", LEFT(AH410, 3)="J23M"), "CUSM", "No Match")</f>
      </c>
      <c r="AK410" s="57">
        <f>IF(AND(OR(O410=3, P410=1, Q410=1, T410=1), AJ410="no Match"), "CUSM, CHU SJ, CHUQ", "")</f>
      </c>
      <c r="AL410" s="57">
        <f>IF(AND(O410=2, ISBLANK(P410), ISBLANK(Q410), ISBLANK(R410), ISBLANK(S410), ISBLANK(T410)), "CUSM, CHU SJ, CHUS, CHUQ", "")</f>
      </c>
      <c r="AM410" s="57">
        <f>IF(AND(AJ410="no match", AK410="", AL410="", K410&lt;26), "CUSM, CHU SJ, HGJ, CHUQ, CHUS", "")</f>
      </c>
      <c r="AN410" s="57">
        <f>IF(AND(AJ410="no match", AK410="", AL410="", K410&gt;26), "CUSM, CHU SJ, HGJ, CHUQ, CHUS, HMR", "")</f>
      </c>
    </row>
    <row x14ac:dyDescent="0.25" r="411" customHeight="1" ht="17.25">
      <c r="A411" s="41" t="s">
        <v>3501</v>
      </c>
      <c r="B411" s="28">
        <v>2</v>
      </c>
      <c r="C411" s="28">
        <v>845</v>
      </c>
      <c r="D411" s="29" t="s">
        <v>381</v>
      </c>
      <c r="E411" s="30" t="s">
        <v>50</v>
      </c>
      <c r="F411" s="31">
        <v>45142</v>
      </c>
      <c r="G411" s="32">
        <v>4.645833333333334</v>
      </c>
      <c r="H411" s="31">
        <v>45141</v>
      </c>
      <c r="I411" s="32">
        <v>4.997222222222222</v>
      </c>
      <c r="J411" s="33">
        <f>F411-H411</f>
      </c>
      <c r="K411" s="28">
        <v>38</v>
      </c>
      <c r="L411" s="28">
        <v>2</v>
      </c>
      <c r="M411" s="28">
        <v>1</v>
      </c>
      <c r="N411" s="35">
        <v>1</v>
      </c>
      <c r="O411" s="35">
        <v>2</v>
      </c>
      <c r="P411" s="34"/>
      <c r="Q411" s="34"/>
      <c r="R411" s="35">
        <v>1</v>
      </c>
      <c r="S411" s="56"/>
      <c r="T411" s="34"/>
      <c r="U411" s="34"/>
      <c r="V411" s="34"/>
      <c r="W411" s="29" t="s">
        <v>74</v>
      </c>
      <c r="X411" s="28">
        <v>35</v>
      </c>
      <c r="Y411" s="28">
        <v>1</v>
      </c>
      <c r="Z411" s="28">
        <v>1</v>
      </c>
      <c r="AA411" s="28">
        <v>2</v>
      </c>
      <c r="AB411" s="28">
        <v>1</v>
      </c>
      <c r="AC411" s="28">
        <v>2</v>
      </c>
      <c r="AD411" s="28">
        <v>1</v>
      </c>
      <c r="AE411" s="28">
        <v>4</v>
      </c>
      <c r="AF411" s="28">
        <v>2</v>
      </c>
      <c r="AG411" s="28">
        <v>2</v>
      </c>
      <c r="AH411" s="29" t="s">
        <v>3502</v>
      </c>
      <c r="AI411" s="36">
        <f>IF(OR(AND(K411&lt;32, J411&lt;2), O411=1, P411=1, Q411=1, R411=1, S411=1, T411=1, U411=1, AND(W411&lt;&gt;"", W411&lt;&gt;"Oxygen", W411&lt;&gt;"LowFlow")), "Intensive", "Intermediate")</f>
      </c>
      <c r="AJ411" s="57">
        <f>IF(OR(LEFT(AH411, 1)="X", LEFT(AH411, 1)="Y", LEFT(AH411, 3)="J24M"), "CUSM", "No Match")</f>
      </c>
      <c r="AK411" s="57">
        <f>IF(AND(OR(O411=3, P411=1, Q411=1, T411=1), AJ411="no Match"), "CUSM, CHU SJ, CHUQ", "")</f>
      </c>
      <c r="AL411" s="57">
        <f>IF(AND(O411=2, ISBLANK(P411), ISBLANK(Q411), ISBLANK(R411), ISBLANK(S411), ISBLANK(T411)), "CUSM, CHU SJ, CHUS, CHUQ", "")</f>
      </c>
      <c r="AM411" s="57">
        <f>IF(AND(AJ411="no match", AK411="", AL411="", K411&lt;26), "CUSM, CHU SJ, HGJ, CHUQ, CHUS", "")</f>
      </c>
      <c r="AN411" s="57">
        <f>IF(AND(AJ411="no match", AK411="", AL411="", K411&gt;26), "CUSM, CHU SJ, HGJ, CHUQ, CHUS, HMR", "")</f>
      </c>
    </row>
    <row x14ac:dyDescent="0.25" r="412" customHeight="1" ht="17.25">
      <c r="A412" s="41" t="s">
        <v>3503</v>
      </c>
      <c r="B412" s="28">
        <v>2</v>
      </c>
      <c r="C412" s="28">
        <v>817</v>
      </c>
      <c r="D412" s="29" t="s">
        <v>163</v>
      </c>
      <c r="E412" s="30" t="s">
        <v>54</v>
      </c>
      <c r="F412" s="31">
        <v>45143</v>
      </c>
      <c r="G412" s="32">
        <v>4.28125</v>
      </c>
      <c r="H412" s="31">
        <v>45140</v>
      </c>
      <c r="I412" s="32">
        <v>4.536111111111111</v>
      </c>
      <c r="J412" s="33">
        <f>F412-H412</f>
      </c>
      <c r="K412" s="28">
        <v>41</v>
      </c>
      <c r="L412" s="28">
        <v>1</v>
      </c>
      <c r="M412" s="28">
        <v>1</v>
      </c>
      <c r="N412" s="34"/>
      <c r="O412" s="34"/>
      <c r="P412" s="34"/>
      <c r="Q412" s="34"/>
      <c r="R412" s="34"/>
      <c r="S412" s="56"/>
      <c r="T412" s="38"/>
      <c r="U412" s="34"/>
      <c r="V412" s="34"/>
      <c r="W412" s="29"/>
      <c r="X412" s="28">
        <v>26</v>
      </c>
      <c r="Y412" s="28">
        <v>1</v>
      </c>
      <c r="Z412" s="28">
        <v>1</v>
      </c>
      <c r="AA412" s="28">
        <v>1</v>
      </c>
      <c r="AB412" s="28">
        <v>1</v>
      </c>
      <c r="AC412" s="28">
        <v>2</v>
      </c>
      <c r="AD412" s="28">
        <v>2</v>
      </c>
      <c r="AE412" s="28">
        <v>4</v>
      </c>
      <c r="AF412" s="28">
        <v>1</v>
      </c>
      <c r="AG412" s="28">
        <v>2</v>
      </c>
      <c r="AH412" s="29" t="s">
        <v>1354</v>
      </c>
      <c r="AI412" s="36">
        <f>IF(OR(AND(K412&lt;32, J412&lt;2), O412=1, P412=1, Q412=1, R412=1, S412=1, T412=1, U412=1, AND(W412&lt;&gt;"", W412&lt;&gt;"Oxygen", W412&lt;&gt;"LowFlow")), "Intensive", "Intermediate")</f>
      </c>
      <c r="AJ412" s="57">
        <f>IF(OR(LEFT(AH412, 1)="X", LEFT(AH412, 1)="Y", LEFT(AH412, 3)="J25M"), "CUSM", "No Match")</f>
      </c>
      <c r="AK412" s="57">
        <f>IF(AND(OR(O412=3, P412=1, Q412=1, T412=1), AJ412="no Match"), "CUSM, CHU SJ, CHUQ", "")</f>
      </c>
      <c r="AL412" s="57">
        <f>IF(AND(O412=2, ISBLANK(P412), ISBLANK(Q412), ISBLANK(R412), ISBLANK(S412), ISBLANK(T412)), "CUSM, CHU SJ, CHUS, CHUQ", "")</f>
      </c>
      <c r="AM412" s="57">
        <f>IF(AND(AJ412="no match", AK412="", AL412="", K412&lt;26), "CUSM, CHU SJ, HGJ, CHUQ, CHUS", "")</f>
      </c>
      <c r="AN412" s="57">
        <f>IF(AND(AJ412="no match", AK412="", AL412="", K412&gt;26), "CUSM, CHU SJ, HGJ, CHUQ, CHUS, HMR", "")</f>
      </c>
    </row>
    <row x14ac:dyDescent="0.25" r="413" customHeight="1" ht="17.25">
      <c r="A413" s="41" t="s">
        <v>3504</v>
      </c>
      <c r="B413" s="28">
        <v>2</v>
      </c>
      <c r="C413" s="35">
        <v>825</v>
      </c>
      <c r="D413" s="29" t="s">
        <v>77</v>
      </c>
      <c r="E413" s="30" t="s">
        <v>54</v>
      </c>
      <c r="F413" s="31">
        <v>45143</v>
      </c>
      <c r="G413" s="32">
        <v>4.795138888888889</v>
      </c>
      <c r="H413" s="31">
        <v>45143</v>
      </c>
      <c r="I413" s="32">
        <v>4.566666666666666</v>
      </c>
      <c r="J413" s="33">
        <f>F413-H413</f>
      </c>
      <c r="K413" s="28">
        <v>37</v>
      </c>
      <c r="L413" s="28">
        <v>0</v>
      </c>
      <c r="M413" s="28">
        <v>1</v>
      </c>
      <c r="N413" s="34"/>
      <c r="O413" s="34"/>
      <c r="P413" s="34"/>
      <c r="Q413" s="34"/>
      <c r="R413" s="34"/>
      <c r="S413" s="56"/>
      <c r="T413" s="34"/>
      <c r="U413" s="34"/>
      <c r="V413" s="34"/>
      <c r="W413" s="29" t="s">
        <v>58</v>
      </c>
      <c r="X413" s="28">
        <v>24</v>
      </c>
      <c r="Y413" s="28">
        <v>1</v>
      </c>
      <c r="Z413" s="28">
        <v>2</v>
      </c>
      <c r="AA413" s="28">
        <v>2</v>
      </c>
      <c r="AB413" s="28">
        <v>1</v>
      </c>
      <c r="AC413" s="28">
        <v>1</v>
      </c>
      <c r="AD413" s="28">
        <v>2</v>
      </c>
      <c r="AE413" s="28">
        <v>4</v>
      </c>
      <c r="AF413" s="28">
        <v>2</v>
      </c>
      <c r="AG413" s="28">
        <v>2</v>
      </c>
      <c r="AH413" s="29" t="s">
        <v>181</v>
      </c>
      <c r="AI413" s="36">
        <f>IF(OR(AND(K413&lt;32, J413&lt;2), O413=1, P413=1, Q413=1, R413=1, S413=1, T413=1, U413=1, AND(W413&lt;&gt;"", W413&lt;&gt;"Oxygen", W413&lt;&gt;"LowFlow")), "Intensive", "Intermediate")</f>
      </c>
      <c r="AJ413" s="57">
        <f>IF(OR(LEFT(AH413, 1)="X", LEFT(AH413, 1)="Y", LEFT(AH413, 3)="J26M"), "CUSM", "No Match")</f>
      </c>
      <c r="AK413" s="57">
        <f>IF(AND(OR(O413=3, P413=1, Q413=1, T413=1), AJ413="no Match"), "CUSM, CHU SJ, CHUQ", "")</f>
      </c>
      <c r="AL413" s="57">
        <f>IF(AND(O413=2, ISBLANK(P413), ISBLANK(Q413), ISBLANK(R413), ISBLANK(S413), ISBLANK(T413)), "CUSM, CHU SJ, CHUS, CHUQ", "")</f>
      </c>
      <c r="AM413" s="57">
        <f>IF(AND(AJ413="no match", AK413="", AL413="", K413&lt;26), "CUSM, CHU SJ, HGJ, CHUQ, CHUS", "")</f>
      </c>
      <c r="AN413" s="57">
        <f>IF(AND(AJ413="no match", AK413="", AL413="", K413&gt;26), "CUSM, CHU SJ, HGJ, CHUQ, CHUS, HMR", "")</f>
      </c>
    </row>
    <row x14ac:dyDescent="0.25" r="414" customHeight="1" ht="17.25">
      <c r="A414" s="41" t="s">
        <v>3505</v>
      </c>
      <c r="B414" s="28">
        <v>2</v>
      </c>
      <c r="C414" s="28">
        <v>756</v>
      </c>
      <c r="D414" s="29" t="s">
        <v>66</v>
      </c>
      <c r="E414" s="30" t="s">
        <v>50</v>
      </c>
      <c r="F414" s="31">
        <v>45143</v>
      </c>
      <c r="G414" s="32">
        <v>4.131944444444445</v>
      </c>
      <c r="H414" s="31">
        <v>45142</v>
      </c>
      <c r="I414" s="32">
        <v>4.39375</v>
      </c>
      <c r="J414" s="33">
        <f>F414-H414</f>
      </c>
      <c r="K414" s="28">
        <v>38</v>
      </c>
      <c r="L414" s="28">
        <v>2</v>
      </c>
      <c r="M414" s="28">
        <v>1</v>
      </c>
      <c r="N414" s="34"/>
      <c r="O414" s="38"/>
      <c r="P414" s="34"/>
      <c r="Q414" s="34"/>
      <c r="R414" s="34"/>
      <c r="S414" s="56"/>
      <c r="T414" s="38"/>
      <c r="U414" s="34"/>
      <c r="V414" s="34"/>
      <c r="W414" s="29"/>
      <c r="X414" s="28">
        <v>25</v>
      </c>
      <c r="Y414" s="28">
        <v>2</v>
      </c>
      <c r="Z414" s="28">
        <v>2</v>
      </c>
      <c r="AA414" s="28">
        <v>3</v>
      </c>
      <c r="AB414" s="28">
        <v>1</v>
      </c>
      <c r="AC414" s="28">
        <v>2</v>
      </c>
      <c r="AD414" s="28">
        <v>2</v>
      </c>
      <c r="AE414" s="28">
        <v>4</v>
      </c>
      <c r="AF414" s="28">
        <v>2</v>
      </c>
      <c r="AG414" s="28">
        <v>2</v>
      </c>
      <c r="AH414" s="29" t="s">
        <v>3506</v>
      </c>
      <c r="AI414" s="36">
        <f>IF(OR(AND(K414&lt;32, J414&lt;2), O414=1, P414=1, Q414=1, R414=1, S414=1, T414=1, U414=1, AND(W414&lt;&gt;"", W414&lt;&gt;"Oxygen", W414&lt;&gt;"LowFlow")), "Intensive", "Intermediate")</f>
      </c>
      <c r="AJ414" s="57">
        <f>IF(OR(LEFT(AH414, 1)="X", LEFT(AH414, 1)="Y", LEFT(AH414, 3)="J27M"), "CUSM", "No Match")</f>
      </c>
      <c r="AK414" s="57">
        <f>IF(AND(OR(O414=3, P414=1, Q414=1, T414=1), AJ414="no Match"), "CUSM, CHU SJ, CHUQ", "")</f>
      </c>
      <c r="AL414" s="57">
        <f>IF(AND(O414=2, ISBLANK(P414), ISBLANK(Q414), ISBLANK(R414), ISBLANK(S414), ISBLANK(T414)), "CUSM, CHU SJ, CHUS, CHUQ", "")</f>
      </c>
      <c r="AM414" s="57">
        <f>IF(AND(AJ414="no match", AK414="", AL414="", K414&lt;26), "CUSM, CHU SJ, HGJ, CHUQ, CHUS", "")</f>
      </c>
      <c r="AN414" s="57">
        <f>IF(AND(AJ414="no match", AK414="", AL414="", K414&gt;26), "CUSM, CHU SJ, HGJ, CHUQ, CHUS, HMR", "")</f>
      </c>
    </row>
    <row x14ac:dyDescent="0.25" r="415" customHeight="1" ht="17.25">
      <c r="A415" s="41" t="s">
        <v>3507</v>
      </c>
      <c r="B415" s="28">
        <v>2</v>
      </c>
      <c r="C415" s="35">
        <v>817</v>
      </c>
      <c r="D415" s="29" t="s">
        <v>163</v>
      </c>
      <c r="E415" s="30" t="s">
        <v>50</v>
      </c>
      <c r="F415" s="31">
        <v>45144</v>
      </c>
      <c r="G415" s="32">
        <v>4.5368055555555555</v>
      </c>
      <c r="H415" s="31">
        <v>45144</v>
      </c>
      <c r="I415" s="32">
        <v>4.384027777777778</v>
      </c>
      <c r="J415" s="33">
        <f>F415-H415</f>
      </c>
      <c r="K415" s="28">
        <v>29</v>
      </c>
      <c r="L415" s="28">
        <v>3</v>
      </c>
      <c r="M415" s="28">
        <v>2</v>
      </c>
      <c r="N415" s="38"/>
      <c r="O415" s="38"/>
      <c r="P415" s="38"/>
      <c r="Q415" s="34"/>
      <c r="R415" s="34"/>
      <c r="S415" s="56"/>
      <c r="T415" s="34"/>
      <c r="U415" s="34"/>
      <c r="V415" s="34"/>
      <c r="W415" s="29" t="s">
        <v>58</v>
      </c>
      <c r="X415" s="28">
        <v>19</v>
      </c>
      <c r="Y415" s="28">
        <v>1</v>
      </c>
      <c r="Z415" s="28">
        <v>2</v>
      </c>
      <c r="AA415" s="28">
        <v>3</v>
      </c>
      <c r="AB415" s="28">
        <v>4</v>
      </c>
      <c r="AC415" s="28">
        <v>2</v>
      </c>
      <c r="AD415" s="28">
        <v>2</v>
      </c>
      <c r="AE415" s="28">
        <v>4</v>
      </c>
      <c r="AF415" s="28">
        <v>2</v>
      </c>
      <c r="AG415" s="28">
        <v>2</v>
      </c>
      <c r="AH415" s="29" t="s">
        <v>2165</v>
      </c>
      <c r="AI415" s="36">
        <f>IF(OR(AND(K415&lt;32, J415&lt;2), O415=1, P415=1, Q415=1, R415=1, S415=1, T415=1, U415=1, AND(W415&lt;&gt;"", W415&lt;&gt;"Oxygen", W415&lt;&gt;"LowFlow")), "Intensive", "Intermediate")</f>
      </c>
      <c r="AJ415" s="57">
        <f>IF(OR(LEFT(AH415, 1)="X", LEFT(AH415, 1)="Y", LEFT(AH415, 3)="J28M"), "CUSM", "No Match")</f>
      </c>
      <c r="AK415" s="57">
        <f>IF(AND(OR(O415=3, P415=1, Q415=1, T415=1), AJ415="no Match"), "CUSM, CHU SJ, CHUQ", "")</f>
      </c>
      <c r="AL415" s="57">
        <f>IF(AND(O415=2, ISBLANK(P415), ISBLANK(Q415), ISBLANK(R415), ISBLANK(S415), ISBLANK(T415)), "CUSM, CHU SJ, CHUS, CHUQ", "")</f>
      </c>
      <c r="AM415" s="57">
        <f>IF(AND(AJ415="no match", AK415="", AL415="", K415&lt;26), "CUSM, CHU SJ, HGJ, CHUQ, CHUS", "")</f>
      </c>
      <c r="AN415" s="57">
        <f>IF(AND(AJ415="no match", AK415="", AL415="", K415&gt;26), "CUSM, CHU SJ, HGJ, CHUQ, CHUS, HMR", "")</f>
      </c>
    </row>
    <row x14ac:dyDescent="0.25" r="416" customHeight="1" ht="17.25">
      <c r="A416" s="41" t="s">
        <v>3508</v>
      </c>
      <c r="B416" s="28">
        <v>2</v>
      </c>
      <c r="C416" s="35">
        <v>727</v>
      </c>
      <c r="D416" s="29" t="s">
        <v>992</v>
      </c>
      <c r="E416" s="30" t="s">
        <v>50</v>
      </c>
      <c r="F416" s="31">
        <v>45145</v>
      </c>
      <c r="G416" s="32">
        <v>4.729166666666666</v>
      </c>
      <c r="H416" s="31">
        <v>45132</v>
      </c>
      <c r="I416" s="32">
        <v>4.720138888888889</v>
      </c>
      <c r="J416" s="33">
        <f>F416-H416</f>
      </c>
      <c r="K416" s="28">
        <v>39</v>
      </c>
      <c r="L416" s="28">
        <v>4</v>
      </c>
      <c r="M416" s="28">
        <v>1</v>
      </c>
      <c r="N416" s="38"/>
      <c r="O416" s="38"/>
      <c r="P416" s="38"/>
      <c r="Q416" s="34"/>
      <c r="R416" s="34"/>
      <c r="S416" s="56"/>
      <c r="T416" s="34"/>
      <c r="U416" s="34"/>
      <c r="V416" s="34"/>
      <c r="W416" s="29"/>
      <c r="X416" s="28">
        <v>29</v>
      </c>
      <c r="Y416" s="28">
        <v>1</v>
      </c>
      <c r="Z416" s="28">
        <v>1</v>
      </c>
      <c r="AA416" s="28">
        <v>1</v>
      </c>
      <c r="AB416" s="28">
        <v>1</v>
      </c>
      <c r="AC416" s="28">
        <v>2</v>
      </c>
      <c r="AD416" s="28">
        <v>2</v>
      </c>
      <c r="AE416" s="28">
        <v>4</v>
      </c>
      <c r="AF416" s="28">
        <v>1</v>
      </c>
      <c r="AG416" s="28">
        <v>3</v>
      </c>
      <c r="AH416" s="29" t="s">
        <v>3509</v>
      </c>
      <c r="AI416" s="36">
        <f>IF(OR(AND(K416&lt;32, J416&lt;2), O416=1, P416=1, Q416=1, R416=1, S416=1, T416=1, U416=1, AND(W416&lt;&gt;"", W416&lt;&gt;"Oxygen", W416&lt;&gt;"LowFlow")), "Intensive", "Intermediate")</f>
      </c>
      <c r="AJ416" s="57">
        <f>IF(OR(LEFT(AH416, 1)="X", LEFT(AH416, 1)="Y", LEFT(AH416, 3)="J29M"), "CUSM", "No Match")</f>
      </c>
      <c r="AK416" s="57">
        <f>IF(AND(OR(O416=3, P416=1, Q416=1, T416=1), AJ416="no Match"), "CUSM, CHU SJ, CHUQ", "")</f>
      </c>
      <c r="AL416" s="57">
        <f>IF(AND(O416=2, ISBLANK(P416), ISBLANK(Q416), ISBLANK(R416), ISBLANK(S416), ISBLANK(T416)), "CUSM, CHU SJ, CHUS, CHUQ", "")</f>
      </c>
      <c r="AM416" s="57">
        <f>IF(AND(AJ416="no match", AK416="", AL416="", K416&lt;26), "CUSM, CHU SJ, HGJ, CHUQ, CHUS", "")</f>
      </c>
      <c r="AN416" s="57">
        <f>IF(AND(AJ416="no match", AK416="", AL416="", K416&gt;26), "CUSM, CHU SJ, HGJ, CHUQ, CHUS, HMR", "")</f>
      </c>
    </row>
    <row x14ac:dyDescent="0.25" r="417" customHeight="1" ht="17.25">
      <c r="A417" s="41" t="s">
        <v>3510</v>
      </c>
      <c r="B417" s="28">
        <v>2</v>
      </c>
      <c r="C417" s="35">
        <v>756</v>
      </c>
      <c r="D417" s="29" t="s">
        <v>66</v>
      </c>
      <c r="E417" s="30" t="s">
        <v>50</v>
      </c>
      <c r="F417" s="31">
        <v>45145</v>
      </c>
      <c r="G417" s="32">
        <v>4.395833333333334</v>
      </c>
      <c r="H417" s="31">
        <v>45145</v>
      </c>
      <c r="I417" s="32">
        <v>4.104861111111111</v>
      </c>
      <c r="J417" s="33">
        <f>F417-H417</f>
      </c>
      <c r="K417" s="28">
        <v>39</v>
      </c>
      <c r="L417" s="28">
        <v>4</v>
      </c>
      <c r="M417" s="28">
        <v>2</v>
      </c>
      <c r="N417" s="34"/>
      <c r="O417" s="34"/>
      <c r="P417" s="34"/>
      <c r="Q417" s="34"/>
      <c r="R417" s="34"/>
      <c r="S417" s="56"/>
      <c r="T417" s="34"/>
      <c r="U417" s="34"/>
      <c r="V417" s="34"/>
      <c r="W417" s="29" t="s">
        <v>58</v>
      </c>
      <c r="X417" s="28">
        <v>27</v>
      </c>
      <c r="Y417" s="28">
        <v>1</v>
      </c>
      <c r="Z417" s="28">
        <v>1</v>
      </c>
      <c r="AA417" s="28">
        <v>1</v>
      </c>
      <c r="AB417" s="28">
        <v>1</v>
      </c>
      <c r="AC417" s="28">
        <v>2</v>
      </c>
      <c r="AD417" s="28">
        <v>2</v>
      </c>
      <c r="AE417" s="28">
        <v>4</v>
      </c>
      <c r="AF417" s="28">
        <v>1</v>
      </c>
      <c r="AG417" s="28">
        <v>2</v>
      </c>
      <c r="AH417" s="29" t="s">
        <v>3511</v>
      </c>
      <c r="AI417" s="36">
        <f>IF(OR(AND(K417&lt;32, J417&lt;2), O417=1, P417=1, Q417=1, R417=1, S417=1, T417=1, U417=1, AND(W417&lt;&gt;"", W417&lt;&gt;"Oxygen", W417&lt;&gt;"LowFlow")), "Intensive", "Intermediate")</f>
      </c>
      <c r="AJ417" s="57">
        <f>IF(OR(LEFT(AH417, 1)="X", LEFT(AH417, 1)="Y", LEFT(AH417, 3)="J30M"), "CUSM", "No Match")</f>
      </c>
      <c r="AK417" s="57">
        <f>IF(AND(OR(O417=3, P417=1, Q417=1, T417=1), AJ417="no Match"), "CUSM, CHU SJ, CHUQ", "")</f>
      </c>
      <c r="AL417" s="57">
        <f>IF(AND(O417=2, ISBLANK(P417), ISBLANK(Q417), ISBLANK(R417), ISBLANK(S417), ISBLANK(T417)), "CUSM, CHU SJ, CHUS, CHUQ", "")</f>
      </c>
      <c r="AM417" s="57">
        <f>IF(AND(AJ417="no match", AK417="", AL417="", K417&lt;26), "CUSM, CHU SJ, HGJ, CHUQ, CHUS", "")</f>
      </c>
      <c r="AN417" s="57">
        <f>IF(AND(AJ417="no match", AK417="", AL417="", K417&gt;26), "CUSM, CHU SJ, HGJ, CHUQ, CHUS, HMR", "")</f>
      </c>
    </row>
    <row x14ac:dyDescent="0.25" r="418" customHeight="1" ht="17.25">
      <c r="A418" s="41" t="s">
        <v>3512</v>
      </c>
      <c r="B418" s="28">
        <v>2</v>
      </c>
      <c r="C418" s="35">
        <v>822</v>
      </c>
      <c r="D418" s="29" t="s">
        <v>167</v>
      </c>
      <c r="E418" s="30" t="s">
        <v>50</v>
      </c>
      <c r="F418" s="31">
        <v>45145</v>
      </c>
      <c r="G418" s="32">
        <v>4.09375</v>
      </c>
      <c r="H418" s="31">
        <v>45144</v>
      </c>
      <c r="I418" s="32">
        <v>4.851388888888889</v>
      </c>
      <c r="J418" s="33">
        <f>F418-H418</f>
      </c>
      <c r="K418" s="28">
        <v>40</v>
      </c>
      <c r="L418" s="28">
        <v>5</v>
      </c>
      <c r="M418" s="28">
        <v>1</v>
      </c>
      <c r="N418" s="34"/>
      <c r="O418" s="34"/>
      <c r="P418" s="34"/>
      <c r="Q418" s="34"/>
      <c r="R418" s="34"/>
      <c r="S418" s="56"/>
      <c r="T418" s="35">
        <v>1</v>
      </c>
      <c r="U418" s="34"/>
      <c r="V418" s="34"/>
      <c r="W418" s="29"/>
      <c r="X418" s="28">
        <v>29</v>
      </c>
      <c r="Y418" s="28">
        <v>1</v>
      </c>
      <c r="Z418" s="28">
        <v>1</v>
      </c>
      <c r="AA418" s="28">
        <v>1</v>
      </c>
      <c r="AB418" s="28">
        <v>1</v>
      </c>
      <c r="AC418" s="28">
        <v>2</v>
      </c>
      <c r="AD418" s="28">
        <v>2</v>
      </c>
      <c r="AE418" s="28">
        <v>3</v>
      </c>
      <c r="AF418" s="28">
        <v>1</v>
      </c>
      <c r="AG418" s="28">
        <v>2</v>
      </c>
      <c r="AH418" s="29" t="s">
        <v>134</v>
      </c>
      <c r="AI418" s="36">
        <f>IF(OR(AND(K418&lt;32, J418&lt;2), O418=1, P418=1, Q418=1, R418=1, S418=1, T418=1, U418=1, AND(W418&lt;&gt;"", W418&lt;&gt;"Oxygen", W418&lt;&gt;"LowFlow")), "Intensive", "Intermediate")</f>
      </c>
      <c r="AJ418" s="57">
        <f>IF(OR(LEFT(AH418, 1)="X", LEFT(AH418, 1)="Y", LEFT(AH418, 3)="J31M"), "CUSM", "No Match")</f>
      </c>
      <c r="AK418" s="57">
        <f>IF(AND(OR(O418=3, P418=1, Q418=1, T418=1), AJ418="no Match"), "CUSM, CHU SJ, CHUQ", "")</f>
      </c>
      <c r="AL418" s="57">
        <f>IF(AND(O418=2, ISBLANK(P418), ISBLANK(Q418), ISBLANK(R418), ISBLANK(S418), ISBLANK(T418)), "CUSM, CHU SJ, CHUS, CHUQ", "")</f>
      </c>
      <c r="AM418" s="57">
        <f>IF(AND(AJ418="no match", AK418="", AL418="", K418&lt;26), "CUSM, CHU SJ, HGJ, CHUQ, CHUS", "")</f>
      </c>
      <c r="AN418" s="57">
        <f>IF(AND(AJ418="no match", AK418="", AL418="", K418&gt;26), "CUSM, CHU SJ, HGJ, CHUQ, CHUS, HMR", "")</f>
      </c>
    </row>
    <row x14ac:dyDescent="0.25" r="419" customHeight="1" ht="17.25">
      <c r="A419" s="41" t="s">
        <v>3513</v>
      </c>
      <c r="B419" s="28">
        <v>2</v>
      </c>
      <c r="C419" s="35">
        <v>756</v>
      </c>
      <c r="D419" s="29" t="s">
        <v>66</v>
      </c>
      <c r="E419" s="30" t="s">
        <v>50</v>
      </c>
      <c r="F419" s="31">
        <v>45148</v>
      </c>
      <c r="G419" s="32">
        <v>4.864583333333334</v>
      </c>
      <c r="H419" s="31">
        <v>45146</v>
      </c>
      <c r="I419" s="32">
        <v>4.758333333333333</v>
      </c>
      <c r="J419" s="33">
        <f>F419-H419</f>
      </c>
      <c r="K419" s="28">
        <v>39</v>
      </c>
      <c r="L419" s="28">
        <v>4</v>
      </c>
      <c r="M419" s="28">
        <v>1</v>
      </c>
      <c r="N419" s="35">
        <v>1</v>
      </c>
      <c r="O419" s="34"/>
      <c r="P419" s="34"/>
      <c r="Q419" s="34"/>
      <c r="R419" s="34"/>
      <c r="S419" s="56"/>
      <c r="T419" s="34"/>
      <c r="U419" s="34"/>
      <c r="V419" s="34"/>
      <c r="W419" s="29"/>
      <c r="X419" s="28">
        <v>40</v>
      </c>
      <c r="Y419" s="28">
        <v>1</v>
      </c>
      <c r="Z419" s="28">
        <v>1</v>
      </c>
      <c r="AA419" s="28">
        <v>1</v>
      </c>
      <c r="AB419" s="28">
        <v>1</v>
      </c>
      <c r="AC419" s="28">
        <v>2</v>
      </c>
      <c r="AD419" s="28">
        <v>1</v>
      </c>
      <c r="AE419" s="28">
        <v>4</v>
      </c>
      <c r="AF419" s="28">
        <v>2</v>
      </c>
      <c r="AG419" s="28">
        <v>2</v>
      </c>
      <c r="AH419" s="29" t="s">
        <v>3514</v>
      </c>
      <c r="AI419" s="36">
        <f>IF(OR(AND(K419&lt;32, J419&lt;2), O419=1, P419=1, Q419=1, R419=1, S419=1, T419=1, U419=1, AND(W419&lt;&gt;"", W419&lt;&gt;"Oxygen", W419&lt;&gt;"LowFlow")), "Intensive", "Intermediate")</f>
      </c>
      <c r="AJ419" s="57">
        <f>IF(OR(LEFT(AH419, 1)="X", LEFT(AH419, 1)="Y", LEFT(AH419, 3)="J32M"), "CUSM", "No Match")</f>
      </c>
      <c r="AK419" s="57">
        <f>IF(AND(OR(O419=3, P419=1, Q419=1, T419=1), AJ419="no Match"), "CUSM, CHU SJ, CHUQ", "")</f>
      </c>
      <c r="AL419" s="57">
        <f>IF(AND(O419=2, ISBLANK(P419), ISBLANK(Q419), ISBLANK(R419), ISBLANK(S419), ISBLANK(T419)), "CUSM, CHU SJ, CHUS, CHUQ", "")</f>
      </c>
      <c r="AM419" s="57">
        <f>IF(AND(AJ419="no match", AK419="", AL419="", K419&lt;26), "CUSM, CHU SJ, HGJ, CHUQ, CHUS", "")</f>
      </c>
      <c r="AN419" s="57">
        <f>IF(AND(AJ419="no match", AK419="", AL419="", K419&gt;26), "CUSM, CHU SJ, HGJ, CHUQ, CHUS, HMR", "")</f>
      </c>
    </row>
    <row x14ac:dyDescent="0.25" r="420" customHeight="1" ht="17.25">
      <c r="A420" s="41" t="s">
        <v>3515</v>
      </c>
      <c r="B420" s="28">
        <v>2</v>
      </c>
      <c r="C420" s="35">
        <v>833</v>
      </c>
      <c r="D420" s="29" t="s">
        <v>376</v>
      </c>
      <c r="E420" s="30" t="s">
        <v>54</v>
      </c>
      <c r="F420" s="31">
        <v>45149</v>
      </c>
      <c r="G420" s="32">
        <v>4.322916666666666</v>
      </c>
      <c r="H420" s="31">
        <v>45146</v>
      </c>
      <c r="I420" s="32">
        <v>4.201388888888889</v>
      </c>
      <c r="J420" s="33">
        <f>F420-H420</f>
      </c>
      <c r="K420" s="28">
        <v>39</v>
      </c>
      <c r="L420" s="28">
        <v>5</v>
      </c>
      <c r="M420" s="28">
        <v>1</v>
      </c>
      <c r="N420" s="34"/>
      <c r="O420" s="34"/>
      <c r="P420" s="34"/>
      <c r="Q420" s="34"/>
      <c r="R420" s="34"/>
      <c r="S420" s="56"/>
      <c r="T420" s="34"/>
      <c r="U420" s="34"/>
      <c r="V420" s="34"/>
      <c r="W420" s="29"/>
      <c r="X420" s="28">
        <v>31</v>
      </c>
      <c r="Y420" s="28">
        <v>1</v>
      </c>
      <c r="Z420" s="28">
        <v>1</v>
      </c>
      <c r="AA420" s="28">
        <v>2</v>
      </c>
      <c r="AB420" s="28">
        <v>1</v>
      </c>
      <c r="AC420" s="28">
        <v>2</v>
      </c>
      <c r="AD420" s="28">
        <v>2</v>
      </c>
      <c r="AE420" s="28">
        <v>4</v>
      </c>
      <c r="AF420" s="28">
        <v>2</v>
      </c>
      <c r="AG420" s="28">
        <v>2</v>
      </c>
      <c r="AH420" s="29" t="s">
        <v>3516</v>
      </c>
      <c r="AI420" s="36">
        <f>IF(OR(AND(K420&lt;32, J420&lt;2), O420=1, P420=1, Q420=1, R420=1, S420=1, T420=1, U420=1, AND(W420&lt;&gt;"", W420&lt;&gt;"Oxygen", W420&lt;&gt;"LowFlow")), "Intensive", "Intermediate")</f>
      </c>
      <c r="AJ420" s="57">
        <f>IF(OR(LEFT(AH420, 1)="X", LEFT(AH420, 1)="Y", LEFT(AH420, 3)="J33M"), "CUSM", "No Match")</f>
      </c>
      <c r="AK420" s="57">
        <f>IF(AND(OR(O420=3, P420=1, Q420=1, T420=1), AJ420="no Match"), "CUSM, CHU SJ, CHUQ", "")</f>
      </c>
      <c r="AL420" s="57">
        <f>IF(AND(O420=2, ISBLANK(P420), ISBLANK(Q420), ISBLANK(R420), ISBLANK(S420), ISBLANK(T420)), "CUSM, CHU SJ, CHUS, CHUQ", "")</f>
      </c>
      <c r="AM420" s="57">
        <f>IF(AND(AJ420="no match", AK420="", AL420="", K420&lt;26), "CUSM, CHU SJ, HGJ, CHUQ, CHUS", "")</f>
      </c>
      <c r="AN420" s="57">
        <f>IF(AND(AJ420="no match", AK420="", AL420="", K420&gt;26), "CUSM, CHU SJ, HGJ, CHUQ, CHUS, HMR", "")</f>
      </c>
    </row>
    <row x14ac:dyDescent="0.25" r="421" customHeight="1" ht="17.25">
      <c r="A421" s="41" t="s">
        <v>3517</v>
      </c>
      <c r="B421" s="28">
        <v>2</v>
      </c>
      <c r="C421" s="35">
        <v>839</v>
      </c>
      <c r="D421" s="29" t="s">
        <v>53</v>
      </c>
      <c r="E421" s="30" t="s">
        <v>78</v>
      </c>
      <c r="F421" s="31">
        <v>45149</v>
      </c>
      <c r="G421" s="32">
        <v>4.1875</v>
      </c>
      <c r="H421" s="31">
        <v>45149</v>
      </c>
      <c r="I421" s="32">
        <v>4.077083333333333</v>
      </c>
      <c r="J421" s="33">
        <f>F421-H421</f>
      </c>
      <c r="K421" s="28">
        <v>32</v>
      </c>
      <c r="L421" s="28">
        <v>6</v>
      </c>
      <c r="M421" s="28">
        <v>2</v>
      </c>
      <c r="N421" s="34"/>
      <c r="O421" s="34"/>
      <c r="P421" s="34"/>
      <c r="Q421" s="34"/>
      <c r="R421" s="34"/>
      <c r="S421" s="56"/>
      <c r="T421" s="34"/>
      <c r="U421" s="34"/>
      <c r="V421" s="34"/>
      <c r="W421" s="29" t="s">
        <v>600</v>
      </c>
      <c r="X421" s="28">
        <v>26</v>
      </c>
      <c r="Y421" s="28">
        <v>1</v>
      </c>
      <c r="Z421" s="28">
        <v>2</v>
      </c>
      <c r="AA421" s="28">
        <v>2</v>
      </c>
      <c r="AB421" s="28">
        <v>4</v>
      </c>
      <c r="AC421" s="28">
        <v>1</v>
      </c>
      <c r="AD421" s="28">
        <v>2</v>
      </c>
      <c r="AE421" s="28">
        <v>4</v>
      </c>
      <c r="AF421" s="28">
        <v>2</v>
      </c>
      <c r="AG421" s="28">
        <v>2</v>
      </c>
      <c r="AH421" s="29" t="s">
        <v>3518</v>
      </c>
      <c r="AI421" s="36">
        <f>IF(OR(AND(K421&lt;32, J421&lt;2), O421=1, P421=1, Q421=1, R421=1, S421=1, T421=1, U421=1, AND(W421&lt;&gt;"", W421&lt;&gt;"Oxygen", W421&lt;&gt;"LowFlow")), "Intensive", "Intermediate")</f>
      </c>
      <c r="AJ421" s="57">
        <f>IF(OR(LEFT(AH421, 1)="X", LEFT(AH421, 1)="Y", LEFT(AH421, 3)="J34M"), "CUSM", "No Match")</f>
      </c>
      <c r="AK421" s="57">
        <f>IF(AND(OR(O421=3, P421=1, Q421=1, T421=1), AJ421="no Match"), "CUSM, CHU SJ, CHUQ", "")</f>
      </c>
      <c r="AL421" s="57">
        <f>IF(AND(O421=2, ISBLANK(P421), ISBLANK(Q421), ISBLANK(R421), ISBLANK(S421), ISBLANK(T421)), "CUSM, CHU SJ, CHUS, CHUQ", "")</f>
      </c>
      <c r="AM421" s="57">
        <f>IF(AND(AJ421="no match", AK421="", AL421="", K421&lt;26), "CUSM, CHU SJ, HGJ, CHUQ, CHUS", "")</f>
      </c>
      <c r="AN421" s="57">
        <f>IF(AND(AJ421="no match", AK421="", AL421="", K421&gt;26), "CUSM, CHU SJ, HGJ, CHUQ, CHUS, HMR", "")</f>
      </c>
    </row>
    <row x14ac:dyDescent="0.25" r="422" customHeight="1" ht="17.25">
      <c r="A422" s="41" t="s">
        <v>3519</v>
      </c>
      <c r="B422" s="28">
        <v>2</v>
      </c>
      <c r="C422" s="28">
        <v>782</v>
      </c>
      <c r="D422" s="29" t="s">
        <v>95</v>
      </c>
      <c r="E422" s="30" t="s">
        <v>50</v>
      </c>
      <c r="F422" s="31">
        <v>45149</v>
      </c>
      <c r="G422" s="32">
        <v>4.052083333333334</v>
      </c>
      <c r="H422" s="31">
        <v>45148</v>
      </c>
      <c r="I422" s="32">
        <v>4.9</v>
      </c>
      <c r="J422" s="33">
        <f>F422-H422</f>
      </c>
      <c r="K422" s="28">
        <v>38</v>
      </c>
      <c r="L422" s="28">
        <v>0</v>
      </c>
      <c r="M422" s="28">
        <v>1</v>
      </c>
      <c r="N422" s="34"/>
      <c r="O422" s="34"/>
      <c r="P422" s="34"/>
      <c r="Q422" s="34"/>
      <c r="R422" s="34"/>
      <c r="S422" s="56"/>
      <c r="T422" s="34"/>
      <c r="U422" s="34"/>
      <c r="V422" s="34"/>
      <c r="W422" s="29"/>
      <c r="X422" s="28">
        <v>37</v>
      </c>
      <c r="Y422" s="28">
        <v>1</v>
      </c>
      <c r="Z422" s="28">
        <v>1</v>
      </c>
      <c r="AA422" s="28">
        <v>2</v>
      </c>
      <c r="AB422" s="28">
        <v>1</v>
      </c>
      <c r="AC422" s="28">
        <v>2</v>
      </c>
      <c r="AD422" s="28">
        <v>2</v>
      </c>
      <c r="AE422" s="28">
        <v>4</v>
      </c>
      <c r="AF422" s="28">
        <v>2</v>
      </c>
      <c r="AG422" s="28">
        <v>2</v>
      </c>
      <c r="AH422" s="29" t="s">
        <v>3520</v>
      </c>
      <c r="AI422" s="36">
        <f>IF(OR(AND(K422&lt;32, J422&lt;2), O422=1, P422=1, Q422=1, R422=1, S422=1, T422=1, U422=1, AND(W422&lt;&gt;"", W422&lt;&gt;"Oxygen", W422&lt;&gt;"LowFlow")), "Intensive", "Intermediate")</f>
      </c>
      <c r="AJ422" s="57">
        <f>IF(OR(LEFT(AH422, 1)="X", LEFT(AH422, 1)="Y", LEFT(AH422, 3)="J35M"), "CUSM", "No Match")</f>
      </c>
      <c r="AK422" s="57">
        <f>IF(AND(OR(O422=3, P422=1, Q422=1, T422=1), AJ422="no Match"), "CUSM, CHU SJ, CHUQ", "")</f>
      </c>
      <c r="AL422" s="57">
        <f>IF(AND(O422=2, ISBLANK(P422), ISBLANK(Q422), ISBLANK(R422), ISBLANK(S422), ISBLANK(T422)), "CUSM, CHU SJ, CHUS, CHUQ", "")</f>
      </c>
      <c r="AM422" s="57">
        <f>IF(AND(AJ422="no match", AK422="", AL422="", K422&lt;26), "CUSM, CHU SJ, HGJ, CHUQ, CHUS", "")</f>
      </c>
      <c r="AN422" s="57">
        <f>IF(AND(AJ422="no match", AK422="", AL422="", K422&gt;26), "CUSM, CHU SJ, HGJ, CHUQ, CHUS, HMR", "")</f>
      </c>
    </row>
    <row x14ac:dyDescent="0.25" r="423" customHeight="1" ht="17.25">
      <c r="A423" s="41" t="s">
        <v>3521</v>
      </c>
      <c r="B423" s="28">
        <v>2</v>
      </c>
      <c r="C423" s="28">
        <v>761</v>
      </c>
      <c r="D423" s="29" t="s">
        <v>746</v>
      </c>
      <c r="E423" s="30" t="s">
        <v>50</v>
      </c>
      <c r="F423" s="31">
        <v>45149</v>
      </c>
      <c r="G423" s="32">
        <v>4.75</v>
      </c>
      <c r="H423" s="31">
        <v>45148</v>
      </c>
      <c r="I423" s="32">
        <v>4.675694444444444</v>
      </c>
      <c r="J423" s="33">
        <f>F423-H423</f>
      </c>
      <c r="K423" s="28">
        <v>39</v>
      </c>
      <c r="L423" s="28">
        <v>3</v>
      </c>
      <c r="M423" s="28">
        <v>2</v>
      </c>
      <c r="N423" s="34"/>
      <c r="O423" s="34"/>
      <c r="P423" s="34"/>
      <c r="Q423" s="34"/>
      <c r="R423" s="34"/>
      <c r="S423" s="56"/>
      <c r="T423" s="38"/>
      <c r="U423" s="34"/>
      <c r="V423" s="34"/>
      <c r="W423" s="29"/>
      <c r="X423" s="28">
        <v>19</v>
      </c>
      <c r="Y423" s="28">
        <v>1</v>
      </c>
      <c r="Z423" s="28">
        <v>1</v>
      </c>
      <c r="AA423" s="28">
        <v>1</v>
      </c>
      <c r="AB423" s="28">
        <v>2</v>
      </c>
      <c r="AC423" s="28">
        <v>2</v>
      </c>
      <c r="AD423" s="28">
        <v>1</v>
      </c>
      <c r="AE423" s="28">
        <v>4</v>
      </c>
      <c r="AF423" s="28">
        <v>1</v>
      </c>
      <c r="AG423" s="28">
        <v>2</v>
      </c>
      <c r="AH423" s="29" t="s">
        <v>1022</v>
      </c>
      <c r="AI423" s="36">
        <f>IF(OR(AND(K423&lt;32, J423&lt;2), O423=1, P423=1, Q423=1, R423=1, S423=1, T423=1, U423=1, AND(W423&lt;&gt;"", W423&lt;&gt;"Oxygen", W423&lt;&gt;"LowFlow")), "Intensive", "Intermediate")</f>
      </c>
      <c r="AJ423" s="57">
        <f>IF(OR(LEFT(AH423, 1)="X", LEFT(AH423, 1)="Y", LEFT(AH423, 3)="J36M"), "CUSM", "No Match")</f>
      </c>
      <c r="AK423" s="57">
        <f>IF(AND(OR(O423=3, P423=1, Q423=1, T423=1), AJ423="no Match"), "CUSM, CHU SJ, CHUQ", "")</f>
      </c>
      <c r="AL423" s="57">
        <f>IF(AND(O423=2, ISBLANK(P423), ISBLANK(Q423), ISBLANK(R423), ISBLANK(S423), ISBLANK(T423)), "CUSM, CHU SJ, CHUS, CHUQ", "")</f>
      </c>
      <c r="AM423" s="57">
        <f>IF(AND(AJ423="no match", AK423="", AL423="", K423&lt;26), "CUSM, CHU SJ, HGJ, CHUQ, CHUS", "")</f>
      </c>
      <c r="AN423" s="57">
        <f>IF(AND(AJ423="no match", AK423="", AL423="", K423&gt;26), "CUSM, CHU SJ, HGJ, CHUQ, CHUS, HMR", "")</f>
      </c>
    </row>
    <row x14ac:dyDescent="0.25" r="424" customHeight="1" ht="17.25">
      <c r="A424" s="41" t="s">
        <v>3522</v>
      </c>
      <c r="B424" s="28">
        <v>2</v>
      </c>
      <c r="C424" s="35">
        <v>2</v>
      </c>
      <c r="D424" s="29" t="s">
        <v>269</v>
      </c>
      <c r="E424" s="30" t="s">
        <v>54</v>
      </c>
      <c r="F424" s="31">
        <v>45150</v>
      </c>
      <c r="G424" s="32">
        <v>4.3381944444444445</v>
      </c>
      <c r="H424" s="31">
        <v>45149</v>
      </c>
      <c r="I424" s="32">
        <v>4.976388888888889</v>
      </c>
      <c r="J424" s="33">
        <f>F424-H424</f>
      </c>
      <c r="K424" s="28">
        <v>40</v>
      </c>
      <c r="L424" s="28">
        <v>1</v>
      </c>
      <c r="M424" s="28">
        <v>1</v>
      </c>
      <c r="N424" s="34"/>
      <c r="O424" s="34"/>
      <c r="P424" s="34"/>
      <c r="Q424" s="34"/>
      <c r="R424" s="34"/>
      <c r="S424" s="56"/>
      <c r="T424" s="34"/>
      <c r="U424" s="34"/>
      <c r="V424" s="34"/>
      <c r="W424" s="29" t="s">
        <v>106</v>
      </c>
      <c r="X424" s="28">
        <v>31</v>
      </c>
      <c r="Y424" s="28">
        <v>1</v>
      </c>
      <c r="Z424" s="28">
        <v>1</v>
      </c>
      <c r="AA424" s="28">
        <v>2</v>
      </c>
      <c r="AB424" s="28">
        <v>1</v>
      </c>
      <c r="AC424" s="28">
        <v>2</v>
      </c>
      <c r="AD424" s="28">
        <v>1</v>
      </c>
      <c r="AE424" s="28">
        <v>4</v>
      </c>
      <c r="AF424" s="35">
        <v>2</v>
      </c>
      <c r="AG424" s="28">
        <v>2</v>
      </c>
      <c r="AH424" s="29" t="s">
        <v>3523</v>
      </c>
      <c r="AI424" s="36">
        <f>IF(OR(AND(K424&lt;32, J424&lt;2), O424=1, P424=1, Q424=1, R424=1, S424=1, T424=1, U424=1, AND(W424&lt;&gt;"", W424&lt;&gt;"Oxygen", W424&lt;&gt;"LowFlow")), "Intensive", "Intermediate")</f>
      </c>
      <c r="AJ424" s="57">
        <f>IF(OR(LEFT(AH424, 1)="X", LEFT(AH424, 1)="Y", LEFT(AH424, 3)="J37M"), "CUSM", "No Match")</f>
      </c>
      <c r="AK424" s="57">
        <f>IF(AND(OR(O424=3, P424=1, Q424=1, T424=1), AJ424="no Match"), "CUSM, CHU SJ, CHUQ", "")</f>
      </c>
      <c r="AL424" s="57">
        <f>IF(AND(O424=2, ISBLANK(P424), ISBLANK(Q424), ISBLANK(R424), ISBLANK(S424), ISBLANK(T424)), "CUSM, CHU SJ, CHUS, CHUQ", "")</f>
      </c>
      <c r="AM424" s="57">
        <f>IF(AND(AJ424="no match", AK424="", AL424="", K424&lt;26), "CUSM, CHU SJ, HGJ, CHUQ, CHUS", "")</f>
      </c>
      <c r="AN424" s="57">
        <f>IF(AND(AJ424="no match", AK424="", AL424="", K424&gt;26), "CUSM, CHU SJ, HGJ, CHUQ, CHUS, HMR", "")</f>
      </c>
    </row>
    <row x14ac:dyDescent="0.25" r="425" customHeight="1" ht="17.25">
      <c r="A425" s="41" t="s">
        <v>3524</v>
      </c>
      <c r="B425" s="28">
        <v>2</v>
      </c>
      <c r="C425" s="35">
        <v>815</v>
      </c>
      <c r="D425" s="29" t="s">
        <v>100</v>
      </c>
      <c r="E425" s="30" t="s">
        <v>54</v>
      </c>
      <c r="F425" s="31">
        <v>45150</v>
      </c>
      <c r="G425" s="32">
        <v>4.597222222222222</v>
      </c>
      <c r="H425" s="31">
        <v>45147</v>
      </c>
      <c r="I425" s="32">
        <v>4.963888888888889</v>
      </c>
      <c r="J425" s="33">
        <f>F425-H425</f>
      </c>
      <c r="K425" s="28">
        <v>39</v>
      </c>
      <c r="L425" s="28">
        <v>2</v>
      </c>
      <c r="M425" s="28">
        <v>1</v>
      </c>
      <c r="N425" s="35">
        <v>1</v>
      </c>
      <c r="O425" s="34"/>
      <c r="P425" s="35">
        <v>1</v>
      </c>
      <c r="Q425" s="34"/>
      <c r="R425" s="34"/>
      <c r="S425" s="56"/>
      <c r="T425" s="34"/>
      <c r="U425" s="34"/>
      <c r="V425" s="34"/>
      <c r="W425" s="29"/>
      <c r="X425" s="28">
        <v>28</v>
      </c>
      <c r="Y425" s="28">
        <v>1</v>
      </c>
      <c r="Z425" s="28">
        <v>1</v>
      </c>
      <c r="AA425" s="28">
        <v>2</v>
      </c>
      <c r="AB425" s="28">
        <v>1</v>
      </c>
      <c r="AC425" s="28">
        <v>2</v>
      </c>
      <c r="AD425" s="28">
        <v>2</v>
      </c>
      <c r="AE425" s="28">
        <v>4</v>
      </c>
      <c r="AF425" s="35">
        <v>2</v>
      </c>
      <c r="AG425" s="28">
        <v>2</v>
      </c>
      <c r="AH425" s="29" t="s">
        <v>3525</v>
      </c>
      <c r="AI425" s="36">
        <f>IF(OR(AND(K425&lt;32, J425&lt;2), O425=1, P425=1, Q425=1, R425=1, S425=1, T425=1, U425=1, AND(W425&lt;&gt;"", W425&lt;&gt;"Oxygen", W425&lt;&gt;"LowFlow")), "Intensive", "Intermediate")</f>
      </c>
      <c r="AJ425" s="57">
        <f>IF(OR(LEFT(AH425, 1)="X", LEFT(AH425, 1)="Y", LEFT(AH425, 3)="J38M"), "CUSM", "No Match")</f>
      </c>
      <c r="AK425" s="57">
        <f>IF(AND(OR(O425=3, P425=1, Q425=1, T425=1), AJ425="no Match"), "CUSM, CHU SJ, CHUQ", "")</f>
      </c>
      <c r="AL425" s="57">
        <f>IF(AND(O425=2, ISBLANK(P425), ISBLANK(Q425), ISBLANK(R425), ISBLANK(S425), ISBLANK(T425)), "CUSM, CHU SJ, CHUS, CHUQ", "")</f>
      </c>
      <c r="AM425" s="57">
        <f>IF(AND(AJ425="no match", AK425="", AL425="", K425&lt;26), "CUSM, CHU SJ, HGJ, CHUQ, CHUS", "")</f>
      </c>
      <c r="AN425" s="57">
        <f>IF(AND(AJ425="no match", AK425="", AL425="", K425&gt;26), "CUSM, CHU SJ, HGJ, CHUQ, CHUS, HMR", "")</f>
      </c>
    </row>
    <row x14ac:dyDescent="0.25" r="426" customHeight="1" ht="17.25">
      <c r="A426" s="41" t="s">
        <v>3526</v>
      </c>
      <c r="B426" s="28">
        <v>2</v>
      </c>
      <c r="C426" s="35">
        <v>833</v>
      </c>
      <c r="D426" s="29" t="s">
        <v>376</v>
      </c>
      <c r="E426" s="30" t="s">
        <v>50</v>
      </c>
      <c r="F426" s="31">
        <v>45150</v>
      </c>
      <c r="G426" s="32">
        <v>4.272916666666667</v>
      </c>
      <c r="H426" s="31">
        <v>45150</v>
      </c>
      <c r="I426" s="32">
        <v>4.039583333333333</v>
      </c>
      <c r="J426" s="33">
        <f>F426-H426</f>
      </c>
      <c r="K426" s="28">
        <v>38</v>
      </c>
      <c r="L426" s="28">
        <v>1</v>
      </c>
      <c r="M426" s="28">
        <v>1</v>
      </c>
      <c r="N426" s="34"/>
      <c r="O426" s="34"/>
      <c r="P426" s="34"/>
      <c r="Q426" s="34"/>
      <c r="R426" s="34"/>
      <c r="S426" s="56"/>
      <c r="T426" s="35">
        <v>1</v>
      </c>
      <c r="U426" s="34"/>
      <c r="V426" s="34"/>
      <c r="W426" s="29" t="s">
        <v>74</v>
      </c>
      <c r="X426" s="28">
        <v>18</v>
      </c>
      <c r="Y426" s="28">
        <v>1</v>
      </c>
      <c r="Z426" s="28">
        <v>1</v>
      </c>
      <c r="AA426" s="28">
        <v>2</v>
      </c>
      <c r="AB426" s="28">
        <v>4</v>
      </c>
      <c r="AC426" s="28">
        <v>2</v>
      </c>
      <c r="AD426" s="28">
        <v>1</v>
      </c>
      <c r="AE426" s="28">
        <v>4</v>
      </c>
      <c r="AF426" s="28">
        <v>2</v>
      </c>
      <c r="AG426" s="28">
        <v>2</v>
      </c>
      <c r="AH426" s="29" t="s">
        <v>2935</v>
      </c>
      <c r="AI426" s="36">
        <f>IF(OR(AND(K426&lt;32, J426&lt;2), O426=1, P426=1, Q426=1, R426=1, S426=1, T426=1, U426=1, AND(W426&lt;&gt;"", W426&lt;&gt;"Oxygen", W426&lt;&gt;"LowFlow")), "Intensive", "Intermediate")</f>
      </c>
      <c r="AJ426" s="57">
        <f>IF(OR(LEFT(AH426, 1)="X", LEFT(AH426, 1)="Y", LEFT(AH426, 3)="J39M"), "CUSM", "No Match")</f>
      </c>
      <c r="AK426" s="57">
        <f>IF(AND(OR(O426=3, P426=1, Q426=1, T426=1), AJ426="no Match"), "CUSM, CHU SJ, CHUQ", "")</f>
      </c>
      <c r="AL426" s="57">
        <f>IF(AND(O426=2, ISBLANK(P426), ISBLANK(Q426), ISBLANK(R426), ISBLANK(S426), ISBLANK(T426)), "CUSM, CHU SJ, CHUS, CHUQ", "")</f>
      </c>
      <c r="AM426" s="57">
        <f>IF(AND(AJ426="no match", AK426="", AL426="", K426&lt;26), "CUSM, CHU SJ, HGJ, CHUQ, CHUS", "")</f>
      </c>
      <c r="AN426" s="57">
        <f>IF(AND(AJ426="no match", AK426="", AL426="", K426&gt;26), "CUSM, CHU SJ, HGJ, CHUQ, CHUS, HMR", "")</f>
      </c>
    </row>
    <row x14ac:dyDescent="0.25" r="427" customHeight="1" ht="17.25">
      <c r="A427" s="41" t="s">
        <v>3527</v>
      </c>
      <c r="B427" s="28">
        <v>2</v>
      </c>
      <c r="C427" s="35">
        <v>796</v>
      </c>
      <c r="D427" s="29" t="s">
        <v>63</v>
      </c>
      <c r="E427" s="30" t="s">
        <v>54</v>
      </c>
      <c r="F427" s="31">
        <v>45151</v>
      </c>
      <c r="G427" s="32">
        <v>4.470138888888889</v>
      </c>
      <c r="H427" s="31">
        <v>45150</v>
      </c>
      <c r="I427" s="32">
        <v>4.0625</v>
      </c>
      <c r="J427" s="33">
        <f>F427-H427</f>
      </c>
      <c r="K427" s="28">
        <v>37</v>
      </c>
      <c r="L427" s="28">
        <v>5</v>
      </c>
      <c r="M427" s="28">
        <v>2</v>
      </c>
      <c r="N427" s="35">
        <v>1</v>
      </c>
      <c r="O427" s="34"/>
      <c r="P427" s="34"/>
      <c r="Q427" s="34"/>
      <c r="R427" s="34"/>
      <c r="S427" s="56"/>
      <c r="T427" s="34"/>
      <c r="U427" s="34"/>
      <c r="V427" s="34"/>
      <c r="W427" s="29" t="s">
        <v>74</v>
      </c>
      <c r="X427" s="28">
        <v>27</v>
      </c>
      <c r="Y427" s="28">
        <v>2</v>
      </c>
      <c r="Z427" s="28">
        <v>1</v>
      </c>
      <c r="AA427" s="28">
        <v>2</v>
      </c>
      <c r="AB427" s="28">
        <v>1</v>
      </c>
      <c r="AC427" s="28">
        <v>2</v>
      </c>
      <c r="AD427" s="28">
        <v>2</v>
      </c>
      <c r="AE427" s="28">
        <v>4</v>
      </c>
      <c r="AF427" s="28">
        <v>2</v>
      </c>
      <c r="AG427" s="28">
        <v>2</v>
      </c>
      <c r="AH427" s="29" t="s">
        <v>3528</v>
      </c>
      <c r="AI427" s="36">
        <f>IF(OR(AND(K427&lt;32, J427&lt;2), O427=1, P427=1, Q427=1, R427=1, S427=1, T427=1, U427=1, AND(W427&lt;&gt;"", W427&lt;&gt;"Oxygen", W427&lt;&gt;"LowFlow")), "Intensive", "Intermediate")</f>
      </c>
      <c r="AJ427" s="57">
        <f>IF(OR(LEFT(AH427, 1)="X", LEFT(AH427, 1)="Y", LEFT(AH427, 3)="J40M"), "CUSM", "No Match")</f>
      </c>
      <c r="AK427" s="57">
        <f>IF(AND(OR(O427=3, P427=1, Q427=1, T427=1), AJ427="no Match"), "CUSM, CHU SJ, CHUQ", "")</f>
      </c>
      <c r="AL427" s="57">
        <f>IF(AND(O427=2, ISBLANK(P427), ISBLANK(Q427), ISBLANK(R427), ISBLANK(S427), ISBLANK(T427)), "CUSM, CHU SJ, CHUS, CHUQ", "")</f>
      </c>
      <c r="AM427" s="57">
        <f>IF(AND(AJ427="no match", AK427="", AL427="", K427&lt;26), "CUSM, CHU SJ, HGJ, CHUQ, CHUS", "")</f>
      </c>
      <c r="AN427" s="57">
        <f>IF(AND(AJ427="no match", AK427="", AL427="", K427&gt;26), "CUSM, CHU SJ, HGJ, CHUQ, CHUS, HMR", "")</f>
      </c>
    </row>
    <row x14ac:dyDescent="0.25" r="428" customHeight="1" ht="17.25">
      <c r="A428" s="41" t="s">
        <v>3529</v>
      </c>
      <c r="B428" s="28">
        <v>2</v>
      </c>
      <c r="C428" s="35">
        <v>779</v>
      </c>
      <c r="D428" s="29" t="s">
        <v>136</v>
      </c>
      <c r="E428" s="30" t="s">
        <v>50</v>
      </c>
      <c r="F428" s="31">
        <v>45151</v>
      </c>
      <c r="G428" s="32">
        <v>4.333333333333334</v>
      </c>
      <c r="H428" s="31">
        <v>45151</v>
      </c>
      <c r="I428" s="32">
        <v>4.104166666666666</v>
      </c>
      <c r="J428" s="33">
        <f>F428-H428</f>
      </c>
      <c r="K428" s="28">
        <v>33</v>
      </c>
      <c r="L428" s="28">
        <v>6</v>
      </c>
      <c r="M428" s="28">
        <v>2</v>
      </c>
      <c r="N428" s="34"/>
      <c r="O428" s="34"/>
      <c r="P428" s="34"/>
      <c r="Q428" s="34"/>
      <c r="R428" s="34"/>
      <c r="S428" s="56"/>
      <c r="T428" s="34"/>
      <c r="U428" s="34"/>
      <c r="V428" s="34"/>
      <c r="W428" s="29" t="s">
        <v>74</v>
      </c>
      <c r="X428" s="28">
        <v>36</v>
      </c>
      <c r="Y428" s="28">
        <v>1</v>
      </c>
      <c r="Z428" s="28">
        <v>1</v>
      </c>
      <c r="AA428" s="28">
        <v>1</v>
      </c>
      <c r="AB428" s="28">
        <v>1</v>
      </c>
      <c r="AC428" s="28">
        <v>2</v>
      </c>
      <c r="AD428" s="28">
        <v>2</v>
      </c>
      <c r="AE428" s="28">
        <v>4</v>
      </c>
      <c r="AF428" s="28">
        <v>2</v>
      </c>
      <c r="AG428" s="28">
        <v>2</v>
      </c>
      <c r="AH428" s="29" t="s">
        <v>3530</v>
      </c>
      <c r="AI428" s="36">
        <f>IF(OR(AND(K428&lt;32, J428&lt;2), O428=1, P428=1, Q428=1, R428=1, S428=1, T428=1, U428=1, AND(W428&lt;&gt;"", W428&lt;&gt;"Oxygen", W428&lt;&gt;"LowFlow")), "Intensive", "Intermediate")</f>
      </c>
      <c r="AJ428" s="57">
        <f>IF(OR(LEFT(AH428, 1)="X", LEFT(AH428, 1)="Y", LEFT(AH428, 3)="J41M"), "CUSM", "No Match")</f>
      </c>
      <c r="AK428" s="57">
        <f>IF(AND(OR(O428=3, P428=1, Q428=1, T428=1), AJ428="no Match"), "CUSM, CHU SJ, CHUQ", "")</f>
      </c>
      <c r="AL428" s="57">
        <f>IF(AND(O428=2, ISBLANK(P428), ISBLANK(Q428), ISBLANK(R428), ISBLANK(S428), ISBLANK(T428)), "CUSM, CHU SJ, CHUS, CHUQ", "")</f>
      </c>
      <c r="AM428" s="57">
        <f>IF(AND(AJ428="no match", AK428="", AL428="", K428&lt;26), "CUSM, CHU SJ, HGJ, CHUQ, CHUS", "")</f>
      </c>
      <c r="AN428" s="57">
        <f>IF(AND(AJ428="no match", AK428="", AL428="", K428&gt;26), "CUSM, CHU SJ, HGJ, CHUQ, CHUS, HMR", "")</f>
      </c>
    </row>
    <row x14ac:dyDescent="0.25" r="429" customHeight="1" ht="17.25">
      <c r="A429" s="41" t="s">
        <v>3531</v>
      </c>
      <c r="B429" s="28">
        <v>2</v>
      </c>
      <c r="C429" s="28">
        <v>779</v>
      </c>
      <c r="D429" s="29" t="s">
        <v>136</v>
      </c>
      <c r="E429" s="30" t="s">
        <v>50</v>
      </c>
      <c r="F429" s="31">
        <v>45152</v>
      </c>
      <c r="G429" s="32">
        <v>4.098611111111111</v>
      </c>
      <c r="H429" s="31">
        <v>45150</v>
      </c>
      <c r="I429" s="32">
        <v>4.725694444444445</v>
      </c>
      <c r="J429" s="33">
        <f>F429-H429</f>
      </c>
      <c r="K429" s="28">
        <v>39</v>
      </c>
      <c r="L429" s="28">
        <v>3</v>
      </c>
      <c r="M429" s="28">
        <v>1</v>
      </c>
      <c r="N429" s="34"/>
      <c r="O429" s="34"/>
      <c r="P429" s="34"/>
      <c r="Q429" s="34"/>
      <c r="R429" s="34"/>
      <c r="S429" s="56"/>
      <c r="T429" s="34"/>
      <c r="U429" s="34"/>
      <c r="V429" s="34"/>
      <c r="W429" s="29"/>
      <c r="X429" s="28">
        <v>36</v>
      </c>
      <c r="Y429" s="28">
        <v>1</v>
      </c>
      <c r="Z429" s="28">
        <v>1</v>
      </c>
      <c r="AA429" s="28">
        <v>2</v>
      </c>
      <c r="AB429" s="28">
        <v>1</v>
      </c>
      <c r="AC429" s="28">
        <v>1</v>
      </c>
      <c r="AD429" s="28">
        <v>1</v>
      </c>
      <c r="AE429" s="28">
        <v>4</v>
      </c>
      <c r="AF429" s="28">
        <v>2</v>
      </c>
      <c r="AG429" s="28">
        <v>2</v>
      </c>
      <c r="AH429" s="29" t="s">
        <v>3532</v>
      </c>
      <c r="AI429" s="36">
        <f>IF(OR(AND(K429&lt;32, J429&lt;2), O429=1, P429=1, Q429=1, R429=1, S429=1, T429=1, U429=1, AND(W429&lt;&gt;"", W429&lt;&gt;"Oxygen", W429&lt;&gt;"LowFlow")), "Intensive", "Intermediate")</f>
      </c>
      <c r="AJ429" s="57">
        <f>IF(OR(LEFT(AH429, 1)="X", LEFT(AH429, 1)="Y", LEFT(AH429, 3)="J42M"), "CUSM", "No Match")</f>
      </c>
      <c r="AK429" s="57">
        <f>IF(AND(OR(O429=3, P429=1, Q429=1, T429=1), AJ429="no Match"), "CUSM, CHU SJ, CHUQ", "")</f>
      </c>
      <c r="AL429" s="57">
        <f>IF(AND(O429=2, ISBLANK(P429), ISBLANK(Q429), ISBLANK(R429), ISBLANK(S429), ISBLANK(T429)), "CUSM, CHU SJ, CHUS, CHUQ", "")</f>
      </c>
      <c r="AM429" s="57">
        <f>IF(AND(AJ429="no match", AK429="", AL429="", K429&lt;26), "CUSM, CHU SJ, HGJ, CHUQ, CHUS", "")</f>
      </c>
      <c r="AN429" s="57">
        <f>IF(AND(AJ429="no match", AK429="", AL429="", K429&gt;26), "CUSM, CHU SJ, HGJ, CHUQ, CHUS, HMR", "")</f>
      </c>
    </row>
    <row x14ac:dyDescent="0.25" r="430" customHeight="1" ht="17.25">
      <c r="A430" s="41" t="s">
        <v>3533</v>
      </c>
      <c r="B430" s="28">
        <v>2</v>
      </c>
      <c r="C430" s="35">
        <v>734</v>
      </c>
      <c r="D430" s="29" t="s">
        <v>264</v>
      </c>
      <c r="E430" s="30" t="s">
        <v>54</v>
      </c>
      <c r="F430" s="31">
        <v>45153</v>
      </c>
      <c r="G430" s="32">
        <v>4.0625</v>
      </c>
      <c r="H430" s="31">
        <v>45152</v>
      </c>
      <c r="I430" s="32">
        <v>4.861111111111111</v>
      </c>
      <c r="J430" s="33">
        <f>F430-H430</f>
      </c>
      <c r="K430" s="28">
        <v>26</v>
      </c>
      <c r="L430" s="28">
        <v>0</v>
      </c>
      <c r="M430" s="28">
        <v>2</v>
      </c>
      <c r="N430" s="34"/>
      <c r="O430" s="34"/>
      <c r="P430" s="34"/>
      <c r="Q430" s="34"/>
      <c r="R430" s="34"/>
      <c r="S430" s="56"/>
      <c r="T430" s="34"/>
      <c r="U430" s="34"/>
      <c r="V430" s="34"/>
      <c r="W430" s="29" t="s">
        <v>74</v>
      </c>
      <c r="X430" s="28">
        <v>31</v>
      </c>
      <c r="Y430" s="28">
        <v>1</v>
      </c>
      <c r="Z430" s="28">
        <v>1</v>
      </c>
      <c r="AA430" s="28">
        <v>2</v>
      </c>
      <c r="AB430" s="28">
        <v>4</v>
      </c>
      <c r="AC430" s="28">
        <v>2</v>
      </c>
      <c r="AD430" s="28">
        <v>2</v>
      </c>
      <c r="AE430" s="28">
        <v>4</v>
      </c>
      <c r="AF430" s="28">
        <v>2</v>
      </c>
      <c r="AG430" s="28">
        <v>1</v>
      </c>
      <c r="AH430" s="29" t="s">
        <v>3534</v>
      </c>
      <c r="AI430" s="36">
        <f>IF(OR(AND(K430&lt;32, J430&lt;2), O430=1, P430=1, Q430=1, R430=1, S430=1, T430=1, U430=1, AND(W430&lt;&gt;"", W430&lt;&gt;"Oxygen", W430&lt;&gt;"LowFlow")), "Intensive", "Intermediate")</f>
      </c>
      <c r="AJ430" s="57">
        <f>IF(OR(LEFT(AH430, 1)="X", LEFT(AH430, 1)="Y", LEFT(AH430, 3)="J43M"), "CUSM", "No Match")</f>
      </c>
      <c r="AK430" s="57">
        <f>IF(AND(OR(O430=3, P430=1, Q430=1, T430=1), AJ430="no Match"), "CUSM, CHU SJ, CHUQ", "")</f>
      </c>
      <c r="AL430" s="57">
        <f>IF(AND(O430=2, ISBLANK(P430), ISBLANK(Q430), ISBLANK(R430), ISBLANK(S430), ISBLANK(T430)), "CUSM, CHU SJ, CHUS, CHUQ", "")</f>
      </c>
      <c r="AM430" s="57">
        <f>IF(AND(AJ430="no match", AK430="", AL430="", K430&lt;26), "CUSM, CHU SJ, HGJ, CHUQ, CHUS", "")</f>
      </c>
      <c r="AN430" s="57">
        <f>IF(AND(AJ430="no match", AK430="", AL430="", K430&gt;26), "CUSM, CHU SJ, HGJ, CHUQ, CHUS, HMR", "")</f>
      </c>
    </row>
    <row x14ac:dyDescent="0.25" r="431" customHeight="1" ht="17.25">
      <c r="A431" s="41" t="s">
        <v>3535</v>
      </c>
      <c r="B431" s="28">
        <v>2</v>
      </c>
      <c r="C431" s="35">
        <v>820</v>
      </c>
      <c r="D431" s="29" t="s">
        <v>69</v>
      </c>
      <c r="E431" s="30" t="s">
        <v>78</v>
      </c>
      <c r="F431" s="31">
        <v>45153</v>
      </c>
      <c r="G431" s="32">
        <v>4.083333333333334</v>
      </c>
      <c r="H431" s="31">
        <v>45151</v>
      </c>
      <c r="I431" s="32">
        <v>4.570833333333333</v>
      </c>
      <c r="J431" s="33">
        <f>F431-H431</f>
      </c>
      <c r="K431" s="28">
        <v>38</v>
      </c>
      <c r="L431" s="28">
        <v>0</v>
      </c>
      <c r="M431" s="28">
        <v>1</v>
      </c>
      <c r="N431" s="35">
        <v>1</v>
      </c>
      <c r="O431" s="34"/>
      <c r="P431" s="35">
        <v>1</v>
      </c>
      <c r="Q431" s="34"/>
      <c r="R431" s="34"/>
      <c r="S431" s="56"/>
      <c r="T431" s="34"/>
      <c r="U431" s="34"/>
      <c r="V431" s="34"/>
      <c r="W431" s="29"/>
      <c r="X431" s="28">
        <v>26</v>
      </c>
      <c r="Y431" s="28">
        <v>1</v>
      </c>
      <c r="Z431" s="28">
        <v>1</v>
      </c>
      <c r="AA431" s="28">
        <v>2</v>
      </c>
      <c r="AB431" s="28">
        <v>1</v>
      </c>
      <c r="AC431" s="28">
        <v>2</v>
      </c>
      <c r="AD431" s="28">
        <v>2</v>
      </c>
      <c r="AE431" s="28">
        <v>4</v>
      </c>
      <c r="AF431" s="28">
        <v>2</v>
      </c>
      <c r="AG431" s="28">
        <v>2</v>
      </c>
      <c r="AH431" s="29" t="s">
        <v>2408</v>
      </c>
      <c r="AI431" s="36">
        <f>IF(OR(AND(K431&lt;32, J431&lt;2), O431=1, P431=1, Q431=1, R431=1, S431=1, T431=1, U431=1, AND(W431&lt;&gt;"", W431&lt;&gt;"Oxygen", W431&lt;&gt;"LowFlow")), "Intensive", "Intermediate")</f>
      </c>
      <c r="AJ431" s="57">
        <f>IF(OR(LEFT(AH431, 1)="X", LEFT(AH431, 1)="Y", LEFT(AH431, 3)="J44M"), "CUSM", "No Match")</f>
      </c>
      <c r="AK431" s="57">
        <f>IF(AND(OR(O431=3, P431=1, Q431=1, T431=1), AJ431="no Match"), "CUSM, CHU SJ, CHUQ", "")</f>
      </c>
      <c r="AL431" s="57">
        <f>IF(AND(O431=2, ISBLANK(P431), ISBLANK(Q431), ISBLANK(R431), ISBLANK(S431), ISBLANK(T431)), "CUSM, CHU SJ, CHUS, CHUQ", "")</f>
      </c>
      <c r="AM431" s="57">
        <f>IF(AND(AJ431="no match", AK431="", AL431="", K431&lt;26), "CUSM, CHU SJ, HGJ, CHUQ, CHUS", "")</f>
      </c>
      <c r="AN431" s="57">
        <f>IF(AND(AJ431="no match", AK431="", AL431="", K431&gt;26), "CUSM, CHU SJ, HGJ, CHUQ, CHUS, HMR", "")</f>
      </c>
    </row>
    <row x14ac:dyDescent="0.25" r="432" customHeight="1" ht="17.25">
      <c r="A432" s="41" t="s">
        <v>3536</v>
      </c>
      <c r="B432" s="28">
        <v>2</v>
      </c>
      <c r="C432" s="28">
        <v>731</v>
      </c>
      <c r="D432" s="29" t="s">
        <v>103</v>
      </c>
      <c r="E432" s="30" t="s">
        <v>220</v>
      </c>
      <c r="F432" s="31">
        <v>45154</v>
      </c>
      <c r="G432" s="32">
        <v>4.808333333333334</v>
      </c>
      <c r="H432" s="31">
        <v>45153</v>
      </c>
      <c r="I432" s="32">
        <v>4.945138888888889</v>
      </c>
      <c r="J432" s="33">
        <f>F432-H432</f>
      </c>
      <c r="K432" s="28">
        <v>32</v>
      </c>
      <c r="L432" s="28">
        <v>0</v>
      </c>
      <c r="M432" s="28">
        <v>1</v>
      </c>
      <c r="N432" s="34"/>
      <c r="O432" s="34"/>
      <c r="P432" s="34"/>
      <c r="Q432" s="34"/>
      <c r="R432" s="34"/>
      <c r="S432" s="56"/>
      <c r="T432" s="34"/>
      <c r="U432" s="34"/>
      <c r="V432" s="34"/>
      <c r="W432" s="29" t="s">
        <v>74</v>
      </c>
      <c r="X432" s="28">
        <v>34</v>
      </c>
      <c r="Y432" s="28">
        <v>1</v>
      </c>
      <c r="Z432" s="28">
        <v>1</v>
      </c>
      <c r="AA432" s="28">
        <v>1</v>
      </c>
      <c r="AB432" s="28">
        <v>1</v>
      </c>
      <c r="AC432" s="28">
        <v>2</v>
      </c>
      <c r="AD432" s="28">
        <v>1</v>
      </c>
      <c r="AE432" s="28">
        <v>4</v>
      </c>
      <c r="AF432" s="28">
        <v>2</v>
      </c>
      <c r="AG432" s="28">
        <v>2</v>
      </c>
      <c r="AH432" s="29" t="s">
        <v>3537</v>
      </c>
      <c r="AI432" s="36">
        <f>IF(OR(AND(K432&lt;32, J432&lt;2), O432=1, P432=1, Q432=1, R432=1, S432=1, T432=1, U432=1, AND(W432&lt;&gt;"", W432&lt;&gt;"Oxygen", W432&lt;&gt;"LowFlow")), "Intensive", "Intermediate")</f>
      </c>
      <c r="AJ432" s="57">
        <f>IF(OR(LEFT(AH432, 1)="X", LEFT(AH432, 1)="Y", LEFT(AH432, 3)="J45M"), "CUSM", "No Match")</f>
      </c>
      <c r="AK432" s="57">
        <f>IF(AND(OR(O432=3, P432=1, Q432=1, T432=1), AJ432="no Match"), "CUSM, CHU SJ, CHUQ", "")</f>
      </c>
      <c r="AL432" s="57">
        <f>IF(AND(O432=2, ISBLANK(P432), ISBLANK(Q432), ISBLANK(R432), ISBLANK(S432), ISBLANK(T432)), "CUSM, CHU SJ, CHUS, CHUQ", "")</f>
      </c>
      <c r="AM432" s="57">
        <f>IF(AND(AJ432="no match", AK432="", AL432="", K432&lt;26), "CUSM, CHU SJ, HGJ, CHUQ, CHUS", "")</f>
      </c>
      <c r="AN432" s="57">
        <f>IF(AND(AJ432="no match", AK432="", AL432="", K432&gt;26), "CUSM, CHU SJ, HGJ, CHUQ, CHUS, HMR", "")</f>
      </c>
    </row>
    <row x14ac:dyDescent="0.25" r="433" customHeight="1" ht="17.25">
      <c r="A433" s="41" t="s">
        <v>3538</v>
      </c>
      <c r="B433" s="28">
        <v>2</v>
      </c>
      <c r="C433" s="35">
        <v>833</v>
      </c>
      <c r="D433" s="29" t="s">
        <v>376</v>
      </c>
      <c r="E433" s="30" t="s">
        <v>118</v>
      </c>
      <c r="F433" s="31">
        <v>45155</v>
      </c>
      <c r="G433" s="32">
        <v>4.553472222222222</v>
      </c>
      <c r="H433" s="31">
        <v>45155</v>
      </c>
      <c r="I433" s="32">
        <v>4.25</v>
      </c>
      <c r="J433" s="33">
        <f>F433-H433</f>
      </c>
      <c r="K433" s="28">
        <v>31</v>
      </c>
      <c r="L433" s="28">
        <v>0</v>
      </c>
      <c r="M433" s="28">
        <v>1</v>
      </c>
      <c r="N433" s="34"/>
      <c r="O433" s="34"/>
      <c r="P433" s="34"/>
      <c r="Q433" s="34"/>
      <c r="R433" s="34"/>
      <c r="S433" s="56"/>
      <c r="T433" s="34"/>
      <c r="U433" s="34"/>
      <c r="V433" s="34"/>
      <c r="W433" s="29" t="s">
        <v>74</v>
      </c>
      <c r="X433" s="28">
        <v>23</v>
      </c>
      <c r="Y433" s="28">
        <v>1</v>
      </c>
      <c r="Z433" s="28">
        <v>2</v>
      </c>
      <c r="AA433" s="28">
        <v>3</v>
      </c>
      <c r="AB433" s="28">
        <v>1</v>
      </c>
      <c r="AC433" s="28">
        <v>2</v>
      </c>
      <c r="AD433" s="28">
        <v>2</v>
      </c>
      <c r="AE433" s="28">
        <v>4</v>
      </c>
      <c r="AF433" s="35">
        <v>2</v>
      </c>
      <c r="AG433" s="28">
        <v>2</v>
      </c>
      <c r="AH433" s="29" t="s">
        <v>1030</v>
      </c>
      <c r="AI433" s="36">
        <f>IF(OR(AND(K433&lt;32, J433&lt;2), O433=1, P433=1, Q433=1, R433=1, S433=1, T433=1, U433=1, AND(W433&lt;&gt;"", W433&lt;&gt;"Oxygen", W433&lt;&gt;"LowFlow")), "Intensive", "Intermediate")</f>
      </c>
      <c r="AJ433" s="57">
        <f>IF(OR(LEFT(AH433, 1)="X", LEFT(AH433, 1)="Y", LEFT(AH433, 3)="J46M"), "CUSM", "No Match")</f>
      </c>
      <c r="AK433" s="57">
        <f>IF(AND(OR(O433=3, P433=1, Q433=1, T433=1), AJ433="no Match"), "CUSM, CHU SJ, CHUQ", "")</f>
      </c>
      <c r="AL433" s="57">
        <f>IF(AND(O433=2, ISBLANK(P433), ISBLANK(Q433), ISBLANK(R433), ISBLANK(S433), ISBLANK(T433)), "CUSM, CHU SJ, CHUS, CHUQ", "")</f>
      </c>
      <c r="AM433" s="57">
        <f>IF(AND(AJ433="no match", AK433="", AL433="", K433&lt;26), "CUSM, CHU SJ, HGJ, CHUQ, CHUS", "")</f>
      </c>
      <c r="AN433" s="57">
        <f>IF(AND(AJ433="no match", AK433="", AL433="", K433&gt;26), "CUSM, CHU SJ, HGJ, CHUQ, CHUS, HMR", "")</f>
      </c>
    </row>
    <row x14ac:dyDescent="0.25" r="434" customHeight="1" ht="17.25">
      <c r="A434" s="41" t="s">
        <v>3539</v>
      </c>
      <c r="B434" s="28">
        <v>2</v>
      </c>
      <c r="C434" s="35">
        <v>832</v>
      </c>
      <c r="D434" s="29" t="s">
        <v>308</v>
      </c>
      <c r="E434" s="30" t="s">
        <v>50</v>
      </c>
      <c r="F434" s="31">
        <v>45155</v>
      </c>
      <c r="G434" s="32">
        <v>4.186111111111111</v>
      </c>
      <c r="H434" s="31">
        <v>45154</v>
      </c>
      <c r="I434" s="32">
        <v>4.968055555555555</v>
      </c>
      <c r="J434" s="33">
        <f>F434-H434</f>
      </c>
      <c r="K434" s="28">
        <v>38</v>
      </c>
      <c r="L434" s="28">
        <v>6</v>
      </c>
      <c r="M434" s="28">
        <v>1</v>
      </c>
      <c r="N434" s="34"/>
      <c r="O434" s="34"/>
      <c r="P434" s="34"/>
      <c r="Q434" s="34"/>
      <c r="R434" s="34"/>
      <c r="S434" s="56"/>
      <c r="T434" s="34"/>
      <c r="U434" s="34"/>
      <c r="V434" s="34"/>
      <c r="W434" s="29"/>
      <c r="X434" s="28">
        <v>32</v>
      </c>
      <c r="Y434" s="28">
        <v>1</v>
      </c>
      <c r="Z434" s="28">
        <v>1</v>
      </c>
      <c r="AA434" s="28">
        <v>2</v>
      </c>
      <c r="AB434" s="28">
        <v>1</v>
      </c>
      <c r="AC434" s="28">
        <v>2</v>
      </c>
      <c r="AD434" s="28">
        <v>2</v>
      </c>
      <c r="AE434" s="28">
        <v>4</v>
      </c>
      <c r="AF434" s="35">
        <v>2</v>
      </c>
      <c r="AG434" s="28">
        <v>2</v>
      </c>
      <c r="AH434" s="29" t="s">
        <v>3540</v>
      </c>
      <c r="AI434" s="36">
        <f>IF(OR(AND(K434&lt;32, J434&lt;2), O434=1, P434=1, Q434=1, R434=1, S434=1, T434=1, U434=1, AND(W434&lt;&gt;"", W434&lt;&gt;"Oxygen", W434&lt;&gt;"LowFlow")), "Intensive", "Intermediate")</f>
      </c>
      <c r="AJ434" s="57">
        <f>IF(OR(LEFT(AH434, 1)="X", LEFT(AH434, 1)="Y", LEFT(AH434, 3)="J47M"), "CUSM", "No Match")</f>
      </c>
      <c r="AK434" s="57">
        <f>IF(AND(OR(O434=3, P434=1, Q434=1, T434=1), AJ434="no Match"), "CUSM, CHU SJ, CHUQ", "")</f>
      </c>
      <c r="AL434" s="57">
        <f>IF(AND(O434=2, ISBLANK(P434), ISBLANK(Q434), ISBLANK(R434), ISBLANK(S434), ISBLANK(T434)), "CUSM, CHU SJ, CHUS, CHUQ", "")</f>
      </c>
      <c r="AM434" s="57">
        <f>IF(AND(AJ434="no match", AK434="", AL434="", K434&lt;26), "CUSM, CHU SJ, HGJ, CHUQ, CHUS", "")</f>
      </c>
      <c r="AN434" s="57">
        <f>IF(AND(AJ434="no match", AK434="", AL434="", K434&gt;26), "CUSM, CHU SJ, HGJ, CHUQ, CHUS, HMR", "")</f>
      </c>
    </row>
    <row x14ac:dyDescent="0.25" r="435" customHeight="1" ht="17.25">
      <c r="A435" s="41" t="s">
        <v>3541</v>
      </c>
      <c r="B435" s="28">
        <v>2</v>
      </c>
      <c r="C435" s="35">
        <v>839</v>
      </c>
      <c r="D435" s="29" t="s">
        <v>53</v>
      </c>
      <c r="E435" s="30" t="s">
        <v>54</v>
      </c>
      <c r="F435" s="31">
        <v>45156</v>
      </c>
      <c r="G435" s="32">
        <v>4.600694444444445</v>
      </c>
      <c r="H435" s="31">
        <v>45154</v>
      </c>
      <c r="I435" s="32">
        <v>4.388888888888889</v>
      </c>
      <c r="J435" s="33">
        <f>F435-H435</f>
      </c>
      <c r="K435" s="28">
        <v>40</v>
      </c>
      <c r="L435" s="28">
        <v>3</v>
      </c>
      <c r="M435" s="28">
        <v>1</v>
      </c>
      <c r="N435" s="35">
        <v>1</v>
      </c>
      <c r="O435" s="35">
        <v>2</v>
      </c>
      <c r="P435" s="34"/>
      <c r="Q435" s="34"/>
      <c r="R435" s="34"/>
      <c r="S435" s="56"/>
      <c r="T435" s="34"/>
      <c r="U435" s="34"/>
      <c r="V435" s="34"/>
      <c r="W435" s="29"/>
      <c r="X435" s="28">
        <v>36</v>
      </c>
      <c r="Y435" s="28">
        <v>1</v>
      </c>
      <c r="Z435" s="28">
        <v>1</v>
      </c>
      <c r="AA435" s="28">
        <v>1</v>
      </c>
      <c r="AB435" s="28">
        <v>4</v>
      </c>
      <c r="AC435" s="28">
        <v>2</v>
      </c>
      <c r="AD435" s="28">
        <v>2</v>
      </c>
      <c r="AE435" s="28">
        <v>4</v>
      </c>
      <c r="AF435" s="28">
        <v>2</v>
      </c>
      <c r="AG435" s="28">
        <v>2</v>
      </c>
      <c r="AH435" s="29" t="s">
        <v>3542</v>
      </c>
      <c r="AI435" s="36">
        <f>IF(OR(AND(K435&lt;32, J435&lt;2), O435=1, P435=1, Q435=1, R435=1, S435=1, T435=1, U435=1, AND(W435&lt;&gt;"", W435&lt;&gt;"Oxygen", W435&lt;&gt;"LowFlow")), "Intensive", "Intermediate")</f>
      </c>
      <c r="AJ435" s="57">
        <f>IF(OR(LEFT(AH435, 1)="X", LEFT(AH435, 1)="Y", LEFT(AH435, 3)="J48M"), "CUSM", "No Match")</f>
      </c>
      <c r="AK435" s="57">
        <f>IF(AND(OR(O435=3, P435=1, Q435=1, T435=1), AJ435="no Match"), "CUSM, CHU SJ, CHUQ", "")</f>
      </c>
      <c r="AL435" s="57">
        <f>IF(AND(O435=2, ISBLANK(P435), ISBLANK(Q435), ISBLANK(R435), ISBLANK(S435), ISBLANK(T435)), "CUSM, CHU SJ, CHUS, CHUQ", "")</f>
      </c>
      <c r="AM435" s="57">
        <f>IF(AND(AJ435="no match", AK435="", AL435="", K435&lt;26), "CUSM, CHU SJ, HGJ, CHUQ, CHUS", "")</f>
      </c>
      <c r="AN435" s="57">
        <f>IF(AND(AJ435="no match", AK435="", AL435="", K435&gt;26), "CUSM, CHU SJ, HGJ, CHUQ, CHUS, HMR", "")</f>
      </c>
    </row>
    <row x14ac:dyDescent="0.25" r="436" customHeight="1" ht="17.25">
      <c r="A436" s="41" t="s">
        <v>3543</v>
      </c>
      <c r="B436" s="28">
        <v>2</v>
      </c>
      <c r="C436" s="35">
        <v>796</v>
      </c>
      <c r="D436" s="29" t="s">
        <v>63</v>
      </c>
      <c r="E436" s="30" t="s">
        <v>54</v>
      </c>
      <c r="F436" s="31">
        <v>45157</v>
      </c>
      <c r="G436" s="32">
        <v>4.09375</v>
      </c>
      <c r="H436" s="31">
        <v>45148</v>
      </c>
      <c r="I436" s="32">
        <v>4.575</v>
      </c>
      <c r="J436" s="33">
        <f>F436-H436</f>
      </c>
      <c r="K436" s="28">
        <v>39</v>
      </c>
      <c r="L436" s="28">
        <v>2</v>
      </c>
      <c r="M436" s="28">
        <v>2</v>
      </c>
      <c r="N436" s="34"/>
      <c r="O436" s="34"/>
      <c r="P436" s="34"/>
      <c r="Q436" s="34"/>
      <c r="R436" s="34"/>
      <c r="S436" s="56"/>
      <c r="T436" s="34"/>
      <c r="U436" s="34"/>
      <c r="V436" s="34"/>
      <c r="W436" s="29"/>
      <c r="X436" s="28">
        <v>30</v>
      </c>
      <c r="Y436" s="28">
        <v>1</v>
      </c>
      <c r="Z436" s="28">
        <v>1</v>
      </c>
      <c r="AA436" s="28">
        <v>2</v>
      </c>
      <c r="AB436" s="28">
        <v>1</v>
      </c>
      <c r="AC436" s="28">
        <v>2</v>
      </c>
      <c r="AD436" s="28">
        <v>2</v>
      </c>
      <c r="AE436" s="28">
        <v>4</v>
      </c>
      <c r="AF436" s="28">
        <v>2</v>
      </c>
      <c r="AG436" s="28">
        <v>2</v>
      </c>
      <c r="AH436" s="29" t="s">
        <v>1623</v>
      </c>
      <c r="AI436" s="36">
        <f>IF(OR(AND(K436&lt;32, J436&lt;2), O436=1, P436=1, Q436=1, R436=1, S436=1, T436=1, U436=1, AND(W436&lt;&gt;"", W436&lt;&gt;"Oxygen", W436&lt;&gt;"LowFlow")), "Intensive", "Intermediate")</f>
      </c>
      <c r="AJ436" s="57">
        <f>IF(OR(LEFT(AH436, 1)="X", LEFT(AH436, 1)="Y", LEFT(AH436, 3)="J49M"), "CUSM", "No Match")</f>
      </c>
      <c r="AK436" s="57">
        <f>IF(AND(OR(O436=3, P436=1, Q436=1, T436=1), AJ436="no Match"), "CUSM, CHU SJ, CHUQ", "")</f>
      </c>
      <c r="AL436" s="57">
        <f>IF(AND(O436=2, ISBLANK(P436), ISBLANK(Q436), ISBLANK(R436), ISBLANK(S436), ISBLANK(T436)), "CUSM, CHU SJ, CHUS, CHUQ", "")</f>
      </c>
      <c r="AM436" s="57">
        <f>IF(AND(AJ436="no match", AK436="", AL436="", K436&lt;26), "CUSM, CHU SJ, HGJ, CHUQ, CHUS", "")</f>
      </c>
      <c r="AN436" s="57">
        <f>IF(AND(AJ436="no match", AK436="", AL436="", K436&gt;26), "CUSM, CHU SJ, HGJ, CHUQ, CHUS, HMR", "")</f>
      </c>
    </row>
    <row x14ac:dyDescent="0.25" r="437" customHeight="1" ht="17.25">
      <c r="A437" s="41" t="s">
        <v>3544</v>
      </c>
      <c r="B437" s="28">
        <v>2</v>
      </c>
      <c r="C437" s="35">
        <v>839</v>
      </c>
      <c r="D437" s="29" t="s">
        <v>53</v>
      </c>
      <c r="E437" s="30" t="s">
        <v>50</v>
      </c>
      <c r="F437" s="31">
        <v>45157</v>
      </c>
      <c r="G437" s="32">
        <v>4.524305555555555</v>
      </c>
      <c r="H437" s="31">
        <v>45156</v>
      </c>
      <c r="I437" s="32">
        <v>4.275</v>
      </c>
      <c r="J437" s="33">
        <f>F437-H437</f>
      </c>
      <c r="K437" s="28">
        <v>41</v>
      </c>
      <c r="L437" s="28">
        <v>5</v>
      </c>
      <c r="M437" s="28">
        <v>2</v>
      </c>
      <c r="N437" s="35">
        <v>1</v>
      </c>
      <c r="O437" s="34"/>
      <c r="P437" s="34"/>
      <c r="Q437" s="34"/>
      <c r="R437" s="34"/>
      <c r="S437" s="56"/>
      <c r="T437" s="34"/>
      <c r="U437" s="34"/>
      <c r="V437" s="34"/>
      <c r="W437" s="29"/>
      <c r="X437" s="28">
        <v>31</v>
      </c>
      <c r="Y437" s="28">
        <v>1</v>
      </c>
      <c r="Z437" s="28">
        <v>2</v>
      </c>
      <c r="AA437" s="28">
        <v>2</v>
      </c>
      <c r="AB437" s="28">
        <v>1</v>
      </c>
      <c r="AC437" s="28">
        <v>2</v>
      </c>
      <c r="AD437" s="28">
        <v>2</v>
      </c>
      <c r="AE437" s="28">
        <v>4</v>
      </c>
      <c r="AF437" s="28">
        <v>2</v>
      </c>
      <c r="AG437" s="28">
        <v>2</v>
      </c>
      <c r="AH437" s="29" t="s">
        <v>3545</v>
      </c>
      <c r="AI437" s="36">
        <f>IF(OR(AND(K437&lt;32, J437&lt;2), O437=1, P437=1, Q437=1, R437=1, S437=1, T437=1, U437=1, AND(W437&lt;&gt;"", W437&lt;&gt;"Oxygen", W437&lt;&gt;"LowFlow")), "Intensive", "Intermediate")</f>
      </c>
      <c r="AJ437" s="57">
        <f>IF(OR(LEFT(AH437, 1)="X", LEFT(AH437, 1)="Y", LEFT(AH437, 3)="J50M"), "CUSM", "No Match")</f>
      </c>
      <c r="AK437" s="57">
        <f>IF(AND(OR(O437=3, P437=1, Q437=1, T437=1), AJ437="no Match"), "CUSM, CHU SJ, CHUQ", "")</f>
      </c>
      <c r="AL437" s="57">
        <f>IF(AND(O437=2, ISBLANK(P437), ISBLANK(Q437), ISBLANK(R437), ISBLANK(S437), ISBLANK(T437)), "CUSM, CHU SJ, CHUS, CHUQ", "")</f>
      </c>
      <c r="AM437" s="57">
        <f>IF(AND(AJ437="no match", AK437="", AL437="", K437&lt;26), "CUSM, CHU SJ, HGJ, CHUQ, CHUS", "")</f>
      </c>
      <c r="AN437" s="57">
        <f>IF(AND(AJ437="no match", AK437="", AL437="", K437&gt;26), "CUSM, CHU SJ, HGJ, CHUQ, CHUS, HMR", "")</f>
      </c>
    </row>
    <row x14ac:dyDescent="0.25" r="438" customHeight="1" ht="17.25">
      <c r="A438" s="41" t="s">
        <v>3546</v>
      </c>
      <c r="B438" s="28">
        <v>2</v>
      </c>
      <c r="C438" s="35">
        <v>825</v>
      </c>
      <c r="D438" s="29" t="s">
        <v>77</v>
      </c>
      <c r="E438" s="30" t="s">
        <v>50</v>
      </c>
      <c r="F438" s="31">
        <v>45157</v>
      </c>
      <c r="G438" s="32">
        <v>4.506944444444445</v>
      </c>
      <c r="H438" s="31">
        <v>45157</v>
      </c>
      <c r="I438" s="32">
        <v>4.388888888888889</v>
      </c>
      <c r="J438" s="33">
        <f>F438-H438</f>
      </c>
      <c r="K438" s="28">
        <v>33</v>
      </c>
      <c r="L438" s="28">
        <v>4</v>
      </c>
      <c r="M438" s="28">
        <v>2</v>
      </c>
      <c r="N438" s="38"/>
      <c r="O438" s="34"/>
      <c r="P438" s="34"/>
      <c r="Q438" s="34"/>
      <c r="R438" s="34"/>
      <c r="S438" s="56"/>
      <c r="T438" s="34"/>
      <c r="U438" s="34"/>
      <c r="V438" s="38"/>
      <c r="W438" s="29" t="s">
        <v>58</v>
      </c>
      <c r="X438" s="28">
        <v>37</v>
      </c>
      <c r="Y438" s="28">
        <v>1</v>
      </c>
      <c r="Z438" s="28">
        <v>1</v>
      </c>
      <c r="AA438" s="28">
        <v>2</v>
      </c>
      <c r="AB438" s="28">
        <v>1</v>
      </c>
      <c r="AC438" s="28">
        <v>2</v>
      </c>
      <c r="AD438" s="28">
        <v>2</v>
      </c>
      <c r="AE438" s="28">
        <v>4</v>
      </c>
      <c r="AF438" s="28">
        <v>3</v>
      </c>
      <c r="AG438" s="28">
        <v>2</v>
      </c>
      <c r="AH438" s="29" t="s">
        <v>3547</v>
      </c>
      <c r="AI438" s="36">
        <f>IF(OR(AND(K438&lt;32, J438&lt;2), O438=1, P438=1, Q438=1, R438=1, S438=1, T438=1, U438=1, AND(W438&lt;&gt;"", W438&lt;&gt;"Oxygen", W438&lt;&gt;"LowFlow")), "Intensive", "Intermediate")</f>
      </c>
      <c r="AJ438" s="57">
        <f>IF(OR(LEFT(AH438, 1)="X", LEFT(AH438, 1)="Y", LEFT(AH438, 3)="J51M"), "CUSM", "No Match")</f>
      </c>
      <c r="AK438" s="57">
        <f>IF(AND(OR(O438=3, P438=1, Q438=1, T438=1), AJ438="no Match"), "CUSM, CHU SJ, CHUQ", "")</f>
      </c>
      <c r="AL438" s="57">
        <f>IF(AND(O438=2, ISBLANK(P438), ISBLANK(Q438), ISBLANK(R438), ISBLANK(S438), ISBLANK(T438)), "CUSM, CHU SJ, CHUS, CHUQ", "")</f>
      </c>
      <c r="AM438" s="57">
        <f>IF(AND(AJ438="no match", AK438="", AL438="", K438&lt;26), "CUSM, CHU SJ, HGJ, CHUQ, CHUS", "")</f>
      </c>
      <c r="AN438" s="57">
        <f>IF(AND(AJ438="no match", AK438="", AL438="", K438&gt;26), "CUSM, CHU SJ, HGJ, CHUQ, CHUS, HMR", "")</f>
      </c>
    </row>
    <row x14ac:dyDescent="0.25" r="439" customHeight="1" ht="17.25">
      <c r="A439" s="41" t="s">
        <v>3548</v>
      </c>
      <c r="B439" s="28">
        <v>2</v>
      </c>
      <c r="C439" s="35">
        <v>835</v>
      </c>
      <c r="D439" s="29" t="s">
        <v>170</v>
      </c>
      <c r="E439" s="30" t="s">
        <v>54</v>
      </c>
      <c r="F439" s="31">
        <v>45158</v>
      </c>
      <c r="G439" s="32">
        <v>4.752083333333333</v>
      </c>
      <c r="H439" s="31">
        <v>45158</v>
      </c>
      <c r="I439" s="32">
        <v>4.651388888888889</v>
      </c>
      <c r="J439" s="33">
        <f>F439-H439</f>
      </c>
      <c r="K439" s="28">
        <v>23</v>
      </c>
      <c r="L439" s="28">
        <v>1</v>
      </c>
      <c r="M439" s="28">
        <v>1</v>
      </c>
      <c r="N439" s="35">
        <v>1</v>
      </c>
      <c r="O439" s="34"/>
      <c r="P439" s="35">
        <v>1</v>
      </c>
      <c r="Q439" s="34"/>
      <c r="R439" s="34"/>
      <c r="S439" s="56"/>
      <c r="T439" s="34"/>
      <c r="U439" s="34"/>
      <c r="V439" s="35">
        <v>1</v>
      </c>
      <c r="W439" s="29" t="s">
        <v>74</v>
      </c>
      <c r="X439" s="28">
        <v>30</v>
      </c>
      <c r="Y439" s="28">
        <v>1</v>
      </c>
      <c r="Z439" s="28">
        <v>2</v>
      </c>
      <c r="AA439" s="28">
        <v>3</v>
      </c>
      <c r="AB439" s="28">
        <v>1</v>
      </c>
      <c r="AC439" s="28">
        <v>2</v>
      </c>
      <c r="AD439" s="28">
        <v>2</v>
      </c>
      <c r="AE439" s="28">
        <v>4</v>
      </c>
      <c r="AF439" s="28">
        <v>3</v>
      </c>
      <c r="AG439" s="28">
        <v>2</v>
      </c>
      <c r="AH439" s="29" t="s">
        <v>3549</v>
      </c>
      <c r="AI439" s="36">
        <f>IF(OR(AND(K439&lt;32, J439&lt;2), O439=1, P439=1, Q439=1, R439=1, S439=1, T439=1, U439=1, AND(W439&lt;&gt;"", W439&lt;&gt;"Oxygen", W439&lt;&gt;"LowFlow")), "Intensive", "Intermediate")</f>
      </c>
      <c r="AJ439" s="57">
        <f>IF(OR(LEFT(AH439, 1)="X", LEFT(AH439, 1)="Y", LEFT(AH439, 3)="J52M"), "CUSM", "No Match")</f>
      </c>
      <c r="AK439" s="57">
        <f>IF(AND(OR(O439=3, P439=1, Q439=1, T439=1), AJ439="no Match"), "CUSM, CHU SJ, CHUQ", "")</f>
      </c>
      <c r="AL439" s="57">
        <f>IF(AND(O439=2, ISBLANK(P439), ISBLANK(Q439), ISBLANK(R439), ISBLANK(S439), ISBLANK(T439)), "CUSM, CHU SJ, CHUS, CHUQ", "")</f>
      </c>
      <c r="AM439" s="57">
        <f>IF(AND(AJ439="no match", AK439="", AL439="", K439&lt;26), "CUSM, CHU SJ, HGJ, CHUQ, CHUS", "")</f>
      </c>
      <c r="AN439" s="57">
        <f>IF(AND(AJ439="no match", AK439="", AL439="", K439&gt;26), "CUSM, CHU SJ, HGJ, CHUQ, CHUS, HMR", "")</f>
      </c>
    </row>
    <row x14ac:dyDescent="0.25" r="440" customHeight="1" ht="17.25">
      <c r="A440" s="41" t="s">
        <v>3550</v>
      </c>
      <c r="B440" s="28">
        <v>2</v>
      </c>
      <c r="C440" s="35">
        <v>730</v>
      </c>
      <c r="D440" s="29" t="s">
        <v>81</v>
      </c>
      <c r="E440" s="30" t="s">
        <v>50</v>
      </c>
      <c r="F440" s="31">
        <v>45158</v>
      </c>
      <c r="G440" s="32">
        <v>4.040277777777778</v>
      </c>
      <c r="H440" s="31">
        <v>45157</v>
      </c>
      <c r="I440" s="32">
        <v>4.4375</v>
      </c>
      <c r="J440" s="33">
        <f>F440-H440</f>
      </c>
      <c r="K440" s="28">
        <v>37</v>
      </c>
      <c r="L440" s="28">
        <v>4</v>
      </c>
      <c r="M440" s="28">
        <v>2</v>
      </c>
      <c r="N440" s="38"/>
      <c r="O440" s="34"/>
      <c r="P440" s="34"/>
      <c r="Q440" s="34"/>
      <c r="R440" s="34"/>
      <c r="S440" s="56"/>
      <c r="T440" s="34"/>
      <c r="U440" s="34"/>
      <c r="V440" s="34"/>
      <c r="W440" s="29" t="s">
        <v>58</v>
      </c>
      <c r="X440" s="28">
        <v>23</v>
      </c>
      <c r="Y440" s="28">
        <v>1</v>
      </c>
      <c r="Z440" s="28">
        <v>1</v>
      </c>
      <c r="AA440" s="28">
        <v>2</v>
      </c>
      <c r="AB440" s="28">
        <v>1</v>
      </c>
      <c r="AC440" s="28">
        <v>2</v>
      </c>
      <c r="AD440" s="28">
        <v>2</v>
      </c>
      <c r="AE440" s="28">
        <v>4</v>
      </c>
      <c r="AF440" s="28">
        <v>2</v>
      </c>
      <c r="AG440" s="28">
        <v>2</v>
      </c>
      <c r="AH440" s="29" t="s">
        <v>3551</v>
      </c>
      <c r="AI440" s="36">
        <f>IF(OR(AND(K440&lt;32, J440&lt;2), O440=1, P440=1, Q440=1, R440=1, S440=1, T440=1, U440=1, AND(W440&lt;&gt;"", W440&lt;&gt;"Oxygen", W440&lt;&gt;"LowFlow")), "Intensive", "Intermediate")</f>
      </c>
      <c r="AJ440" s="57">
        <f>IF(OR(LEFT(AH440, 1)="X", LEFT(AH440, 1)="Y", LEFT(AH440, 3)="J53M"), "CUSM", "No Match")</f>
      </c>
      <c r="AK440" s="57">
        <f>IF(AND(OR(O440=3, P440=1, Q440=1, T440=1), AJ440="no Match"), "CUSM, CHU SJ, CHUQ", "")</f>
      </c>
      <c r="AL440" s="57">
        <f>IF(AND(O440=2, ISBLANK(P440), ISBLANK(Q440), ISBLANK(R440), ISBLANK(S440), ISBLANK(T440)), "CUSM, CHU SJ, CHUS, CHUQ", "")</f>
      </c>
      <c r="AM440" s="57">
        <f>IF(AND(AJ440="no match", AK440="", AL440="", K440&lt;26), "CUSM, CHU SJ, HGJ, CHUQ, CHUS", "")</f>
      </c>
      <c r="AN440" s="57">
        <f>IF(AND(AJ440="no match", AK440="", AL440="", K440&gt;26), "CUSM, CHU SJ, HGJ, CHUQ, CHUS, HMR", "")</f>
      </c>
    </row>
    <row x14ac:dyDescent="0.25" r="441" customHeight="1" ht="17.25">
      <c r="A441" s="41" t="s">
        <v>3552</v>
      </c>
      <c r="B441" s="28">
        <v>2</v>
      </c>
      <c r="C441" s="35">
        <v>824</v>
      </c>
      <c r="D441" s="29" t="s">
        <v>57</v>
      </c>
      <c r="E441" s="30" t="s">
        <v>50</v>
      </c>
      <c r="F441" s="31">
        <v>45158</v>
      </c>
      <c r="G441" s="32">
        <v>4.760416666666666</v>
      </c>
      <c r="H441" s="31">
        <v>45155</v>
      </c>
      <c r="I441" s="32">
        <v>4.798611111111111</v>
      </c>
      <c r="J441" s="33">
        <f>F441-H441</f>
      </c>
      <c r="K441" s="28">
        <v>37</v>
      </c>
      <c r="L441" s="28">
        <v>3</v>
      </c>
      <c r="M441" s="28">
        <v>1</v>
      </c>
      <c r="N441" s="35">
        <v>1</v>
      </c>
      <c r="O441" s="34"/>
      <c r="P441" s="35">
        <v>1</v>
      </c>
      <c r="Q441" s="35">
        <v>1</v>
      </c>
      <c r="R441" s="34"/>
      <c r="S441" s="56"/>
      <c r="T441" s="34"/>
      <c r="U441" s="34"/>
      <c r="V441" s="34"/>
      <c r="W441" s="29"/>
      <c r="X441" s="28">
        <v>30</v>
      </c>
      <c r="Y441" s="28">
        <v>1</v>
      </c>
      <c r="Z441" s="28">
        <v>2</v>
      </c>
      <c r="AA441" s="28">
        <v>1</v>
      </c>
      <c r="AB441" s="28">
        <v>1</v>
      </c>
      <c r="AC441" s="28">
        <v>1</v>
      </c>
      <c r="AD441" s="28">
        <v>1</v>
      </c>
      <c r="AE441" s="28">
        <v>4</v>
      </c>
      <c r="AF441" s="28">
        <v>2</v>
      </c>
      <c r="AG441" s="28">
        <v>2</v>
      </c>
      <c r="AH441" s="29" t="s">
        <v>803</v>
      </c>
      <c r="AI441" s="36">
        <f>IF(OR(AND(K441&lt;32, J441&lt;2), O441=1, P441=1, Q441=1, R441=1, S441=1, T441=1, U441=1, AND(W441&lt;&gt;"", W441&lt;&gt;"Oxygen", W441&lt;&gt;"LowFlow")), "Intensive", "Intermediate")</f>
      </c>
      <c r="AJ441" s="57">
        <f>IF(OR(LEFT(AH441, 1)="X", LEFT(AH441, 1)="Y", LEFT(AH441, 3)="J54M"), "CUSM", "No Match")</f>
      </c>
      <c r="AK441" s="57">
        <f>IF(AND(OR(O441=3, P441=1, Q441=1, T441=1), AJ441="no Match"), "CUSM, CHU SJ, CHUQ", "")</f>
      </c>
      <c r="AL441" s="57">
        <f>IF(AND(O441=2, ISBLANK(P441), ISBLANK(Q441), ISBLANK(R441), ISBLANK(S441), ISBLANK(T441)), "CUSM, CHU SJ, CHUS, CHUQ", "")</f>
      </c>
      <c r="AM441" s="57">
        <f>IF(AND(AJ441="no match", AK441="", AL441="", K441&lt;26), "CUSM, CHU SJ, HGJ, CHUQ, CHUS", "")</f>
      </c>
      <c r="AN441" s="57">
        <f>IF(AND(AJ441="no match", AK441="", AL441="", K441&gt;26), "CUSM, CHU SJ, HGJ, CHUQ, CHUS, HMR", "")</f>
      </c>
    </row>
    <row x14ac:dyDescent="0.25" r="442" customHeight="1" ht="17.25">
      <c r="A442" s="41" t="s">
        <v>3553</v>
      </c>
      <c r="B442" s="28">
        <v>2</v>
      </c>
      <c r="C442" s="35">
        <v>756</v>
      </c>
      <c r="D442" s="29" t="s">
        <v>66</v>
      </c>
      <c r="E442" s="30" t="s">
        <v>50</v>
      </c>
      <c r="F442" s="31">
        <v>45158</v>
      </c>
      <c r="G442" s="32">
        <v>4.645833333333334</v>
      </c>
      <c r="H442" s="31">
        <v>45155</v>
      </c>
      <c r="I442" s="32">
        <v>4.675694444444444</v>
      </c>
      <c r="J442" s="33">
        <f>F442-H442</f>
      </c>
      <c r="K442" s="28">
        <v>38</v>
      </c>
      <c r="L442" s="28">
        <v>6</v>
      </c>
      <c r="M442" s="28">
        <v>1</v>
      </c>
      <c r="N442" s="35">
        <v>1</v>
      </c>
      <c r="O442" s="34"/>
      <c r="P442" s="35">
        <v>1</v>
      </c>
      <c r="Q442" s="35">
        <v>1</v>
      </c>
      <c r="R442" s="34"/>
      <c r="S442" s="56"/>
      <c r="T442" s="34"/>
      <c r="U442" s="34"/>
      <c r="V442" s="34"/>
      <c r="W442" s="29" t="s">
        <v>142</v>
      </c>
      <c r="X442" s="28">
        <v>32</v>
      </c>
      <c r="Y442" s="28">
        <v>1</v>
      </c>
      <c r="Z442" s="28">
        <v>1</v>
      </c>
      <c r="AA442" s="28">
        <v>2</v>
      </c>
      <c r="AB442" s="28">
        <v>1</v>
      </c>
      <c r="AC442" s="28">
        <v>2</v>
      </c>
      <c r="AD442" s="28">
        <v>2</v>
      </c>
      <c r="AE442" s="28">
        <v>4</v>
      </c>
      <c r="AF442" s="28">
        <v>2</v>
      </c>
      <c r="AG442" s="28">
        <v>2</v>
      </c>
      <c r="AH442" s="29" t="s">
        <v>3554</v>
      </c>
      <c r="AI442" s="36">
        <f>IF(OR(AND(K442&lt;32, J442&lt;2), O442=1, P442=1, Q442=1, R442=1, S442=1, T442=1, U442=1, AND(W442&lt;&gt;"", W442&lt;&gt;"Oxygen", W442&lt;&gt;"LowFlow")), "Intensive", "Intermediate")</f>
      </c>
      <c r="AJ442" s="57">
        <f>IF(OR(LEFT(AH442, 1)="X", LEFT(AH442, 1)="Y", LEFT(AH442, 3)="J55M"), "CUSM", "No Match")</f>
      </c>
      <c r="AK442" s="57">
        <f>IF(AND(OR(O442=3, P442=1, Q442=1, T442=1), AJ442="no Match"), "CUSM, CHU SJ, CHUQ", "")</f>
      </c>
      <c r="AL442" s="57">
        <f>IF(AND(O442=2, ISBLANK(P442), ISBLANK(Q442), ISBLANK(R442), ISBLANK(S442), ISBLANK(T442)), "CUSM, CHU SJ, CHUS, CHUQ", "")</f>
      </c>
      <c r="AM442" s="57">
        <f>IF(AND(AJ442="no match", AK442="", AL442="", K442&lt;26), "CUSM, CHU SJ, HGJ, CHUQ, CHUS", "")</f>
      </c>
      <c r="AN442" s="57">
        <f>IF(AND(AJ442="no match", AK442="", AL442="", K442&gt;26), "CUSM, CHU SJ, HGJ, CHUQ, CHUS, HMR", "")</f>
      </c>
    </row>
    <row x14ac:dyDescent="0.25" r="443" customHeight="1" ht="17.25">
      <c r="A443" s="41" t="s">
        <v>3555</v>
      </c>
      <c r="B443" s="28">
        <v>2</v>
      </c>
      <c r="C443" s="35">
        <v>779</v>
      </c>
      <c r="D443" s="29" t="s">
        <v>136</v>
      </c>
      <c r="E443" s="30" t="s">
        <v>54</v>
      </c>
      <c r="F443" s="31">
        <v>45159</v>
      </c>
      <c r="G443" s="32">
        <v>4.597222222222222</v>
      </c>
      <c r="H443" s="31">
        <v>45146</v>
      </c>
      <c r="I443" s="32">
        <v>4.5</v>
      </c>
      <c r="J443" s="33">
        <f>F443-H443</f>
      </c>
      <c r="K443" s="28">
        <v>39</v>
      </c>
      <c r="L443" s="28">
        <v>3</v>
      </c>
      <c r="M443" s="28">
        <v>1</v>
      </c>
      <c r="N443" s="38"/>
      <c r="O443" s="38"/>
      <c r="P443" s="38"/>
      <c r="Q443" s="34"/>
      <c r="R443" s="34"/>
      <c r="S443" s="56"/>
      <c r="T443" s="34"/>
      <c r="U443" s="38"/>
      <c r="V443" s="38"/>
      <c r="W443" s="29"/>
      <c r="X443" s="28">
        <v>32</v>
      </c>
      <c r="Y443" s="28">
        <v>1</v>
      </c>
      <c r="Z443" s="28">
        <v>2</v>
      </c>
      <c r="AA443" s="28">
        <v>3</v>
      </c>
      <c r="AB443" s="28">
        <v>1</v>
      </c>
      <c r="AC443" s="28">
        <v>2</v>
      </c>
      <c r="AD443" s="28">
        <v>2</v>
      </c>
      <c r="AE443" s="28">
        <v>4</v>
      </c>
      <c r="AF443" s="28">
        <v>2</v>
      </c>
      <c r="AG443" s="28">
        <v>2</v>
      </c>
      <c r="AH443" s="29" t="s">
        <v>3556</v>
      </c>
      <c r="AI443" s="36">
        <f>IF(OR(AND(K443&lt;32, J443&lt;2), O443=1, P443=1, Q443=1, R443=1, S443=1, T443=1, U443=1, AND(W443&lt;&gt;"", W443&lt;&gt;"Oxygen", W443&lt;&gt;"LowFlow")), "Intensive", "Intermediate")</f>
      </c>
      <c r="AJ443" s="57">
        <f>IF(OR(LEFT(AH443, 1)="X", LEFT(AH443, 1)="Y", LEFT(AH443, 3)="J56M"), "CUSM", "No Match")</f>
      </c>
      <c r="AK443" s="57">
        <f>IF(AND(OR(O443=3, P443=1, Q443=1, T443=1), AJ443="no Match"), "CUSM, CHU SJ, CHUQ", "")</f>
      </c>
      <c r="AL443" s="57">
        <f>IF(AND(O443=2, ISBLANK(P443), ISBLANK(Q443), ISBLANK(R443), ISBLANK(S443), ISBLANK(T443)), "CUSM, CHU SJ, CHUS, CHUQ", "")</f>
      </c>
      <c r="AM443" s="57">
        <f>IF(AND(AJ443="no match", AK443="", AL443="", K443&lt;26), "CUSM, CHU SJ, HGJ, CHUQ, CHUS", "")</f>
      </c>
      <c r="AN443" s="57">
        <f>IF(AND(AJ443="no match", AK443="", AL443="", K443&gt;26), "CUSM, CHU SJ, HGJ, CHUQ, CHUS, HMR", "")</f>
      </c>
    </row>
    <row x14ac:dyDescent="0.25" r="444" customHeight="1" ht="17.25">
      <c r="A444" s="41" t="s">
        <v>3557</v>
      </c>
      <c r="B444" s="28">
        <v>2</v>
      </c>
      <c r="C444" s="28">
        <v>824</v>
      </c>
      <c r="D444" s="29" t="s">
        <v>57</v>
      </c>
      <c r="E444" s="30" t="s">
        <v>50</v>
      </c>
      <c r="F444" s="31">
        <v>45159</v>
      </c>
      <c r="G444" s="32">
        <v>4.21875</v>
      </c>
      <c r="H444" s="31">
        <v>45158</v>
      </c>
      <c r="I444" s="32">
        <v>4.417361111111111</v>
      </c>
      <c r="J444" s="33">
        <f>F444-H444</f>
      </c>
      <c r="K444" s="28">
        <v>41</v>
      </c>
      <c r="L444" s="28">
        <v>0</v>
      </c>
      <c r="M444" s="28">
        <v>2</v>
      </c>
      <c r="N444" s="38"/>
      <c r="O444" s="34"/>
      <c r="P444" s="34"/>
      <c r="Q444" s="34"/>
      <c r="R444" s="34"/>
      <c r="S444" s="56"/>
      <c r="T444" s="34"/>
      <c r="U444" s="34"/>
      <c r="V444" s="34"/>
      <c r="W444" s="29" t="s">
        <v>58</v>
      </c>
      <c r="X444" s="28">
        <v>28</v>
      </c>
      <c r="Y444" s="28">
        <v>1</v>
      </c>
      <c r="Z444" s="28">
        <v>1</v>
      </c>
      <c r="AA444" s="28">
        <v>2</v>
      </c>
      <c r="AB444" s="28">
        <v>1</v>
      </c>
      <c r="AC444" s="28">
        <v>2</v>
      </c>
      <c r="AD444" s="28">
        <v>2</v>
      </c>
      <c r="AE444" s="28">
        <v>4</v>
      </c>
      <c r="AF444" s="28">
        <v>2</v>
      </c>
      <c r="AG444" s="28">
        <v>2</v>
      </c>
      <c r="AH444" s="29" t="s">
        <v>920</v>
      </c>
      <c r="AI444" s="36">
        <f>IF(OR(AND(K444&lt;32, J444&lt;2), O444=1, P444=1, Q444=1, R444=1, S444=1, T444=1, U444=1, AND(W444&lt;&gt;"", W444&lt;&gt;"Oxygen", W444&lt;&gt;"LowFlow")), "Intensive", "Intermediate")</f>
      </c>
      <c r="AJ444" s="57">
        <f>IF(OR(LEFT(AH444, 1)="X", LEFT(AH444, 1)="Y", LEFT(AH444, 3)="J57M"), "CUSM", "No Match")</f>
      </c>
      <c r="AK444" s="57">
        <f>IF(AND(OR(O444=3, P444=1, Q444=1, T444=1), AJ444="no Match"), "CUSM, CHU SJ, CHUQ", "")</f>
      </c>
      <c r="AL444" s="57">
        <f>IF(AND(O444=2, ISBLANK(P444), ISBLANK(Q444), ISBLANK(R444), ISBLANK(S444), ISBLANK(T444)), "CUSM, CHU SJ, CHUS, CHUQ", "")</f>
      </c>
      <c r="AM444" s="57">
        <f>IF(AND(AJ444="no match", AK444="", AL444="", K444&lt;26), "CUSM, CHU SJ, HGJ, CHUQ, CHUS", "")</f>
      </c>
      <c r="AN444" s="57">
        <f>IF(AND(AJ444="no match", AK444="", AL444="", K444&gt;26), "CUSM, CHU SJ, HGJ, CHUQ, CHUS, HMR", "")</f>
      </c>
    </row>
    <row x14ac:dyDescent="0.25" r="445" customHeight="1" ht="17.25">
      <c r="A445" s="41" t="s">
        <v>3558</v>
      </c>
      <c r="B445" s="28">
        <v>2</v>
      </c>
      <c r="C445" s="28">
        <v>825</v>
      </c>
      <c r="D445" s="29" t="s">
        <v>77</v>
      </c>
      <c r="E445" s="30" t="s">
        <v>54</v>
      </c>
      <c r="F445" s="31">
        <v>45160</v>
      </c>
      <c r="G445" s="32">
        <v>4.751388888888889</v>
      </c>
      <c r="H445" s="31">
        <v>45159</v>
      </c>
      <c r="I445" s="32">
        <v>4.964583333333334</v>
      </c>
      <c r="J445" s="33">
        <f>F445-H445</f>
      </c>
      <c r="K445" s="28">
        <v>39</v>
      </c>
      <c r="L445" s="28">
        <v>4</v>
      </c>
      <c r="M445" s="28">
        <v>2</v>
      </c>
      <c r="N445" s="34"/>
      <c r="O445" s="34"/>
      <c r="P445" s="34"/>
      <c r="Q445" s="34"/>
      <c r="R445" s="34"/>
      <c r="S445" s="56"/>
      <c r="T445" s="38"/>
      <c r="U445" s="34"/>
      <c r="V445" s="34"/>
      <c r="W445" s="29"/>
      <c r="X445" s="28">
        <v>33</v>
      </c>
      <c r="Y445" s="28">
        <v>1</v>
      </c>
      <c r="Z445" s="28">
        <v>1</v>
      </c>
      <c r="AA445" s="28">
        <v>2</v>
      </c>
      <c r="AB445" s="28">
        <v>1</v>
      </c>
      <c r="AC445" s="28">
        <v>2</v>
      </c>
      <c r="AD445" s="28">
        <v>1</v>
      </c>
      <c r="AE445" s="28">
        <v>4</v>
      </c>
      <c r="AF445" s="28">
        <v>2</v>
      </c>
      <c r="AG445" s="28">
        <v>2</v>
      </c>
      <c r="AH445" s="29" t="s">
        <v>2951</v>
      </c>
      <c r="AI445" s="36">
        <f>IF(OR(AND(K445&lt;32, J445&lt;2), O445=1, P445=1, Q445=1, R445=1, S445=1, T445=1, U445=1, AND(W445&lt;&gt;"", W445&lt;&gt;"Oxygen", W445&lt;&gt;"LowFlow")), "Intensive", "Intermediate")</f>
      </c>
      <c r="AJ445" s="57">
        <f>IF(OR(LEFT(AH445, 1)="X", LEFT(AH445, 1)="Y", LEFT(AH445, 3)="J58M"), "CUSM", "No Match")</f>
      </c>
      <c r="AK445" s="57">
        <f>IF(AND(OR(O445=3, P445=1, Q445=1, T445=1), AJ445="no Match"), "CUSM, CHU SJ, CHUQ", "")</f>
      </c>
      <c r="AL445" s="57">
        <f>IF(AND(O445=2, ISBLANK(P445), ISBLANK(Q445), ISBLANK(R445), ISBLANK(S445), ISBLANK(T445)), "CUSM, CHU SJ, CHUS, CHUQ", "")</f>
      </c>
      <c r="AM445" s="57">
        <f>IF(AND(AJ445="no match", AK445="", AL445="", K445&lt;26), "CUSM, CHU SJ, HGJ, CHUQ, CHUS", "")</f>
      </c>
      <c r="AN445" s="57">
        <f>IF(AND(AJ445="no match", AK445="", AL445="", K445&gt;26), "CUSM, CHU SJ, HGJ, CHUQ, CHUS, HMR", "")</f>
      </c>
    </row>
    <row x14ac:dyDescent="0.25" r="446" customHeight="1" ht="17.25">
      <c r="A446" s="41" t="s">
        <v>3559</v>
      </c>
      <c r="B446" s="28">
        <v>2</v>
      </c>
      <c r="C446" s="35">
        <v>721</v>
      </c>
      <c r="D446" s="29" t="s">
        <v>367</v>
      </c>
      <c r="E446" s="30" t="s">
        <v>50</v>
      </c>
      <c r="F446" s="31">
        <v>45160</v>
      </c>
      <c r="G446" s="32">
        <v>4.916666666666666</v>
      </c>
      <c r="H446" s="31">
        <v>45160</v>
      </c>
      <c r="I446" s="32">
        <v>4.1618055555555555</v>
      </c>
      <c r="J446" s="33">
        <f>F446-H446</f>
      </c>
      <c r="K446" s="28">
        <v>32</v>
      </c>
      <c r="L446" s="28">
        <v>1</v>
      </c>
      <c r="M446" s="28">
        <v>2</v>
      </c>
      <c r="N446" s="28">
        <v>1</v>
      </c>
      <c r="O446" s="34"/>
      <c r="P446" s="35">
        <v>1</v>
      </c>
      <c r="Q446" s="38"/>
      <c r="R446" s="34"/>
      <c r="S446" s="56"/>
      <c r="T446" s="34"/>
      <c r="U446" s="34"/>
      <c r="V446" s="34"/>
      <c r="W446" s="29" t="s">
        <v>58</v>
      </c>
      <c r="X446" s="28">
        <v>18</v>
      </c>
      <c r="Y446" s="28">
        <v>2</v>
      </c>
      <c r="Z446" s="28">
        <v>1</v>
      </c>
      <c r="AA446" s="28">
        <v>1</v>
      </c>
      <c r="AB446" s="28">
        <v>1</v>
      </c>
      <c r="AC446" s="28">
        <v>2</v>
      </c>
      <c r="AD446" s="28">
        <v>2</v>
      </c>
      <c r="AE446" s="28">
        <v>4</v>
      </c>
      <c r="AF446" s="28">
        <v>2</v>
      </c>
      <c r="AG446" s="28">
        <v>2</v>
      </c>
      <c r="AH446" s="29" t="s">
        <v>1014</v>
      </c>
      <c r="AI446" s="36">
        <f>IF(OR(AND(K446&lt;32, J446&lt;2), O446=1, P446=1, Q446=1, R446=1, S446=1, T446=1, U446=1, AND(W446&lt;&gt;"", W446&lt;&gt;"Oxygen", W446&lt;&gt;"LowFlow")), "Intensive", "Intermediate")</f>
      </c>
      <c r="AJ446" s="57">
        <f>IF(OR(LEFT(AH446, 1)="X", LEFT(AH446, 1)="Y", LEFT(AH446, 3)="J59M"), "CUSM", "No Match")</f>
      </c>
      <c r="AK446" s="57">
        <f>IF(AND(OR(O446=3, P446=1, Q446=1, T446=1), AJ446="no Match"), "CUSM, CHU SJ, CHUQ", "")</f>
      </c>
      <c r="AL446" s="57">
        <f>IF(AND(O446=2, ISBLANK(P446), ISBLANK(Q446), ISBLANK(R446), ISBLANK(S446), ISBLANK(T446)), "CUSM, CHU SJ, CHUS, CHUQ", "")</f>
      </c>
      <c r="AM446" s="57">
        <f>IF(AND(AJ446="no match", AK446="", AL446="", K446&lt;26), "CUSM, CHU SJ, HGJ, CHUQ, CHUS", "")</f>
      </c>
      <c r="AN446" s="57">
        <f>IF(AND(AJ446="no match", AK446="", AL446="", K446&gt;26), "CUSM, CHU SJ, HGJ, CHUQ, CHUS, HMR", "")</f>
      </c>
    </row>
    <row x14ac:dyDescent="0.25" r="447" customHeight="1" ht="17.25">
      <c r="A447" s="41" t="s">
        <v>3560</v>
      </c>
      <c r="B447" s="28">
        <v>2</v>
      </c>
      <c r="C447" s="35">
        <v>721</v>
      </c>
      <c r="D447" s="29" t="s">
        <v>367</v>
      </c>
      <c r="E447" s="30" t="s">
        <v>50</v>
      </c>
      <c r="F447" s="31">
        <v>45160</v>
      </c>
      <c r="G447" s="32">
        <v>4.916666666666666</v>
      </c>
      <c r="H447" s="31">
        <v>45160</v>
      </c>
      <c r="I447" s="32">
        <v>4.16875</v>
      </c>
      <c r="J447" s="33">
        <f>F447-H447</f>
      </c>
      <c r="K447" s="28">
        <v>32</v>
      </c>
      <c r="L447" s="28">
        <v>1</v>
      </c>
      <c r="M447" s="28">
        <v>2</v>
      </c>
      <c r="N447" s="34"/>
      <c r="O447" s="34"/>
      <c r="P447" s="34"/>
      <c r="Q447" s="34"/>
      <c r="R447" s="34"/>
      <c r="S447" s="56"/>
      <c r="T447" s="34"/>
      <c r="U447" s="34"/>
      <c r="V447" s="34"/>
      <c r="W447" s="29" t="s">
        <v>58</v>
      </c>
      <c r="X447" s="28">
        <v>18</v>
      </c>
      <c r="Y447" s="28">
        <v>2</v>
      </c>
      <c r="Z447" s="28">
        <v>1</v>
      </c>
      <c r="AA447" s="28">
        <v>1</v>
      </c>
      <c r="AB447" s="28">
        <v>1</v>
      </c>
      <c r="AC447" s="28">
        <v>2</v>
      </c>
      <c r="AD447" s="28">
        <v>2</v>
      </c>
      <c r="AE447" s="28">
        <v>4</v>
      </c>
      <c r="AF447" s="28">
        <v>2</v>
      </c>
      <c r="AG447" s="28">
        <v>2</v>
      </c>
      <c r="AH447" s="29" t="s">
        <v>1014</v>
      </c>
      <c r="AI447" s="36">
        <f>IF(OR(AND(K447&lt;32, J447&lt;2), O447=1, P447=1, Q447=1, R447=1, S447=1, T447=1, U447=1, AND(W447&lt;&gt;"", W447&lt;&gt;"Oxygen", W447&lt;&gt;"LowFlow")), "Intensive", "Intermediate")</f>
      </c>
      <c r="AJ447" s="57">
        <f>IF(OR(LEFT(AH447, 1)="X", LEFT(AH447, 1)="Y", LEFT(AH447, 3)="J60M"), "CUSM", "No Match")</f>
      </c>
      <c r="AK447" s="57">
        <f>IF(AND(OR(O447=3, P447=1, Q447=1, T447=1), AJ447="no Match"), "CUSM, CHU SJ, CHUQ", "")</f>
      </c>
      <c r="AL447" s="57">
        <f>IF(AND(O447=2, ISBLANK(P447), ISBLANK(Q447), ISBLANK(R447), ISBLANK(S447), ISBLANK(T447)), "CUSM, CHU SJ, CHUS, CHUQ", "")</f>
      </c>
      <c r="AM447" s="57">
        <f>IF(AND(AJ447="no match", AK447="", AL447="", K447&lt;26), "CUSM, CHU SJ, HGJ, CHUQ, CHUS", "")</f>
      </c>
      <c r="AN447" s="57">
        <f>IF(AND(AJ447="no match", AK447="", AL447="", K447&gt;26), "CUSM, CHU SJ, HGJ, CHUQ, CHUS, HMR", "")</f>
      </c>
    </row>
    <row x14ac:dyDescent="0.25" r="448" customHeight="1" ht="17.25">
      <c r="A448" s="41" t="s">
        <v>3561</v>
      </c>
      <c r="B448" s="28">
        <v>2</v>
      </c>
      <c r="C448" s="28">
        <v>734</v>
      </c>
      <c r="D448" s="29" t="s">
        <v>264</v>
      </c>
      <c r="E448" s="30" t="s">
        <v>54</v>
      </c>
      <c r="F448" s="31">
        <v>45161</v>
      </c>
      <c r="G448" s="32">
        <v>4.70625</v>
      </c>
      <c r="H448" s="31">
        <v>45146</v>
      </c>
      <c r="I448" s="32">
        <v>4.571527777777778</v>
      </c>
      <c r="J448" s="33">
        <f>F448-H448</f>
      </c>
      <c r="K448" s="28">
        <v>37</v>
      </c>
      <c r="L448" s="28">
        <v>3</v>
      </c>
      <c r="M448" s="28">
        <v>2</v>
      </c>
      <c r="N448" s="38"/>
      <c r="O448" s="38"/>
      <c r="P448" s="38"/>
      <c r="Q448" s="38"/>
      <c r="R448" s="34"/>
      <c r="S448" s="56"/>
      <c r="T448" s="34"/>
      <c r="U448" s="34"/>
      <c r="V448" s="34"/>
      <c r="W448" s="29"/>
      <c r="X448" s="28">
        <v>33</v>
      </c>
      <c r="Y448" s="28">
        <v>1</v>
      </c>
      <c r="Z448" s="28">
        <v>1</v>
      </c>
      <c r="AA448" s="28">
        <v>2</v>
      </c>
      <c r="AB448" s="28">
        <v>4</v>
      </c>
      <c r="AC448" s="28">
        <v>3</v>
      </c>
      <c r="AD448" s="28">
        <v>3</v>
      </c>
      <c r="AE448" s="28">
        <v>4</v>
      </c>
      <c r="AF448" s="28">
        <v>3</v>
      </c>
      <c r="AG448" s="28">
        <v>2</v>
      </c>
      <c r="AH448" s="29" t="s">
        <v>3562</v>
      </c>
      <c r="AI448" s="36">
        <f>IF(OR(AND(K448&lt;32, J448&lt;2), O448=1, P448=1, Q448=1, R448=1, S448=1, T448=1, U448=1, AND(W448&lt;&gt;"", W448&lt;&gt;"Oxygen", W448&lt;&gt;"LowFlow")), "Intensive", "Intermediate")</f>
      </c>
      <c r="AJ448" s="57">
        <f>IF(OR(LEFT(AH448, 1)="X", LEFT(AH448, 1)="Y", LEFT(AH448, 3)="J61M"), "CUSM", "No Match")</f>
      </c>
      <c r="AK448" s="57">
        <f>IF(AND(OR(O448=3, P448=1, Q448=1, T448=1), AJ448="no Match"), "CUSM, CHU SJ, CHUQ", "")</f>
      </c>
      <c r="AL448" s="57">
        <f>IF(AND(O448=2, ISBLANK(P448), ISBLANK(Q448), ISBLANK(R448), ISBLANK(S448), ISBLANK(T448)), "CUSM, CHU SJ, CHUS, CHUQ", "")</f>
      </c>
      <c r="AM448" s="57">
        <f>IF(AND(AJ448="no match", AK448="", AL448="", K448&lt;26), "CUSM, CHU SJ, HGJ, CHUQ, CHUS", "")</f>
      </c>
      <c r="AN448" s="57">
        <f>IF(AND(AJ448="no match", AK448="", AL448="", K448&gt;26), "CUSM, CHU SJ, HGJ, CHUQ, CHUS, HMR", "")</f>
      </c>
    </row>
    <row x14ac:dyDescent="0.25" r="449" customHeight="1" ht="17.25">
      <c r="A449" s="41" t="s">
        <v>3563</v>
      </c>
      <c r="B449" s="28">
        <v>2</v>
      </c>
      <c r="C449" s="35">
        <v>835</v>
      </c>
      <c r="D449" s="29" t="s">
        <v>170</v>
      </c>
      <c r="E449" s="30" t="s">
        <v>54</v>
      </c>
      <c r="F449" s="31">
        <v>45161</v>
      </c>
      <c r="G449" s="32">
        <v>4.982638888888889</v>
      </c>
      <c r="H449" s="31">
        <v>45160</v>
      </c>
      <c r="I449" s="32">
        <v>4.354166666666666</v>
      </c>
      <c r="J449" s="33">
        <f>F449-H449</f>
      </c>
      <c r="K449" s="28">
        <v>39</v>
      </c>
      <c r="L449" s="28">
        <v>1</v>
      </c>
      <c r="M449" s="28">
        <v>1</v>
      </c>
      <c r="N449" s="34"/>
      <c r="O449" s="34"/>
      <c r="P449" s="34"/>
      <c r="Q449" s="34"/>
      <c r="R449" s="34"/>
      <c r="S449" s="56"/>
      <c r="T449" s="34"/>
      <c r="U449" s="34"/>
      <c r="V449" s="34"/>
      <c r="W449" s="29"/>
      <c r="X449" s="28">
        <v>41</v>
      </c>
      <c r="Y449" s="28">
        <v>1</v>
      </c>
      <c r="Z449" s="28">
        <v>2</v>
      </c>
      <c r="AA449" s="28">
        <v>3</v>
      </c>
      <c r="AB449" s="28">
        <v>4</v>
      </c>
      <c r="AC449" s="28">
        <v>2</v>
      </c>
      <c r="AD449" s="28">
        <v>2</v>
      </c>
      <c r="AE449" s="28">
        <v>4</v>
      </c>
      <c r="AF449" s="28">
        <v>3</v>
      </c>
      <c r="AG449" s="28">
        <v>2</v>
      </c>
      <c r="AH449" s="29" t="s">
        <v>3564</v>
      </c>
      <c r="AI449" s="36">
        <f>IF(OR(AND(K449&lt;32, J449&lt;2), O449=1, P449=1, Q449=1, R449=1, S449=1, T449=1, U449=1, AND(W449&lt;&gt;"", W449&lt;&gt;"Oxygen", W449&lt;&gt;"LowFlow")), "Intensive", "Intermediate")</f>
      </c>
      <c r="AJ449" s="57">
        <f>IF(OR(LEFT(AH449, 1)="X", LEFT(AH449, 1)="Y", LEFT(AH449, 3)="J62M"), "CUSM", "No Match")</f>
      </c>
      <c r="AK449" s="57">
        <f>IF(AND(OR(O449=3, P449=1, Q449=1, T449=1), AJ449="no Match"), "CUSM, CHU SJ, CHUQ", "")</f>
      </c>
      <c r="AL449" s="57">
        <f>IF(AND(O449=2, ISBLANK(P449), ISBLANK(Q449), ISBLANK(R449), ISBLANK(S449), ISBLANK(T449)), "CUSM, CHU SJ, CHUS, CHUQ", "")</f>
      </c>
      <c r="AM449" s="57">
        <f>IF(AND(AJ449="no match", AK449="", AL449="", K449&lt;26), "CUSM, CHU SJ, HGJ, CHUQ, CHUS", "")</f>
      </c>
      <c r="AN449" s="57">
        <f>IF(AND(AJ449="no match", AK449="", AL449="", K449&gt;26), "CUSM, CHU SJ, HGJ, CHUQ, CHUS, HMR", "")</f>
      </c>
    </row>
    <row x14ac:dyDescent="0.25" r="450" customHeight="1" ht="17.25">
      <c r="A450" s="41" t="s">
        <v>3565</v>
      </c>
      <c r="B450" s="28">
        <v>2</v>
      </c>
      <c r="C450" s="35">
        <v>780</v>
      </c>
      <c r="D450" s="29" t="s">
        <v>190</v>
      </c>
      <c r="E450" s="30" t="s">
        <v>54</v>
      </c>
      <c r="F450" s="31">
        <v>45161</v>
      </c>
      <c r="G450" s="32">
        <v>4.371527777777778</v>
      </c>
      <c r="H450" s="31">
        <v>45161</v>
      </c>
      <c r="I450" s="32">
        <v>4.0375</v>
      </c>
      <c r="J450" s="33">
        <f>F450-H450</f>
      </c>
      <c r="K450" s="28">
        <v>41</v>
      </c>
      <c r="L450" s="28">
        <v>3</v>
      </c>
      <c r="M450" s="28">
        <v>1</v>
      </c>
      <c r="N450" s="34"/>
      <c r="O450" s="34"/>
      <c r="P450" s="34"/>
      <c r="Q450" s="34"/>
      <c r="R450" s="34"/>
      <c r="S450" s="56"/>
      <c r="T450" s="34"/>
      <c r="U450" s="34"/>
      <c r="V450" s="34"/>
      <c r="W450" s="29"/>
      <c r="X450" s="28">
        <v>19</v>
      </c>
      <c r="Y450" s="28">
        <v>1</v>
      </c>
      <c r="Z450" s="28">
        <v>1</v>
      </c>
      <c r="AA450" s="28">
        <v>1</v>
      </c>
      <c r="AB450" s="28">
        <v>1</v>
      </c>
      <c r="AC450" s="28">
        <v>2</v>
      </c>
      <c r="AD450" s="28">
        <v>2</v>
      </c>
      <c r="AE450" s="28">
        <v>4</v>
      </c>
      <c r="AF450" s="28">
        <v>1</v>
      </c>
      <c r="AG450" s="28">
        <v>2</v>
      </c>
      <c r="AH450" s="29" t="s">
        <v>3566</v>
      </c>
      <c r="AI450" s="36">
        <f>IF(OR(AND(K450&lt;32, J450&lt;2), O450=1, P450=1, Q450=1, R450=1, S450=1, T450=1, U450=1, AND(W450&lt;&gt;"", W450&lt;&gt;"Oxygen", W450&lt;&gt;"LowFlow")), "Intensive", "Intermediate")</f>
      </c>
      <c r="AJ450" s="57">
        <f>IF(OR(LEFT(AH450, 1)="X", LEFT(AH450, 1)="Y", LEFT(AH450, 3)="J63M"), "CUSM", "No Match")</f>
      </c>
      <c r="AK450" s="57">
        <f>IF(AND(OR(O450=3, P450=1, Q450=1, T450=1), AJ450="no Match"), "CUSM, CHU SJ, CHUQ", "")</f>
      </c>
      <c r="AL450" s="57">
        <f>IF(AND(O450=2, ISBLANK(P450), ISBLANK(Q450), ISBLANK(R450), ISBLANK(S450), ISBLANK(T450)), "CUSM, CHU SJ, CHUS, CHUQ", "")</f>
      </c>
      <c r="AM450" s="57">
        <f>IF(AND(AJ450="no match", AK450="", AL450="", K450&lt;26), "CUSM, CHU SJ, HGJ, CHUQ, CHUS", "")</f>
      </c>
      <c r="AN450" s="57">
        <f>IF(AND(AJ450="no match", AK450="", AL450="", K450&gt;26), "CUSM, CHU SJ, HGJ, CHUQ, CHUS, HMR", "")</f>
      </c>
    </row>
    <row x14ac:dyDescent="0.25" r="451" customHeight="1" ht="17.25">
      <c r="A451" s="41" t="s">
        <v>3567</v>
      </c>
      <c r="B451" s="28">
        <v>2</v>
      </c>
      <c r="C451" s="28">
        <v>820</v>
      </c>
      <c r="D451" s="29" t="s">
        <v>69</v>
      </c>
      <c r="E451" s="30" t="s">
        <v>54</v>
      </c>
      <c r="F451" s="31">
        <v>45161</v>
      </c>
      <c r="G451" s="32">
        <v>4.854166666666666</v>
      </c>
      <c r="H451" s="31">
        <v>45153</v>
      </c>
      <c r="I451" s="32">
        <v>4.253472222222222</v>
      </c>
      <c r="J451" s="33">
        <f>F451-H451</f>
      </c>
      <c r="K451" s="28">
        <v>39</v>
      </c>
      <c r="L451" s="28">
        <v>1</v>
      </c>
      <c r="M451" s="28">
        <v>1</v>
      </c>
      <c r="N451" s="34"/>
      <c r="O451" s="34"/>
      <c r="P451" s="34"/>
      <c r="Q451" s="34"/>
      <c r="R451" s="34"/>
      <c r="S451" s="56"/>
      <c r="T451" s="34"/>
      <c r="U451" s="34"/>
      <c r="V451" s="34"/>
      <c r="W451" s="29" t="s">
        <v>106</v>
      </c>
      <c r="X451" s="28">
        <v>26</v>
      </c>
      <c r="Y451" s="28">
        <v>1</v>
      </c>
      <c r="Z451" s="28">
        <v>1</v>
      </c>
      <c r="AA451" s="28">
        <v>2</v>
      </c>
      <c r="AB451" s="28">
        <v>1</v>
      </c>
      <c r="AC451" s="28">
        <v>1</v>
      </c>
      <c r="AD451" s="28">
        <v>2</v>
      </c>
      <c r="AE451" s="28">
        <v>4</v>
      </c>
      <c r="AF451" s="28">
        <v>2</v>
      </c>
      <c r="AG451" s="28">
        <v>2</v>
      </c>
      <c r="AH451" s="29"/>
      <c r="AI451" s="36">
        <f>IF(OR(AND(K451&lt;32, J451&lt;2), O451=1, P451=1, Q451=1, R451=1, S451=1, T451=1, U451=1, AND(W451&lt;&gt;"", W451&lt;&gt;"Oxygen", W451&lt;&gt;"LowFlow")), "Intensive", "Intermediate")</f>
      </c>
      <c r="AJ451" s="57">
        <f>IF(OR(LEFT(AH451, 1)="X", LEFT(AH451, 1)="Y", LEFT(AH451, 3)="J0M"), "CUSM", "No Match")</f>
      </c>
      <c r="AK451" s="57">
        <f>IF(AND(OR(O451=3, P451=1, Q451=1, T451=1), AJ451="no Match"), "CUSM, CHU SJ, CHUQ", "")</f>
      </c>
      <c r="AL451" s="57">
        <f>IF(AND(O451=2, ISBLANK(P451), ISBLANK(Q451), ISBLANK(R451), ISBLANK(S451), ISBLANK(T451)), "CUSM, CHU SJ, CHUS, CHUQ", "")</f>
      </c>
      <c r="AM451" s="57">
        <f>IF(AND(AJ451="no match", AK451="", AL451="", K451&lt;26), "CUSM, CHU SJ, HGJ, CHUQ, CHUS", "")</f>
      </c>
      <c r="AN451" s="57">
        <f>IF(AND(AJ451="no match", AK451="", AL451="", K451&gt;26), "CUSM, CHU SJ, HGJ, CHUQ, CHUS, HMR", "")</f>
      </c>
    </row>
    <row x14ac:dyDescent="0.25" r="452" customHeight="1" ht="17.25">
      <c r="A452" s="41" t="s">
        <v>3568</v>
      </c>
      <c r="B452" s="28">
        <v>2</v>
      </c>
      <c r="C452" s="35">
        <v>820</v>
      </c>
      <c r="D452" s="29" t="s">
        <v>69</v>
      </c>
      <c r="E452" s="30" t="s">
        <v>54</v>
      </c>
      <c r="F452" s="31">
        <v>45161</v>
      </c>
      <c r="G452" s="32">
        <v>4.6090277777777775</v>
      </c>
      <c r="H452" s="31">
        <v>45159</v>
      </c>
      <c r="I452" s="32">
        <v>4.44375</v>
      </c>
      <c r="J452" s="33">
        <f>F452-H452</f>
      </c>
      <c r="K452" s="28">
        <v>37</v>
      </c>
      <c r="L452" s="28">
        <v>1</v>
      </c>
      <c r="M452" s="28">
        <v>1</v>
      </c>
      <c r="N452" s="34"/>
      <c r="O452" s="38"/>
      <c r="P452" s="34"/>
      <c r="Q452" s="34"/>
      <c r="R452" s="34"/>
      <c r="S452" s="56"/>
      <c r="T452" s="34"/>
      <c r="U452" s="34"/>
      <c r="V452" s="34"/>
      <c r="W452" s="29"/>
      <c r="X452" s="28">
        <v>40</v>
      </c>
      <c r="Y452" s="28">
        <v>1</v>
      </c>
      <c r="Z452" s="28">
        <v>2</v>
      </c>
      <c r="AA452" s="28">
        <v>3</v>
      </c>
      <c r="AB452" s="28">
        <v>1</v>
      </c>
      <c r="AC452" s="28">
        <v>1</v>
      </c>
      <c r="AD452" s="28">
        <v>1</v>
      </c>
      <c r="AE452" s="28">
        <v>4</v>
      </c>
      <c r="AF452" s="28">
        <v>2</v>
      </c>
      <c r="AG452" s="28">
        <v>2</v>
      </c>
      <c r="AH452" s="29" t="s">
        <v>3569</v>
      </c>
      <c r="AI452" s="36">
        <f>IF(OR(AND(K452&lt;32, J452&lt;2), O452=1, P452=1, Q452=1, R452=1, S452=1, T452=1, U452=1, AND(W452&lt;&gt;"", W452&lt;&gt;"Oxygen", W452&lt;&gt;"LowFlow")), "Intensive", "Intermediate")</f>
      </c>
      <c r="AJ452" s="57">
        <f>IF(OR(LEFT(AH452, 1)="X", LEFT(AH452, 1)="Y", LEFT(AH452, 3)="J1M"), "CUSM", "No Match")</f>
      </c>
      <c r="AK452" s="57">
        <f>IF(AND(OR(O452=3, P452=1, Q452=1, T452=1), AJ452="no Match"), "CUSM, CHU SJ, CHUQ", "")</f>
      </c>
      <c r="AL452" s="57">
        <f>IF(AND(O452=2, ISBLANK(P452), ISBLANK(Q452), ISBLANK(R452), ISBLANK(S452), ISBLANK(T452)), "CUSM, CHU SJ, CHUS, CHUQ", "")</f>
      </c>
      <c r="AM452" s="57">
        <f>IF(AND(AJ452="no match", AK452="", AL452="", K452&lt;26), "CUSM, CHU SJ, HGJ, CHUQ, CHUS", "")</f>
      </c>
      <c r="AN452" s="57">
        <f>IF(AND(AJ452="no match", AK452="", AL452="", K452&gt;26), "CUSM, CHU SJ, HGJ, CHUQ, CHUS, HMR", "")</f>
      </c>
    </row>
    <row x14ac:dyDescent="0.25" r="453" customHeight="1" ht="17.25">
      <c r="A453" s="41" t="s">
        <v>3570</v>
      </c>
      <c r="B453" s="28">
        <v>2</v>
      </c>
      <c r="C453" s="35">
        <v>824</v>
      </c>
      <c r="D453" s="29" t="s">
        <v>57</v>
      </c>
      <c r="E453" s="30" t="s">
        <v>54</v>
      </c>
      <c r="F453" s="31">
        <v>45161</v>
      </c>
      <c r="G453" s="32">
        <v>4.451388888888889</v>
      </c>
      <c r="H453" s="31">
        <v>45161</v>
      </c>
      <c r="I453" s="32">
        <v>4.20625</v>
      </c>
      <c r="J453" s="33">
        <f>F453-H453</f>
      </c>
      <c r="K453" s="28">
        <v>40</v>
      </c>
      <c r="L453" s="28">
        <v>4</v>
      </c>
      <c r="M453" s="28">
        <v>1</v>
      </c>
      <c r="N453" s="34"/>
      <c r="O453" s="34"/>
      <c r="P453" s="34"/>
      <c r="Q453" s="34"/>
      <c r="R453" s="34"/>
      <c r="S453" s="56"/>
      <c r="T453" s="35">
        <v>1</v>
      </c>
      <c r="U453" s="34"/>
      <c r="V453" s="34"/>
      <c r="W453" s="29" t="s">
        <v>58</v>
      </c>
      <c r="X453" s="28">
        <v>32</v>
      </c>
      <c r="Y453" s="28">
        <v>1</v>
      </c>
      <c r="Z453" s="28">
        <v>1</v>
      </c>
      <c r="AA453" s="28">
        <v>2</v>
      </c>
      <c r="AB453" s="28">
        <v>1</v>
      </c>
      <c r="AC453" s="28">
        <v>2</v>
      </c>
      <c r="AD453" s="28">
        <v>2</v>
      </c>
      <c r="AE453" s="28">
        <v>4</v>
      </c>
      <c r="AF453" s="28">
        <v>2</v>
      </c>
      <c r="AG453" s="28">
        <v>2</v>
      </c>
      <c r="AH453" s="29" t="s">
        <v>3571</v>
      </c>
      <c r="AI453" s="36">
        <f>IF(OR(AND(K453&lt;32, J453&lt;2), O453=1, P453=1, Q453=1, R453=1, S453=1, T453=1, U453=1, AND(W453&lt;&gt;"", W453&lt;&gt;"Oxygen", W453&lt;&gt;"LowFlow")), "Intensive", "Intermediate")</f>
      </c>
      <c r="AJ453" s="57">
        <f>IF(OR(LEFT(AH453, 1)="X", LEFT(AH453, 1)="Y", LEFT(AH453, 3)="J2M"), "CUSM", "No Match")</f>
      </c>
      <c r="AK453" s="57">
        <f>IF(AND(OR(O453=3, P453=1, Q453=1, T453=1), AJ453="no Match"), "CUSM, CHU SJ, CHUQ", "")</f>
      </c>
      <c r="AL453" s="57">
        <f>IF(AND(O453=2, ISBLANK(P453), ISBLANK(Q453), ISBLANK(R453), ISBLANK(S453), ISBLANK(T453)), "CUSM, CHU SJ, CHUS, CHUQ", "")</f>
      </c>
      <c r="AM453" s="57">
        <f>IF(AND(AJ453="no match", AK453="", AL453="", K453&lt;26), "CUSM, CHU SJ, HGJ, CHUQ, CHUS", "")</f>
      </c>
      <c r="AN453" s="57">
        <f>IF(AND(AJ453="no match", AK453="", AL453="", K453&gt;26), "CUSM, CHU SJ, HGJ, CHUQ, CHUS, HMR", "")</f>
      </c>
    </row>
    <row x14ac:dyDescent="0.25" r="454" customHeight="1" ht="17.25">
      <c r="A454" s="41" t="s">
        <v>3572</v>
      </c>
      <c r="B454" s="28">
        <v>2</v>
      </c>
      <c r="C454" s="35">
        <v>824</v>
      </c>
      <c r="D454" s="29" t="s">
        <v>57</v>
      </c>
      <c r="E454" s="30" t="s">
        <v>50</v>
      </c>
      <c r="F454" s="31">
        <v>45161</v>
      </c>
      <c r="G454" s="32">
        <v>4.808333333333334</v>
      </c>
      <c r="H454" s="31">
        <v>45161</v>
      </c>
      <c r="I454" s="32">
        <v>4.05625</v>
      </c>
      <c r="J454" s="33">
        <f>F454-H454</f>
      </c>
      <c r="K454" s="28">
        <v>41</v>
      </c>
      <c r="L454" s="28">
        <v>2</v>
      </c>
      <c r="M454" s="28">
        <v>1</v>
      </c>
      <c r="N454" s="34"/>
      <c r="O454" s="34"/>
      <c r="P454" s="34"/>
      <c r="Q454" s="34"/>
      <c r="R454" s="34"/>
      <c r="S454" s="56"/>
      <c r="T454" s="34"/>
      <c r="U454" s="34"/>
      <c r="V454" s="34"/>
      <c r="W454" s="29"/>
      <c r="X454" s="28">
        <v>25</v>
      </c>
      <c r="Y454" s="28">
        <v>1</v>
      </c>
      <c r="Z454" s="28">
        <v>1</v>
      </c>
      <c r="AA454" s="28">
        <v>1</v>
      </c>
      <c r="AB454" s="28">
        <v>1</v>
      </c>
      <c r="AC454" s="28">
        <v>2</v>
      </c>
      <c r="AD454" s="28">
        <v>2</v>
      </c>
      <c r="AE454" s="28">
        <v>4</v>
      </c>
      <c r="AF454" s="28">
        <v>2</v>
      </c>
      <c r="AG454" s="28">
        <v>2</v>
      </c>
      <c r="AH454" s="29" t="s">
        <v>3573</v>
      </c>
      <c r="AI454" s="36">
        <f>IF(OR(AND(K454&lt;32, J454&lt;2), O454=1, P454=1, Q454=1, R454=1, S454=1, T454=1, U454=1, AND(W454&lt;&gt;"", W454&lt;&gt;"Oxygen", W454&lt;&gt;"LowFlow")), "Intensive", "Intermediate")</f>
      </c>
      <c r="AJ454" s="57">
        <f>IF(OR(LEFT(AH454, 1)="X", LEFT(AH454, 1)="Y", LEFT(AH454, 3)="J3M"), "CUSM", "No Match")</f>
      </c>
      <c r="AK454" s="57">
        <f>IF(AND(OR(O454=3, P454=1, Q454=1, T454=1), AJ454="no Match"), "CUSM, CHU SJ, CHUQ", "")</f>
      </c>
      <c r="AL454" s="57">
        <f>IF(AND(O454=2, ISBLANK(P454), ISBLANK(Q454), ISBLANK(R454), ISBLANK(S454), ISBLANK(T454)), "CUSM, CHU SJ, CHUS, CHUQ", "")</f>
      </c>
      <c r="AM454" s="57">
        <f>IF(AND(AJ454="no match", AK454="", AL454="", K454&lt;26), "CUSM, CHU SJ, HGJ, CHUQ, CHUS", "")</f>
      </c>
      <c r="AN454" s="57">
        <f>IF(AND(AJ454="no match", AK454="", AL454="", K454&gt;26), "CUSM, CHU SJ, HGJ, CHUQ, CHUS, HMR", "")</f>
      </c>
    </row>
    <row x14ac:dyDescent="0.25" r="455" customHeight="1" ht="17.25">
      <c r="A455" s="41" t="s">
        <v>3574</v>
      </c>
      <c r="B455" s="28">
        <v>2</v>
      </c>
      <c r="C455" s="28">
        <v>832</v>
      </c>
      <c r="D455" s="29" t="s">
        <v>308</v>
      </c>
      <c r="E455" s="30" t="s">
        <v>50</v>
      </c>
      <c r="F455" s="31">
        <v>45161</v>
      </c>
      <c r="G455" s="32">
        <v>4.961805555555555</v>
      </c>
      <c r="H455" s="31">
        <v>45160</v>
      </c>
      <c r="I455" s="32">
        <v>4.485416666666667</v>
      </c>
      <c r="J455" s="33">
        <f>F455-H455</f>
      </c>
      <c r="K455" s="28">
        <v>37</v>
      </c>
      <c r="L455" s="28">
        <v>4</v>
      </c>
      <c r="M455" s="28">
        <v>2</v>
      </c>
      <c r="N455" s="34"/>
      <c r="O455" s="34"/>
      <c r="P455" s="34"/>
      <c r="Q455" s="34"/>
      <c r="R455" s="34"/>
      <c r="S455" s="56"/>
      <c r="T455" s="34"/>
      <c r="U455" s="34"/>
      <c r="V455" s="34"/>
      <c r="W455" s="29"/>
      <c r="X455" s="28">
        <v>33</v>
      </c>
      <c r="Y455" s="28">
        <v>1</v>
      </c>
      <c r="Z455" s="28">
        <v>1</v>
      </c>
      <c r="AA455" s="28">
        <v>2</v>
      </c>
      <c r="AB455" s="28">
        <v>1</v>
      </c>
      <c r="AC455" s="28">
        <v>2</v>
      </c>
      <c r="AD455" s="28">
        <v>3</v>
      </c>
      <c r="AE455" s="28">
        <v>4</v>
      </c>
      <c r="AF455" s="28">
        <v>2</v>
      </c>
      <c r="AG455" s="28">
        <v>2</v>
      </c>
      <c r="AH455" s="29" t="s">
        <v>3575</v>
      </c>
      <c r="AI455" s="36">
        <f>IF(OR(AND(K455&lt;32, J455&lt;2), O455=1, P455=1, Q455=1, R455=1, S455=1, T455=1, U455=1, AND(W455&lt;&gt;"", W455&lt;&gt;"Oxygen", W455&lt;&gt;"LowFlow")), "Intensive", "Intermediate")</f>
      </c>
      <c r="AJ455" s="57">
        <f>IF(OR(LEFT(AH455, 1)="X", LEFT(AH455, 1)="Y", LEFT(AH455, 3)="J4M"), "CUSM", "No Match")</f>
      </c>
      <c r="AK455" s="57">
        <f>IF(AND(OR(O455=3, P455=1, Q455=1, T455=1), AJ455="no Match"), "CUSM, CHU SJ, CHUQ", "")</f>
      </c>
      <c r="AL455" s="57">
        <f>IF(AND(O455=2, ISBLANK(P455), ISBLANK(Q455), ISBLANK(R455), ISBLANK(S455), ISBLANK(T455)), "CUSM, CHU SJ, CHUS, CHUQ", "")</f>
      </c>
      <c r="AM455" s="57">
        <f>IF(AND(AJ455="no match", AK455="", AL455="", K455&lt;26), "CUSM, CHU SJ, HGJ, CHUQ, CHUS", "")</f>
      </c>
      <c r="AN455" s="57">
        <f>IF(AND(AJ455="no match", AK455="", AL455="", K455&gt;26), "CUSM, CHU SJ, HGJ, CHUQ, CHUS, HMR", "")</f>
      </c>
    </row>
    <row x14ac:dyDescent="0.25" r="456" customHeight="1" ht="17.25">
      <c r="A456" s="41" t="s">
        <v>3576</v>
      </c>
      <c r="B456" s="28">
        <v>2</v>
      </c>
      <c r="C456" s="35">
        <v>796</v>
      </c>
      <c r="D456" s="29" t="s">
        <v>63</v>
      </c>
      <c r="E456" s="30" t="s">
        <v>54</v>
      </c>
      <c r="F456" s="31">
        <v>45162</v>
      </c>
      <c r="G456" s="32">
        <v>4.625</v>
      </c>
      <c r="H456" s="31">
        <v>45162</v>
      </c>
      <c r="I456" s="32">
        <v>4.094444444444445</v>
      </c>
      <c r="J456" s="33">
        <f>F456-H456</f>
      </c>
      <c r="K456" s="28">
        <v>41</v>
      </c>
      <c r="L456" s="28">
        <v>5</v>
      </c>
      <c r="M456" s="28">
        <v>1</v>
      </c>
      <c r="N456" s="34"/>
      <c r="O456" s="34"/>
      <c r="P456" s="34"/>
      <c r="Q456" s="34"/>
      <c r="R456" s="34"/>
      <c r="S456" s="56"/>
      <c r="T456" s="34"/>
      <c r="U456" s="34"/>
      <c r="V456" s="34"/>
      <c r="W456" s="29"/>
      <c r="X456" s="28">
        <v>37</v>
      </c>
      <c r="Y456" s="28">
        <v>1</v>
      </c>
      <c r="Z456" s="28">
        <v>1</v>
      </c>
      <c r="AA456" s="28">
        <v>2</v>
      </c>
      <c r="AB456" s="28">
        <v>1</v>
      </c>
      <c r="AC456" s="28">
        <v>2</v>
      </c>
      <c r="AD456" s="28">
        <v>2</v>
      </c>
      <c r="AE456" s="28">
        <v>4</v>
      </c>
      <c r="AF456" s="28">
        <v>2</v>
      </c>
      <c r="AG456" s="28">
        <v>2</v>
      </c>
      <c r="AH456" s="29" t="s">
        <v>3577</v>
      </c>
      <c r="AI456" s="36">
        <f>IF(OR(AND(K456&lt;32, J456&lt;2), O456=1, P456=1, Q456=1, R456=1, S456=1, T456=1, U456=1, AND(W456&lt;&gt;"", W456&lt;&gt;"Oxygen", W456&lt;&gt;"LowFlow")), "Intensive", "Intermediate")</f>
      </c>
      <c r="AJ456" s="57">
        <f>IF(OR(LEFT(AH456, 1)="X", LEFT(AH456, 1)="Y", LEFT(AH456, 3)="J5M"), "CUSM", "No Match")</f>
      </c>
      <c r="AK456" s="57">
        <f>IF(AND(OR(O456=3, P456=1, Q456=1, T456=1), AJ456="no Match"), "CUSM, CHU SJ, CHUQ", "")</f>
      </c>
      <c r="AL456" s="57">
        <f>IF(AND(O456=2, ISBLANK(P456), ISBLANK(Q456), ISBLANK(R456), ISBLANK(S456), ISBLANK(T456)), "CUSM, CHU SJ, CHUS, CHUQ", "")</f>
      </c>
      <c r="AM456" s="57">
        <f>IF(AND(AJ456="no match", AK456="", AL456="", K456&lt;26), "CUSM, CHU SJ, HGJ, CHUQ, CHUS", "")</f>
      </c>
      <c r="AN456" s="57">
        <f>IF(AND(AJ456="no match", AK456="", AL456="", K456&gt;26), "CUSM, CHU SJ, HGJ, CHUQ, CHUS, HMR", "")</f>
      </c>
    </row>
    <row x14ac:dyDescent="0.25" r="457" customHeight="1" ht="17.25">
      <c r="A457" s="41" t="s">
        <v>3578</v>
      </c>
      <c r="B457" s="28">
        <v>2</v>
      </c>
      <c r="C457" s="35">
        <v>835</v>
      </c>
      <c r="D457" s="29" t="s">
        <v>170</v>
      </c>
      <c r="E457" s="30" t="s">
        <v>54</v>
      </c>
      <c r="F457" s="31">
        <v>45162</v>
      </c>
      <c r="G457" s="32">
        <v>4.524305555555555</v>
      </c>
      <c r="H457" s="31">
        <v>45162</v>
      </c>
      <c r="I457" s="32">
        <v>4.261111111111111</v>
      </c>
      <c r="J457" s="33">
        <f>F457-H457</f>
      </c>
      <c r="K457" s="28">
        <v>39</v>
      </c>
      <c r="L457" s="28">
        <v>3</v>
      </c>
      <c r="M457" s="28">
        <v>1</v>
      </c>
      <c r="N457" s="34"/>
      <c r="O457" s="34"/>
      <c r="P457" s="34"/>
      <c r="Q457" s="34"/>
      <c r="R457" s="34"/>
      <c r="S457" s="56"/>
      <c r="T457" s="35">
        <v>1</v>
      </c>
      <c r="U457" s="34"/>
      <c r="V457" s="34"/>
      <c r="W457" s="29"/>
      <c r="X457" s="28">
        <v>35</v>
      </c>
      <c r="Y457" s="28">
        <v>1</v>
      </c>
      <c r="Z457" s="28">
        <v>1</v>
      </c>
      <c r="AA457" s="28">
        <v>1</v>
      </c>
      <c r="AB457" s="28">
        <v>1</v>
      </c>
      <c r="AC457" s="28">
        <v>1</v>
      </c>
      <c r="AD457" s="28">
        <v>1</v>
      </c>
      <c r="AE457" s="28">
        <v>4</v>
      </c>
      <c r="AF457" s="28">
        <v>1</v>
      </c>
      <c r="AG457" s="28">
        <v>2</v>
      </c>
      <c r="AH457" s="29" t="s">
        <v>3579</v>
      </c>
      <c r="AI457" s="36">
        <f>IF(OR(AND(K457&lt;32, J457&lt;2), O457=1, P457=1, Q457=1, R457=1, S457=1, T457=1, U457=1, AND(W457&lt;&gt;"", W457&lt;&gt;"Oxygen", W457&lt;&gt;"LowFlow")), "Intensive", "Intermediate")</f>
      </c>
      <c r="AJ457" s="57">
        <f>IF(OR(LEFT(AH457, 1)="X", LEFT(AH457, 1)="Y", LEFT(AH457, 3)="J6M"), "CUSM", "No Match")</f>
      </c>
      <c r="AK457" s="57">
        <f>IF(AND(OR(O457=3, P457=1, Q457=1, T457=1), AJ457="no Match"), "CUSM, CHU SJ, CHUQ", "")</f>
      </c>
      <c r="AL457" s="57">
        <f>IF(AND(O457=2, ISBLANK(P457), ISBLANK(Q457), ISBLANK(R457), ISBLANK(S457), ISBLANK(T457)), "CUSM, CHU SJ, CHUS, CHUQ", "")</f>
      </c>
      <c r="AM457" s="57">
        <f>IF(AND(AJ457="no match", AK457="", AL457="", K457&lt;26), "CUSM, CHU SJ, HGJ, CHUQ, CHUS", "")</f>
      </c>
      <c r="AN457" s="57">
        <f>IF(AND(AJ457="no match", AK457="", AL457="", K457&gt;26), "CUSM, CHU SJ, HGJ, CHUQ, CHUS, HMR", "")</f>
      </c>
    </row>
    <row x14ac:dyDescent="0.25" r="458" customHeight="1" ht="17.25">
      <c r="A458" s="41" t="s">
        <v>3580</v>
      </c>
      <c r="B458" s="28">
        <v>2</v>
      </c>
      <c r="C458" s="28">
        <v>779</v>
      </c>
      <c r="D458" s="29" t="s">
        <v>136</v>
      </c>
      <c r="E458" s="30" t="s">
        <v>78</v>
      </c>
      <c r="F458" s="31">
        <v>45162</v>
      </c>
      <c r="G458" s="32">
        <v>4.625</v>
      </c>
      <c r="H458" s="31">
        <v>45162</v>
      </c>
      <c r="I458" s="32">
        <v>4.4625</v>
      </c>
      <c r="J458" s="33">
        <f>F458-H458</f>
      </c>
      <c r="K458" s="28">
        <v>27</v>
      </c>
      <c r="L458" s="28">
        <v>2</v>
      </c>
      <c r="M458" s="28">
        <v>1</v>
      </c>
      <c r="N458" s="34"/>
      <c r="O458" s="34"/>
      <c r="P458" s="34"/>
      <c r="Q458" s="34"/>
      <c r="R458" s="34"/>
      <c r="S458" s="56"/>
      <c r="T458" s="34"/>
      <c r="U458" s="34"/>
      <c r="V458" s="34"/>
      <c r="W458" s="29" t="s">
        <v>70</v>
      </c>
      <c r="X458" s="28">
        <v>37</v>
      </c>
      <c r="Y458" s="28">
        <v>1</v>
      </c>
      <c r="Z458" s="28">
        <v>2</v>
      </c>
      <c r="AA458" s="28">
        <v>1</v>
      </c>
      <c r="AB458" s="28">
        <v>1</v>
      </c>
      <c r="AC458" s="28">
        <v>1</v>
      </c>
      <c r="AD458" s="28">
        <v>3</v>
      </c>
      <c r="AE458" s="28">
        <v>4</v>
      </c>
      <c r="AF458" s="28">
        <v>2</v>
      </c>
      <c r="AG458" s="28">
        <v>2</v>
      </c>
      <c r="AH458" s="29" t="s">
        <v>3581</v>
      </c>
      <c r="AI458" s="36">
        <f>IF(OR(AND(K458&lt;32, J458&lt;2), O458=1, P458=1, Q458=1, R458=1, S458=1, T458=1, U458=1, AND(W458&lt;&gt;"", W458&lt;&gt;"Oxygen", W458&lt;&gt;"LowFlow")), "Intensive", "Intermediate")</f>
      </c>
      <c r="AJ458" s="57">
        <f>IF(OR(LEFT(AH458, 1)="X", LEFT(AH458, 1)="Y", LEFT(AH458, 3)="J7M"), "CUSM", "No Match")</f>
      </c>
      <c r="AK458" s="57">
        <f>IF(AND(OR(O458=3, P458=1, Q458=1, T458=1), AJ458="no Match"), "CUSM, CHU SJ, CHUQ", "")</f>
      </c>
      <c r="AL458" s="57">
        <f>IF(AND(O458=2, ISBLANK(P458), ISBLANK(Q458), ISBLANK(R458), ISBLANK(S458), ISBLANK(T458)), "CUSM, CHU SJ, CHUS, CHUQ", "")</f>
      </c>
      <c r="AM458" s="57">
        <f>IF(AND(AJ458="no match", AK458="", AL458="", K458&lt;26), "CUSM, CHU SJ, HGJ, CHUQ, CHUS", "")</f>
      </c>
      <c r="AN458" s="57">
        <f>IF(AND(AJ458="no match", AK458="", AL458="", K458&gt;26), "CUSM, CHU SJ, HGJ, CHUQ, CHUS, HMR", "")</f>
      </c>
    </row>
    <row x14ac:dyDescent="0.25" r="459" customHeight="1" ht="17.25">
      <c r="A459" s="41" t="s">
        <v>3582</v>
      </c>
      <c r="B459" s="28">
        <v>2</v>
      </c>
      <c r="C459" s="28">
        <v>730</v>
      </c>
      <c r="D459" s="29" t="s">
        <v>81</v>
      </c>
      <c r="E459" s="30" t="s">
        <v>50</v>
      </c>
      <c r="F459" s="31">
        <v>45162</v>
      </c>
      <c r="G459" s="32">
        <v>4.760416666666666</v>
      </c>
      <c r="H459" s="31">
        <v>45162</v>
      </c>
      <c r="I459" s="32">
        <v>4.625694444444445</v>
      </c>
      <c r="J459" s="33">
        <f>F459-H459</f>
      </c>
      <c r="K459" s="28">
        <v>39</v>
      </c>
      <c r="L459" s="28">
        <v>6</v>
      </c>
      <c r="M459" s="28">
        <v>1</v>
      </c>
      <c r="N459" s="38"/>
      <c r="O459" s="34"/>
      <c r="P459" s="38"/>
      <c r="Q459" s="34"/>
      <c r="R459" s="34"/>
      <c r="S459" s="56"/>
      <c r="T459" s="34"/>
      <c r="U459" s="34"/>
      <c r="V459" s="34"/>
      <c r="W459" s="29" t="s">
        <v>74</v>
      </c>
      <c r="X459" s="28">
        <v>35</v>
      </c>
      <c r="Y459" s="28">
        <v>1</v>
      </c>
      <c r="Z459" s="28">
        <v>1</v>
      </c>
      <c r="AA459" s="28">
        <v>2</v>
      </c>
      <c r="AB459" s="28">
        <v>1</v>
      </c>
      <c r="AC459" s="28">
        <v>2</v>
      </c>
      <c r="AD459" s="28">
        <v>2</v>
      </c>
      <c r="AE459" s="28">
        <v>4</v>
      </c>
      <c r="AF459" s="28">
        <v>2</v>
      </c>
      <c r="AG459" s="28">
        <v>2</v>
      </c>
      <c r="AH459" s="29" t="s">
        <v>3583</v>
      </c>
      <c r="AI459" s="36">
        <f>IF(OR(AND(K459&lt;32, J459&lt;2), O459=1, P459=1, Q459=1, R459=1, S459=1, T459=1, U459=1, AND(W459&lt;&gt;"", W459&lt;&gt;"Oxygen", W459&lt;&gt;"LowFlow")), "Intensive", "Intermediate")</f>
      </c>
      <c r="AJ459" s="57">
        <f>IF(OR(LEFT(AH459, 1)="X", LEFT(AH459, 1)="Y", LEFT(AH459, 3)="J8M"), "CUSM", "No Match")</f>
      </c>
      <c r="AK459" s="57">
        <f>IF(AND(OR(O459=3, P459=1, Q459=1, T459=1), AJ459="no Match"), "CUSM, CHU SJ, CHUQ", "")</f>
      </c>
      <c r="AL459" s="57">
        <f>IF(AND(O459=2, ISBLANK(P459), ISBLANK(Q459), ISBLANK(R459), ISBLANK(S459), ISBLANK(T459)), "CUSM, CHU SJ, CHUS, CHUQ", "")</f>
      </c>
      <c r="AM459" s="57">
        <f>IF(AND(AJ459="no match", AK459="", AL459="", K459&lt;26), "CUSM, CHU SJ, HGJ, CHUQ, CHUS", "")</f>
      </c>
      <c r="AN459" s="57">
        <f>IF(AND(AJ459="no match", AK459="", AL459="", K459&gt;26), "CUSM, CHU SJ, HGJ, CHUQ, CHUS, HMR", "")</f>
      </c>
    </row>
    <row x14ac:dyDescent="0.25" r="460" customHeight="1" ht="17.25">
      <c r="A460" s="41" t="s">
        <v>3584</v>
      </c>
      <c r="B460" s="28">
        <v>2</v>
      </c>
      <c r="C460" s="35">
        <v>832</v>
      </c>
      <c r="D460" s="29" t="s">
        <v>308</v>
      </c>
      <c r="E460" s="30" t="s">
        <v>54</v>
      </c>
      <c r="F460" s="31">
        <v>45163</v>
      </c>
      <c r="G460" s="32">
        <v>4.11875</v>
      </c>
      <c r="H460" s="31">
        <v>45162</v>
      </c>
      <c r="I460" s="32">
        <v>4.877777777777778</v>
      </c>
      <c r="J460" s="33">
        <f>F460-H460</f>
      </c>
      <c r="K460" s="28">
        <v>40</v>
      </c>
      <c r="L460" s="28">
        <v>2</v>
      </c>
      <c r="M460" s="28">
        <v>1</v>
      </c>
      <c r="N460" s="28">
        <v>1</v>
      </c>
      <c r="O460" s="34"/>
      <c r="P460" s="28">
        <v>1</v>
      </c>
      <c r="Q460" s="34"/>
      <c r="R460" s="34"/>
      <c r="S460" s="56"/>
      <c r="T460" s="34"/>
      <c r="U460" s="34"/>
      <c r="V460" s="38"/>
      <c r="W460" s="29" t="s">
        <v>164</v>
      </c>
      <c r="X460" s="28">
        <v>35</v>
      </c>
      <c r="Y460" s="28">
        <v>1</v>
      </c>
      <c r="Z460" s="28">
        <v>1</v>
      </c>
      <c r="AA460" s="28">
        <v>2</v>
      </c>
      <c r="AB460" s="28">
        <v>1</v>
      </c>
      <c r="AC460" s="28">
        <v>2</v>
      </c>
      <c r="AD460" s="28">
        <v>2</v>
      </c>
      <c r="AE460" s="28">
        <v>4</v>
      </c>
      <c r="AF460" s="28">
        <v>2</v>
      </c>
      <c r="AG460" s="28">
        <v>2</v>
      </c>
      <c r="AH460" s="29" t="s">
        <v>1774</v>
      </c>
      <c r="AI460" s="36">
        <f>IF(OR(AND(K460&lt;32, J460&lt;2), O460=1, P460=1, Q460=1, R460=1, S460=1, T460=1, U460=1, AND(W460&lt;&gt;"", W460&lt;&gt;"Oxygen", W460&lt;&gt;"LowFlow")), "Intensive", "Intermediate")</f>
      </c>
      <c r="AJ460" s="57">
        <f>IF(OR(LEFT(AH460, 1)="X", LEFT(AH460, 1)="Y", LEFT(AH460, 3)="J9M"), "CUSM", "No Match")</f>
      </c>
      <c r="AK460" s="57">
        <f>IF(AND(OR(O460=3, P460=1, Q460=1, T460=1), AJ460="no Match"), "CUSM, CHU SJ, CHUQ", "")</f>
      </c>
      <c r="AL460" s="57">
        <f>IF(AND(O460=2, ISBLANK(P460), ISBLANK(Q460), ISBLANK(R460), ISBLANK(S460), ISBLANK(T460)), "CUSM, CHU SJ, CHUS, CHUQ", "")</f>
      </c>
      <c r="AM460" s="57">
        <f>IF(AND(AJ460="no match", AK460="", AL460="", K460&lt;26), "CUSM, CHU SJ, HGJ, CHUQ, CHUS", "")</f>
      </c>
      <c r="AN460" s="57">
        <f>IF(AND(AJ460="no match", AK460="", AL460="", K460&gt;26), "CUSM, CHU SJ, HGJ, CHUQ, CHUS, HMR", "")</f>
      </c>
    </row>
    <row x14ac:dyDescent="0.25" r="461" customHeight="1" ht="17.25">
      <c r="A461" s="41" t="s">
        <v>3585</v>
      </c>
      <c r="B461" s="28">
        <v>2</v>
      </c>
      <c r="C461" s="35">
        <v>782</v>
      </c>
      <c r="D461" s="29" t="s">
        <v>95</v>
      </c>
      <c r="E461" s="30" t="s">
        <v>50</v>
      </c>
      <c r="F461" s="31">
        <v>45163</v>
      </c>
      <c r="G461" s="32">
        <v>4.7347222222222225</v>
      </c>
      <c r="H461" s="31">
        <v>45156</v>
      </c>
      <c r="I461" s="32">
        <v>4.846527777777778</v>
      </c>
      <c r="J461" s="33">
        <f>F461-H461</f>
      </c>
      <c r="K461" s="28">
        <v>38</v>
      </c>
      <c r="L461" s="28">
        <v>0</v>
      </c>
      <c r="M461" s="28">
        <v>2</v>
      </c>
      <c r="N461" s="28">
        <v>1</v>
      </c>
      <c r="O461" s="38"/>
      <c r="P461" s="28">
        <v>1</v>
      </c>
      <c r="Q461" s="38"/>
      <c r="R461" s="34"/>
      <c r="S461" s="56"/>
      <c r="T461" s="34"/>
      <c r="U461" s="34"/>
      <c r="V461" s="34"/>
      <c r="W461" s="29" t="s">
        <v>106</v>
      </c>
      <c r="X461" s="28">
        <v>32</v>
      </c>
      <c r="Y461" s="28">
        <v>1</v>
      </c>
      <c r="Z461" s="28">
        <v>2</v>
      </c>
      <c r="AA461" s="28">
        <v>3</v>
      </c>
      <c r="AB461" s="28">
        <v>1</v>
      </c>
      <c r="AC461" s="28">
        <v>2</v>
      </c>
      <c r="AD461" s="28">
        <v>1</v>
      </c>
      <c r="AE461" s="28">
        <v>4</v>
      </c>
      <c r="AF461" s="28">
        <v>2</v>
      </c>
      <c r="AG461" s="28">
        <v>2</v>
      </c>
      <c r="AH461" s="29" t="s">
        <v>3586</v>
      </c>
      <c r="AI461" s="36">
        <f>IF(OR(AND(K461&lt;32, J461&lt;2), O461=1, P461=1, Q461=1, R461=1, S461=1, T461=1, U461=1, AND(W461&lt;&gt;"", W461&lt;&gt;"Oxygen", W461&lt;&gt;"LowFlow")), "Intensive", "Intermediate")</f>
      </c>
      <c r="AJ461" s="57">
        <f>IF(OR(LEFT(AH461, 1)="X", LEFT(AH461, 1)="Y", LEFT(AH461, 3)="J10M"), "CUSM", "No Match")</f>
      </c>
      <c r="AK461" s="57">
        <f>IF(AND(OR(O461=3, P461=1, Q461=1, T461=1), AJ461="no Match"), "CUSM, CHU SJ, CHUQ", "")</f>
      </c>
      <c r="AL461" s="57">
        <f>IF(AND(O461=2, ISBLANK(P461), ISBLANK(Q461), ISBLANK(R461), ISBLANK(S461), ISBLANK(T461)), "CUSM, CHU SJ, CHUS, CHUQ", "")</f>
      </c>
      <c r="AM461" s="57">
        <f>IF(AND(AJ461="no match", AK461="", AL461="", K461&lt;26), "CUSM, CHU SJ, HGJ, CHUQ, CHUS", "")</f>
      </c>
      <c r="AN461" s="57">
        <f>IF(AND(AJ461="no match", AK461="", AL461="", K461&gt;26), "CUSM, CHU SJ, HGJ, CHUQ, CHUS, HMR", "")</f>
      </c>
    </row>
    <row x14ac:dyDescent="0.25" r="462" customHeight="1" ht="17.25">
      <c r="A462" s="41" t="s">
        <v>3587</v>
      </c>
      <c r="B462" s="28">
        <v>2</v>
      </c>
      <c r="C462" s="35">
        <v>833</v>
      </c>
      <c r="D462" s="29" t="s">
        <v>376</v>
      </c>
      <c r="E462" s="30" t="s">
        <v>54</v>
      </c>
      <c r="F462" s="31">
        <v>45164</v>
      </c>
      <c r="G462" s="32">
        <v>4.604166666666666</v>
      </c>
      <c r="H462" s="31">
        <v>45164</v>
      </c>
      <c r="I462" s="32">
        <v>4.175</v>
      </c>
      <c r="J462" s="33">
        <f>F462-H462</f>
      </c>
      <c r="K462" s="28">
        <v>37</v>
      </c>
      <c r="L462" s="28">
        <v>5</v>
      </c>
      <c r="M462" s="28">
        <v>2</v>
      </c>
      <c r="N462" s="28">
        <v>1</v>
      </c>
      <c r="O462" s="38"/>
      <c r="P462" s="38"/>
      <c r="Q462" s="34"/>
      <c r="R462" s="34"/>
      <c r="S462" s="56"/>
      <c r="T462" s="34"/>
      <c r="U462" s="34"/>
      <c r="V462" s="34"/>
      <c r="W462" s="29"/>
      <c r="X462" s="28">
        <v>24</v>
      </c>
      <c r="Y462" s="28">
        <v>1</v>
      </c>
      <c r="Z462" s="28">
        <v>2</v>
      </c>
      <c r="AA462" s="28">
        <v>1</v>
      </c>
      <c r="AB462" s="28">
        <v>2</v>
      </c>
      <c r="AC462" s="28">
        <v>2</v>
      </c>
      <c r="AD462" s="28">
        <v>1</v>
      </c>
      <c r="AE462" s="28">
        <v>4</v>
      </c>
      <c r="AF462" s="28">
        <v>2</v>
      </c>
      <c r="AG462" s="28">
        <v>2</v>
      </c>
      <c r="AH462" s="29" t="s">
        <v>3588</v>
      </c>
      <c r="AI462" s="36">
        <f>IF(OR(AND(K462&lt;32, J462&lt;2), O462=1, P462=1, Q462=1, R462=1, S462=1, T462=1, U462=1, AND(W462&lt;&gt;"", W462&lt;&gt;"Oxygen", W462&lt;&gt;"LowFlow")), "Intensive", "Intermediate")</f>
      </c>
      <c r="AJ462" s="57">
        <f>IF(OR(LEFT(AH462, 1)="X", LEFT(AH462, 1)="Y", LEFT(AH462, 3)="J11M"), "CUSM", "No Match")</f>
      </c>
      <c r="AK462" s="57">
        <f>IF(AND(OR(O462=3, P462=1, Q462=1, T462=1), AJ462="no Match"), "CUSM, CHU SJ, CHUQ", "")</f>
      </c>
      <c r="AL462" s="57">
        <f>IF(AND(O462=2, ISBLANK(P462), ISBLANK(Q462), ISBLANK(R462), ISBLANK(S462), ISBLANK(T462)), "CUSM, CHU SJ, CHUS, CHUQ", "")</f>
      </c>
      <c r="AM462" s="57">
        <f>IF(AND(AJ462="no match", AK462="", AL462="", K462&lt;26), "CUSM, CHU SJ, HGJ, CHUQ, CHUS", "")</f>
      </c>
      <c r="AN462" s="57">
        <f>IF(AND(AJ462="no match", AK462="", AL462="", K462&gt;26), "CUSM, CHU SJ, HGJ, CHUQ, CHUS, HMR", "")</f>
      </c>
    </row>
    <row x14ac:dyDescent="0.25" r="463" customHeight="1" ht="17.25">
      <c r="A463" s="41" t="s">
        <v>3589</v>
      </c>
      <c r="B463" s="28">
        <v>2</v>
      </c>
      <c r="C463" s="35">
        <v>1019</v>
      </c>
      <c r="D463" s="29" t="s">
        <v>354</v>
      </c>
      <c r="E463" s="30" t="s">
        <v>54</v>
      </c>
      <c r="F463" s="31">
        <v>45164</v>
      </c>
      <c r="G463" s="32">
        <v>4.847222222222222</v>
      </c>
      <c r="H463" s="31">
        <v>45164</v>
      </c>
      <c r="I463" s="32">
        <v>4.673611111111111</v>
      </c>
      <c r="J463" s="33">
        <f>F463-H463</f>
      </c>
      <c r="K463" s="28">
        <v>41</v>
      </c>
      <c r="L463" s="28">
        <v>3</v>
      </c>
      <c r="M463" s="28">
        <v>1</v>
      </c>
      <c r="N463" s="35">
        <v>1</v>
      </c>
      <c r="O463" s="34"/>
      <c r="P463" s="35">
        <v>1</v>
      </c>
      <c r="Q463" s="34"/>
      <c r="R463" s="34"/>
      <c r="S463" s="56"/>
      <c r="T463" s="35">
        <v>1</v>
      </c>
      <c r="U463" s="34"/>
      <c r="V463" s="34"/>
      <c r="W463" s="29" t="s">
        <v>58</v>
      </c>
      <c r="X463" s="28">
        <v>24</v>
      </c>
      <c r="Y463" s="28">
        <v>1</v>
      </c>
      <c r="Z463" s="28">
        <v>2</v>
      </c>
      <c r="AA463" s="28">
        <v>2</v>
      </c>
      <c r="AB463" s="28">
        <v>1</v>
      </c>
      <c r="AC463" s="28">
        <v>2</v>
      </c>
      <c r="AD463" s="28">
        <v>2</v>
      </c>
      <c r="AE463" s="28">
        <v>4</v>
      </c>
      <c r="AF463" s="28">
        <v>2</v>
      </c>
      <c r="AG463" s="28">
        <v>2</v>
      </c>
      <c r="AH463" s="29" t="s">
        <v>3590</v>
      </c>
      <c r="AI463" s="36">
        <f>IF(OR(AND(K463&lt;32, J463&lt;2), O463=1, P463=1, Q463=1, R463=1, S463=1, T463=1, U463=1, AND(W463&lt;&gt;"", W463&lt;&gt;"Oxygen", W463&lt;&gt;"LowFlow")), "Intensive", "Intermediate")</f>
      </c>
      <c r="AJ463" s="57">
        <f>IF(OR(LEFT(AH463, 1)="X", LEFT(AH463, 1)="Y", LEFT(AH463, 3)="J12M"), "CUSM", "No Match")</f>
      </c>
      <c r="AK463" s="57">
        <f>IF(AND(OR(O463=3, P463=1, Q463=1, T463=1), AJ463="no Match"), "CUSM, CHU SJ, CHUQ", "")</f>
      </c>
      <c r="AL463" s="57">
        <f>IF(AND(O463=2, ISBLANK(P463), ISBLANK(Q463), ISBLANK(R463), ISBLANK(S463), ISBLANK(T463)), "CUSM, CHU SJ, CHUS, CHUQ", "")</f>
      </c>
      <c r="AM463" s="57">
        <f>IF(AND(AJ463="no match", AK463="", AL463="", K463&lt;26), "CUSM, CHU SJ, HGJ, CHUQ, CHUS", "")</f>
      </c>
      <c r="AN463" s="57">
        <f>IF(AND(AJ463="no match", AK463="", AL463="", K463&gt;26), "CUSM, CHU SJ, HGJ, CHUQ, CHUS, HMR", "")</f>
      </c>
    </row>
    <row x14ac:dyDescent="0.25" r="464" customHeight="1" ht="17.25">
      <c r="A464" s="41" t="s">
        <v>3591</v>
      </c>
      <c r="B464" s="28">
        <v>2</v>
      </c>
      <c r="C464" s="35">
        <v>782</v>
      </c>
      <c r="D464" s="29" t="s">
        <v>95</v>
      </c>
      <c r="E464" s="30" t="s">
        <v>50</v>
      </c>
      <c r="F464" s="31">
        <v>45164</v>
      </c>
      <c r="G464" s="32">
        <v>4.925694444444444</v>
      </c>
      <c r="H464" s="31">
        <v>45164</v>
      </c>
      <c r="I464" s="32">
        <v>4.694444444444445</v>
      </c>
      <c r="J464" s="33">
        <f>F464-H464</f>
      </c>
      <c r="K464" s="28">
        <v>40</v>
      </c>
      <c r="L464" s="28">
        <v>2</v>
      </c>
      <c r="M464" s="28">
        <v>2</v>
      </c>
      <c r="N464" s="34"/>
      <c r="O464" s="34"/>
      <c r="P464" s="34"/>
      <c r="Q464" s="34"/>
      <c r="R464" s="34"/>
      <c r="S464" s="56"/>
      <c r="T464" s="34"/>
      <c r="U464" s="34"/>
      <c r="V464" s="34"/>
      <c r="W464" s="29"/>
      <c r="X464" s="28">
        <v>27</v>
      </c>
      <c r="Y464" s="28">
        <v>1</v>
      </c>
      <c r="Z464" s="28">
        <v>1</v>
      </c>
      <c r="AA464" s="28">
        <v>3</v>
      </c>
      <c r="AB464" s="28">
        <v>1</v>
      </c>
      <c r="AC464" s="28">
        <v>2</v>
      </c>
      <c r="AD464" s="28">
        <v>2</v>
      </c>
      <c r="AE464" s="28">
        <v>4</v>
      </c>
      <c r="AF464" s="28">
        <v>2</v>
      </c>
      <c r="AG464" s="28">
        <v>2</v>
      </c>
      <c r="AH464" s="29" t="s">
        <v>3592</v>
      </c>
      <c r="AI464" s="36">
        <f>IF(OR(AND(K464&lt;32, J464&lt;2), O464=1, P464=1, Q464=1, R464=1, S464=1, T464=1, U464=1, AND(W464&lt;&gt;"", W464&lt;&gt;"Oxygen", W464&lt;&gt;"LowFlow")), "Intensive", "Intermediate")</f>
      </c>
      <c r="AJ464" s="57">
        <f>IF(OR(LEFT(AH464, 1)="X", LEFT(AH464, 1)="Y", LEFT(AH464, 3)="J13M"), "CUSM", "No Match")</f>
      </c>
      <c r="AK464" s="57">
        <f>IF(AND(OR(O464=3, P464=1, Q464=1, T464=1), AJ464="no Match"), "CUSM, CHU SJ, CHUQ", "")</f>
      </c>
      <c r="AL464" s="57">
        <f>IF(AND(O464=2, ISBLANK(P464), ISBLANK(Q464), ISBLANK(R464), ISBLANK(S464), ISBLANK(T464)), "CUSM, CHU SJ, CHUS, CHUQ", "")</f>
      </c>
      <c r="AM464" s="57">
        <f>IF(AND(AJ464="no match", AK464="", AL464="", K464&lt;26), "CUSM, CHU SJ, HGJ, CHUQ, CHUS", "")</f>
      </c>
      <c r="AN464" s="57">
        <f>IF(AND(AJ464="no match", AK464="", AL464="", K464&gt;26), "CUSM, CHU SJ, HGJ, CHUQ, CHUS, HMR", "")</f>
      </c>
    </row>
    <row x14ac:dyDescent="0.25" r="465" customHeight="1" ht="17.25">
      <c r="A465" s="41" t="s">
        <v>3593</v>
      </c>
      <c r="B465" s="28">
        <v>2</v>
      </c>
      <c r="C465" s="28">
        <v>824</v>
      </c>
      <c r="D465" s="29" t="s">
        <v>57</v>
      </c>
      <c r="E465" s="30" t="s">
        <v>50</v>
      </c>
      <c r="F465" s="31">
        <v>45164</v>
      </c>
      <c r="G465" s="32">
        <v>4.0625</v>
      </c>
      <c r="H465" s="31">
        <v>45163</v>
      </c>
      <c r="I465" s="32">
        <v>4.243055555555555</v>
      </c>
      <c r="J465" s="33">
        <f>F465-H465</f>
      </c>
      <c r="K465" s="28">
        <v>39</v>
      </c>
      <c r="L465" s="28">
        <v>2</v>
      </c>
      <c r="M465" s="28">
        <v>2</v>
      </c>
      <c r="N465" s="34"/>
      <c r="O465" s="34"/>
      <c r="P465" s="34"/>
      <c r="Q465" s="34"/>
      <c r="R465" s="34"/>
      <c r="S465" s="56"/>
      <c r="T465" s="34"/>
      <c r="U465" s="34"/>
      <c r="V465" s="34"/>
      <c r="W465" s="29" t="s">
        <v>106</v>
      </c>
      <c r="X465" s="28">
        <v>32</v>
      </c>
      <c r="Y465" s="28">
        <v>1</v>
      </c>
      <c r="Z465" s="28">
        <v>1</v>
      </c>
      <c r="AA465" s="28">
        <v>2</v>
      </c>
      <c r="AB465" s="28">
        <v>2</v>
      </c>
      <c r="AC465" s="28">
        <v>2</v>
      </c>
      <c r="AD465" s="28">
        <v>2</v>
      </c>
      <c r="AE465" s="28">
        <v>4</v>
      </c>
      <c r="AF465" s="28">
        <v>2</v>
      </c>
      <c r="AG465" s="28">
        <v>2</v>
      </c>
      <c r="AH465" s="29" t="s">
        <v>3594</v>
      </c>
      <c r="AI465" s="36">
        <f>IF(OR(AND(K465&lt;32, J465&lt;2), O465=1, P465=1, Q465=1, R465=1, S465=1, T465=1, U465=1, AND(W465&lt;&gt;"", W465&lt;&gt;"Oxygen", W465&lt;&gt;"LowFlow")), "Intensive", "Intermediate")</f>
      </c>
      <c r="AJ465" s="57">
        <f>IF(OR(LEFT(AH465, 1)="X", LEFT(AH465, 1)="Y", LEFT(AH465, 3)="J14M"), "CUSM", "No Match")</f>
      </c>
      <c r="AK465" s="57">
        <f>IF(AND(OR(O465=3, P465=1, Q465=1, T465=1), AJ465="no Match"), "CUSM, CHU SJ, CHUQ", "")</f>
      </c>
      <c r="AL465" s="57">
        <f>IF(AND(O465=2, ISBLANK(P465), ISBLANK(Q465), ISBLANK(R465), ISBLANK(S465), ISBLANK(T465)), "CUSM, CHU SJ, CHUS, CHUQ", "")</f>
      </c>
      <c r="AM465" s="57">
        <f>IF(AND(AJ465="no match", AK465="", AL465="", K465&lt;26), "CUSM, CHU SJ, HGJ, CHUQ, CHUS", "")</f>
      </c>
      <c r="AN465" s="57">
        <f>IF(AND(AJ465="no match", AK465="", AL465="", K465&gt;26), "CUSM, CHU SJ, HGJ, CHUQ, CHUS, HMR", "")</f>
      </c>
    </row>
    <row x14ac:dyDescent="0.25" r="466" customHeight="1" ht="17.25">
      <c r="A466" s="41" t="s">
        <v>3595</v>
      </c>
      <c r="B466" s="28">
        <v>2</v>
      </c>
      <c r="C466" s="35">
        <v>1019</v>
      </c>
      <c r="D466" s="29" t="s">
        <v>354</v>
      </c>
      <c r="E466" s="30" t="s">
        <v>54</v>
      </c>
      <c r="F466" s="31">
        <v>45165</v>
      </c>
      <c r="G466" s="32">
        <v>4.1097222222222225</v>
      </c>
      <c r="H466" s="31">
        <v>45164</v>
      </c>
      <c r="I466" s="32">
        <v>4.856944444444444</v>
      </c>
      <c r="J466" s="33">
        <f>F466-H466</f>
      </c>
      <c r="K466" s="28">
        <v>40</v>
      </c>
      <c r="L466" s="28">
        <v>0</v>
      </c>
      <c r="M466" s="28">
        <v>1</v>
      </c>
      <c r="N466" s="34"/>
      <c r="O466" s="34"/>
      <c r="P466" s="34"/>
      <c r="Q466" s="34"/>
      <c r="R466" s="34"/>
      <c r="S466" s="56"/>
      <c r="T466" s="34"/>
      <c r="U466" s="34"/>
      <c r="V466" s="34"/>
      <c r="W466" s="29"/>
      <c r="X466" s="28">
        <v>28</v>
      </c>
      <c r="Y466" s="28">
        <v>1</v>
      </c>
      <c r="Z466" s="28">
        <v>1</v>
      </c>
      <c r="AA466" s="28">
        <v>2</v>
      </c>
      <c r="AB466" s="28">
        <v>1</v>
      </c>
      <c r="AC466" s="28">
        <v>2</v>
      </c>
      <c r="AD466" s="28">
        <v>2</v>
      </c>
      <c r="AE466" s="28">
        <v>4</v>
      </c>
      <c r="AF466" s="35">
        <v>2</v>
      </c>
      <c r="AG466" s="28">
        <v>2</v>
      </c>
      <c r="AH466" s="29" t="s">
        <v>3596</v>
      </c>
      <c r="AI466" s="36">
        <f>IF(OR(AND(K466&lt;32, J466&lt;2), O466=1, P466=1, Q466=1, R466=1, S466=1, T466=1, U466=1, AND(W466&lt;&gt;"", W466&lt;&gt;"Oxygen", W466&lt;&gt;"LowFlow")), "Intensive", "Intermediate")</f>
      </c>
      <c r="AJ466" s="57">
        <f>IF(OR(LEFT(AH466, 1)="X", LEFT(AH466, 1)="Y", LEFT(AH466, 3)="J15M"), "CUSM", "No Match")</f>
      </c>
      <c r="AK466" s="57">
        <f>IF(AND(OR(O466=3, P466=1, Q466=1, T466=1), AJ466="no Match"), "CUSM, CHU SJ, CHUQ", "")</f>
      </c>
      <c r="AL466" s="57">
        <f>IF(AND(O466=2, ISBLANK(P466), ISBLANK(Q466), ISBLANK(R466), ISBLANK(S466), ISBLANK(T466)), "CUSM, CHU SJ, CHUS, CHUQ", "")</f>
      </c>
      <c r="AM466" s="57">
        <f>IF(AND(AJ466="no match", AK466="", AL466="", K466&lt;26), "CUSM, CHU SJ, HGJ, CHUQ, CHUS", "")</f>
      </c>
      <c r="AN466" s="57">
        <f>IF(AND(AJ466="no match", AK466="", AL466="", K466&gt;26), "CUSM, CHU SJ, HGJ, CHUQ, CHUS, HMR", "")</f>
      </c>
    </row>
    <row x14ac:dyDescent="0.25" r="467" customHeight="1" ht="17.25">
      <c r="A467" s="41" t="s">
        <v>3597</v>
      </c>
      <c r="B467" s="28">
        <v>2</v>
      </c>
      <c r="C467" s="35">
        <v>809</v>
      </c>
      <c r="D467" s="29" t="s">
        <v>117</v>
      </c>
      <c r="E467" s="30" t="s">
        <v>54</v>
      </c>
      <c r="F467" s="31">
        <v>45165</v>
      </c>
      <c r="G467" s="32">
        <v>4.934027777777778</v>
      </c>
      <c r="H467" s="31">
        <v>45162</v>
      </c>
      <c r="I467" s="32">
        <v>4.670138888888889</v>
      </c>
      <c r="J467" s="33">
        <f>F467-H467</f>
      </c>
      <c r="K467" s="28">
        <v>38</v>
      </c>
      <c r="L467" s="28">
        <v>4</v>
      </c>
      <c r="M467" s="28">
        <v>1</v>
      </c>
      <c r="N467" s="38"/>
      <c r="O467" s="34"/>
      <c r="P467" s="38"/>
      <c r="Q467" s="34"/>
      <c r="R467" s="34"/>
      <c r="S467" s="56"/>
      <c r="T467" s="34"/>
      <c r="U467" s="38"/>
      <c r="V467" s="38"/>
      <c r="W467" s="29" t="s">
        <v>74</v>
      </c>
      <c r="X467" s="28">
        <v>29</v>
      </c>
      <c r="Y467" s="28">
        <v>1</v>
      </c>
      <c r="Z467" s="28">
        <v>1</v>
      </c>
      <c r="AA467" s="28">
        <v>2</v>
      </c>
      <c r="AB467" s="28">
        <v>4</v>
      </c>
      <c r="AC467" s="28">
        <v>3</v>
      </c>
      <c r="AD467" s="28">
        <v>2</v>
      </c>
      <c r="AE467" s="28">
        <v>4</v>
      </c>
      <c r="AF467" s="28">
        <v>3</v>
      </c>
      <c r="AG467" s="28">
        <v>2</v>
      </c>
      <c r="AH467" s="29" t="s">
        <v>3598</v>
      </c>
      <c r="AI467" s="36">
        <f>IF(OR(AND(K467&lt;32, J467&lt;2), O467=1, P467=1, Q467=1, R467=1, S467=1, T467=1, U467=1, AND(W467&lt;&gt;"", W467&lt;&gt;"Oxygen", W467&lt;&gt;"LowFlow")), "Intensive", "Intermediate")</f>
      </c>
      <c r="AJ467" s="57">
        <f>IF(OR(LEFT(AH467, 1)="X", LEFT(AH467, 1)="Y", LEFT(AH467, 3)="J16M"), "CUSM", "No Match")</f>
      </c>
      <c r="AK467" s="57">
        <f>IF(AND(OR(O467=3, P467=1, Q467=1, T467=1), AJ467="no Match"), "CUSM, CHU SJ, CHUQ", "")</f>
      </c>
      <c r="AL467" s="57">
        <f>IF(AND(O467=2, ISBLANK(P467), ISBLANK(Q467), ISBLANK(R467), ISBLANK(S467), ISBLANK(T467)), "CUSM, CHU SJ, CHUS, CHUQ", "")</f>
      </c>
      <c r="AM467" s="57">
        <f>IF(AND(AJ467="no match", AK467="", AL467="", K467&lt;26), "CUSM, CHU SJ, HGJ, CHUQ, CHUS", "")</f>
      </c>
      <c r="AN467" s="57">
        <f>IF(AND(AJ467="no match", AK467="", AL467="", K467&gt;26), "CUSM, CHU SJ, HGJ, CHUQ, CHUS, HMR", "")</f>
      </c>
    </row>
    <row x14ac:dyDescent="0.25" r="468" customHeight="1" ht="17.25">
      <c r="A468" s="41" t="s">
        <v>3599</v>
      </c>
      <c r="B468" s="28">
        <v>2</v>
      </c>
      <c r="C468" s="28">
        <v>779</v>
      </c>
      <c r="D468" s="29" t="s">
        <v>136</v>
      </c>
      <c r="E468" s="30" t="s">
        <v>54</v>
      </c>
      <c r="F468" s="31">
        <v>45166</v>
      </c>
      <c r="G468" s="32">
        <v>4.614583333333334</v>
      </c>
      <c r="H468" s="31">
        <v>45166</v>
      </c>
      <c r="I468" s="32">
        <v>4.263194444444444</v>
      </c>
      <c r="J468" s="33">
        <f>F468-H468</f>
      </c>
      <c r="K468" s="28">
        <v>40</v>
      </c>
      <c r="L468" s="28">
        <v>4</v>
      </c>
      <c r="M468" s="28">
        <v>1</v>
      </c>
      <c r="N468" s="35">
        <v>1</v>
      </c>
      <c r="O468" s="34"/>
      <c r="P468" s="34"/>
      <c r="Q468" s="34"/>
      <c r="R468" s="34"/>
      <c r="S468" s="56"/>
      <c r="T468" s="34"/>
      <c r="U468" s="34"/>
      <c r="V468" s="34"/>
      <c r="W468" s="29"/>
      <c r="X468" s="28">
        <v>30</v>
      </c>
      <c r="Y468" s="28">
        <v>1</v>
      </c>
      <c r="Z468" s="28">
        <v>2</v>
      </c>
      <c r="AA468" s="28">
        <v>1</v>
      </c>
      <c r="AB468" s="28">
        <v>1</v>
      </c>
      <c r="AC468" s="28">
        <v>2</v>
      </c>
      <c r="AD468" s="28">
        <v>2</v>
      </c>
      <c r="AE468" s="28">
        <v>4</v>
      </c>
      <c r="AF468" s="28">
        <v>1</v>
      </c>
      <c r="AG468" s="28">
        <v>2</v>
      </c>
      <c r="AH468" s="29" t="s">
        <v>3600</v>
      </c>
      <c r="AI468" s="36">
        <f>IF(OR(AND(K468&lt;32, J468&lt;2), O468=1, P468=1, Q468=1, R468=1, S468=1, T468=1, U468=1, AND(W468&lt;&gt;"", W468&lt;&gt;"Oxygen", W468&lt;&gt;"LowFlow")), "Intensive", "Intermediate")</f>
      </c>
      <c r="AJ468" s="57">
        <f>IF(OR(LEFT(AH468, 1)="X", LEFT(AH468, 1)="Y", LEFT(AH468, 3)="J17M"), "CUSM", "No Match")</f>
      </c>
      <c r="AK468" s="57">
        <f>IF(AND(OR(O468=3, P468=1, Q468=1, T468=1), AJ468="no Match"), "CUSM, CHU SJ, CHUQ", "")</f>
      </c>
      <c r="AL468" s="57">
        <f>IF(AND(O468=2, ISBLANK(P468), ISBLANK(Q468), ISBLANK(R468), ISBLANK(S468), ISBLANK(T468)), "CUSM, CHU SJ, CHUS, CHUQ", "")</f>
      </c>
      <c r="AM468" s="57">
        <f>IF(AND(AJ468="no match", AK468="", AL468="", K468&lt;26), "CUSM, CHU SJ, HGJ, CHUQ, CHUS", "")</f>
      </c>
      <c r="AN468" s="57">
        <f>IF(AND(AJ468="no match", AK468="", AL468="", K468&gt;26), "CUSM, CHU SJ, HGJ, CHUQ, CHUS, HMR", "")</f>
      </c>
    </row>
    <row x14ac:dyDescent="0.25" r="469" customHeight="1" ht="17.25">
      <c r="A469" s="41" t="s">
        <v>3601</v>
      </c>
      <c r="B469" s="28">
        <v>2</v>
      </c>
      <c r="C469" s="28">
        <v>749</v>
      </c>
      <c r="D469" s="29" t="s">
        <v>955</v>
      </c>
      <c r="E469" s="30" t="s">
        <v>149</v>
      </c>
      <c r="F469" s="31">
        <v>45167</v>
      </c>
      <c r="G469" s="32">
        <v>4.8694444444444445</v>
      </c>
      <c r="H469" s="31">
        <v>45167</v>
      </c>
      <c r="I469" s="32">
        <v>4.667361111111111</v>
      </c>
      <c r="J469" s="33">
        <f>F469-H469</f>
      </c>
      <c r="K469" s="28">
        <v>40</v>
      </c>
      <c r="L469" s="28">
        <v>0</v>
      </c>
      <c r="M469" s="28">
        <v>2</v>
      </c>
      <c r="N469" s="34"/>
      <c r="O469" s="34"/>
      <c r="P469" s="34"/>
      <c r="Q469" s="34"/>
      <c r="R469" s="34"/>
      <c r="S469" s="56"/>
      <c r="T469" s="35">
        <v>1</v>
      </c>
      <c r="U469" s="35">
        <v>1</v>
      </c>
      <c r="V469" s="35">
        <v>1</v>
      </c>
      <c r="W469" s="29" t="s">
        <v>74</v>
      </c>
      <c r="X469" s="38"/>
      <c r="Y469" s="28">
        <v>1</v>
      </c>
      <c r="Z469" s="28">
        <v>2</v>
      </c>
      <c r="AA469" s="28">
        <v>3</v>
      </c>
      <c r="AB469" s="28">
        <v>1</v>
      </c>
      <c r="AC469" s="28">
        <v>3</v>
      </c>
      <c r="AD469" s="28">
        <v>3</v>
      </c>
      <c r="AE469" s="28">
        <v>4</v>
      </c>
      <c r="AF469" s="28">
        <v>3</v>
      </c>
      <c r="AG469" s="28">
        <v>2</v>
      </c>
      <c r="AH469" s="29" t="s">
        <v>3602</v>
      </c>
      <c r="AI469" s="36">
        <f>IF(OR(AND(K469&lt;32, J469&lt;2), O469=1, P469=1, Q469=1, R469=1, S469=1, T469=1, U469=1, AND(W469&lt;&gt;"", W469&lt;&gt;"Oxygen", W469&lt;&gt;"LowFlow")), "Intensive", "Intermediate")</f>
      </c>
      <c r="AJ469" s="57">
        <f>IF(OR(LEFT(AH469, 1)="X", LEFT(AH469, 1)="Y", LEFT(AH469, 3)="J18M"), "CUSM", "No Match")</f>
      </c>
      <c r="AK469" s="57">
        <f>IF(AND(OR(O469=3, P469=1, Q469=1, T469=1), AJ469="no Match"), "CUSM, CHU SJ, CHUQ", "")</f>
      </c>
      <c r="AL469" s="57">
        <f>IF(AND(O469=2, ISBLANK(P469), ISBLANK(Q469), ISBLANK(R469), ISBLANK(S469), ISBLANK(T469)), "CUSM, CHU SJ, CHUS, CHUQ", "")</f>
      </c>
      <c r="AM469" s="57">
        <f>IF(AND(AJ469="no match", AK469="", AL469="", K469&lt;26), "CUSM, CHU SJ, HGJ, CHUQ, CHUS", "")</f>
      </c>
      <c r="AN469" s="57">
        <f>IF(AND(AJ469="no match", AK469="", AL469="", K469&gt;26), "CUSM, CHU SJ, HGJ, CHUQ, CHUS, HMR", "")</f>
      </c>
    </row>
    <row x14ac:dyDescent="0.25" r="470" customHeight="1" ht="17.25">
      <c r="A470" s="41" t="s">
        <v>3603</v>
      </c>
      <c r="B470" s="28">
        <v>2</v>
      </c>
      <c r="C470" s="35">
        <v>839</v>
      </c>
      <c r="D470" s="29" t="s">
        <v>53</v>
      </c>
      <c r="E470" s="30" t="s">
        <v>50</v>
      </c>
      <c r="F470" s="31">
        <v>45167</v>
      </c>
      <c r="G470" s="32">
        <v>4.729166666666666</v>
      </c>
      <c r="H470" s="31">
        <v>45167</v>
      </c>
      <c r="I470" s="32">
        <v>4.629861111111111</v>
      </c>
      <c r="J470" s="33">
        <f>F470-H470</f>
      </c>
      <c r="K470" s="28">
        <v>31</v>
      </c>
      <c r="L470" s="28">
        <v>4</v>
      </c>
      <c r="M470" s="28">
        <v>2</v>
      </c>
      <c r="N470" s="34"/>
      <c r="O470" s="34"/>
      <c r="P470" s="34"/>
      <c r="Q470" s="34"/>
      <c r="R470" s="34"/>
      <c r="S470" s="56"/>
      <c r="T470" s="34"/>
      <c r="U470" s="34"/>
      <c r="V470" s="34"/>
      <c r="W470" s="29" t="s">
        <v>74</v>
      </c>
      <c r="X470" s="28">
        <v>37</v>
      </c>
      <c r="Y470" s="28">
        <v>1</v>
      </c>
      <c r="Z470" s="28">
        <v>2</v>
      </c>
      <c r="AA470" s="28">
        <v>3</v>
      </c>
      <c r="AB470" s="28">
        <v>1</v>
      </c>
      <c r="AC470" s="28">
        <v>2</v>
      </c>
      <c r="AD470" s="28">
        <v>2</v>
      </c>
      <c r="AE470" s="28">
        <v>4</v>
      </c>
      <c r="AF470" s="28">
        <v>2</v>
      </c>
      <c r="AG470" s="28">
        <v>2</v>
      </c>
      <c r="AH470" s="29" t="s">
        <v>3604</v>
      </c>
      <c r="AI470" s="36">
        <f>IF(OR(AND(K470&lt;32, J470&lt;2), O470=1, P470=1, Q470=1, R470=1, S470=1, T470=1, U470=1, AND(W470&lt;&gt;"", W470&lt;&gt;"Oxygen", W470&lt;&gt;"LowFlow")), "Intensive", "Intermediate")</f>
      </c>
      <c r="AJ470" s="57">
        <f>IF(OR(LEFT(AH470, 1)="X", LEFT(AH470, 1)="Y", LEFT(AH470, 3)="J19M"), "CUSM", "No Match")</f>
      </c>
      <c r="AK470" s="57">
        <f>IF(AND(OR(O470=3, P470=1, Q470=1, T470=1), AJ470="no Match"), "CUSM, CHU SJ, CHUQ", "")</f>
      </c>
      <c r="AL470" s="57">
        <f>IF(AND(O470=2, ISBLANK(P470), ISBLANK(Q470), ISBLANK(R470), ISBLANK(S470), ISBLANK(T470)), "CUSM, CHU SJ, CHUS, CHUQ", "")</f>
      </c>
      <c r="AM470" s="57">
        <f>IF(AND(AJ470="no match", AK470="", AL470="", K470&lt;26), "CUSM, CHU SJ, HGJ, CHUQ, CHUS", "")</f>
      </c>
      <c r="AN470" s="57">
        <f>IF(AND(AJ470="no match", AK470="", AL470="", K470&gt;26), "CUSM, CHU SJ, HGJ, CHUQ, CHUS, HMR", "")</f>
      </c>
    </row>
    <row x14ac:dyDescent="0.25" r="471" customHeight="1" ht="17.25">
      <c r="A471" s="41" t="s">
        <v>3605</v>
      </c>
      <c r="B471" s="28">
        <v>2</v>
      </c>
      <c r="C471" s="35">
        <v>839</v>
      </c>
      <c r="D471" s="29" t="s">
        <v>53</v>
      </c>
      <c r="E471" s="30" t="s">
        <v>220</v>
      </c>
      <c r="F471" s="31">
        <v>45167</v>
      </c>
      <c r="G471" s="32">
        <v>4.290972222222223</v>
      </c>
      <c r="H471" s="31">
        <v>45167</v>
      </c>
      <c r="I471" s="32">
        <v>4.167361111111111</v>
      </c>
      <c r="J471" s="33">
        <f>F471-H471</f>
      </c>
      <c r="K471" s="28">
        <v>30</v>
      </c>
      <c r="L471" s="28">
        <v>0</v>
      </c>
      <c r="M471" s="28">
        <v>1</v>
      </c>
      <c r="N471" s="34"/>
      <c r="O471" s="34"/>
      <c r="P471" s="34"/>
      <c r="Q471" s="34"/>
      <c r="R471" s="34"/>
      <c r="S471" s="56"/>
      <c r="T471" s="34"/>
      <c r="U471" s="34"/>
      <c r="V471" s="34"/>
      <c r="W471" s="29" t="s">
        <v>74</v>
      </c>
      <c r="X471" s="28">
        <v>38</v>
      </c>
      <c r="Y471" s="28">
        <v>1</v>
      </c>
      <c r="Z471" s="28">
        <v>1</v>
      </c>
      <c r="AA471" s="28">
        <v>2</v>
      </c>
      <c r="AB471" s="28">
        <v>1</v>
      </c>
      <c r="AC471" s="28">
        <v>2</v>
      </c>
      <c r="AD471" s="28">
        <v>2</v>
      </c>
      <c r="AE471" s="28">
        <v>4</v>
      </c>
      <c r="AF471" s="28">
        <v>2</v>
      </c>
      <c r="AG471" s="28">
        <v>2</v>
      </c>
      <c r="AH471" s="29" t="s">
        <v>3606</v>
      </c>
      <c r="AI471" s="36">
        <f>IF(OR(AND(K471&lt;32, J471&lt;2), O471=1, P471=1, Q471=1, R471=1, S471=1, T471=1, U471=1, AND(W471&lt;&gt;"", W471&lt;&gt;"Oxygen", W471&lt;&gt;"LowFlow")), "Intensive", "Intermediate")</f>
      </c>
      <c r="AJ471" s="57">
        <f>IF(OR(LEFT(AH471, 1)="X", LEFT(AH471, 1)="Y", LEFT(AH471, 3)="J20M"), "CUSM", "No Match")</f>
      </c>
      <c r="AK471" s="57">
        <f>IF(AND(OR(O471=3, P471=1, Q471=1, T471=1), AJ471="no Match"), "CUSM, CHU SJ, CHUQ", "")</f>
      </c>
      <c r="AL471" s="57">
        <f>IF(AND(O471=2, ISBLANK(P471), ISBLANK(Q471), ISBLANK(R471), ISBLANK(S471), ISBLANK(T471)), "CUSM, CHU SJ, CHUS, CHUQ", "")</f>
      </c>
      <c r="AM471" s="57">
        <f>IF(AND(AJ471="no match", AK471="", AL471="", K471&lt;26), "CUSM, CHU SJ, HGJ, CHUQ, CHUS", "")</f>
      </c>
      <c r="AN471" s="57">
        <f>IF(AND(AJ471="no match", AK471="", AL471="", K471&gt;26), "CUSM, CHU SJ, HGJ, CHUQ, CHUS, HMR", "")</f>
      </c>
    </row>
    <row x14ac:dyDescent="0.25" r="472" customHeight="1" ht="17.25">
      <c r="A472" s="41" t="s">
        <v>3607</v>
      </c>
      <c r="B472" s="28">
        <v>2</v>
      </c>
      <c r="C472" s="35">
        <v>832</v>
      </c>
      <c r="D472" s="29" t="s">
        <v>308</v>
      </c>
      <c r="E472" s="30" t="s">
        <v>54</v>
      </c>
      <c r="F472" s="31">
        <v>45168</v>
      </c>
      <c r="G472" s="32">
        <v>4.6875</v>
      </c>
      <c r="H472" s="31">
        <v>45168</v>
      </c>
      <c r="I472" s="32">
        <v>4.426388888888889</v>
      </c>
      <c r="J472" s="33">
        <f>F472-H472</f>
      </c>
      <c r="K472" s="28">
        <v>40</v>
      </c>
      <c r="L472" s="28">
        <v>2</v>
      </c>
      <c r="M472" s="28">
        <v>1</v>
      </c>
      <c r="N472" s="34"/>
      <c r="O472" s="34"/>
      <c r="P472" s="34"/>
      <c r="Q472" s="34"/>
      <c r="R472" s="34"/>
      <c r="S472" s="56"/>
      <c r="T472" s="35">
        <v>1</v>
      </c>
      <c r="U472" s="34"/>
      <c r="V472" s="34"/>
      <c r="W472" s="29" t="s">
        <v>74</v>
      </c>
      <c r="X472" s="28">
        <v>32</v>
      </c>
      <c r="Y472" s="28">
        <v>1</v>
      </c>
      <c r="Z472" s="28">
        <v>1</v>
      </c>
      <c r="AA472" s="28">
        <v>2</v>
      </c>
      <c r="AB472" s="28">
        <v>1</v>
      </c>
      <c r="AC472" s="28">
        <v>2</v>
      </c>
      <c r="AD472" s="28">
        <v>2</v>
      </c>
      <c r="AE472" s="28">
        <v>4</v>
      </c>
      <c r="AF472" s="28">
        <v>2</v>
      </c>
      <c r="AG472" s="28">
        <v>2</v>
      </c>
      <c r="AH472" s="29" t="s">
        <v>3608</v>
      </c>
      <c r="AI472" s="36">
        <f>IF(OR(AND(K472&lt;32, J472&lt;2), O472=1, P472=1, Q472=1, R472=1, S472=1, T472=1, U472=1, AND(W472&lt;&gt;"", W472&lt;&gt;"Oxygen", W472&lt;&gt;"LowFlow")), "Intensive", "Intermediate")</f>
      </c>
      <c r="AJ472" s="57">
        <f>IF(OR(LEFT(AH472, 1)="X", LEFT(AH472, 1)="Y", LEFT(AH472, 3)="J21M"), "CUSM", "No Match")</f>
      </c>
      <c r="AK472" s="57">
        <f>IF(AND(OR(O472=3, P472=1, Q472=1, T472=1), AJ472="no Match"), "CUSM, CHU SJ, CHUQ", "")</f>
      </c>
      <c r="AL472" s="57">
        <f>IF(AND(O472=2, ISBLANK(P472), ISBLANK(Q472), ISBLANK(R472), ISBLANK(S472), ISBLANK(T472)), "CUSM, CHU SJ, CHUS, CHUQ", "")</f>
      </c>
      <c r="AM472" s="57">
        <f>IF(AND(AJ472="no match", AK472="", AL472="", K472&lt;26), "CUSM, CHU SJ, HGJ, CHUQ, CHUS", "")</f>
      </c>
      <c r="AN472" s="57">
        <f>IF(AND(AJ472="no match", AK472="", AL472="", K472&gt;26), "CUSM, CHU SJ, HGJ, CHUQ, CHUS, HMR", "")</f>
      </c>
    </row>
    <row x14ac:dyDescent="0.25" r="473" customHeight="1" ht="17.25">
      <c r="A473" s="41" t="s">
        <v>3609</v>
      </c>
      <c r="B473" s="28">
        <v>2</v>
      </c>
      <c r="C473" s="35">
        <v>817</v>
      </c>
      <c r="D473" s="29" t="s">
        <v>163</v>
      </c>
      <c r="E473" s="30" t="s">
        <v>50</v>
      </c>
      <c r="F473" s="31">
        <v>45168</v>
      </c>
      <c r="G473" s="32">
        <v>4.604166666666666</v>
      </c>
      <c r="H473" s="31">
        <v>45168</v>
      </c>
      <c r="I473" s="32">
        <v>4.118055555555555</v>
      </c>
      <c r="J473" s="33">
        <f>F473-H473</f>
      </c>
      <c r="K473" s="28">
        <v>40</v>
      </c>
      <c r="L473" s="28">
        <v>2</v>
      </c>
      <c r="M473" s="28">
        <v>1</v>
      </c>
      <c r="N473" s="35">
        <v>1</v>
      </c>
      <c r="O473" s="34"/>
      <c r="P473" s="34"/>
      <c r="Q473" s="34"/>
      <c r="R473" s="34"/>
      <c r="S473" s="56"/>
      <c r="T473" s="34"/>
      <c r="U473" s="34"/>
      <c r="V473" s="34"/>
      <c r="W473" s="29" t="s">
        <v>74</v>
      </c>
      <c r="X473" s="28">
        <v>31</v>
      </c>
      <c r="Y473" s="28">
        <v>1</v>
      </c>
      <c r="Z473" s="28">
        <v>1</v>
      </c>
      <c r="AA473" s="28">
        <v>2</v>
      </c>
      <c r="AB473" s="28">
        <v>1</v>
      </c>
      <c r="AC473" s="28">
        <v>2</v>
      </c>
      <c r="AD473" s="28">
        <v>2</v>
      </c>
      <c r="AE473" s="28">
        <v>4</v>
      </c>
      <c r="AF473" s="28">
        <v>2</v>
      </c>
      <c r="AG473" s="28">
        <v>2</v>
      </c>
      <c r="AH473" s="29" t="s">
        <v>1139</v>
      </c>
      <c r="AI473" s="36">
        <f>IF(OR(AND(K473&lt;32, J473&lt;2), O473=1, P473=1, Q473=1, R473=1, S473=1, T473=1, U473=1, AND(W473&lt;&gt;"", W473&lt;&gt;"Oxygen", W473&lt;&gt;"LowFlow")), "Intensive", "Intermediate")</f>
      </c>
      <c r="AJ473" s="57">
        <f>IF(OR(LEFT(AH473, 1)="X", LEFT(AH473, 1)="Y", LEFT(AH473, 3)="J22M"), "CUSM", "No Match")</f>
      </c>
      <c r="AK473" s="57">
        <f>IF(AND(OR(O473=3, P473=1, Q473=1, T473=1), AJ473="no Match"), "CUSM, CHU SJ, CHUQ", "")</f>
      </c>
      <c r="AL473" s="57">
        <f>IF(AND(O473=2, ISBLANK(P473), ISBLANK(Q473), ISBLANK(R473), ISBLANK(S473), ISBLANK(T473)), "CUSM, CHU SJ, CHUS, CHUQ", "")</f>
      </c>
      <c r="AM473" s="57">
        <f>IF(AND(AJ473="no match", AK473="", AL473="", K473&lt;26), "CUSM, CHU SJ, HGJ, CHUQ, CHUS", "")</f>
      </c>
      <c r="AN473" s="57">
        <f>IF(AND(AJ473="no match", AK473="", AL473="", K473&gt;26), "CUSM, CHU SJ, HGJ, CHUQ, CHUS, HMR", "")</f>
      </c>
    </row>
    <row x14ac:dyDescent="0.25" r="474" customHeight="1" ht="17.25">
      <c r="A474" s="41" t="s">
        <v>3610</v>
      </c>
      <c r="B474" s="28">
        <v>2</v>
      </c>
      <c r="C474" s="35">
        <v>779</v>
      </c>
      <c r="D474" s="29" t="s">
        <v>136</v>
      </c>
      <c r="E474" s="30" t="s">
        <v>50</v>
      </c>
      <c r="F474" s="31">
        <v>45169</v>
      </c>
      <c r="G474" s="32">
        <v>4.777777777777778</v>
      </c>
      <c r="H474" s="31">
        <v>45169</v>
      </c>
      <c r="I474" s="32">
        <v>4.513888888888889</v>
      </c>
      <c r="J474" s="33">
        <f>F474-H474</f>
      </c>
      <c r="K474" s="28">
        <v>37</v>
      </c>
      <c r="L474" s="28">
        <v>6</v>
      </c>
      <c r="M474" s="28">
        <v>2</v>
      </c>
      <c r="N474" s="34"/>
      <c r="O474" s="34"/>
      <c r="P474" s="34"/>
      <c r="Q474" s="34"/>
      <c r="R474" s="34"/>
      <c r="S474" s="56"/>
      <c r="T474" s="35">
        <v>1</v>
      </c>
      <c r="U474" s="35">
        <v>1</v>
      </c>
      <c r="V474" s="35">
        <v>1</v>
      </c>
      <c r="W474" s="29" t="s">
        <v>74</v>
      </c>
      <c r="X474" s="28">
        <v>30</v>
      </c>
      <c r="Y474" s="28">
        <v>1</v>
      </c>
      <c r="Z474" s="28">
        <v>1</v>
      </c>
      <c r="AA474" s="28">
        <v>2</v>
      </c>
      <c r="AB474" s="28">
        <v>1</v>
      </c>
      <c r="AC474" s="28">
        <v>2</v>
      </c>
      <c r="AD474" s="28">
        <v>2</v>
      </c>
      <c r="AE474" s="28">
        <v>4</v>
      </c>
      <c r="AF474" s="28">
        <v>2</v>
      </c>
      <c r="AG474" s="28">
        <v>2</v>
      </c>
      <c r="AH474" s="29" t="s">
        <v>3611</v>
      </c>
      <c r="AI474" s="36">
        <f>IF(OR(AND(K474&lt;32, J474&lt;2), O474=1, P474=1, Q474=1, R474=1, S474=1, T474=1, U474=1, AND(W474&lt;&gt;"", W474&lt;&gt;"Oxygen", W474&lt;&gt;"LowFlow")), "Intensive", "Intermediate")</f>
      </c>
      <c r="AJ474" s="57">
        <f>IF(OR(LEFT(AH474, 1)="X", LEFT(AH474, 1)="Y", LEFT(AH474, 3)="J23M"), "CUSM", "No Match")</f>
      </c>
      <c r="AK474" s="57">
        <f>IF(AND(OR(O474=3, P474=1, Q474=1, T474=1), AJ474="no Match"), "CUSM, CHU SJ, CHUQ", "")</f>
      </c>
      <c r="AL474" s="57">
        <f>IF(AND(O474=2, ISBLANK(P474), ISBLANK(Q474), ISBLANK(R474), ISBLANK(S474), ISBLANK(T474)), "CUSM, CHU SJ, CHUS, CHUQ", "")</f>
      </c>
      <c r="AM474" s="57">
        <f>IF(AND(AJ474="no match", AK474="", AL474="", K474&lt;26), "CUSM, CHU SJ, HGJ, CHUQ, CHUS", "")</f>
      </c>
      <c r="AN474" s="57">
        <f>IF(AND(AJ474="no match", AK474="", AL474="", K474&gt;26), "CUSM, CHU SJ, HGJ, CHUQ, CHUS, HMR", "")</f>
      </c>
    </row>
    <row x14ac:dyDescent="0.25" r="475" customHeight="1" ht="17.25">
      <c r="A475" s="41" t="s">
        <v>3612</v>
      </c>
      <c r="B475" s="28">
        <v>2</v>
      </c>
      <c r="C475" s="35">
        <v>782</v>
      </c>
      <c r="D475" s="29" t="s">
        <v>95</v>
      </c>
      <c r="E475" s="30" t="s">
        <v>50</v>
      </c>
      <c r="F475" s="31">
        <v>45169</v>
      </c>
      <c r="G475" s="32">
        <v>4.541666666666666</v>
      </c>
      <c r="H475" s="31">
        <v>45167</v>
      </c>
      <c r="I475" s="32">
        <v>4.418055555555556</v>
      </c>
      <c r="J475" s="33">
        <f>F475-H475</f>
      </c>
      <c r="K475" s="28">
        <v>38</v>
      </c>
      <c r="L475" s="28">
        <v>4</v>
      </c>
      <c r="M475" s="28">
        <v>1</v>
      </c>
      <c r="N475" s="35">
        <v>1</v>
      </c>
      <c r="O475" s="35">
        <v>2</v>
      </c>
      <c r="P475" s="34"/>
      <c r="Q475" s="34"/>
      <c r="R475" s="34"/>
      <c r="S475" s="56"/>
      <c r="T475" s="34"/>
      <c r="U475" s="34"/>
      <c r="V475" s="34"/>
      <c r="W475" s="29" t="s">
        <v>74</v>
      </c>
      <c r="X475" s="28">
        <v>32</v>
      </c>
      <c r="Y475" s="28">
        <v>1</v>
      </c>
      <c r="Z475" s="28">
        <v>2</v>
      </c>
      <c r="AA475" s="28">
        <v>3</v>
      </c>
      <c r="AB475" s="28">
        <v>1</v>
      </c>
      <c r="AC475" s="28">
        <v>2</v>
      </c>
      <c r="AD475" s="28">
        <v>2</v>
      </c>
      <c r="AE475" s="28">
        <v>4</v>
      </c>
      <c r="AF475" s="28">
        <v>2</v>
      </c>
      <c r="AG475" s="28">
        <v>2</v>
      </c>
      <c r="AH475" s="29" t="s">
        <v>2586</v>
      </c>
      <c r="AI475" s="36">
        <f>IF(OR(AND(K475&lt;32, J475&lt;2), O475=1, P475=1, Q475=1, R475=1, S475=1, T475=1, U475=1, AND(W475&lt;&gt;"", W475&lt;&gt;"Oxygen", W475&lt;&gt;"LowFlow")), "Intensive", "Intermediate")</f>
      </c>
      <c r="AJ475" s="57">
        <f>IF(OR(LEFT(AH475, 1)="X", LEFT(AH475, 1)="Y", LEFT(AH475, 3)="J24M"), "CUSM", "No Match")</f>
      </c>
      <c r="AK475" s="57">
        <f>IF(AND(OR(O475=3, P475=1, Q475=1, T475=1), AJ475="no Match"), "CUSM, CHU SJ, CHUQ", "")</f>
      </c>
      <c r="AL475" s="57">
        <f>IF(AND(O475=2, ISBLANK(P475), ISBLANK(Q475), ISBLANK(R475), ISBLANK(S475), ISBLANK(T475)), "CUSM, CHU SJ, CHUS, CHUQ", "")</f>
      </c>
      <c r="AM475" s="57">
        <f>IF(AND(AJ475="no match", AK475="", AL475="", K475&lt;26), "CUSM, CHU SJ, HGJ, CHUQ, CHUS", "")</f>
      </c>
      <c r="AN475" s="57">
        <f>IF(AND(AJ475="no match", AK475="", AL475="", K475&gt;26), "CUSM, CHU SJ, HGJ, CHUQ, CHUS, HMR", "")</f>
      </c>
    </row>
    <row x14ac:dyDescent="0.25" r="476" customHeight="1" ht="17.25">
      <c r="A476" s="41" t="s">
        <v>3613</v>
      </c>
      <c r="B476" s="28">
        <v>2</v>
      </c>
      <c r="C476" s="35">
        <v>756</v>
      </c>
      <c r="D476" s="29" t="s">
        <v>66</v>
      </c>
      <c r="E476" s="30" t="s">
        <v>50</v>
      </c>
      <c r="F476" s="31">
        <v>45170</v>
      </c>
      <c r="G476" s="32">
        <v>4.5159722222222225</v>
      </c>
      <c r="H476" s="31">
        <v>45164</v>
      </c>
      <c r="I476" s="32">
        <v>4.341666666666667</v>
      </c>
      <c r="J476" s="33">
        <f>F476-H476</f>
      </c>
      <c r="K476" s="28">
        <v>37</v>
      </c>
      <c r="L476" s="28">
        <v>1</v>
      </c>
      <c r="M476" s="28">
        <v>1</v>
      </c>
      <c r="N476" s="38"/>
      <c r="O476" s="34"/>
      <c r="P476" s="34"/>
      <c r="Q476" s="34"/>
      <c r="R476" s="34"/>
      <c r="S476" s="56"/>
      <c r="T476" s="34"/>
      <c r="U476" s="34"/>
      <c r="V476" s="34"/>
      <c r="W476" s="29"/>
      <c r="X476" s="28">
        <v>34</v>
      </c>
      <c r="Y476" s="28">
        <v>1</v>
      </c>
      <c r="Z476" s="28">
        <v>1</v>
      </c>
      <c r="AA476" s="28">
        <v>1</v>
      </c>
      <c r="AB476" s="28">
        <v>1</v>
      </c>
      <c r="AC476" s="28">
        <v>2</v>
      </c>
      <c r="AD476" s="28">
        <v>2</v>
      </c>
      <c r="AE476" s="28">
        <v>4</v>
      </c>
      <c r="AF476" s="28">
        <v>1</v>
      </c>
      <c r="AG476" s="28">
        <v>2</v>
      </c>
      <c r="AH476" s="29" t="s">
        <v>3614</v>
      </c>
      <c r="AI476" s="36">
        <f>IF(OR(AND(K476&lt;32, J476&lt;2), O476=1, P476=1, Q476=1, R476=1, S476=1, T476=1, U476=1, AND(W476&lt;&gt;"", W476&lt;&gt;"Oxygen", W476&lt;&gt;"LowFlow")), "Intensive", "Intermediate")</f>
      </c>
      <c r="AJ476" s="57">
        <f>IF(OR(LEFT(AH476, 1)="X", LEFT(AH476, 1)="Y", LEFT(AH476, 3)="J25M"), "CUSM", "No Match")</f>
      </c>
      <c r="AK476" s="57">
        <f>IF(AND(OR(O476=3, P476=1, Q476=1, T476=1), AJ476="no Match"), "CUSM, CHU SJ, CHUQ", "")</f>
      </c>
      <c r="AL476" s="57">
        <f>IF(AND(O476=2, ISBLANK(P476), ISBLANK(Q476), ISBLANK(R476), ISBLANK(S476), ISBLANK(T476)), "CUSM, CHU SJ, CHUS, CHUQ", "")</f>
      </c>
      <c r="AM476" s="57">
        <f>IF(AND(AJ476="no match", AK476="", AL476="", K476&lt;26), "CUSM, CHU SJ, HGJ, CHUQ, CHUS", "")</f>
      </c>
      <c r="AN476" s="57">
        <f>IF(AND(AJ476="no match", AK476="", AL476="", K476&gt;26), "CUSM, CHU SJ, HGJ, CHUQ, CHUS, HMR", "")</f>
      </c>
    </row>
    <row x14ac:dyDescent="0.25" r="477" customHeight="1" ht="17.25">
      <c r="A477" s="41" t="s">
        <v>3615</v>
      </c>
      <c r="B477" s="28">
        <v>2</v>
      </c>
      <c r="C477" s="35">
        <v>721</v>
      </c>
      <c r="D477" s="29" t="s">
        <v>367</v>
      </c>
      <c r="E477" s="30" t="s">
        <v>50</v>
      </c>
      <c r="F477" s="31">
        <v>45171</v>
      </c>
      <c r="G477" s="32">
        <v>4.833333333333334</v>
      </c>
      <c r="H477" s="31">
        <v>45171</v>
      </c>
      <c r="I477" s="32">
        <v>4.263194444444444</v>
      </c>
      <c r="J477" s="33">
        <f>F477-H477</f>
      </c>
      <c r="K477" s="28">
        <v>37</v>
      </c>
      <c r="L477" s="28">
        <v>2</v>
      </c>
      <c r="M477" s="28">
        <v>1</v>
      </c>
      <c r="N477" s="35">
        <v>1</v>
      </c>
      <c r="O477" s="34"/>
      <c r="P477" s="35">
        <v>1</v>
      </c>
      <c r="Q477" s="34"/>
      <c r="R477" s="34"/>
      <c r="S477" s="56"/>
      <c r="T477" s="34"/>
      <c r="U477" s="34"/>
      <c r="V477" s="34"/>
      <c r="W477" s="29" t="s">
        <v>74</v>
      </c>
      <c r="X477" s="28">
        <v>17</v>
      </c>
      <c r="Y477" s="28">
        <v>1</v>
      </c>
      <c r="Z477" s="28">
        <v>1</v>
      </c>
      <c r="AA477" s="28">
        <v>3</v>
      </c>
      <c r="AB477" s="28">
        <v>1</v>
      </c>
      <c r="AC477" s="28">
        <v>2</v>
      </c>
      <c r="AD477" s="28">
        <v>2</v>
      </c>
      <c r="AE477" s="28">
        <v>4</v>
      </c>
      <c r="AF477" s="28">
        <v>3</v>
      </c>
      <c r="AG477" s="28">
        <v>2</v>
      </c>
      <c r="AH477" s="29" t="s">
        <v>1077</v>
      </c>
      <c r="AI477" s="36">
        <f>IF(OR(AND(K477&lt;32, J477&lt;2), O477=1, P477=1, Q477=1, R477=1, S477=1, T477=1, U477=1, AND(W477&lt;&gt;"", W477&lt;&gt;"Oxygen", W477&lt;&gt;"LowFlow")), "Intensive", "Intermediate")</f>
      </c>
      <c r="AJ477" s="57">
        <f>IF(OR(LEFT(AH477, 1)="X", LEFT(AH477, 1)="Y", LEFT(AH477, 3)="J26M"), "CUSM", "No Match")</f>
      </c>
      <c r="AK477" s="57">
        <f>IF(AND(OR(O477=3, P477=1, Q477=1, T477=1), AJ477="no Match"), "CUSM, CHU SJ, CHUQ", "")</f>
      </c>
      <c r="AL477" s="57">
        <f>IF(AND(O477=2, ISBLANK(P477), ISBLANK(Q477), ISBLANK(R477), ISBLANK(S477), ISBLANK(T477)), "CUSM, CHU SJ, CHUS, CHUQ", "")</f>
      </c>
      <c r="AM477" s="57">
        <f>IF(AND(AJ477="no match", AK477="", AL477="", K477&lt;26), "CUSM, CHU SJ, HGJ, CHUQ, CHUS", "")</f>
      </c>
      <c r="AN477" s="57">
        <f>IF(AND(AJ477="no match", AK477="", AL477="", K477&gt;26), "CUSM, CHU SJ, HGJ, CHUQ, CHUS, HMR", "")</f>
      </c>
    </row>
    <row x14ac:dyDescent="0.25" r="478" customHeight="1" ht="17.25">
      <c r="A478" s="41" t="s">
        <v>3616</v>
      </c>
      <c r="B478" s="28">
        <v>2</v>
      </c>
      <c r="C478" s="35">
        <v>756</v>
      </c>
      <c r="D478" s="29" t="s">
        <v>66</v>
      </c>
      <c r="E478" s="30" t="s">
        <v>50</v>
      </c>
      <c r="F478" s="31">
        <v>45171</v>
      </c>
      <c r="G478" s="32">
        <v>4.666666666666666</v>
      </c>
      <c r="H478" s="31">
        <v>45171</v>
      </c>
      <c r="I478" s="32">
        <v>4.4375</v>
      </c>
      <c r="J478" s="33">
        <f>F478-H478</f>
      </c>
      <c r="K478" s="28">
        <v>39</v>
      </c>
      <c r="L478" s="28">
        <v>0</v>
      </c>
      <c r="M478" s="28">
        <v>2</v>
      </c>
      <c r="N478" s="34"/>
      <c r="O478" s="34"/>
      <c r="P478" s="34"/>
      <c r="Q478" s="34"/>
      <c r="R478" s="34"/>
      <c r="S478" s="56"/>
      <c r="T478" s="34"/>
      <c r="U478" s="34"/>
      <c r="V478" s="34"/>
      <c r="W478" s="29" t="s">
        <v>58</v>
      </c>
      <c r="X478" s="28">
        <v>20</v>
      </c>
      <c r="Y478" s="28">
        <v>1</v>
      </c>
      <c r="Z478" s="28">
        <v>1</v>
      </c>
      <c r="AA478" s="28">
        <v>3</v>
      </c>
      <c r="AB478" s="28">
        <v>1</v>
      </c>
      <c r="AC478" s="28">
        <v>2</v>
      </c>
      <c r="AD478" s="28">
        <v>2</v>
      </c>
      <c r="AE478" s="28">
        <v>4</v>
      </c>
      <c r="AF478" s="28">
        <v>1</v>
      </c>
      <c r="AG478" s="28">
        <v>2</v>
      </c>
      <c r="AH478" s="29" t="s">
        <v>3617</v>
      </c>
      <c r="AI478" s="36">
        <f>IF(OR(AND(K478&lt;32, J478&lt;2), O478=1, P478=1, Q478=1, R478=1, S478=1, T478=1, U478=1, AND(W478&lt;&gt;"", W478&lt;&gt;"Oxygen", W478&lt;&gt;"LowFlow")), "Intensive", "Intermediate")</f>
      </c>
      <c r="AJ478" s="57">
        <f>IF(OR(LEFT(AH478, 1)="X", LEFT(AH478, 1)="Y", LEFT(AH478, 3)="J27M"), "CUSM", "No Match")</f>
      </c>
      <c r="AK478" s="57">
        <f>IF(AND(OR(O478=3, P478=1, Q478=1, T478=1), AJ478="no Match"), "CUSM, CHU SJ, CHUQ", "")</f>
      </c>
      <c r="AL478" s="57">
        <f>IF(AND(O478=2, ISBLANK(P478), ISBLANK(Q478), ISBLANK(R478), ISBLANK(S478), ISBLANK(T478)), "CUSM, CHU SJ, CHUS, CHUQ", "")</f>
      </c>
      <c r="AM478" s="57">
        <f>IF(AND(AJ478="no match", AK478="", AL478="", K478&lt;26), "CUSM, CHU SJ, HGJ, CHUQ, CHUS", "")</f>
      </c>
      <c r="AN478" s="57">
        <f>IF(AND(AJ478="no match", AK478="", AL478="", K478&gt;26), "CUSM, CHU SJ, HGJ, CHUQ, CHUS, HMR", "")</f>
      </c>
    </row>
    <row x14ac:dyDescent="0.25" r="479" customHeight="1" ht="17.25">
      <c r="A479" s="41" t="s">
        <v>3618</v>
      </c>
      <c r="B479" s="28">
        <v>2</v>
      </c>
      <c r="C479" s="35">
        <v>738</v>
      </c>
      <c r="D479" s="29" t="s">
        <v>2372</v>
      </c>
      <c r="E479" s="30" t="s">
        <v>54</v>
      </c>
      <c r="F479" s="31">
        <v>45172</v>
      </c>
      <c r="G479" s="32">
        <v>4.045833333333333</v>
      </c>
      <c r="H479" s="31">
        <v>45170</v>
      </c>
      <c r="I479" s="32">
        <v>4.218055555555555</v>
      </c>
      <c r="J479" s="33">
        <f>F479-H479</f>
      </c>
      <c r="K479" s="28">
        <v>38</v>
      </c>
      <c r="L479" s="28">
        <v>6</v>
      </c>
      <c r="M479" s="28">
        <v>2</v>
      </c>
      <c r="N479" s="35">
        <v>1</v>
      </c>
      <c r="O479" s="35">
        <v>2</v>
      </c>
      <c r="P479" s="35">
        <v>1</v>
      </c>
      <c r="Q479" s="35">
        <v>1</v>
      </c>
      <c r="R479" s="34"/>
      <c r="S479" s="56"/>
      <c r="T479" s="34"/>
      <c r="U479" s="34"/>
      <c r="V479" s="34"/>
      <c r="W479" s="29" t="s">
        <v>74</v>
      </c>
      <c r="X479" s="28">
        <v>19</v>
      </c>
      <c r="Y479" s="28">
        <v>1</v>
      </c>
      <c r="Z479" s="28">
        <v>2</v>
      </c>
      <c r="AA479" s="28">
        <v>3</v>
      </c>
      <c r="AB479" s="28">
        <v>4</v>
      </c>
      <c r="AC479" s="28">
        <v>1</v>
      </c>
      <c r="AD479" s="28">
        <v>2</v>
      </c>
      <c r="AE479" s="28">
        <v>4</v>
      </c>
      <c r="AF479" s="28">
        <v>3</v>
      </c>
      <c r="AG479" s="28">
        <v>2</v>
      </c>
      <c r="AH479" s="29" t="s">
        <v>3619</v>
      </c>
      <c r="AI479" s="36">
        <f>IF(OR(AND(K479&lt;32, J479&lt;2), O479=1, P479=1, Q479=1, R479=1, S479=1, T479=1, U479=1, AND(W479&lt;&gt;"", W479&lt;&gt;"Oxygen", W479&lt;&gt;"LowFlow")), "Intensive", "Intermediate")</f>
      </c>
      <c r="AJ479" s="57">
        <f>IF(OR(LEFT(AH479, 1)="X", LEFT(AH479, 1)="Y", LEFT(AH479, 3)="J28M"), "CUSM", "No Match")</f>
      </c>
      <c r="AK479" s="57">
        <f>IF(AND(OR(O479=3, P479=1, Q479=1, T479=1), AJ479="no Match"), "CUSM, CHU SJ, CHUQ", "")</f>
      </c>
      <c r="AL479" s="57">
        <f>IF(AND(O479=2, ISBLANK(P479), ISBLANK(Q479), ISBLANK(R479), ISBLANK(S479), ISBLANK(T479)), "CUSM, CHU SJ, CHUS, CHUQ", "")</f>
      </c>
      <c r="AM479" s="57">
        <f>IF(AND(AJ479="no match", AK479="", AL479="", K479&lt;26), "CUSM, CHU SJ, HGJ, CHUQ, CHUS", "")</f>
      </c>
      <c r="AN479" s="57">
        <f>IF(AND(AJ479="no match", AK479="", AL479="", K479&gt;26), "CUSM, CHU SJ, HGJ, CHUQ, CHUS, HMR", "")</f>
      </c>
    </row>
    <row x14ac:dyDescent="0.25" r="480" customHeight="1" ht="17.25">
      <c r="A480" s="41" t="s">
        <v>3620</v>
      </c>
      <c r="B480" s="28">
        <v>2</v>
      </c>
      <c r="C480" s="35">
        <v>779</v>
      </c>
      <c r="D480" s="29" t="s">
        <v>136</v>
      </c>
      <c r="E480" s="30" t="s">
        <v>50</v>
      </c>
      <c r="F480" s="31">
        <v>45173</v>
      </c>
      <c r="G480" s="32">
        <v>4.954861111111111</v>
      </c>
      <c r="H480" s="31">
        <v>45173</v>
      </c>
      <c r="I480" s="32">
        <v>4.684027777777778</v>
      </c>
      <c r="J480" s="33">
        <f>F480-H480</f>
      </c>
      <c r="K480" s="28">
        <v>41</v>
      </c>
      <c r="L480" s="28">
        <v>0</v>
      </c>
      <c r="M480" s="28">
        <v>1</v>
      </c>
      <c r="N480" s="34"/>
      <c r="O480" s="34"/>
      <c r="P480" s="34"/>
      <c r="Q480" s="34"/>
      <c r="R480" s="34"/>
      <c r="S480" s="56"/>
      <c r="T480" s="34"/>
      <c r="U480" s="34"/>
      <c r="V480" s="34"/>
      <c r="W480" s="29" t="s">
        <v>58</v>
      </c>
      <c r="X480" s="28">
        <v>35</v>
      </c>
      <c r="Y480" s="28">
        <v>1</v>
      </c>
      <c r="Z480" s="28">
        <v>1</v>
      </c>
      <c r="AA480" s="28">
        <v>2</v>
      </c>
      <c r="AB480" s="28">
        <v>1</v>
      </c>
      <c r="AC480" s="28">
        <v>2</v>
      </c>
      <c r="AD480" s="28">
        <v>2</v>
      </c>
      <c r="AE480" s="28">
        <v>2</v>
      </c>
      <c r="AF480" s="28">
        <v>3</v>
      </c>
      <c r="AG480" s="28">
        <v>2</v>
      </c>
      <c r="AH480" s="29" t="s">
        <v>3621</v>
      </c>
      <c r="AI480" s="36">
        <f>IF(OR(AND(K480&lt;32, J480&lt;2), O480=1, P480=1, Q480=1, R480=1, S480=1, T480=1, U480=1, AND(W480&lt;&gt;"", W480&lt;&gt;"Oxygen", W480&lt;&gt;"LowFlow")), "Intensive", "Intermediate")</f>
      </c>
      <c r="AJ480" s="57">
        <f>IF(OR(LEFT(AH480, 1)="X", LEFT(AH480, 1)="Y", LEFT(AH480, 3)="J29M"), "CUSM", "No Match")</f>
      </c>
      <c r="AK480" s="57">
        <f>IF(AND(OR(O480=3, P480=1, Q480=1, T480=1), AJ480="no Match"), "CUSM, CHU SJ, CHUQ", "")</f>
      </c>
      <c r="AL480" s="57">
        <f>IF(AND(O480=2, ISBLANK(P480), ISBLANK(Q480), ISBLANK(R480), ISBLANK(S480), ISBLANK(T480)), "CUSM, CHU SJ, CHUS, CHUQ", "")</f>
      </c>
      <c r="AM480" s="57">
        <f>IF(AND(AJ480="no match", AK480="", AL480="", K480&lt;26), "CUSM, CHU SJ, HGJ, CHUQ, CHUS", "")</f>
      </c>
      <c r="AN480" s="57">
        <f>IF(AND(AJ480="no match", AK480="", AL480="", K480&gt;26), "CUSM, CHU SJ, HGJ, CHUQ, CHUS, HMR", "")</f>
      </c>
    </row>
    <row x14ac:dyDescent="0.25" r="481" customHeight="1" ht="17.25">
      <c r="A481" s="41" t="s">
        <v>3622</v>
      </c>
      <c r="B481" s="28">
        <v>2</v>
      </c>
      <c r="C481" s="28">
        <v>738</v>
      </c>
      <c r="D481" s="29" t="s">
        <v>2372</v>
      </c>
      <c r="E481" s="30" t="s">
        <v>54</v>
      </c>
      <c r="F481" s="31">
        <v>45174</v>
      </c>
      <c r="G481" s="32">
        <v>4.857638888888889</v>
      </c>
      <c r="H481" s="31">
        <v>45159</v>
      </c>
      <c r="I481" s="32">
        <v>4.722222222222222</v>
      </c>
      <c r="J481" s="33">
        <f>F481-H481</f>
      </c>
      <c r="K481" s="28">
        <v>37</v>
      </c>
      <c r="L481" s="28">
        <v>1</v>
      </c>
      <c r="M481" s="28">
        <v>1</v>
      </c>
      <c r="N481" s="28">
        <v>1</v>
      </c>
      <c r="O481" s="34"/>
      <c r="P481" s="28">
        <v>1</v>
      </c>
      <c r="Q481" s="34"/>
      <c r="R481" s="34"/>
      <c r="S481" s="56"/>
      <c r="T481" s="34"/>
      <c r="U481" s="34"/>
      <c r="V481" s="34"/>
      <c r="W481" s="29"/>
      <c r="X481" s="28">
        <v>30</v>
      </c>
      <c r="Y481" s="28">
        <v>1</v>
      </c>
      <c r="Z481" s="28">
        <v>1</v>
      </c>
      <c r="AA481" s="28">
        <v>3</v>
      </c>
      <c r="AB481" s="28">
        <v>1</v>
      </c>
      <c r="AC481" s="28">
        <v>2</v>
      </c>
      <c r="AD481" s="28">
        <v>2</v>
      </c>
      <c r="AE481" s="28">
        <v>4</v>
      </c>
      <c r="AF481" s="28">
        <v>3</v>
      </c>
      <c r="AG481" s="28">
        <v>2</v>
      </c>
      <c r="AH481" s="29" t="s">
        <v>3623</v>
      </c>
      <c r="AI481" s="36">
        <f>IF(OR(AND(K481&lt;32, J481&lt;2), O481=1, P481=1, Q481=1, R481=1, S481=1, T481=1, U481=1, AND(W481&lt;&gt;"", W481&lt;&gt;"Oxygen", W481&lt;&gt;"LowFlow")), "Intensive", "Intermediate")</f>
      </c>
      <c r="AJ481" s="57">
        <f>IF(OR(LEFT(AH481, 1)="X", LEFT(AH481, 1)="Y", LEFT(AH481, 3)="J30M"), "CUSM", "No Match")</f>
      </c>
      <c r="AK481" s="57">
        <f>IF(AND(OR(O481=3, P481=1, Q481=1, T481=1), AJ481="no Match"), "CUSM, CHU SJ, CHUQ", "")</f>
      </c>
      <c r="AL481" s="57">
        <f>IF(AND(O481=2, ISBLANK(P481), ISBLANK(Q481), ISBLANK(R481), ISBLANK(S481), ISBLANK(T481)), "CUSM, CHU SJ, CHUS, CHUQ", "")</f>
      </c>
      <c r="AM481" s="57">
        <f>IF(AND(AJ481="no match", AK481="", AL481="", K481&lt;26), "CUSM, CHU SJ, HGJ, CHUQ, CHUS", "")</f>
      </c>
      <c r="AN481" s="57">
        <f>IF(AND(AJ481="no match", AK481="", AL481="", K481&gt;26), "CUSM, CHU SJ, HGJ, CHUQ, CHUS, HMR", "")</f>
      </c>
    </row>
    <row x14ac:dyDescent="0.25" r="482" customHeight="1" ht="17.25">
      <c r="A482" s="41" t="s">
        <v>3624</v>
      </c>
      <c r="B482" s="28">
        <v>2</v>
      </c>
      <c r="C482" s="35">
        <v>782</v>
      </c>
      <c r="D482" s="29" t="s">
        <v>95</v>
      </c>
      <c r="E482" s="30" t="s">
        <v>50</v>
      </c>
      <c r="F482" s="31">
        <v>45175</v>
      </c>
      <c r="G482" s="32">
        <v>4.811805555555555</v>
      </c>
      <c r="H482" s="31">
        <v>45175</v>
      </c>
      <c r="I482" s="32">
        <v>4.684027777777778</v>
      </c>
      <c r="J482" s="33">
        <f>F482-H482</f>
      </c>
      <c r="K482" s="28">
        <v>37</v>
      </c>
      <c r="L482" s="28">
        <v>1</v>
      </c>
      <c r="M482" s="28">
        <v>2</v>
      </c>
      <c r="N482" s="28">
        <v>1</v>
      </c>
      <c r="O482" s="28">
        <v>2</v>
      </c>
      <c r="P482" s="28">
        <v>1</v>
      </c>
      <c r="Q482" s="34"/>
      <c r="R482" s="34"/>
      <c r="S482" s="56"/>
      <c r="T482" s="34"/>
      <c r="U482" s="34"/>
      <c r="V482" s="34"/>
      <c r="W482" s="29"/>
      <c r="X482" s="28">
        <v>40</v>
      </c>
      <c r="Y482" s="28">
        <v>1</v>
      </c>
      <c r="Z482" s="28">
        <v>2</v>
      </c>
      <c r="AA482" s="28">
        <v>3</v>
      </c>
      <c r="AB482" s="28">
        <v>4</v>
      </c>
      <c r="AC482" s="28">
        <v>2</v>
      </c>
      <c r="AD482" s="28">
        <v>1</v>
      </c>
      <c r="AE482" s="28">
        <v>4</v>
      </c>
      <c r="AF482" s="28">
        <v>3</v>
      </c>
      <c r="AG482" s="28">
        <v>2</v>
      </c>
      <c r="AH482" s="29" t="s">
        <v>3625</v>
      </c>
      <c r="AI482" s="36">
        <f>IF(OR(AND(K482&lt;32, J482&lt;2), O482=1, P482=1, Q482=1, R482=1, S482=1, T482=1, U482=1, AND(W482&lt;&gt;"", W482&lt;&gt;"Oxygen", W482&lt;&gt;"LowFlow")), "Intensive", "Intermediate")</f>
      </c>
      <c r="AJ482" s="57">
        <f>IF(OR(LEFT(AH482, 1)="X", LEFT(AH482, 1)="Y", LEFT(AH482, 3)="J31M"), "CUSM", "No Match")</f>
      </c>
      <c r="AK482" s="57">
        <f>IF(AND(OR(O482=3, P482=1, Q482=1, T482=1), AJ482="no Match"), "CUSM, CHU SJ, CHUQ", "")</f>
      </c>
      <c r="AL482" s="57">
        <f>IF(AND(O482=2, ISBLANK(P482), ISBLANK(Q482), ISBLANK(R482), ISBLANK(S482), ISBLANK(T482)), "CUSM, CHU SJ, CHUS, CHUQ", "")</f>
      </c>
      <c r="AM482" s="57">
        <f>IF(AND(AJ482="no match", AK482="", AL482="", K482&lt;26), "CUSM, CHU SJ, HGJ, CHUQ, CHUS", "")</f>
      </c>
      <c r="AN482" s="57">
        <f>IF(AND(AJ482="no match", AK482="", AL482="", K482&gt;26), "CUSM, CHU SJ, HGJ, CHUQ, CHUS, HMR", "")</f>
      </c>
    </row>
    <row x14ac:dyDescent="0.25" r="483" customHeight="1" ht="17.25">
      <c r="A483" s="41" t="s">
        <v>3626</v>
      </c>
      <c r="B483" s="28">
        <v>2</v>
      </c>
      <c r="C483" s="35">
        <v>756</v>
      </c>
      <c r="D483" s="29" t="s">
        <v>66</v>
      </c>
      <c r="E483" s="30" t="s">
        <v>50</v>
      </c>
      <c r="F483" s="31">
        <v>45175</v>
      </c>
      <c r="G483" s="32">
        <v>4.677083333333334</v>
      </c>
      <c r="H483" s="31">
        <v>45162</v>
      </c>
      <c r="I483" s="32">
        <v>4.058333333333334</v>
      </c>
      <c r="J483" s="33">
        <f>F483-H483</f>
      </c>
      <c r="K483" s="28">
        <v>40</v>
      </c>
      <c r="L483" s="28">
        <v>0</v>
      </c>
      <c r="M483" s="28">
        <v>2</v>
      </c>
      <c r="N483" s="34"/>
      <c r="O483" s="34"/>
      <c r="P483" s="34"/>
      <c r="Q483" s="34"/>
      <c r="R483" s="34"/>
      <c r="S483" s="56"/>
      <c r="T483" s="34"/>
      <c r="U483" s="34"/>
      <c r="V483" s="34"/>
      <c r="W483" s="29" t="s">
        <v>600</v>
      </c>
      <c r="X483" s="28">
        <v>35</v>
      </c>
      <c r="Y483" s="28">
        <v>1</v>
      </c>
      <c r="Z483" s="28">
        <v>1</v>
      </c>
      <c r="AA483" s="28">
        <v>3</v>
      </c>
      <c r="AB483" s="28">
        <v>2</v>
      </c>
      <c r="AC483" s="28">
        <v>2</v>
      </c>
      <c r="AD483" s="28">
        <v>2</v>
      </c>
      <c r="AE483" s="28">
        <v>4</v>
      </c>
      <c r="AF483" s="28">
        <v>1</v>
      </c>
      <c r="AG483" s="28">
        <v>3</v>
      </c>
      <c r="AH483" s="29" t="s">
        <v>3627</v>
      </c>
      <c r="AI483" s="36">
        <f>IF(OR(AND(K483&lt;32, J483&lt;2), O483=1, P483=1, Q483=1, R483=1, S483=1, T483=1, U483=1, AND(W483&lt;&gt;"", W483&lt;&gt;"Oxygen", W483&lt;&gt;"LowFlow")), "Intensive", "Intermediate")</f>
      </c>
      <c r="AJ483" s="57">
        <f>IF(OR(LEFT(AH483, 1)="X", LEFT(AH483, 1)="Y", LEFT(AH483, 3)="J32M"), "CUSM", "No Match")</f>
      </c>
      <c r="AK483" s="57">
        <f>IF(AND(OR(O483=3, P483=1, Q483=1, T483=1), AJ483="no Match"), "CUSM, CHU SJ, CHUQ", "")</f>
      </c>
      <c r="AL483" s="57">
        <f>IF(AND(O483=2, ISBLANK(P483), ISBLANK(Q483), ISBLANK(R483), ISBLANK(S483), ISBLANK(T483)), "CUSM, CHU SJ, CHUS, CHUQ", "")</f>
      </c>
      <c r="AM483" s="57">
        <f>IF(AND(AJ483="no match", AK483="", AL483="", K483&lt;26), "CUSM, CHU SJ, HGJ, CHUQ, CHUS", "")</f>
      </c>
      <c r="AN483" s="57">
        <f>IF(AND(AJ483="no match", AK483="", AL483="", K483&gt;26), "CUSM, CHU SJ, HGJ, CHUQ, CHUS, HMR", "")</f>
      </c>
    </row>
    <row x14ac:dyDescent="0.25" r="484" customHeight="1" ht="17.25">
      <c r="A484" s="41" t="s">
        <v>3628</v>
      </c>
      <c r="B484" s="28">
        <v>2</v>
      </c>
      <c r="C484" s="35">
        <v>793</v>
      </c>
      <c r="D484" s="29" t="s">
        <v>266</v>
      </c>
      <c r="E484" s="30" t="s">
        <v>149</v>
      </c>
      <c r="F484" s="31">
        <v>45176</v>
      </c>
      <c r="G484" s="32">
        <v>4.444444444444445</v>
      </c>
      <c r="H484" s="31">
        <v>45176</v>
      </c>
      <c r="I484" s="32">
        <v>4.039583333333333</v>
      </c>
      <c r="J484" s="33">
        <f>F484-H484</f>
      </c>
      <c r="K484" s="28">
        <v>30</v>
      </c>
      <c r="L484" s="28">
        <v>0</v>
      </c>
      <c r="M484" s="28">
        <v>1</v>
      </c>
      <c r="N484" s="34"/>
      <c r="O484" s="34"/>
      <c r="P484" s="34"/>
      <c r="Q484" s="34"/>
      <c r="R484" s="34"/>
      <c r="S484" s="56"/>
      <c r="T484" s="34"/>
      <c r="U484" s="34"/>
      <c r="V484" s="34"/>
      <c r="W484" s="29" t="s">
        <v>164</v>
      </c>
      <c r="X484" s="28">
        <v>32</v>
      </c>
      <c r="Y484" s="28">
        <v>1</v>
      </c>
      <c r="Z484" s="28">
        <v>1</v>
      </c>
      <c r="AA484" s="28">
        <v>3</v>
      </c>
      <c r="AB484" s="28">
        <v>1</v>
      </c>
      <c r="AC484" s="28">
        <v>3</v>
      </c>
      <c r="AD484" s="28">
        <v>3</v>
      </c>
      <c r="AE484" s="28">
        <v>4</v>
      </c>
      <c r="AF484" s="28">
        <v>3</v>
      </c>
      <c r="AG484" s="28">
        <v>2</v>
      </c>
      <c r="AH484" s="29" t="s">
        <v>3629</v>
      </c>
      <c r="AI484" s="36">
        <f>IF(OR(AND(K484&lt;32, J484&lt;2), O484=1, P484=1, Q484=1, R484=1, S484=1, T484=1, U484=1, AND(W484&lt;&gt;"", W484&lt;&gt;"Oxygen", W484&lt;&gt;"LowFlow")), "Intensive", "Intermediate")</f>
      </c>
      <c r="AJ484" s="57">
        <f>IF(OR(LEFT(AH484, 1)="X", LEFT(AH484, 1)="Y", LEFT(AH484, 3)="J33M"), "CUSM", "No Match")</f>
      </c>
      <c r="AK484" s="57">
        <f>IF(AND(OR(O484=3, P484=1, Q484=1, T484=1), AJ484="no Match"), "CUSM, CHU SJ, CHUQ", "")</f>
      </c>
      <c r="AL484" s="57">
        <f>IF(AND(O484=2, ISBLANK(P484), ISBLANK(Q484), ISBLANK(R484), ISBLANK(S484), ISBLANK(T484)), "CUSM, CHU SJ, CHUS, CHUQ", "")</f>
      </c>
      <c r="AM484" s="57">
        <f>IF(AND(AJ484="no match", AK484="", AL484="", K484&lt;26), "CUSM, CHU SJ, HGJ, CHUQ, CHUS", "")</f>
      </c>
      <c r="AN484" s="57">
        <f>IF(AND(AJ484="no match", AK484="", AL484="", K484&gt;26), "CUSM, CHU SJ, HGJ, CHUQ, CHUS, HMR", "")</f>
      </c>
    </row>
    <row x14ac:dyDescent="0.25" r="485" customHeight="1" ht="17.25">
      <c r="A485" s="41" t="s">
        <v>3630</v>
      </c>
      <c r="B485" s="28">
        <v>2</v>
      </c>
      <c r="C485" s="35">
        <v>822</v>
      </c>
      <c r="D485" s="29" t="s">
        <v>167</v>
      </c>
      <c r="E485" s="30" t="s">
        <v>54</v>
      </c>
      <c r="F485" s="31">
        <v>45176</v>
      </c>
      <c r="G485" s="32">
        <v>4.951388888888889</v>
      </c>
      <c r="H485" s="31">
        <v>45174</v>
      </c>
      <c r="I485" s="32">
        <v>4.604166666666666</v>
      </c>
      <c r="J485" s="33">
        <f>F485-H485</f>
      </c>
      <c r="K485" s="28">
        <v>37</v>
      </c>
      <c r="L485" s="28">
        <v>2</v>
      </c>
      <c r="M485" s="28">
        <v>1</v>
      </c>
      <c r="N485" s="34"/>
      <c r="O485" s="34"/>
      <c r="P485" s="34"/>
      <c r="Q485" s="34"/>
      <c r="R485" s="34"/>
      <c r="S485" s="56"/>
      <c r="T485" s="34"/>
      <c r="U485" s="34"/>
      <c r="V485" s="34"/>
      <c r="W485" s="29"/>
      <c r="X485" s="28">
        <v>26</v>
      </c>
      <c r="Y485" s="28">
        <v>1</v>
      </c>
      <c r="Z485" s="28">
        <v>1</v>
      </c>
      <c r="AA485" s="28">
        <v>3</v>
      </c>
      <c r="AB485" s="28">
        <v>4</v>
      </c>
      <c r="AC485" s="28">
        <v>3</v>
      </c>
      <c r="AD485" s="28">
        <v>3</v>
      </c>
      <c r="AE485" s="28">
        <v>4</v>
      </c>
      <c r="AF485" s="28">
        <v>3</v>
      </c>
      <c r="AG485" s="28">
        <v>2</v>
      </c>
      <c r="AH485" s="29" t="s">
        <v>3631</v>
      </c>
      <c r="AI485" s="36">
        <f>IF(OR(AND(K485&lt;32, J485&lt;2), O485=1, P485=1, Q485=1, R485=1, S485=1, T485=1, U485=1, AND(W485&lt;&gt;"", W485&lt;&gt;"Oxygen", W485&lt;&gt;"LowFlow")), "Intensive", "Intermediate")</f>
      </c>
      <c r="AJ485" s="57">
        <f>IF(OR(LEFT(AH485, 1)="X", LEFT(AH485, 1)="Y", LEFT(AH485, 3)="J34M"), "CUSM", "No Match")</f>
      </c>
      <c r="AK485" s="57">
        <f>IF(AND(OR(O485=3, P485=1, Q485=1, T485=1), AJ485="no Match"), "CUSM, CHU SJ, CHUQ", "")</f>
      </c>
      <c r="AL485" s="57">
        <f>IF(AND(O485=2, ISBLANK(P485), ISBLANK(Q485), ISBLANK(R485), ISBLANK(S485), ISBLANK(T485)), "CUSM, CHU SJ, CHUS, CHUQ", "")</f>
      </c>
      <c r="AM485" s="57">
        <f>IF(AND(AJ485="no match", AK485="", AL485="", K485&lt;26), "CUSM, CHU SJ, HGJ, CHUQ, CHUS", "")</f>
      </c>
      <c r="AN485" s="57">
        <f>IF(AND(AJ485="no match", AK485="", AL485="", K485&gt;26), "CUSM, CHU SJ, HGJ, CHUQ, CHUS, HMR", "")</f>
      </c>
    </row>
    <row x14ac:dyDescent="0.25" r="486" customHeight="1" ht="17.25">
      <c r="A486" s="41" t="s">
        <v>3632</v>
      </c>
      <c r="B486" s="28">
        <v>2</v>
      </c>
      <c r="C486" s="35">
        <v>734</v>
      </c>
      <c r="D486" s="29" t="s">
        <v>264</v>
      </c>
      <c r="E486" s="30" t="s">
        <v>54</v>
      </c>
      <c r="F486" s="31">
        <v>45176</v>
      </c>
      <c r="G486" s="32">
        <v>4.846527777777778</v>
      </c>
      <c r="H486" s="31">
        <v>45172</v>
      </c>
      <c r="I486" s="32">
        <v>4.981944444444444</v>
      </c>
      <c r="J486" s="33">
        <f>F486-H486</f>
      </c>
      <c r="K486" s="28">
        <v>37</v>
      </c>
      <c r="L486" s="28">
        <v>2</v>
      </c>
      <c r="M486" s="28">
        <v>1</v>
      </c>
      <c r="N486" s="38"/>
      <c r="O486" s="34"/>
      <c r="P486" s="38"/>
      <c r="Q486" s="34"/>
      <c r="R486" s="34"/>
      <c r="S486" s="56"/>
      <c r="T486" s="34"/>
      <c r="U486" s="34"/>
      <c r="V486" s="34"/>
      <c r="W486" s="29" t="s">
        <v>58</v>
      </c>
      <c r="X486" s="28">
        <v>34</v>
      </c>
      <c r="Y486" s="28">
        <v>1</v>
      </c>
      <c r="Z486" s="28">
        <v>1</v>
      </c>
      <c r="AA486" s="28">
        <v>1</v>
      </c>
      <c r="AB486" s="28">
        <v>2</v>
      </c>
      <c r="AC486" s="28">
        <v>3</v>
      </c>
      <c r="AD486" s="28">
        <v>3</v>
      </c>
      <c r="AE486" s="28">
        <v>4</v>
      </c>
      <c r="AF486" s="28">
        <v>3</v>
      </c>
      <c r="AG486" s="28">
        <v>2</v>
      </c>
      <c r="AH486" s="29" t="s">
        <v>3633</v>
      </c>
      <c r="AI486" s="36">
        <f>IF(OR(AND(K486&lt;32, J486&lt;2), O486=1, P486=1, Q486=1, R486=1, S486=1, T486=1, U486=1, AND(W486&lt;&gt;"", W486&lt;&gt;"Oxygen", W486&lt;&gt;"LowFlow")), "Intensive", "Intermediate")</f>
      </c>
      <c r="AJ486" s="57">
        <f>IF(OR(LEFT(AH486, 1)="X", LEFT(AH486, 1)="Y", LEFT(AH486, 3)="J35M"), "CUSM", "No Match")</f>
      </c>
      <c r="AK486" s="57">
        <f>IF(AND(OR(O486=3, P486=1, Q486=1, T486=1), AJ486="no Match"), "CUSM, CHU SJ, CHUQ", "")</f>
      </c>
      <c r="AL486" s="57">
        <f>IF(AND(O486=2, ISBLANK(P486), ISBLANK(Q486), ISBLANK(R486), ISBLANK(S486), ISBLANK(T486)), "CUSM, CHU SJ, CHUS, CHUQ", "")</f>
      </c>
      <c r="AM486" s="57">
        <f>IF(AND(AJ486="no match", AK486="", AL486="", K486&lt;26), "CUSM, CHU SJ, HGJ, CHUQ, CHUS", "")</f>
      </c>
      <c r="AN486" s="57">
        <f>IF(AND(AJ486="no match", AK486="", AL486="", K486&gt;26), "CUSM, CHU SJ, HGJ, CHUQ, CHUS, HMR", "")</f>
      </c>
    </row>
    <row x14ac:dyDescent="0.25" r="487" customHeight="1" ht="17.25">
      <c r="A487" s="41" t="s">
        <v>3634</v>
      </c>
      <c r="B487" s="28">
        <v>2</v>
      </c>
      <c r="C487" s="35">
        <v>825</v>
      </c>
      <c r="D487" s="29" t="s">
        <v>77</v>
      </c>
      <c r="E487" s="30" t="s">
        <v>78</v>
      </c>
      <c r="F487" s="31">
        <v>45176</v>
      </c>
      <c r="G487" s="32">
        <v>4.722222222222222</v>
      </c>
      <c r="H487" s="31">
        <v>45175</v>
      </c>
      <c r="I487" s="32">
        <v>4.283333333333333</v>
      </c>
      <c r="J487" s="33">
        <f>F487-H487</f>
      </c>
      <c r="K487" s="28">
        <v>37</v>
      </c>
      <c r="L487" s="28">
        <v>0</v>
      </c>
      <c r="M487" s="28">
        <v>2</v>
      </c>
      <c r="N487" s="34"/>
      <c r="O487" s="34"/>
      <c r="P487" s="34"/>
      <c r="Q487" s="34"/>
      <c r="R487" s="34"/>
      <c r="S487" s="56"/>
      <c r="T487" s="34"/>
      <c r="U487" s="34"/>
      <c r="V487" s="34"/>
      <c r="W487" s="29" t="s">
        <v>58</v>
      </c>
      <c r="X487" s="28">
        <v>42</v>
      </c>
      <c r="Y487" s="28">
        <v>1</v>
      </c>
      <c r="Z487" s="28">
        <v>1</v>
      </c>
      <c r="AA487" s="28">
        <v>2</v>
      </c>
      <c r="AB487" s="28">
        <v>4</v>
      </c>
      <c r="AC487" s="28">
        <v>2</v>
      </c>
      <c r="AD487" s="28">
        <v>2</v>
      </c>
      <c r="AE487" s="28">
        <v>4</v>
      </c>
      <c r="AF487" s="28">
        <v>3</v>
      </c>
      <c r="AG487" s="28">
        <v>2</v>
      </c>
      <c r="AH487" s="29" t="s">
        <v>807</v>
      </c>
      <c r="AI487" s="36">
        <f>IF(OR(AND(K487&lt;32, J487&lt;2), O487=1, P487=1, Q487=1, R487=1, S487=1, T487=1, U487=1, AND(W487&lt;&gt;"", W487&lt;&gt;"Oxygen", W487&lt;&gt;"LowFlow")), "Intensive", "Intermediate")</f>
      </c>
      <c r="AJ487" s="57">
        <f>IF(OR(LEFT(AH487, 1)="X", LEFT(AH487, 1)="Y", LEFT(AH487, 3)="J36M"), "CUSM", "No Match")</f>
      </c>
      <c r="AK487" s="57">
        <f>IF(AND(OR(O487=3, P487=1, Q487=1, T487=1), AJ487="no Match"), "CUSM, CHU SJ, CHUQ", "")</f>
      </c>
      <c r="AL487" s="57">
        <f>IF(AND(O487=2, ISBLANK(P487), ISBLANK(Q487), ISBLANK(R487), ISBLANK(S487), ISBLANK(T487)), "CUSM, CHU SJ, CHUS, CHUQ", "")</f>
      </c>
      <c r="AM487" s="57">
        <f>IF(AND(AJ487="no match", AK487="", AL487="", K487&lt;26), "CUSM, CHU SJ, HGJ, CHUQ, CHUS", "")</f>
      </c>
      <c r="AN487" s="57">
        <f>IF(AND(AJ487="no match", AK487="", AL487="", K487&gt;26), "CUSM, CHU SJ, HGJ, CHUQ, CHUS, HMR", "")</f>
      </c>
    </row>
    <row x14ac:dyDescent="0.25" r="488" customHeight="1" ht="17.25">
      <c r="A488" s="41" t="s">
        <v>3635</v>
      </c>
      <c r="B488" s="28">
        <v>2</v>
      </c>
      <c r="C488" s="35">
        <v>824</v>
      </c>
      <c r="D488" s="29" t="s">
        <v>57</v>
      </c>
      <c r="E488" s="30" t="s">
        <v>50</v>
      </c>
      <c r="F488" s="31">
        <v>45176</v>
      </c>
      <c r="G488" s="32">
        <v>4.510416666666666</v>
      </c>
      <c r="H488" s="31">
        <v>45172</v>
      </c>
      <c r="I488" s="32">
        <v>4.955555555555556</v>
      </c>
      <c r="J488" s="33">
        <f>F488-H488</f>
      </c>
      <c r="K488" s="28">
        <v>41</v>
      </c>
      <c r="L488" s="28">
        <v>4</v>
      </c>
      <c r="M488" s="28">
        <v>1</v>
      </c>
      <c r="N488" s="34"/>
      <c r="O488" s="34"/>
      <c r="P488" s="34"/>
      <c r="Q488" s="34"/>
      <c r="R488" s="34"/>
      <c r="S488" s="56"/>
      <c r="T488" s="34"/>
      <c r="U488" s="34"/>
      <c r="V488" s="34"/>
      <c r="W488" s="29"/>
      <c r="X488" s="28">
        <v>32</v>
      </c>
      <c r="Y488" s="28">
        <v>1</v>
      </c>
      <c r="Z488" s="28">
        <v>1</v>
      </c>
      <c r="AA488" s="28">
        <v>3</v>
      </c>
      <c r="AB488" s="28">
        <v>1</v>
      </c>
      <c r="AC488" s="28">
        <v>3</v>
      </c>
      <c r="AD488" s="28">
        <v>3</v>
      </c>
      <c r="AE488" s="28">
        <v>4</v>
      </c>
      <c r="AF488" s="28">
        <v>3</v>
      </c>
      <c r="AG488" s="28">
        <v>2</v>
      </c>
      <c r="AH488" s="29" t="s">
        <v>3636</v>
      </c>
      <c r="AI488" s="36">
        <f>IF(OR(AND(K488&lt;32, J488&lt;2), O488=1, P488=1, Q488=1, R488=1, S488=1, T488=1, U488=1, AND(W488&lt;&gt;"", W488&lt;&gt;"Oxygen", W488&lt;&gt;"LowFlow")), "Intensive", "Intermediate")</f>
      </c>
      <c r="AJ488" s="57">
        <f>IF(OR(LEFT(AH488, 1)="X", LEFT(AH488, 1)="Y", LEFT(AH488, 3)="J37M"), "CUSM", "No Match")</f>
      </c>
      <c r="AK488" s="57">
        <f>IF(AND(OR(O488=3, P488=1, Q488=1, T488=1), AJ488="no Match"), "CUSM, CHU SJ, CHUQ", "")</f>
      </c>
      <c r="AL488" s="57">
        <f>IF(AND(O488=2, ISBLANK(P488), ISBLANK(Q488), ISBLANK(R488), ISBLANK(S488), ISBLANK(T488)), "CUSM, CHU SJ, CHUS, CHUQ", "")</f>
      </c>
      <c r="AM488" s="57">
        <f>IF(AND(AJ488="no match", AK488="", AL488="", K488&lt;26), "CUSM, CHU SJ, HGJ, CHUQ, CHUS", "")</f>
      </c>
      <c r="AN488" s="57">
        <f>IF(AND(AJ488="no match", AK488="", AL488="", K488&gt;26), "CUSM, CHU SJ, HGJ, CHUQ, CHUS, HMR", "")</f>
      </c>
    </row>
    <row x14ac:dyDescent="0.25" r="489" customHeight="1" ht="17.25">
      <c r="A489" s="41" t="s">
        <v>3637</v>
      </c>
      <c r="B489" s="28">
        <v>2</v>
      </c>
      <c r="C489" s="35">
        <v>825</v>
      </c>
      <c r="D489" s="29" t="s">
        <v>77</v>
      </c>
      <c r="E489" s="30" t="s">
        <v>220</v>
      </c>
      <c r="F489" s="31">
        <v>45176</v>
      </c>
      <c r="G489" s="32">
        <v>4.270833333333334</v>
      </c>
      <c r="H489" s="31">
        <v>45176</v>
      </c>
      <c r="I489" s="32">
        <v>4.145833333333334</v>
      </c>
      <c r="J489" s="33">
        <f>F489-H489</f>
      </c>
      <c r="K489" s="28">
        <v>30</v>
      </c>
      <c r="L489" s="28">
        <v>0</v>
      </c>
      <c r="M489" s="28">
        <v>1</v>
      </c>
      <c r="N489" s="34"/>
      <c r="O489" s="34"/>
      <c r="P489" s="34"/>
      <c r="Q489" s="34"/>
      <c r="R489" s="34"/>
      <c r="S489" s="56"/>
      <c r="T489" s="34"/>
      <c r="U489" s="34"/>
      <c r="V489" s="34"/>
      <c r="W489" s="29" t="s">
        <v>164</v>
      </c>
      <c r="X489" s="28">
        <v>26</v>
      </c>
      <c r="Y489" s="28">
        <v>2</v>
      </c>
      <c r="Z489" s="28">
        <v>2</v>
      </c>
      <c r="AA489" s="28">
        <v>2</v>
      </c>
      <c r="AB489" s="28">
        <v>1</v>
      </c>
      <c r="AC489" s="28">
        <v>2</v>
      </c>
      <c r="AD489" s="28">
        <v>2</v>
      </c>
      <c r="AE489" s="28">
        <v>4</v>
      </c>
      <c r="AF489" s="28">
        <v>2</v>
      </c>
      <c r="AG489" s="28">
        <v>2</v>
      </c>
      <c r="AH489" s="29"/>
      <c r="AI489" s="36">
        <f>IF(OR(AND(K489&lt;32, J489&lt;2), O489=1, P489=1, Q489=1, R489=1, S489=1, T489=1, U489=1, AND(W489&lt;&gt;"", W489&lt;&gt;"Oxygen", W489&lt;&gt;"LowFlow")), "Intensive", "Intermediate")</f>
      </c>
      <c r="AJ489" s="57">
        <f>IF(OR(LEFT(AH489, 1)="X", LEFT(AH489, 1)="Y", LEFT(AH489, 3)="J38M"), "CUSM", "No Match")</f>
      </c>
      <c r="AK489" s="57">
        <f>IF(AND(OR(O489=3, P489=1, Q489=1, T489=1), AJ489="no Match"), "CUSM, CHU SJ, CHUQ", "")</f>
      </c>
      <c r="AL489" s="57">
        <f>IF(AND(O489=2, ISBLANK(P489), ISBLANK(Q489), ISBLANK(R489), ISBLANK(S489), ISBLANK(T489)), "CUSM, CHU SJ, CHUS, CHUQ", "")</f>
      </c>
      <c r="AM489" s="57">
        <f>IF(AND(AJ489="no match", AK489="", AL489="", K489&lt;26), "CUSM, CHU SJ, HGJ, CHUQ, CHUS", "")</f>
      </c>
      <c r="AN489" s="57">
        <f>IF(AND(AJ489="no match", AK489="", AL489="", K489&gt;26), "CUSM, CHU SJ, HGJ, CHUQ, CHUS, HMR", "")</f>
      </c>
    </row>
    <row x14ac:dyDescent="0.25" r="490" customHeight="1" ht="17.25">
      <c r="A490" s="41" t="s">
        <v>3638</v>
      </c>
      <c r="B490" s="28">
        <v>2</v>
      </c>
      <c r="C490" s="28">
        <v>825</v>
      </c>
      <c r="D490" s="29" t="s">
        <v>77</v>
      </c>
      <c r="E490" s="30" t="s">
        <v>220</v>
      </c>
      <c r="F490" s="31">
        <v>45176</v>
      </c>
      <c r="G490" s="32">
        <v>4.2756944444444445</v>
      </c>
      <c r="H490" s="31">
        <v>45176</v>
      </c>
      <c r="I490" s="32">
        <v>4.147222222222222</v>
      </c>
      <c r="J490" s="33">
        <f>F490-H490</f>
      </c>
      <c r="K490" s="28">
        <v>30</v>
      </c>
      <c r="L490" s="28">
        <v>0</v>
      </c>
      <c r="M490" s="28">
        <v>2</v>
      </c>
      <c r="N490" s="34"/>
      <c r="O490" s="34"/>
      <c r="P490" s="34"/>
      <c r="Q490" s="34"/>
      <c r="R490" s="34"/>
      <c r="S490" s="56"/>
      <c r="T490" s="34"/>
      <c r="U490" s="34"/>
      <c r="V490" s="34"/>
      <c r="W490" s="29" t="s">
        <v>164</v>
      </c>
      <c r="X490" s="28">
        <v>26</v>
      </c>
      <c r="Y490" s="28">
        <v>2</v>
      </c>
      <c r="Z490" s="28">
        <v>2</v>
      </c>
      <c r="AA490" s="28">
        <v>2</v>
      </c>
      <c r="AB490" s="28">
        <v>1</v>
      </c>
      <c r="AC490" s="28">
        <v>2</v>
      </c>
      <c r="AD490" s="28">
        <v>2</v>
      </c>
      <c r="AE490" s="28">
        <v>4</v>
      </c>
      <c r="AF490" s="28">
        <v>2</v>
      </c>
      <c r="AG490" s="28">
        <v>2</v>
      </c>
      <c r="AH490" s="29"/>
      <c r="AI490" s="36">
        <f>IF(OR(AND(K490&lt;32, J490&lt;2), O490=1, P490=1, Q490=1, R490=1, S490=1, T490=1, U490=1, AND(W490&lt;&gt;"", W490&lt;&gt;"Oxygen", W490&lt;&gt;"LowFlow")), "Intensive", "Intermediate")</f>
      </c>
      <c r="AJ490" s="57">
        <f>IF(OR(LEFT(AH490, 1)="X", LEFT(AH490, 1)="Y", LEFT(AH490, 3)="J39M"), "CUSM", "No Match")</f>
      </c>
      <c r="AK490" s="57">
        <f>IF(AND(OR(O490=3, P490=1, Q490=1, T490=1), AJ490="no Match"), "CUSM, CHU SJ, CHUQ", "")</f>
      </c>
      <c r="AL490" s="57">
        <f>IF(AND(O490=2, ISBLANK(P490), ISBLANK(Q490), ISBLANK(R490), ISBLANK(S490), ISBLANK(T490)), "CUSM, CHU SJ, CHUS, CHUQ", "")</f>
      </c>
      <c r="AM490" s="57">
        <f>IF(AND(AJ490="no match", AK490="", AL490="", K490&lt;26), "CUSM, CHU SJ, HGJ, CHUQ, CHUS", "")</f>
      </c>
      <c r="AN490" s="57">
        <f>IF(AND(AJ490="no match", AK490="", AL490="", K490&gt;26), "CUSM, CHU SJ, HGJ, CHUQ, CHUS, HMR", "")</f>
      </c>
    </row>
    <row x14ac:dyDescent="0.25" r="491" customHeight="1" ht="17.25">
      <c r="A491" s="41" t="s">
        <v>3639</v>
      </c>
      <c r="B491" s="28">
        <v>2</v>
      </c>
      <c r="C491" s="28">
        <v>768</v>
      </c>
      <c r="D491" s="29" t="s">
        <v>160</v>
      </c>
      <c r="E491" s="30" t="s">
        <v>118</v>
      </c>
      <c r="F491" s="31">
        <v>45177</v>
      </c>
      <c r="G491" s="32">
        <v>4.738194444444444</v>
      </c>
      <c r="H491" s="31">
        <v>45177</v>
      </c>
      <c r="I491" s="32">
        <v>4.534027777777778</v>
      </c>
      <c r="J491" s="33">
        <f>F491-H491</f>
      </c>
      <c r="K491" s="28">
        <v>31</v>
      </c>
      <c r="L491" s="28">
        <v>6</v>
      </c>
      <c r="M491" s="28">
        <v>2</v>
      </c>
      <c r="N491" s="34"/>
      <c r="O491" s="34"/>
      <c r="P491" s="34"/>
      <c r="Q491" s="34"/>
      <c r="R491" s="34"/>
      <c r="S491" s="56"/>
      <c r="T491" s="38"/>
      <c r="U491" s="34"/>
      <c r="V491" s="34"/>
      <c r="W491" s="29" t="s">
        <v>164</v>
      </c>
      <c r="X491" s="28">
        <v>28</v>
      </c>
      <c r="Y491" s="28">
        <v>1</v>
      </c>
      <c r="Z491" s="28">
        <v>1</v>
      </c>
      <c r="AA491" s="28">
        <v>1</v>
      </c>
      <c r="AB491" s="28">
        <v>1</v>
      </c>
      <c r="AC491" s="28">
        <v>3</v>
      </c>
      <c r="AD491" s="28">
        <v>2</v>
      </c>
      <c r="AE491" s="28">
        <v>4</v>
      </c>
      <c r="AF491" s="35">
        <v>2</v>
      </c>
      <c r="AG491" s="28">
        <v>2</v>
      </c>
      <c r="AH491" s="29" t="s">
        <v>326</v>
      </c>
      <c r="AI491" s="36">
        <f>IF(OR(AND(K491&lt;32, J491&lt;2), O491=1, P491=1, Q491=1, R491=1, S491=1, T491=1, U491=1, AND(W491&lt;&gt;"", W491&lt;&gt;"Oxygen", W491&lt;&gt;"LowFlow")), "Intensive", "Intermediate")</f>
      </c>
      <c r="AJ491" s="57">
        <f>IF(OR(LEFT(AH491, 1)="X", LEFT(AH491, 1)="Y", LEFT(AH491, 3)="J40M"), "CUSM", "No Match")</f>
      </c>
      <c r="AK491" s="57">
        <f>IF(AND(OR(O491=3, P491=1, Q491=1, T491=1), AJ491="no Match"), "CUSM, CHU SJ, CHUQ", "")</f>
      </c>
      <c r="AL491" s="57">
        <f>IF(AND(O491=2, ISBLANK(P491), ISBLANK(Q491), ISBLANK(R491), ISBLANK(S491), ISBLANK(T491)), "CUSM, CHU SJ, CHUS, CHUQ", "")</f>
      </c>
      <c r="AM491" s="57">
        <f>IF(AND(AJ491="no match", AK491="", AL491="", K491&lt;26), "CUSM, CHU SJ, HGJ, CHUQ, CHUS", "")</f>
      </c>
      <c r="AN491" s="57">
        <f>IF(AND(AJ491="no match", AK491="", AL491="", K491&gt;26), "CUSM, CHU SJ, HGJ, CHUQ, CHUS, HMR", "")</f>
      </c>
    </row>
    <row x14ac:dyDescent="0.25" r="492" customHeight="1" ht="17.25">
      <c r="A492" s="41" t="s">
        <v>3640</v>
      </c>
      <c r="B492" s="28">
        <v>2</v>
      </c>
      <c r="C492" s="35">
        <v>735</v>
      </c>
      <c r="D492" s="29" t="s">
        <v>49</v>
      </c>
      <c r="E492" s="30" t="s">
        <v>54</v>
      </c>
      <c r="F492" s="31">
        <v>45178</v>
      </c>
      <c r="G492" s="32">
        <v>4.354166666666666</v>
      </c>
      <c r="H492" s="31">
        <v>45177</v>
      </c>
      <c r="I492" s="32">
        <v>4.534027777777778</v>
      </c>
      <c r="J492" s="33">
        <f>F492-H492</f>
      </c>
      <c r="K492" s="28">
        <v>31</v>
      </c>
      <c r="L492" s="28">
        <v>6</v>
      </c>
      <c r="M492" s="28">
        <v>2</v>
      </c>
      <c r="N492" s="35">
        <v>1</v>
      </c>
      <c r="O492" s="34"/>
      <c r="P492" s="34"/>
      <c r="Q492" s="34"/>
      <c r="R492" s="34"/>
      <c r="S492" s="56"/>
      <c r="T492" s="34"/>
      <c r="U492" s="34"/>
      <c r="V492" s="34"/>
      <c r="W492" s="29" t="s">
        <v>74</v>
      </c>
      <c r="X492" s="28">
        <v>28</v>
      </c>
      <c r="Y492" s="28">
        <v>1</v>
      </c>
      <c r="Z492" s="28">
        <v>1</v>
      </c>
      <c r="AA492" s="28">
        <v>1</v>
      </c>
      <c r="AB492" s="28">
        <v>1</v>
      </c>
      <c r="AC492" s="28">
        <v>2</v>
      </c>
      <c r="AD492" s="28">
        <v>2</v>
      </c>
      <c r="AE492" s="28">
        <v>4</v>
      </c>
      <c r="AF492" s="28">
        <v>1</v>
      </c>
      <c r="AG492" s="28">
        <v>2</v>
      </c>
      <c r="AH492" s="29" t="s">
        <v>3641</v>
      </c>
      <c r="AI492" s="36">
        <f>IF(OR(AND(K492&lt;32, J492&lt;2), O492=1, P492=1, Q492=1, R492=1, S492=1, T492=1, U492=1, AND(W492&lt;&gt;"", W492&lt;&gt;"Oxygen", W492&lt;&gt;"LowFlow")), "Intensive", "Intermediate")</f>
      </c>
      <c r="AJ492" s="57">
        <f>IF(OR(LEFT(AH492, 1)="X", LEFT(AH492, 1)="Y", LEFT(AH492, 3)="J41M"), "CUSM", "No Match")</f>
      </c>
      <c r="AK492" s="57">
        <f>IF(AND(OR(O492=3, P492=1, Q492=1, T492=1), AJ492="no Match"), "CUSM, CHU SJ, CHUQ", "")</f>
      </c>
      <c r="AL492" s="57">
        <f>IF(AND(O492=2, ISBLANK(P492), ISBLANK(Q492), ISBLANK(R492), ISBLANK(S492), ISBLANK(T492)), "CUSM, CHU SJ, CHUS, CHUQ", "")</f>
      </c>
      <c r="AM492" s="57">
        <f>IF(AND(AJ492="no match", AK492="", AL492="", K492&lt;26), "CUSM, CHU SJ, HGJ, CHUQ, CHUS", "")</f>
      </c>
      <c r="AN492" s="57">
        <f>IF(AND(AJ492="no match", AK492="", AL492="", K492&gt;26), "CUSM, CHU SJ, HGJ, CHUQ, CHUS, HMR", "")</f>
      </c>
    </row>
    <row x14ac:dyDescent="0.25" r="493" customHeight="1" ht="17.25">
      <c r="A493" s="41" t="s">
        <v>3642</v>
      </c>
      <c r="B493" s="28">
        <v>2</v>
      </c>
      <c r="C493" s="35">
        <v>756</v>
      </c>
      <c r="D493" s="29" t="s">
        <v>66</v>
      </c>
      <c r="E493" s="30" t="s">
        <v>50</v>
      </c>
      <c r="F493" s="31">
        <v>45178</v>
      </c>
      <c r="G493" s="32">
        <v>4.90625</v>
      </c>
      <c r="H493" s="31">
        <v>45177</v>
      </c>
      <c r="I493" s="32">
        <v>4.779166666666667</v>
      </c>
      <c r="J493" s="33">
        <f>F493-H493</f>
      </c>
      <c r="K493" s="28">
        <v>41</v>
      </c>
      <c r="L493" s="28">
        <v>2</v>
      </c>
      <c r="M493" s="28">
        <v>2</v>
      </c>
      <c r="N493" s="34"/>
      <c r="O493" s="34"/>
      <c r="P493" s="34"/>
      <c r="Q493" s="34"/>
      <c r="R493" s="34"/>
      <c r="S493" s="56"/>
      <c r="T493" s="34"/>
      <c r="U493" s="34"/>
      <c r="V493" s="34"/>
      <c r="W493" s="29"/>
      <c r="X493" s="28">
        <v>29</v>
      </c>
      <c r="Y493" s="28">
        <v>1</v>
      </c>
      <c r="Z493" s="28">
        <v>1</v>
      </c>
      <c r="AA493" s="28">
        <v>3</v>
      </c>
      <c r="AB493" s="28">
        <v>1</v>
      </c>
      <c r="AC493" s="28">
        <v>2</v>
      </c>
      <c r="AD493" s="28">
        <v>2</v>
      </c>
      <c r="AE493" s="28">
        <v>4</v>
      </c>
      <c r="AF493" s="28">
        <v>3</v>
      </c>
      <c r="AG493" s="28">
        <v>2</v>
      </c>
      <c r="AH493" s="29" t="s">
        <v>3643</v>
      </c>
      <c r="AI493" s="36">
        <f>IF(OR(AND(K493&lt;32, J493&lt;2), O493=1, P493=1, Q493=1, R493=1, S493=1, T493=1, U493=1, AND(W493&lt;&gt;"", W493&lt;&gt;"Oxygen", W493&lt;&gt;"LowFlow")), "Intensive", "Intermediate")</f>
      </c>
      <c r="AJ493" s="57">
        <f>IF(OR(LEFT(AH493, 1)="X", LEFT(AH493, 1)="Y", LEFT(AH493, 3)="J42M"), "CUSM", "No Match")</f>
      </c>
      <c r="AK493" s="57">
        <f>IF(AND(OR(O493=3, P493=1, Q493=1, T493=1), AJ493="no Match"), "CUSM, CHU SJ, CHUQ", "")</f>
      </c>
      <c r="AL493" s="57">
        <f>IF(AND(O493=2, ISBLANK(P493), ISBLANK(Q493), ISBLANK(R493), ISBLANK(S493), ISBLANK(T493)), "CUSM, CHU SJ, CHUS, CHUQ", "")</f>
      </c>
      <c r="AM493" s="57">
        <f>IF(AND(AJ493="no match", AK493="", AL493="", K493&lt;26), "CUSM, CHU SJ, HGJ, CHUQ, CHUS", "")</f>
      </c>
      <c r="AN493" s="57">
        <f>IF(AND(AJ493="no match", AK493="", AL493="", K493&gt;26), "CUSM, CHU SJ, HGJ, CHUQ, CHUS, HMR", "")</f>
      </c>
    </row>
    <row x14ac:dyDescent="0.25" r="494" customHeight="1" ht="17.25">
      <c r="A494" s="41" t="s">
        <v>3644</v>
      </c>
      <c r="B494" s="28">
        <v>2</v>
      </c>
      <c r="C494" s="35">
        <v>730</v>
      </c>
      <c r="D494" s="29" t="s">
        <v>81</v>
      </c>
      <c r="E494" s="30" t="s">
        <v>50</v>
      </c>
      <c r="F494" s="31">
        <v>45178</v>
      </c>
      <c r="G494" s="32">
        <v>4.6875</v>
      </c>
      <c r="H494" s="31">
        <v>45178</v>
      </c>
      <c r="I494" s="32">
        <v>4.490277777777777</v>
      </c>
      <c r="J494" s="33">
        <f>F494-H494</f>
      </c>
      <c r="K494" s="28">
        <v>36</v>
      </c>
      <c r="L494" s="28">
        <v>5</v>
      </c>
      <c r="M494" s="28">
        <v>2</v>
      </c>
      <c r="N494" s="34"/>
      <c r="O494" s="34"/>
      <c r="P494" s="34"/>
      <c r="Q494" s="34"/>
      <c r="R494" s="34"/>
      <c r="S494" s="56"/>
      <c r="T494" s="35">
        <v>1</v>
      </c>
      <c r="U494" s="34"/>
      <c r="V494" s="34"/>
      <c r="W494" s="29" t="s">
        <v>58</v>
      </c>
      <c r="X494" s="28">
        <v>41</v>
      </c>
      <c r="Y494" s="28">
        <v>2</v>
      </c>
      <c r="Z494" s="28">
        <v>1</v>
      </c>
      <c r="AA494" s="28">
        <v>3</v>
      </c>
      <c r="AB494" s="28">
        <v>1</v>
      </c>
      <c r="AC494" s="28">
        <v>1</v>
      </c>
      <c r="AD494" s="28">
        <v>2</v>
      </c>
      <c r="AE494" s="28">
        <v>4</v>
      </c>
      <c r="AF494" s="28">
        <v>3</v>
      </c>
      <c r="AG494" s="28">
        <v>2</v>
      </c>
      <c r="AH494" s="29"/>
      <c r="AI494" s="36">
        <f>IF(OR(AND(K494&lt;32, J494&lt;2), O494=1, P494=1, Q494=1, R494=1, S494=1, T494=1, U494=1, AND(W494&lt;&gt;"", W494&lt;&gt;"Oxygen", W494&lt;&gt;"LowFlow")), "Intensive", "Intermediate")</f>
      </c>
      <c r="AJ494" s="57">
        <f>IF(OR(LEFT(AH494, 1)="X", LEFT(AH494, 1)="Y", LEFT(AH494, 3)="J43M"), "CUSM", "No Match")</f>
      </c>
      <c r="AK494" s="57">
        <f>IF(AND(OR(O494=3, P494=1, Q494=1, T494=1), AJ494="no Match"), "CUSM, CHU SJ, CHUQ", "")</f>
      </c>
      <c r="AL494" s="57">
        <f>IF(AND(O494=2, ISBLANK(P494), ISBLANK(Q494), ISBLANK(R494), ISBLANK(S494), ISBLANK(T494)), "CUSM, CHU SJ, CHUS, CHUQ", "")</f>
      </c>
      <c r="AM494" s="57">
        <f>IF(AND(AJ494="no match", AK494="", AL494="", K494&lt;26), "CUSM, CHU SJ, HGJ, CHUQ, CHUS", "")</f>
      </c>
      <c r="AN494" s="57">
        <f>IF(AND(AJ494="no match", AK494="", AL494="", K494&gt;26), "CUSM, CHU SJ, HGJ, CHUQ, CHUS, HMR", "")</f>
      </c>
    </row>
    <row x14ac:dyDescent="0.25" r="495" customHeight="1" ht="17.25">
      <c r="A495" s="41" t="s">
        <v>3645</v>
      </c>
      <c r="B495" s="28">
        <v>2</v>
      </c>
      <c r="C495" s="28">
        <v>779</v>
      </c>
      <c r="D495" s="29" t="s">
        <v>136</v>
      </c>
      <c r="E495" s="30" t="s">
        <v>54</v>
      </c>
      <c r="F495" s="31">
        <v>45179</v>
      </c>
      <c r="G495" s="32">
        <v>4.881944444444445</v>
      </c>
      <c r="H495" s="31">
        <v>45174</v>
      </c>
      <c r="I495" s="32">
        <v>4.295138888888889</v>
      </c>
      <c r="J495" s="33">
        <f>F495-H495</f>
      </c>
      <c r="K495" s="28">
        <v>40</v>
      </c>
      <c r="L495" s="28">
        <v>0</v>
      </c>
      <c r="M495" s="28">
        <v>1</v>
      </c>
      <c r="N495" s="34"/>
      <c r="O495" s="34"/>
      <c r="P495" s="34"/>
      <c r="Q495" s="34"/>
      <c r="R495" s="34"/>
      <c r="S495" s="56"/>
      <c r="T495" s="34"/>
      <c r="U495" s="34"/>
      <c r="V495" s="34"/>
      <c r="W495" s="29"/>
      <c r="X495" s="28">
        <v>34</v>
      </c>
      <c r="Y495" s="28">
        <v>1</v>
      </c>
      <c r="Z495" s="28">
        <v>1</v>
      </c>
      <c r="AA495" s="28">
        <v>3</v>
      </c>
      <c r="AB495" s="28">
        <v>4</v>
      </c>
      <c r="AC495" s="28">
        <v>2</v>
      </c>
      <c r="AD495" s="28">
        <v>2</v>
      </c>
      <c r="AE495" s="28">
        <v>4</v>
      </c>
      <c r="AF495" s="28">
        <v>3</v>
      </c>
      <c r="AG495" s="28">
        <v>2</v>
      </c>
      <c r="AH495" s="29" t="s">
        <v>3646</v>
      </c>
      <c r="AI495" s="36">
        <f>IF(OR(AND(K495&lt;32, J495&lt;2), O495=1, P495=1, Q495=1, R495=1, S495=1, T495=1, U495=1, AND(W495&lt;&gt;"", W495&lt;&gt;"Oxygen", W495&lt;&gt;"LowFlow")), "Intensive", "Intermediate")</f>
      </c>
      <c r="AJ495" s="57">
        <f>IF(OR(LEFT(AH495, 1)="X", LEFT(AH495, 1)="Y", LEFT(AH495, 3)="J44M"), "CUSM", "No Match")</f>
      </c>
      <c r="AK495" s="57">
        <f>IF(AND(OR(O495=3, P495=1, Q495=1, T495=1), AJ495="no Match"), "CUSM, CHU SJ, CHUQ", "")</f>
      </c>
      <c r="AL495" s="57">
        <f>IF(AND(O495=2, ISBLANK(P495), ISBLANK(Q495), ISBLANK(R495), ISBLANK(S495), ISBLANK(T495)), "CUSM, CHU SJ, CHUS, CHUQ", "")</f>
      </c>
      <c r="AM495" s="57">
        <f>IF(AND(AJ495="no match", AK495="", AL495="", K495&lt;26), "CUSM, CHU SJ, HGJ, CHUQ, CHUS", "")</f>
      </c>
      <c r="AN495" s="57">
        <f>IF(AND(AJ495="no match", AK495="", AL495="", K495&gt;26), "CUSM, CHU SJ, HGJ, CHUQ, CHUS, HMR", "")</f>
      </c>
    </row>
    <row x14ac:dyDescent="0.25" r="496" customHeight="1" ht="17.25">
      <c r="A496" s="41" t="s">
        <v>3647</v>
      </c>
      <c r="B496" s="28">
        <v>2</v>
      </c>
      <c r="C496" s="28">
        <v>730</v>
      </c>
      <c r="D496" s="29" t="s">
        <v>81</v>
      </c>
      <c r="E496" s="30" t="s">
        <v>50</v>
      </c>
      <c r="F496" s="31">
        <v>45179</v>
      </c>
      <c r="G496" s="32">
        <v>4.930555555555555</v>
      </c>
      <c r="H496" s="31">
        <v>45171</v>
      </c>
      <c r="I496" s="32">
        <v>4.558333333333334</v>
      </c>
      <c r="J496" s="33">
        <f>F496-H496</f>
      </c>
      <c r="K496" s="28">
        <v>36</v>
      </c>
      <c r="L496" s="28">
        <v>1</v>
      </c>
      <c r="M496" s="28">
        <v>1</v>
      </c>
      <c r="N496" s="28">
        <v>1</v>
      </c>
      <c r="O496" s="34"/>
      <c r="P496" s="28">
        <v>1</v>
      </c>
      <c r="Q496" s="34"/>
      <c r="R496" s="34"/>
      <c r="S496" s="56"/>
      <c r="T496" s="34"/>
      <c r="U496" s="34"/>
      <c r="V496" s="34"/>
      <c r="W496" s="29"/>
      <c r="X496" s="28">
        <v>37</v>
      </c>
      <c r="Y496" s="28">
        <v>1</v>
      </c>
      <c r="Z496" s="28">
        <v>2</v>
      </c>
      <c r="AA496" s="28">
        <v>1</v>
      </c>
      <c r="AB496" s="28">
        <v>1</v>
      </c>
      <c r="AC496" s="28">
        <v>1</v>
      </c>
      <c r="AD496" s="28">
        <v>2</v>
      </c>
      <c r="AE496" s="28">
        <v>4</v>
      </c>
      <c r="AF496" s="28">
        <v>3</v>
      </c>
      <c r="AG496" s="28">
        <v>3</v>
      </c>
      <c r="AH496" s="29" t="s">
        <v>3648</v>
      </c>
      <c r="AI496" s="36">
        <f>IF(OR(AND(K496&lt;32, J496&lt;2), O496=1, P496=1, Q496=1, R496=1, S496=1, T496=1, U496=1, AND(W496&lt;&gt;"", W496&lt;&gt;"Oxygen", W496&lt;&gt;"LowFlow")), "Intensive", "Intermediate")</f>
      </c>
      <c r="AJ496" s="57">
        <f>IF(OR(LEFT(AH496, 1)="X", LEFT(AH496, 1)="Y", LEFT(AH496, 3)="J45M"), "CUSM", "No Match")</f>
      </c>
      <c r="AK496" s="57">
        <f>IF(AND(OR(O496=3, P496=1, Q496=1, T496=1), AJ496="no Match"), "CUSM, CHU SJ, CHUQ", "")</f>
      </c>
      <c r="AL496" s="57">
        <f>IF(AND(O496=2, ISBLANK(P496), ISBLANK(Q496), ISBLANK(R496), ISBLANK(S496), ISBLANK(T496)), "CUSM, CHU SJ, CHUS, CHUQ", "")</f>
      </c>
      <c r="AM496" s="57">
        <f>IF(AND(AJ496="no match", AK496="", AL496="", K496&lt;26), "CUSM, CHU SJ, HGJ, CHUQ, CHUS", "")</f>
      </c>
      <c r="AN496" s="57">
        <f>IF(AND(AJ496="no match", AK496="", AL496="", K496&gt;26), "CUSM, CHU SJ, HGJ, CHUQ, CHUS, HMR", "")</f>
      </c>
    </row>
    <row x14ac:dyDescent="0.25" r="497" customHeight="1" ht="17.25">
      <c r="A497" s="41" t="s">
        <v>3649</v>
      </c>
      <c r="B497" s="28">
        <v>2</v>
      </c>
      <c r="C497" s="35">
        <v>817</v>
      </c>
      <c r="D497" s="29" t="s">
        <v>163</v>
      </c>
      <c r="E497" s="30" t="s">
        <v>50</v>
      </c>
      <c r="F497" s="31">
        <v>45179</v>
      </c>
      <c r="G497" s="32">
        <v>4.774305555555555</v>
      </c>
      <c r="H497" s="31">
        <v>45177</v>
      </c>
      <c r="I497" s="32">
        <v>4.1097222222222225</v>
      </c>
      <c r="J497" s="33">
        <f>F497-H497</f>
      </c>
      <c r="K497" s="28">
        <v>38</v>
      </c>
      <c r="L497" s="28">
        <v>2</v>
      </c>
      <c r="M497" s="28">
        <v>1</v>
      </c>
      <c r="N497" s="34"/>
      <c r="O497" s="34"/>
      <c r="P497" s="34"/>
      <c r="Q497" s="34"/>
      <c r="R497" s="34"/>
      <c r="S497" s="56"/>
      <c r="T497" s="35">
        <v>1</v>
      </c>
      <c r="U497" s="34"/>
      <c r="V497" s="34"/>
      <c r="W497" s="29"/>
      <c r="X497" s="28">
        <v>32</v>
      </c>
      <c r="Y497" s="28">
        <v>1</v>
      </c>
      <c r="Z497" s="28">
        <v>1</v>
      </c>
      <c r="AA497" s="28">
        <v>3</v>
      </c>
      <c r="AB497" s="28">
        <v>1</v>
      </c>
      <c r="AC497" s="28">
        <v>1</v>
      </c>
      <c r="AD497" s="28">
        <v>2</v>
      </c>
      <c r="AE497" s="28">
        <v>4</v>
      </c>
      <c r="AF497" s="28">
        <v>2</v>
      </c>
      <c r="AG497" s="28">
        <v>2</v>
      </c>
      <c r="AH497" s="29" t="s">
        <v>1899</v>
      </c>
      <c r="AI497" s="36">
        <f>IF(OR(AND(K497&lt;32, J497&lt;2), O497=1, P497=1, Q497=1, R497=1, S497=1, T497=1, U497=1, AND(W497&lt;&gt;"", W497&lt;&gt;"Oxygen", W497&lt;&gt;"LowFlow")), "Intensive", "Intermediate")</f>
      </c>
      <c r="AJ497" s="57">
        <f>IF(OR(LEFT(AH497, 1)="X", LEFT(AH497, 1)="Y", LEFT(AH497, 3)="J46M"), "CUSM", "No Match")</f>
      </c>
      <c r="AK497" s="57">
        <f>IF(AND(OR(O497=3, P497=1, Q497=1, T497=1), AJ497="no Match"), "CUSM, CHU SJ, CHUQ", "")</f>
      </c>
      <c r="AL497" s="57">
        <f>IF(AND(O497=2, ISBLANK(P497), ISBLANK(Q497), ISBLANK(R497), ISBLANK(S497), ISBLANK(T497)), "CUSM, CHU SJ, CHUS, CHUQ", "")</f>
      </c>
      <c r="AM497" s="57">
        <f>IF(AND(AJ497="no match", AK497="", AL497="", K497&lt;26), "CUSM, CHU SJ, HGJ, CHUQ, CHUS", "")</f>
      </c>
      <c r="AN497" s="57">
        <f>IF(AND(AJ497="no match", AK497="", AL497="", K497&gt;26), "CUSM, CHU SJ, HGJ, CHUQ, CHUS, HMR", "")</f>
      </c>
    </row>
    <row x14ac:dyDescent="0.25" r="498" customHeight="1" ht="17.25">
      <c r="A498" s="41" t="s">
        <v>3650</v>
      </c>
      <c r="B498" s="28">
        <v>2</v>
      </c>
      <c r="C498" s="35">
        <v>827</v>
      </c>
      <c r="D498" s="29" t="s">
        <v>525</v>
      </c>
      <c r="E498" s="30" t="s">
        <v>118</v>
      </c>
      <c r="F498" s="31">
        <v>45180</v>
      </c>
      <c r="G498" s="32">
        <v>4.498611111111111</v>
      </c>
      <c r="H498" s="31">
        <v>45180</v>
      </c>
      <c r="I498" s="32">
        <v>4.320833333333333</v>
      </c>
      <c r="J498" s="33">
        <f>F498-H498</f>
      </c>
      <c r="K498" s="28">
        <v>29</v>
      </c>
      <c r="L498" s="28">
        <v>4</v>
      </c>
      <c r="M498" s="28">
        <v>1</v>
      </c>
      <c r="N498" s="38"/>
      <c r="O498" s="34"/>
      <c r="P498" s="38"/>
      <c r="Q498" s="34"/>
      <c r="R498" s="34"/>
      <c r="S498" s="56"/>
      <c r="T498" s="34"/>
      <c r="U498" s="34"/>
      <c r="V498" s="34"/>
      <c r="W498" s="29" t="s">
        <v>74</v>
      </c>
      <c r="X498" s="28">
        <v>40</v>
      </c>
      <c r="Y498" s="28">
        <v>1</v>
      </c>
      <c r="Z498" s="28">
        <v>1</v>
      </c>
      <c r="AA498" s="28">
        <v>2</v>
      </c>
      <c r="AB498" s="28">
        <v>1</v>
      </c>
      <c r="AC498" s="28">
        <v>2</v>
      </c>
      <c r="AD498" s="28">
        <v>1</v>
      </c>
      <c r="AE498" s="28">
        <v>4</v>
      </c>
      <c r="AF498" s="28">
        <v>2</v>
      </c>
      <c r="AG498" s="28">
        <v>2</v>
      </c>
      <c r="AH498" s="29" t="s">
        <v>3651</v>
      </c>
      <c r="AI498" s="36">
        <f>IF(OR(AND(K498&lt;32, J498&lt;2), O498=1, P498=1, Q498=1, R498=1, S498=1, T498=1, U498=1, AND(W498&lt;&gt;"", W498&lt;&gt;"Oxygen", W498&lt;&gt;"LowFlow")), "Intensive", "Intermediate")</f>
      </c>
      <c r="AJ498" s="57">
        <f>IF(OR(LEFT(AH498, 1)="X", LEFT(AH498, 1)="Y", LEFT(AH498, 3)="J47M"), "CUSM", "No Match")</f>
      </c>
      <c r="AK498" s="57">
        <f>IF(AND(OR(O498=3, P498=1, Q498=1, T498=1), AJ498="no Match"), "CUSM, CHU SJ, CHUQ", "")</f>
      </c>
      <c r="AL498" s="57">
        <f>IF(AND(O498=2, ISBLANK(P498), ISBLANK(Q498), ISBLANK(R498), ISBLANK(S498), ISBLANK(T498)), "CUSM, CHU SJ, CHUS, CHUQ", "")</f>
      </c>
      <c r="AM498" s="57">
        <f>IF(AND(AJ498="no match", AK498="", AL498="", K498&lt;26), "CUSM, CHU SJ, HGJ, CHUQ, CHUS", "")</f>
      </c>
      <c r="AN498" s="57">
        <f>IF(AND(AJ498="no match", AK498="", AL498="", K498&gt;26), "CUSM, CHU SJ, HGJ, CHUQ, CHUS, HMR", "")</f>
      </c>
    </row>
    <row x14ac:dyDescent="0.25" r="499" customHeight="1" ht="17.25">
      <c r="A499" s="41" t="s">
        <v>3652</v>
      </c>
      <c r="B499" s="28">
        <v>2</v>
      </c>
      <c r="C499" s="35">
        <v>734</v>
      </c>
      <c r="D499" s="29" t="s">
        <v>264</v>
      </c>
      <c r="E499" s="30" t="s">
        <v>54</v>
      </c>
      <c r="F499" s="31">
        <v>45180</v>
      </c>
      <c r="G499" s="32">
        <v>4.590277777777778</v>
      </c>
      <c r="H499" s="31">
        <v>45177</v>
      </c>
      <c r="I499" s="32">
        <v>4.596527777777778</v>
      </c>
      <c r="J499" s="33">
        <f>F499-H499</f>
      </c>
      <c r="K499" s="28">
        <v>37</v>
      </c>
      <c r="L499" s="28">
        <v>0</v>
      </c>
      <c r="M499" s="28">
        <v>2</v>
      </c>
      <c r="N499" s="28">
        <v>1</v>
      </c>
      <c r="O499" s="35">
        <v>2</v>
      </c>
      <c r="P499" s="35">
        <v>1</v>
      </c>
      <c r="Q499" s="34"/>
      <c r="R499" s="34"/>
      <c r="S499" s="56"/>
      <c r="T499" s="34"/>
      <c r="U499" s="34"/>
      <c r="V499" s="34"/>
      <c r="W499" s="29"/>
      <c r="X499" s="28">
        <v>33</v>
      </c>
      <c r="Y499" s="28">
        <v>2</v>
      </c>
      <c r="Z499" s="28">
        <v>2</v>
      </c>
      <c r="AA499" s="28">
        <v>2</v>
      </c>
      <c r="AB499" s="28">
        <v>1</v>
      </c>
      <c r="AC499" s="28">
        <v>2</v>
      </c>
      <c r="AD499" s="28">
        <v>1</v>
      </c>
      <c r="AE499" s="28">
        <v>4</v>
      </c>
      <c r="AF499" s="35">
        <v>1</v>
      </c>
      <c r="AG499" s="28">
        <v>2</v>
      </c>
      <c r="AH499" s="29" t="s">
        <v>3653</v>
      </c>
      <c r="AI499" s="36">
        <f>IF(OR(AND(K499&lt;32, J499&lt;2), O499=1, P499=1, Q499=1, R499=1, S499=1, T499=1, U499=1, AND(W499&lt;&gt;"", W499&lt;&gt;"Oxygen", W499&lt;&gt;"LowFlow")), "Intensive", "Intermediate")</f>
      </c>
      <c r="AJ499" s="57">
        <f>IF(OR(LEFT(AH499, 1)="X", LEFT(AH499, 1)="Y", LEFT(AH499, 3)="J48M"), "CUSM", "No Match")</f>
      </c>
      <c r="AK499" s="57">
        <f>IF(AND(OR(O499=3, P499=1, Q499=1, T499=1), AJ499="no Match"), "CUSM, CHU SJ, CHUQ", "")</f>
      </c>
      <c r="AL499" s="57">
        <f>IF(AND(O499=2, ISBLANK(P499), ISBLANK(Q499), ISBLANK(R499), ISBLANK(S499), ISBLANK(T499)), "CUSM, CHU SJ, CHUS, CHUQ", "")</f>
      </c>
      <c r="AM499" s="57">
        <f>IF(AND(AJ499="no match", AK499="", AL499="", K499&lt;26), "CUSM, CHU SJ, HGJ, CHUQ, CHUS", "")</f>
      </c>
      <c r="AN499" s="57">
        <f>IF(AND(AJ499="no match", AK499="", AL499="", K499&gt;26), "CUSM, CHU SJ, HGJ, CHUQ, CHUS, HMR", "")</f>
      </c>
    </row>
    <row x14ac:dyDescent="0.25" r="500" customHeight="1" ht="17.25">
      <c r="A500" s="41" t="s">
        <v>3654</v>
      </c>
      <c r="B500" s="28">
        <v>2</v>
      </c>
      <c r="C500" s="35">
        <v>2</v>
      </c>
      <c r="D500" s="29" t="s">
        <v>269</v>
      </c>
      <c r="E500" s="30" t="s">
        <v>78</v>
      </c>
      <c r="F500" s="31">
        <v>45180</v>
      </c>
      <c r="G500" s="32">
        <v>4.75</v>
      </c>
      <c r="H500" s="31">
        <v>45180</v>
      </c>
      <c r="I500" s="32">
        <v>4.600694444444445</v>
      </c>
      <c r="J500" s="33">
        <f>F500-H500</f>
      </c>
      <c r="K500" s="28">
        <v>39</v>
      </c>
      <c r="L500" s="28">
        <v>0</v>
      </c>
      <c r="M500" s="28">
        <v>1</v>
      </c>
      <c r="N500" s="34"/>
      <c r="O500" s="34"/>
      <c r="P500" s="34"/>
      <c r="Q500" s="34"/>
      <c r="R500" s="34"/>
      <c r="S500" s="56"/>
      <c r="T500" s="34"/>
      <c r="U500" s="34"/>
      <c r="V500" s="34"/>
      <c r="W500" s="29" t="s">
        <v>58</v>
      </c>
      <c r="X500" s="28">
        <v>33</v>
      </c>
      <c r="Y500" s="28">
        <v>1</v>
      </c>
      <c r="Z500" s="28">
        <v>1</v>
      </c>
      <c r="AA500" s="28">
        <v>3</v>
      </c>
      <c r="AB500" s="28">
        <v>1</v>
      </c>
      <c r="AC500" s="28">
        <v>2</v>
      </c>
      <c r="AD500" s="28">
        <v>2</v>
      </c>
      <c r="AE500" s="28">
        <v>4</v>
      </c>
      <c r="AF500" s="28">
        <v>3</v>
      </c>
      <c r="AG500" s="28">
        <v>2</v>
      </c>
      <c r="AH500" s="29" t="s">
        <v>3655</v>
      </c>
      <c r="AI500" s="36">
        <f>IF(OR(AND(K500&lt;32, J500&lt;2), O500=1, P500=1, Q500=1, R500=1, S500=1, T500=1, U500=1, AND(W500&lt;&gt;"", W500&lt;&gt;"Oxygen", W500&lt;&gt;"LowFlow")), "Intensive", "Intermediate")</f>
      </c>
      <c r="AJ500" s="57">
        <f>IF(OR(LEFT(AH500, 1)="X", LEFT(AH500, 1)="Y", LEFT(AH500, 3)="J49M"), "CUSM", "No Match")</f>
      </c>
      <c r="AK500" s="57">
        <f>IF(AND(OR(O500=3, P500=1, Q500=1, T500=1), AJ500="no Match"), "CUSM, CHU SJ, CHUQ", "")</f>
      </c>
      <c r="AL500" s="57">
        <f>IF(AND(O500=2, ISBLANK(P500), ISBLANK(Q500), ISBLANK(R500), ISBLANK(S500), ISBLANK(T500)), "CUSM, CHU SJ, CHUS, CHUQ", "")</f>
      </c>
      <c r="AM500" s="57">
        <f>IF(AND(AJ500="no match", AK500="", AL500="", K500&lt;26), "CUSM, CHU SJ, HGJ, CHUQ, CHUS", "")</f>
      </c>
      <c r="AN500" s="57">
        <f>IF(AND(AJ500="no match", AK500="", AL500="", K500&gt;26), "CUSM, CHU SJ, HGJ, CHUQ, CHUS, HMR", "")</f>
      </c>
    </row>
    <row x14ac:dyDescent="0.25" r="501" customHeight="1" ht="17.25">
      <c r="A501" s="41" t="s">
        <v>3656</v>
      </c>
      <c r="B501" s="28">
        <v>2</v>
      </c>
      <c r="C501" s="28">
        <v>835</v>
      </c>
      <c r="D501" s="29" t="s">
        <v>170</v>
      </c>
      <c r="E501" s="30" t="s">
        <v>50</v>
      </c>
      <c r="F501" s="31">
        <v>45180</v>
      </c>
      <c r="G501" s="32">
        <v>4.902777777777778</v>
      </c>
      <c r="H501" s="31">
        <v>45180</v>
      </c>
      <c r="I501" s="32">
        <v>4.315277777777778</v>
      </c>
      <c r="J501" s="33">
        <f>F501-H501</f>
      </c>
      <c r="K501" s="28">
        <v>40</v>
      </c>
      <c r="L501" s="28">
        <v>3</v>
      </c>
      <c r="M501" s="28">
        <v>2</v>
      </c>
      <c r="N501" s="34"/>
      <c r="O501" s="34"/>
      <c r="P501" s="34"/>
      <c r="Q501" s="34"/>
      <c r="R501" s="34"/>
      <c r="S501" s="56"/>
      <c r="T501" s="34"/>
      <c r="U501" s="34"/>
      <c r="V501" s="34"/>
      <c r="W501" s="29"/>
      <c r="X501" s="28">
        <v>39</v>
      </c>
      <c r="Y501" s="28">
        <v>1</v>
      </c>
      <c r="Z501" s="28">
        <v>1</v>
      </c>
      <c r="AA501" s="28">
        <v>3</v>
      </c>
      <c r="AB501" s="28">
        <v>1</v>
      </c>
      <c r="AC501" s="28">
        <v>2</v>
      </c>
      <c r="AD501" s="28">
        <v>2</v>
      </c>
      <c r="AE501" s="28">
        <v>4</v>
      </c>
      <c r="AF501" s="28">
        <v>3</v>
      </c>
      <c r="AG501" s="28">
        <v>2</v>
      </c>
      <c r="AH501" s="29" t="s">
        <v>3657</v>
      </c>
      <c r="AI501" s="36">
        <f>IF(OR(AND(K501&lt;32, J501&lt;2), O501=1, P501=1, Q501=1, R501=1, S501=1, T501=1, U501=1, AND(W501&lt;&gt;"", W501&lt;&gt;"Oxygen", W501&lt;&gt;"LowFlow")), "Intensive", "Intermediate")</f>
      </c>
      <c r="AJ501" s="57">
        <f>IF(OR(LEFT(AH501, 1)="X", LEFT(AH501, 1)="Y", LEFT(AH501, 3)="J50M"), "CUSM", "No Match")</f>
      </c>
      <c r="AK501" s="57">
        <f>IF(AND(OR(O501=3, P501=1, Q501=1, T501=1), AJ501="no Match"), "CUSM, CHU SJ, CHUQ", "")</f>
      </c>
      <c r="AL501" s="57">
        <f>IF(AND(O501=2, ISBLANK(P501), ISBLANK(Q501), ISBLANK(R501), ISBLANK(S501), ISBLANK(T501)), "CUSM, CHU SJ, CHUS, CHUQ", "")</f>
      </c>
      <c r="AM501" s="57">
        <f>IF(AND(AJ501="no match", AK501="", AL501="", K501&lt;26), "CUSM, CHU SJ, HGJ, CHUQ, CHUS", "")</f>
      </c>
      <c r="AN501" s="57">
        <f>IF(AND(AJ501="no match", AK501="", AL501="", K501&gt;26), "CUSM, CHU SJ, HGJ, CHUQ, CHUS, HMR", "")</f>
      </c>
    </row>
    <row x14ac:dyDescent="0.25" r="502" customHeight="1" ht="17.25">
      <c r="A502" s="41" t="s">
        <v>3658</v>
      </c>
      <c r="B502" s="28">
        <v>2</v>
      </c>
      <c r="C502" s="35">
        <v>734</v>
      </c>
      <c r="D502" s="29" t="s">
        <v>264</v>
      </c>
      <c r="E502" s="30" t="s">
        <v>50</v>
      </c>
      <c r="F502" s="31">
        <v>45180</v>
      </c>
      <c r="G502" s="32">
        <v>4.751388888888889</v>
      </c>
      <c r="H502" s="31">
        <v>45180</v>
      </c>
      <c r="I502" s="32">
        <v>4.322916666666666</v>
      </c>
      <c r="J502" s="33">
        <f>F502-H502</f>
      </c>
      <c r="K502" s="28">
        <v>41</v>
      </c>
      <c r="L502" s="28">
        <v>0</v>
      </c>
      <c r="M502" s="28">
        <v>1</v>
      </c>
      <c r="N502" s="34"/>
      <c r="O502" s="34"/>
      <c r="P502" s="34"/>
      <c r="Q502" s="34"/>
      <c r="R502" s="34"/>
      <c r="S502" s="56"/>
      <c r="T502" s="34"/>
      <c r="U502" s="34"/>
      <c r="V502" s="34"/>
      <c r="W502" s="29"/>
      <c r="X502" s="28">
        <v>29</v>
      </c>
      <c r="Y502" s="28">
        <v>1</v>
      </c>
      <c r="Z502" s="28">
        <v>2</v>
      </c>
      <c r="AA502" s="28">
        <v>2</v>
      </c>
      <c r="AB502" s="28">
        <v>1</v>
      </c>
      <c r="AC502" s="28">
        <v>2</v>
      </c>
      <c r="AD502" s="28">
        <v>1</v>
      </c>
      <c r="AE502" s="28">
        <v>4</v>
      </c>
      <c r="AF502" s="28">
        <v>3</v>
      </c>
      <c r="AG502" s="28">
        <v>2</v>
      </c>
      <c r="AH502" s="29" t="s">
        <v>3659</v>
      </c>
      <c r="AI502" s="36">
        <f>IF(OR(AND(K502&lt;32, J502&lt;2), O502=1, P502=1, Q502=1, R502=1, S502=1, T502=1, U502=1, AND(W502&lt;&gt;"", W502&lt;&gt;"Oxygen", W502&lt;&gt;"LowFlow")), "Intensive", "Intermediate")</f>
      </c>
      <c r="AJ502" s="57">
        <f>IF(OR(LEFT(AH502, 1)="X", LEFT(AH502, 1)="Y", LEFT(AH502, 3)="J51M"), "CUSM", "No Match")</f>
      </c>
      <c r="AK502" s="57">
        <f>IF(AND(OR(O502=3, P502=1, Q502=1, T502=1), AJ502="no Match"), "CUSM, CHU SJ, CHUQ", "")</f>
      </c>
      <c r="AL502" s="57">
        <f>IF(AND(O502=2, ISBLANK(P502), ISBLANK(Q502), ISBLANK(R502), ISBLANK(S502), ISBLANK(T502)), "CUSM, CHU SJ, CHUS, CHUQ", "")</f>
      </c>
      <c r="AM502" s="57">
        <f>IF(AND(AJ502="no match", AK502="", AL502="", K502&lt;26), "CUSM, CHU SJ, HGJ, CHUQ, CHUS", "")</f>
      </c>
      <c r="AN502" s="57">
        <f>IF(AND(AJ502="no match", AK502="", AL502="", K502&gt;26), "CUSM, CHU SJ, HGJ, CHUQ, CHUS, HMR", "")</f>
      </c>
    </row>
    <row x14ac:dyDescent="0.25" r="503" customHeight="1" ht="17.25">
      <c r="A503" s="41" t="s">
        <v>3660</v>
      </c>
      <c r="B503" s="28">
        <v>2</v>
      </c>
      <c r="C503" s="35">
        <v>734</v>
      </c>
      <c r="D503" s="29" t="s">
        <v>264</v>
      </c>
      <c r="E503" s="30" t="s">
        <v>54</v>
      </c>
      <c r="F503" s="31">
        <v>45182</v>
      </c>
      <c r="G503" s="32">
        <v>4.857638888888889</v>
      </c>
      <c r="H503" s="31">
        <v>45182</v>
      </c>
      <c r="I503" s="32">
        <v>4.583333333333334</v>
      </c>
      <c r="J503" s="33">
        <f>F503-H503</f>
      </c>
      <c r="K503" s="28">
        <v>38</v>
      </c>
      <c r="L503" s="28">
        <v>3</v>
      </c>
      <c r="M503" s="28">
        <v>1</v>
      </c>
      <c r="N503" s="28">
        <v>1</v>
      </c>
      <c r="O503" s="28">
        <v>2</v>
      </c>
      <c r="P503" s="28">
        <v>1</v>
      </c>
      <c r="Q503" s="34"/>
      <c r="R503" s="34"/>
      <c r="S503" s="56"/>
      <c r="T503" s="34"/>
      <c r="U503" s="34"/>
      <c r="V503" s="34"/>
      <c r="W503" s="29"/>
      <c r="X503" s="28">
        <v>38</v>
      </c>
      <c r="Y503" s="28">
        <v>1</v>
      </c>
      <c r="Z503" s="28">
        <v>1</v>
      </c>
      <c r="AA503" s="28">
        <v>2</v>
      </c>
      <c r="AB503" s="28">
        <v>1</v>
      </c>
      <c r="AC503" s="28">
        <v>2</v>
      </c>
      <c r="AD503" s="28">
        <v>1</v>
      </c>
      <c r="AE503" s="28">
        <v>4</v>
      </c>
      <c r="AF503" s="28">
        <v>2</v>
      </c>
      <c r="AG503" s="28">
        <v>2</v>
      </c>
      <c r="AH503" s="29" t="s">
        <v>3661</v>
      </c>
      <c r="AI503" s="36">
        <f>IF(OR(AND(K503&lt;32, J503&lt;2), O503=1, P503=1, Q503=1, R503=1, S503=1, T503=1, U503=1, AND(W503&lt;&gt;"", W503&lt;&gt;"Oxygen", W503&lt;&gt;"LowFlow")), "Intensive", "Intermediate")</f>
      </c>
      <c r="AJ503" s="57">
        <f>IF(OR(LEFT(AH503, 1)="X", LEFT(AH503, 1)="Y", LEFT(AH503, 3)="J52M"), "CUSM", "No Match")</f>
      </c>
      <c r="AK503" s="57">
        <f>IF(AND(OR(O503=3, P503=1, Q503=1, T503=1), AJ503="no Match"), "CUSM, CHU SJ, CHUQ", "")</f>
      </c>
      <c r="AL503" s="57">
        <f>IF(AND(O503=2, ISBLANK(P503), ISBLANK(Q503), ISBLANK(R503), ISBLANK(S503), ISBLANK(T503)), "CUSM, CHU SJ, CHUS, CHUQ", "")</f>
      </c>
      <c r="AM503" s="57">
        <f>IF(AND(AJ503="no match", AK503="", AL503="", K503&lt;26), "CUSM, CHU SJ, HGJ, CHUQ, CHUS", "")</f>
      </c>
      <c r="AN503" s="57">
        <f>IF(AND(AJ503="no match", AK503="", AL503="", K503&gt;26), "CUSM, CHU SJ, HGJ, CHUQ, CHUS, HMR", "")</f>
      </c>
    </row>
    <row x14ac:dyDescent="0.25" r="504" customHeight="1" ht="17.25">
      <c r="A504" s="41" t="s">
        <v>3662</v>
      </c>
      <c r="B504" s="28">
        <v>2</v>
      </c>
      <c r="C504" s="35">
        <v>824</v>
      </c>
      <c r="D504" s="29" t="s">
        <v>57</v>
      </c>
      <c r="E504" s="30" t="s">
        <v>54</v>
      </c>
      <c r="F504" s="31">
        <v>45182</v>
      </c>
      <c r="G504" s="32">
        <v>4.697222222222223</v>
      </c>
      <c r="H504" s="31">
        <v>45182</v>
      </c>
      <c r="I504" s="32">
        <v>4.547916666666667</v>
      </c>
      <c r="J504" s="33">
        <f>F504-H504</f>
      </c>
      <c r="K504" s="28">
        <v>24</v>
      </c>
      <c r="L504" s="28">
        <v>1</v>
      </c>
      <c r="M504" s="28">
        <v>2</v>
      </c>
      <c r="N504" s="35">
        <v>1</v>
      </c>
      <c r="O504" s="34"/>
      <c r="P504" s="35">
        <v>1</v>
      </c>
      <c r="Q504" s="34"/>
      <c r="R504" s="34"/>
      <c r="S504" s="56"/>
      <c r="T504" s="34"/>
      <c r="U504" s="34"/>
      <c r="V504" s="34"/>
      <c r="W504" s="29" t="s">
        <v>70</v>
      </c>
      <c r="X504" s="28">
        <v>39</v>
      </c>
      <c r="Y504" s="28">
        <v>1</v>
      </c>
      <c r="Z504" s="28">
        <v>1</v>
      </c>
      <c r="AA504" s="28">
        <v>2</v>
      </c>
      <c r="AB504" s="28">
        <v>4</v>
      </c>
      <c r="AC504" s="28">
        <v>2</v>
      </c>
      <c r="AD504" s="28">
        <v>2</v>
      </c>
      <c r="AE504" s="28">
        <v>4</v>
      </c>
      <c r="AF504" s="28">
        <v>2</v>
      </c>
      <c r="AG504" s="28">
        <v>2</v>
      </c>
      <c r="AH504" s="29" t="s">
        <v>3663</v>
      </c>
      <c r="AI504" s="36">
        <f>IF(OR(AND(K504&lt;32, J504&lt;2), O504=1, P504=1, Q504=1, R504=1, S504=1, T504=1, U504=1, AND(W504&lt;&gt;"", W504&lt;&gt;"Oxygen", W504&lt;&gt;"LowFlow")), "Intensive", "Intermediate")</f>
      </c>
      <c r="AJ504" s="57">
        <f>IF(OR(LEFT(AH504, 1)="X", LEFT(AH504, 1)="Y", LEFT(AH504, 3)="J53M"), "CUSM", "No Match")</f>
      </c>
      <c r="AK504" s="57">
        <f>IF(AND(OR(O504=3, P504=1, Q504=1, T504=1), AJ504="no Match"), "CUSM, CHU SJ, CHUQ", "")</f>
      </c>
      <c r="AL504" s="57">
        <f>IF(AND(O504=2, ISBLANK(P504), ISBLANK(Q504), ISBLANK(R504), ISBLANK(S504), ISBLANK(T504)), "CUSM, CHU SJ, CHUS, CHUQ", "")</f>
      </c>
      <c r="AM504" s="57">
        <f>IF(AND(AJ504="no match", AK504="", AL504="", K504&lt;26), "CUSM, CHU SJ, HGJ, CHUQ, CHUS", "")</f>
      </c>
      <c r="AN504" s="57">
        <f>IF(AND(AJ504="no match", AK504="", AL504="", K504&gt;26), "CUSM, CHU SJ, HGJ, CHUQ, CHUS, HMR", "")</f>
      </c>
    </row>
    <row x14ac:dyDescent="0.25" r="505" customHeight="1" ht="17.25">
      <c r="A505" s="41" t="s">
        <v>3664</v>
      </c>
      <c r="B505" s="28">
        <v>2</v>
      </c>
      <c r="C505" s="28">
        <v>756</v>
      </c>
      <c r="D505" s="29" t="s">
        <v>66</v>
      </c>
      <c r="E505" s="30" t="s">
        <v>50</v>
      </c>
      <c r="F505" s="31">
        <v>45182</v>
      </c>
      <c r="G505" s="32">
        <v>4.413194444444445</v>
      </c>
      <c r="H505" s="31">
        <v>45182</v>
      </c>
      <c r="I505" s="32">
        <v>4.236805555555556</v>
      </c>
      <c r="J505" s="33">
        <f>F505-H505</f>
      </c>
      <c r="K505" s="28">
        <v>41</v>
      </c>
      <c r="L505" s="28">
        <v>2</v>
      </c>
      <c r="M505" s="28">
        <v>1</v>
      </c>
      <c r="N505" s="38"/>
      <c r="O505" s="34"/>
      <c r="P505" s="38"/>
      <c r="Q505" s="34"/>
      <c r="R505" s="34"/>
      <c r="S505" s="56"/>
      <c r="T505" s="34"/>
      <c r="U505" s="34"/>
      <c r="V505" s="34"/>
      <c r="W505" s="29" t="s">
        <v>58</v>
      </c>
      <c r="X505" s="28">
        <v>32</v>
      </c>
      <c r="Y505" s="28">
        <v>1</v>
      </c>
      <c r="Z505" s="28">
        <v>1</v>
      </c>
      <c r="AA505" s="28">
        <v>2</v>
      </c>
      <c r="AB505" s="28">
        <v>2</v>
      </c>
      <c r="AC505" s="28">
        <v>2</v>
      </c>
      <c r="AD505" s="28">
        <v>2</v>
      </c>
      <c r="AE505" s="28">
        <v>1</v>
      </c>
      <c r="AF505" s="28">
        <v>1</v>
      </c>
      <c r="AG505" s="28">
        <v>2</v>
      </c>
      <c r="AH505" s="29" t="s">
        <v>3665</v>
      </c>
      <c r="AI505" s="36">
        <f>IF(OR(AND(K505&lt;32, J505&lt;2), O505=1, P505=1, Q505=1, R505=1, S505=1, T505=1, U505=1, AND(W505&lt;&gt;"", W505&lt;&gt;"Oxygen", W505&lt;&gt;"LowFlow")), "Intensive", "Intermediate")</f>
      </c>
      <c r="AJ505" s="57">
        <f>IF(OR(LEFT(AH505, 1)="X", LEFT(AH505, 1)="Y", LEFT(AH505, 3)="J54M"), "CUSM", "No Match")</f>
      </c>
      <c r="AK505" s="57">
        <f>IF(AND(OR(O505=3, P505=1, Q505=1, T505=1), AJ505="no Match"), "CUSM, CHU SJ, CHUQ", "")</f>
      </c>
      <c r="AL505" s="57">
        <f>IF(AND(O505=2, ISBLANK(P505), ISBLANK(Q505), ISBLANK(R505), ISBLANK(S505), ISBLANK(T505)), "CUSM, CHU SJ, CHUS, CHUQ", "")</f>
      </c>
      <c r="AM505" s="57">
        <f>IF(AND(AJ505="no match", AK505="", AL505="", K505&lt;26), "CUSM, CHU SJ, HGJ, CHUQ, CHUS", "")</f>
      </c>
      <c r="AN505" s="57">
        <f>IF(AND(AJ505="no match", AK505="", AL505="", K505&gt;26), "CUSM, CHU SJ, HGJ, CHUQ, CHUS, HMR", "")</f>
      </c>
    </row>
    <row x14ac:dyDescent="0.25" r="506" customHeight="1" ht="17.25">
      <c r="A506" s="41" t="s">
        <v>3666</v>
      </c>
      <c r="B506" s="28">
        <v>2</v>
      </c>
      <c r="C506" s="28">
        <v>734</v>
      </c>
      <c r="D506" s="29" t="s">
        <v>264</v>
      </c>
      <c r="E506" s="30" t="s">
        <v>54</v>
      </c>
      <c r="F506" s="31">
        <v>45183</v>
      </c>
      <c r="G506" s="32">
        <v>4.256944444444445</v>
      </c>
      <c r="H506" s="31">
        <v>45183</v>
      </c>
      <c r="I506" s="32">
        <v>4.117361111111111</v>
      </c>
      <c r="J506" s="33">
        <f>F506-H506</f>
      </c>
      <c r="K506" s="28">
        <v>38</v>
      </c>
      <c r="L506" s="28">
        <v>1</v>
      </c>
      <c r="M506" s="28">
        <v>2</v>
      </c>
      <c r="N506" s="34"/>
      <c r="O506" s="34"/>
      <c r="P506" s="34"/>
      <c r="Q506" s="34"/>
      <c r="R506" s="34"/>
      <c r="S506" s="56"/>
      <c r="T506" s="35">
        <v>1</v>
      </c>
      <c r="U506" s="34"/>
      <c r="V506" s="34"/>
      <c r="W506" s="29" t="s">
        <v>74</v>
      </c>
      <c r="X506" s="28">
        <v>35</v>
      </c>
      <c r="Y506" s="28">
        <v>1</v>
      </c>
      <c r="Z506" s="28">
        <v>1</v>
      </c>
      <c r="AA506" s="28">
        <v>1</v>
      </c>
      <c r="AB506" s="28">
        <v>1</v>
      </c>
      <c r="AC506" s="28">
        <v>2</v>
      </c>
      <c r="AD506" s="28">
        <v>1</v>
      </c>
      <c r="AE506" s="28">
        <v>4</v>
      </c>
      <c r="AF506" s="28">
        <v>2</v>
      </c>
      <c r="AG506" s="28">
        <v>2</v>
      </c>
      <c r="AH506" s="29" t="s">
        <v>2045</v>
      </c>
      <c r="AI506" s="36">
        <f>IF(OR(AND(K506&lt;32, J506&lt;2), O506=1, P506=1, Q506=1, R506=1, S506=1, T506=1, U506=1, AND(W506&lt;&gt;"", W506&lt;&gt;"Oxygen", W506&lt;&gt;"LowFlow")), "Intensive", "Intermediate")</f>
      </c>
      <c r="AJ506" s="57">
        <f>IF(OR(LEFT(AH506, 1)="X", LEFT(AH506, 1)="Y", LEFT(AH506, 3)="J55M"), "CUSM", "No Match")</f>
      </c>
      <c r="AK506" s="57">
        <f>IF(AND(OR(O506=3, P506=1, Q506=1, T506=1), AJ506="no Match"), "CUSM, CHU SJ, CHUQ", "")</f>
      </c>
      <c r="AL506" s="57">
        <f>IF(AND(O506=2, ISBLANK(P506), ISBLANK(Q506), ISBLANK(R506), ISBLANK(S506), ISBLANK(T506)), "CUSM, CHU SJ, CHUS, CHUQ", "")</f>
      </c>
      <c r="AM506" s="57">
        <f>IF(AND(AJ506="no match", AK506="", AL506="", K506&lt;26), "CUSM, CHU SJ, HGJ, CHUQ, CHUS", "")</f>
      </c>
      <c r="AN506" s="57">
        <f>IF(AND(AJ506="no match", AK506="", AL506="", K506&gt;26), "CUSM, CHU SJ, HGJ, CHUQ, CHUS, HMR", "")</f>
      </c>
    </row>
    <row x14ac:dyDescent="0.25" r="507" customHeight="1" ht="17.25">
      <c r="A507" s="41" t="s">
        <v>3667</v>
      </c>
      <c r="B507" s="28">
        <v>2</v>
      </c>
      <c r="C507" s="35">
        <v>2</v>
      </c>
      <c r="D507" s="29" t="s">
        <v>269</v>
      </c>
      <c r="E507" s="30" t="s">
        <v>50</v>
      </c>
      <c r="F507" s="31">
        <v>45185</v>
      </c>
      <c r="G507" s="32">
        <v>4.989583333333334</v>
      </c>
      <c r="H507" s="31">
        <v>45185</v>
      </c>
      <c r="I507" s="32">
        <v>4.888194444444444</v>
      </c>
      <c r="J507" s="33">
        <f>F507-H507</f>
      </c>
      <c r="K507" s="28">
        <v>38</v>
      </c>
      <c r="L507" s="28">
        <v>3</v>
      </c>
      <c r="M507" s="28">
        <v>2</v>
      </c>
      <c r="N507" s="35">
        <v>1</v>
      </c>
      <c r="O507" s="34"/>
      <c r="P507" s="35">
        <v>1</v>
      </c>
      <c r="Q507" s="34"/>
      <c r="R507" s="34"/>
      <c r="S507" s="56"/>
      <c r="T507" s="35">
        <v>1</v>
      </c>
      <c r="U507" s="34"/>
      <c r="V507" s="35">
        <v>1</v>
      </c>
      <c r="W507" s="29" t="s">
        <v>74</v>
      </c>
      <c r="X507" s="28">
        <v>27</v>
      </c>
      <c r="Y507" s="28">
        <v>1</v>
      </c>
      <c r="Z507" s="28">
        <v>1</v>
      </c>
      <c r="AA507" s="28">
        <v>3</v>
      </c>
      <c r="AB507" s="28">
        <v>2</v>
      </c>
      <c r="AC507" s="28">
        <v>2</v>
      </c>
      <c r="AD507" s="28">
        <v>2</v>
      </c>
      <c r="AE507" s="28">
        <v>4</v>
      </c>
      <c r="AF507" s="28">
        <v>3</v>
      </c>
      <c r="AG507" s="28">
        <v>2</v>
      </c>
      <c r="AH507" s="29" t="s">
        <v>3668</v>
      </c>
      <c r="AI507" s="36">
        <f>IF(OR(AND(K507&lt;32, J507&lt;2), O507=1, P507=1, Q507=1, R507=1, S507=1, T507=1, U507=1, AND(W507&lt;&gt;"", W507&lt;&gt;"Oxygen", W507&lt;&gt;"LowFlow")), "Intensive", "Intermediate")</f>
      </c>
      <c r="AJ507" s="57">
        <f>IF(OR(LEFT(AH507, 1)="X", LEFT(AH507, 1)="Y", LEFT(AH507, 3)="J56M"), "CUSM", "No Match")</f>
      </c>
      <c r="AK507" s="57">
        <f>IF(AND(OR(O507=3, P507=1, Q507=1, T507=1), AJ507="no Match"), "CUSM, CHU SJ, CHUQ", "")</f>
      </c>
      <c r="AL507" s="57">
        <f>IF(AND(O507=2, ISBLANK(P507), ISBLANK(Q507), ISBLANK(R507), ISBLANK(S507), ISBLANK(T507)), "CUSM, CHU SJ, CHUS, CHUQ", "")</f>
      </c>
      <c r="AM507" s="57">
        <f>IF(AND(AJ507="no match", AK507="", AL507="", K507&lt;26), "CUSM, CHU SJ, HGJ, CHUQ, CHUS", "")</f>
      </c>
      <c r="AN507" s="57">
        <f>IF(AND(AJ507="no match", AK507="", AL507="", K507&gt;26), "CUSM, CHU SJ, HGJ, CHUQ, CHUS, HMR", "")</f>
      </c>
    </row>
    <row x14ac:dyDescent="0.25" r="508" customHeight="1" ht="17.25">
      <c r="A508" s="41" t="s">
        <v>3669</v>
      </c>
      <c r="B508" s="28">
        <v>2</v>
      </c>
      <c r="C508" s="35">
        <v>832</v>
      </c>
      <c r="D508" s="29" t="s">
        <v>308</v>
      </c>
      <c r="E508" s="30" t="s">
        <v>54</v>
      </c>
      <c r="F508" s="31">
        <v>45186</v>
      </c>
      <c r="G508" s="32">
        <v>4.458333333333334</v>
      </c>
      <c r="H508" s="31">
        <v>45186</v>
      </c>
      <c r="I508" s="32">
        <v>4.222916666666666</v>
      </c>
      <c r="J508" s="33">
        <f>F508-H508</f>
      </c>
      <c r="K508" s="28">
        <v>39</v>
      </c>
      <c r="L508" s="28">
        <v>6</v>
      </c>
      <c r="M508" s="28">
        <v>1</v>
      </c>
      <c r="N508" s="35">
        <v>1</v>
      </c>
      <c r="O508" s="34"/>
      <c r="P508" s="35">
        <v>1</v>
      </c>
      <c r="Q508" s="34"/>
      <c r="R508" s="34"/>
      <c r="S508" s="56"/>
      <c r="T508" s="35">
        <v>1</v>
      </c>
      <c r="U508" s="34"/>
      <c r="V508" s="34"/>
      <c r="W508" s="29" t="s">
        <v>74</v>
      </c>
      <c r="X508" s="28">
        <v>32</v>
      </c>
      <c r="Y508" s="28">
        <v>1</v>
      </c>
      <c r="Z508" s="28">
        <v>2</v>
      </c>
      <c r="AA508" s="28">
        <v>2</v>
      </c>
      <c r="AB508" s="28">
        <v>2</v>
      </c>
      <c r="AC508" s="28">
        <v>2</v>
      </c>
      <c r="AD508" s="28">
        <v>2</v>
      </c>
      <c r="AE508" s="28">
        <v>4</v>
      </c>
      <c r="AF508" s="28">
        <v>2</v>
      </c>
      <c r="AG508" s="28">
        <v>2</v>
      </c>
      <c r="AH508" s="29" t="s">
        <v>3161</v>
      </c>
      <c r="AI508" s="36">
        <f>IF(OR(AND(K508&lt;32, J508&lt;2), O508=1, P508=1, Q508=1, R508=1, S508=1, T508=1, U508=1, AND(W508&lt;&gt;"", W508&lt;&gt;"Oxygen", W508&lt;&gt;"LowFlow")), "Intensive", "Intermediate")</f>
      </c>
      <c r="AJ508" s="57">
        <f>IF(OR(LEFT(AH508, 1)="X", LEFT(AH508, 1)="Y", LEFT(AH508, 3)="J57M"), "CUSM", "No Match")</f>
      </c>
      <c r="AK508" s="57">
        <f>IF(AND(OR(O508=3, P508=1, Q508=1, T508=1), AJ508="no Match"), "CUSM, CHU SJ, CHUQ", "")</f>
      </c>
      <c r="AL508" s="57">
        <f>IF(AND(O508=2, ISBLANK(P508), ISBLANK(Q508), ISBLANK(R508), ISBLANK(S508), ISBLANK(T508)), "CUSM, CHU SJ, CHUS, CHUQ", "")</f>
      </c>
      <c r="AM508" s="57">
        <f>IF(AND(AJ508="no match", AK508="", AL508="", K508&lt;26), "CUSM, CHU SJ, HGJ, CHUQ, CHUS", "")</f>
      </c>
      <c r="AN508" s="57">
        <f>IF(AND(AJ508="no match", AK508="", AL508="", K508&gt;26), "CUSM, CHU SJ, HGJ, CHUQ, CHUS, HMR", "")</f>
      </c>
    </row>
    <row x14ac:dyDescent="0.25" r="509" customHeight="1" ht="17.25">
      <c r="A509" s="41" t="s">
        <v>3670</v>
      </c>
      <c r="B509" s="28">
        <v>2</v>
      </c>
      <c r="C509" s="35">
        <v>756</v>
      </c>
      <c r="D509" s="29" t="s">
        <v>66</v>
      </c>
      <c r="E509" s="30" t="s">
        <v>50</v>
      </c>
      <c r="F509" s="31">
        <v>45187</v>
      </c>
      <c r="G509" s="32">
        <v>4.738888888888889</v>
      </c>
      <c r="H509" s="31">
        <v>45183</v>
      </c>
      <c r="I509" s="32">
        <v>4.602777777777778</v>
      </c>
      <c r="J509" s="33">
        <f>F509-H509</f>
      </c>
      <c r="K509" s="28">
        <v>35</v>
      </c>
      <c r="L509" s="28">
        <v>2</v>
      </c>
      <c r="M509" s="28">
        <v>2</v>
      </c>
      <c r="N509" s="34"/>
      <c r="O509" s="34"/>
      <c r="P509" s="34"/>
      <c r="Q509" s="34"/>
      <c r="R509" s="34"/>
      <c r="S509" s="56"/>
      <c r="T509" s="34"/>
      <c r="U509" s="34"/>
      <c r="V509" s="34"/>
      <c r="W509" s="29"/>
      <c r="X509" s="28">
        <v>21</v>
      </c>
      <c r="Y509" s="28">
        <v>1</v>
      </c>
      <c r="Z509" s="28">
        <v>1</v>
      </c>
      <c r="AA509" s="28">
        <v>3</v>
      </c>
      <c r="AB509" s="28">
        <v>1</v>
      </c>
      <c r="AC509" s="28">
        <v>1</v>
      </c>
      <c r="AD509" s="28">
        <v>1</v>
      </c>
      <c r="AE509" s="28">
        <v>4</v>
      </c>
      <c r="AF509" s="28">
        <v>3</v>
      </c>
      <c r="AG509" s="28">
        <v>2</v>
      </c>
      <c r="AH509" s="29" t="s">
        <v>3671</v>
      </c>
      <c r="AI509" s="36">
        <f>IF(OR(AND(K509&lt;32, J509&lt;2), O509=1, P509=1, Q509=1, R509=1, S509=1, T509=1, U509=1, AND(W509&lt;&gt;"", W509&lt;&gt;"Oxygen", W509&lt;&gt;"LowFlow")), "Intensive", "Intermediate")</f>
      </c>
      <c r="AJ509" s="57">
        <f>IF(OR(LEFT(AH509, 1)="X", LEFT(AH509, 1)="Y", LEFT(AH509, 3)="J58M"), "CUSM", "No Match")</f>
      </c>
      <c r="AK509" s="57">
        <f>IF(AND(OR(O509=3, P509=1, Q509=1, T509=1), AJ509="no Match"), "CUSM, CHU SJ, CHUQ", "")</f>
      </c>
      <c r="AL509" s="57">
        <f>IF(AND(O509=2, ISBLANK(P509), ISBLANK(Q509), ISBLANK(R509), ISBLANK(S509), ISBLANK(T509)), "CUSM, CHU SJ, CHUS, CHUQ", "")</f>
      </c>
      <c r="AM509" s="57">
        <f>IF(AND(AJ509="no match", AK509="", AL509="", K509&lt;26), "CUSM, CHU SJ, HGJ, CHUQ, CHUS", "")</f>
      </c>
      <c r="AN509" s="57">
        <f>IF(AND(AJ509="no match", AK509="", AL509="", K509&gt;26), "CUSM, CHU SJ, HGJ, CHUQ, CHUS, HMR", "")</f>
      </c>
    </row>
    <row x14ac:dyDescent="0.25" r="510" customHeight="1" ht="17.25">
      <c r="A510" s="41" t="s">
        <v>3672</v>
      </c>
      <c r="B510" s="28">
        <v>2</v>
      </c>
      <c r="C510" s="35">
        <v>4</v>
      </c>
      <c r="D510" s="29" t="s">
        <v>484</v>
      </c>
      <c r="E510" s="30" t="s">
        <v>149</v>
      </c>
      <c r="F510" s="31">
        <v>45188</v>
      </c>
      <c r="G510" s="32">
        <v>4.7625</v>
      </c>
      <c r="H510" s="31">
        <v>45149</v>
      </c>
      <c r="I510" s="39"/>
      <c r="J510" s="33">
        <f>F510-H510</f>
      </c>
      <c r="K510" s="28">
        <v>25</v>
      </c>
      <c r="L510" s="28">
        <v>0</v>
      </c>
      <c r="M510" s="28">
        <v>2</v>
      </c>
      <c r="N510" s="34"/>
      <c r="O510" s="34"/>
      <c r="P510" s="34"/>
      <c r="Q510" s="34"/>
      <c r="R510" s="34"/>
      <c r="S510" s="56"/>
      <c r="T510" s="34"/>
      <c r="U510" s="34"/>
      <c r="V510" s="34"/>
      <c r="W510" s="29" t="s">
        <v>74</v>
      </c>
      <c r="X510" s="28">
        <v>34</v>
      </c>
      <c r="Y510" s="28">
        <v>1</v>
      </c>
      <c r="Z510" s="28">
        <v>2</v>
      </c>
      <c r="AA510" s="28">
        <v>3</v>
      </c>
      <c r="AB510" s="28">
        <v>4</v>
      </c>
      <c r="AC510" s="28">
        <v>2</v>
      </c>
      <c r="AD510" s="28">
        <v>2</v>
      </c>
      <c r="AE510" s="28">
        <v>4</v>
      </c>
      <c r="AF510" s="28">
        <v>3</v>
      </c>
      <c r="AG510" s="28">
        <v>3</v>
      </c>
      <c r="AH510" s="29" t="s">
        <v>3673</v>
      </c>
      <c r="AI510" s="36">
        <f>IF(OR(AND(K510&lt;32, J510&lt;2), O510=1, P510=1, Q510=1, R510=1, S510=1, T510=1, U510=1, AND(W510&lt;&gt;"", W510&lt;&gt;"Oxygen", W510&lt;&gt;"LowFlow")), "Intensive", "Intermediate")</f>
      </c>
      <c r="AJ510" s="57">
        <f>IF(OR(LEFT(AH510, 1)="X", LEFT(AH510, 1)="Y", LEFT(AH510, 3)="J59M"), "CUSM", "No Match")</f>
      </c>
      <c r="AK510" s="57">
        <f>IF(AND(OR(O510=3, P510=1, Q510=1, T510=1), AJ510="no Match"), "CUSM, CHU SJ, CHUQ", "")</f>
      </c>
      <c r="AL510" s="57">
        <f>IF(AND(O510=2, ISBLANK(P510), ISBLANK(Q510), ISBLANK(R510), ISBLANK(S510), ISBLANK(T510)), "CUSM, CHU SJ, CHUS, CHUQ", "")</f>
      </c>
      <c r="AM510" s="57">
        <f>IF(AND(AJ510="no match", AK510="", AL510="", K510&lt;26), "CUSM, CHU SJ, HGJ, CHUQ, CHUS", "")</f>
      </c>
      <c r="AN510" s="57">
        <f>IF(AND(AJ510="no match", AK510="", AL510="", K510&gt;26), "CUSM, CHU SJ, HGJ, CHUQ, CHUS, HMR", "")</f>
      </c>
    </row>
    <row x14ac:dyDescent="0.25" r="511" customHeight="1" ht="17.25">
      <c r="A511" s="41" t="s">
        <v>3674</v>
      </c>
      <c r="B511" s="28">
        <v>2</v>
      </c>
      <c r="C511" s="28">
        <v>734</v>
      </c>
      <c r="D511" s="29" t="s">
        <v>264</v>
      </c>
      <c r="E511" s="30" t="s">
        <v>54</v>
      </c>
      <c r="F511" s="31">
        <v>45188</v>
      </c>
      <c r="G511" s="32">
        <v>4.663194444444445</v>
      </c>
      <c r="H511" s="31">
        <v>45181</v>
      </c>
      <c r="I511" s="32">
        <v>4.371527777777778</v>
      </c>
      <c r="J511" s="33">
        <f>F511-H511</f>
      </c>
      <c r="K511" s="28">
        <v>40</v>
      </c>
      <c r="L511" s="28">
        <v>1</v>
      </c>
      <c r="M511" s="28">
        <v>1</v>
      </c>
      <c r="N511" s="34"/>
      <c r="O511" s="34"/>
      <c r="P511" s="34"/>
      <c r="Q511" s="34"/>
      <c r="R511" s="34"/>
      <c r="S511" s="56"/>
      <c r="T511" s="34"/>
      <c r="U511" s="34"/>
      <c r="V511" s="34"/>
      <c r="W511" s="29" t="s">
        <v>58</v>
      </c>
      <c r="X511" s="28">
        <v>36</v>
      </c>
      <c r="Y511" s="28">
        <v>1</v>
      </c>
      <c r="Z511" s="28">
        <v>1</v>
      </c>
      <c r="AA511" s="28">
        <v>2</v>
      </c>
      <c r="AB511" s="28">
        <v>4</v>
      </c>
      <c r="AC511" s="28">
        <v>2</v>
      </c>
      <c r="AD511" s="28">
        <v>2</v>
      </c>
      <c r="AE511" s="28">
        <v>4</v>
      </c>
      <c r="AF511" s="28">
        <v>3</v>
      </c>
      <c r="AG511" s="28">
        <v>2</v>
      </c>
      <c r="AH511" s="29" t="s">
        <v>3675</v>
      </c>
      <c r="AI511" s="36">
        <f>IF(OR(AND(K511&lt;32, J511&lt;2), O511=1, P511=1, Q511=1, R511=1, S511=1, T511=1, U511=1, AND(W511&lt;&gt;"", W511&lt;&gt;"Oxygen", W511&lt;&gt;"LowFlow")), "Intensive", "Intermediate")</f>
      </c>
      <c r="AJ511" s="57">
        <f>IF(OR(LEFT(AH511, 1)="X", LEFT(AH511, 1)="Y", LEFT(AH511, 3)="J60M"), "CUSM", "No Match")</f>
      </c>
      <c r="AK511" s="57">
        <f>IF(AND(OR(O511=3, P511=1, Q511=1, T511=1), AJ511="no Match"), "CUSM, CHU SJ, CHUQ", "")</f>
      </c>
      <c r="AL511" s="57">
        <f>IF(AND(O511=2, ISBLANK(P511), ISBLANK(Q511), ISBLANK(R511), ISBLANK(S511), ISBLANK(T511)), "CUSM, CHU SJ, CHUS, CHUQ", "")</f>
      </c>
      <c r="AM511" s="57">
        <f>IF(AND(AJ511="no match", AK511="", AL511="", K511&lt;26), "CUSM, CHU SJ, HGJ, CHUQ, CHUS", "")</f>
      </c>
      <c r="AN511" s="57">
        <f>IF(AND(AJ511="no match", AK511="", AL511="", K511&gt;26), "CUSM, CHU SJ, HGJ, CHUQ, CHUS, HMR", "")</f>
      </c>
    </row>
    <row x14ac:dyDescent="0.25" r="512" customHeight="1" ht="17.25">
      <c r="A512" s="41" t="s">
        <v>3676</v>
      </c>
      <c r="B512" s="28">
        <v>2</v>
      </c>
      <c r="C512" s="28">
        <v>779</v>
      </c>
      <c r="D512" s="29" t="s">
        <v>136</v>
      </c>
      <c r="E512" s="30" t="s">
        <v>50</v>
      </c>
      <c r="F512" s="31">
        <v>45188</v>
      </c>
      <c r="G512" s="32">
        <v>4.854166666666666</v>
      </c>
      <c r="H512" s="31">
        <v>45168</v>
      </c>
      <c r="I512" s="32">
        <v>4.286111111111111</v>
      </c>
      <c r="J512" s="33">
        <f>F512-H512</f>
      </c>
      <c r="K512" s="28">
        <v>33</v>
      </c>
      <c r="L512" s="28">
        <v>6</v>
      </c>
      <c r="M512" s="28">
        <v>1</v>
      </c>
      <c r="N512" s="38"/>
      <c r="O512" s="34"/>
      <c r="P512" s="34"/>
      <c r="Q512" s="34"/>
      <c r="R512" s="34"/>
      <c r="S512" s="56"/>
      <c r="T512" s="34"/>
      <c r="U512" s="34"/>
      <c r="V512" s="34"/>
      <c r="W512" s="29" t="s">
        <v>74</v>
      </c>
      <c r="X512" s="28">
        <v>32</v>
      </c>
      <c r="Y512" s="28">
        <v>1</v>
      </c>
      <c r="Z512" s="28">
        <v>1</v>
      </c>
      <c r="AA512" s="28">
        <v>3</v>
      </c>
      <c r="AB512" s="28">
        <v>1</v>
      </c>
      <c r="AC512" s="28">
        <v>2</v>
      </c>
      <c r="AD512" s="28">
        <v>1</v>
      </c>
      <c r="AE512" s="28">
        <v>4</v>
      </c>
      <c r="AF512" s="28">
        <v>3</v>
      </c>
      <c r="AG512" s="28">
        <v>2</v>
      </c>
      <c r="AH512" s="29" t="s">
        <v>3677</v>
      </c>
      <c r="AI512" s="36">
        <f>IF(OR(AND(K512&lt;32, J512&lt;2), O512=1, P512=1, Q512=1, R512=1, S512=1, T512=1, U512=1, AND(W512&lt;&gt;"", W512&lt;&gt;"Oxygen", W512&lt;&gt;"LowFlow")), "Intensive", "Intermediate")</f>
      </c>
      <c r="AJ512" s="57">
        <f>IF(OR(LEFT(AH512, 1)="X", LEFT(AH512, 1)="Y", LEFT(AH512, 3)="J61M"), "CUSM", "No Match")</f>
      </c>
      <c r="AK512" s="57">
        <f>IF(AND(OR(O512=3, P512=1, Q512=1, T512=1), AJ512="no Match"), "CUSM, CHU SJ, CHUQ", "")</f>
      </c>
      <c r="AL512" s="57">
        <f>IF(AND(O512=2, ISBLANK(P512), ISBLANK(Q512), ISBLANK(R512), ISBLANK(S512), ISBLANK(T512)), "CUSM, CHU SJ, CHUS, CHUQ", "")</f>
      </c>
      <c r="AM512" s="57">
        <f>IF(AND(AJ512="no match", AK512="", AL512="", K512&lt;26), "CUSM, CHU SJ, HGJ, CHUQ, CHUS", "")</f>
      </c>
      <c r="AN512" s="57">
        <f>IF(AND(AJ512="no match", AK512="", AL512="", K512&gt;26), "CUSM, CHU SJ, HGJ, CHUQ, CHUS, HMR", "")</f>
      </c>
    </row>
    <row x14ac:dyDescent="0.25" r="513" customHeight="1" ht="17.25">
      <c r="A513" s="41" t="s">
        <v>3678</v>
      </c>
      <c r="B513" s="28">
        <v>2</v>
      </c>
      <c r="C513" s="35">
        <v>833</v>
      </c>
      <c r="D513" s="29" t="s">
        <v>376</v>
      </c>
      <c r="E513" s="30" t="s">
        <v>50</v>
      </c>
      <c r="F513" s="31">
        <v>45189</v>
      </c>
      <c r="G513" s="32">
        <v>4.232638888888889</v>
      </c>
      <c r="H513" s="31">
        <v>45189</v>
      </c>
      <c r="I513" s="32">
        <v>4.000694444444445</v>
      </c>
      <c r="J513" s="33">
        <f>F513-H513</f>
      </c>
      <c r="K513" s="28">
        <v>41</v>
      </c>
      <c r="L513" s="28">
        <v>2</v>
      </c>
      <c r="M513" s="28">
        <v>1</v>
      </c>
      <c r="N513" s="34"/>
      <c r="O513" s="34"/>
      <c r="P513" s="34"/>
      <c r="Q513" s="34"/>
      <c r="R513" s="34"/>
      <c r="S513" s="56"/>
      <c r="T513" s="35">
        <v>1</v>
      </c>
      <c r="U513" s="34"/>
      <c r="V513" s="34"/>
      <c r="W513" s="29" t="s">
        <v>164</v>
      </c>
      <c r="X513" s="28">
        <v>25</v>
      </c>
      <c r="Y513" s="28">
        <v>1</v>
      </c>
      <c r="Z513" s="28">
        <v>1</v>
      </c>
      <c r="AA513" s="28">
        <v>1</v>
      </c>
      <c r="AB513" s="28">
        <v>1</v>
      </c>
      <c r="AC513" s="28">
        <v>2</v>
      </c>
      <c r="AD513" s="28">
        <v>2</v>
      </c>
      <c r="AE513" s="28">
        <v>4</v>
      </c>
      <c r="AF513" s="28">
        <v>2</v>
      </c>
      <c r="AG513" s="28">
        <v>2</v>
      </c>
      <c r="AH513" s="29" t="s">
        <v>3679</v>
      </c>
      <c r="AI513" s="36">
        <f>IF(OR(AND(K513&lt;32, J513&lt;2), O513=1, P513=1, Q513=1, R513=1, S513=1, T513=1, U513=1, AND(W513&lt;&gt;"", W513&lt;&gt;"Oxygen", W513&lt;&gt;"LowFlow")), "Intensive", "Intermediate")</f>
      </c>
      <c r="AJ513" s="57">
        <f>IF(OR(LEFT(AH513, 1)="X", LEFT(AH513, 1)="Y", LEFT(AH513, 3)="J62M"), "CUSM", "No Match")</f>
      </c>
      <c r="AK513" s="57">
        <f>IF(AND(OR(O513=3, P513=1, Q513=1, T513=1), AJ513="no Match"), "CUSM, CHU SJ, CHUQ", "")</f>
      </c>
      <c r="AL513" s="57">
        <f>IF(AND(O513=2, ISBLANK(P513), ISBLANK(Q513), ISBLANK(R513), ISBLANK(S513), ISBLANK(T513)), "CUSM, CHU SJ, CHUS, CHUQ", "")</f>
      </c>
      <c r="AM513" s="57">
        <f>IF(AND(AJ513="no match", AK513="", AL513="", K513&lt;26), "CUSM, CHU SJ, HGJ, CHUQ, CHUS", "")</f>
      </c>
      <c r="AN513" s="57">
        <f>IF(AND(AJ513="no match", AK513="", AL513="", K513&gt;26), "CUSM, CHU SJ, HGJ, CHUQ, CHUS, HMR", "")</f>
      </c>
    </row>
    <row x14ac:dyDescent="0.25" r="514" customHeight="1" ht="17.25">
      <c r="A514" s="41" t="s">
        <v>3680</v>
      </c>
      <c r="B514" s="28">
        <v>2</v>
      </c>
      <c r="C514" s="35">
        <v>756</v>
      </c>
      <c r="D514" s="29" t="s">
        <v>66</v>
      </c>
      <c r="E514" s="30" t="s">
        <v>54</v>
      </c>
      <c r="F514" s="31">
        <v>45190</v>
      </c>
      <c r="G514" s="32">
        <v>4.295138888888889</v>
      </c>
      <c r="H514" s="31">
        <v>45190</v>
      </c>
      <c r="I514" s="32">
        <v>4.165972222222223</v>
      </c>
      <c r="J514" s="33">
        <f>F514-H514</f>
      </c>
      <c r="K514" s="28">
        <v>40</v>
      </c>
      <c r="L514" s="28">
        <v>5</v>
      </c>
      <c r="M514" s="28">
        <v>1</v>
      </c>
      <c r="N514" s="35">
        <v>1</v>
      </c>
      <c r="O514" s="35">
        <v>2</v>
      </c>
      <c r="P514" s="35">
        <v>1</v>
      </c>
      <c r="Q514" s="34"/>
      <c r="R514" s="34"/>
      <c r="S514" s="56"/>
      <c r="T514" s="34"/>
      <c r="U514" s="34"/>
      <c r="V514" s="34"/>
      <c r="W514" s="29" t="s">
        <v>106</v>
      </c>
      <c r="X514" s="28">
        <v>30</v>
      </c>
      <c r="Y514" s="28">
        <v>1</v>
      </c>
      <c r="Z514" s="28">
        <v>1</v>
      </c>
      <c r="AA514" s="28">
        <v>2</v>
      </c>
      <c r="AB514" s="28">
        <v>1</v>
      </c>
      <c r="AC514" s="28">
        <v>2</v>
      </c>
      <c r="AD514" s="28">
        <v>2</v>
      </c>
      <c r="AE514" s="28">
        <v>4</v>
      </c>
      <c r="AF514" s="28">
        <v>2</v>
      </c>
      <c r="AG514" s="28">
        <v>2</v>
      </c>
      <c r="AH514" s="29" t="s">
        <v>3681</v>
      </c>
      <c r="AI514" s="36">
        <f>IF(OR(AND(K514&lt;32, J514&lt;2), O514=1, P514=1, Q514=1, R514=1, S514=1, T514=1, U514=1, AND(W514&lt;&gt;"", W514&lt;&gt;"Oxygen", W514&lt;&gt;"LowFlow")), "Intensive", "Intermediate")</f>
      </c>
      <c r="AJ514" s="57">
        <f>IF(OR(LEFT(AH514, 1)="X", LEFT(AH514, 1)="Y", LEFT(AH514, 3)="J63M"), "CUSM", "No Match")</f>
      </c>
      <c r="AK514" s="57">
        <f>IF(AND(OR(O514=3, P514=1, Q514=1, T514=1), AJ514="no Match"), "CUSM, CHU SJ, CHUQ", "")</f>
      </c>
      <c r="AL514" s="57">
        <f>IF(AND(O514=2, ISBLANK(P514), ISBLANK(Q514), ISBLANK(R514), ISBLANK(S514), ISBLANK(T514)), "CUSM, CHU SJ, CHUS, CHUQ", "")</f>
      </c>
      <c r="AM514" s="57">
        <f>IF(AND(AJ514="no match", AK514="", AL514="", K514&lt;26), "CUSM, CHU SJ, HGJ, CHUQ, CHUS", "")</f>
      </c>
      <c r="AN514" s="57">
        <f>IF(AND(AJ514="no match", AK514="", AL514="", K514&gt;26), "CUSM, CHU SJ, HGJ, CHUQ, CHUS, HMR", "")</f>
      </c>
    </row>
    <row x14ac:dyDescent="0.25" r="515" customHeight="1" ht="17.25">
      <c r="A515" s="41" t="s">
        <v>3682</v>
      </c>
      <c r="B515" s="28">
        <v>2</v>
      </c>
      <c r="C515" s="35">
        <v>833</v>
      </c>
      <c r="D515" s="29" t="s">
        <v>376</v>
      </c>
      <c r="E515" s="30" t="s">
        <v>50</v>
      </c>
      <c r="F515" s="31">
        <v>45190</v>
      </c>
      <c r="G515" s="32">
        <v>4.614583333333334</v>
      </c>
      <c r="H515" s="31">
        <v>45187</v>
      </c>
      <c r="I515" s="32">
        <v>4.886111111111111</v>
      </c>
      <c r="J515" s="33">
        <f>F515-H515</f>
      </c>
      <c r="K515" s="28">
        <v>39</v>
      </c>
      <c r="L515" s="28">
        <v>1</v>
      </c>
      <c r="M515" s="28">
        <v>1</v>
      </c>
      <c r="N515" s="35">
        <v>1</v>
      </c>
      <c r="O515" s="34"/>
      <c r="P515" s="34"/>
      <c r="Q515" s="34"/>
      <c r="R515" s="34"/>
      <c r="S515" s="56"/>
      <c r="T515" s="34"/>
      <c r="U515" s="38"/>
      <c r="V515" s="38"/>
      <c r="W515" s="29"/>
      <c r="X515" s="28">
        <v>34</v>
      </c>
      <c r="Y515" s="28">
        <v>1</v>
      </c>
      <c r="Z515" s="28">
        <v>1</v>
      </c>
      <c r="AA515" s="28">
        <v>3</v>
      </c>
      <c r="AB515" s="28">
        <v>1</v>
      </c>
      <c r="AC515" s="28">
        <v>2</v>
      </c>
      <c r="AD515" s="28">
        <v>2</v>
      </c>
      <c r="AE515" s="28">
        <v>4</v>
      </c>
      <c r="AF515" s="28">
        <v>3</v>
      </c>
      <c r="AG515" s="28">
        <v>2</v>
      </c>
      <c r="AH515" s="29" t="s">
        <v>3683</v>
      </c>
      <c r="AI515" s="36">
        <f>IF(OR(AND(K515&lt;32, J515&lt;2), O515=1, P515=1, Q515=1, R515=1, S515=1, T515=1, U515=1, AND(W515&lt;&gt;"", W515&lt;&gt;"Oxygen", W515&lt;&gt;"LowFlow")), "Intensive", "Intermediate")</f>
      </c>
      <c r="AJ515" s="57">
        <f>IF(OR(LEFT(AH515, 1)="X", LEFT(AH515, 1)="Y", LEFT(AH515, 3)="J0M"), "CUSM", "No Match")</f>
      </c>
      <c r="AK515" s="57">
        <f>IF(AND(OR(O515=3, P515=1, Q515=1, T515=1), AJ515="no Match"), "CUSM, CHU SJ, CHUQ", "")</f>
      </c>
      <c r="AL515" s="57">
        <f>IF(AND(O515=2, ISBLANK(P515), ISBLANK(Q515), ISBLANK(R515), ISBLANK(S515), ISBLANK(T515)), "CUSM, CHU SJ, CHUS, CHUQ", "")</f>
      </c>
      <c r="AM515" s="57">
        <f>IF(AND(AJ515="no match", AK515="", AL515="", K515&lt;26), "CUSM, CHU SJ, HGJ, CHUQ, CHUS", "")</f>
      </c>
      <c r="AN515" s="57">
        <f>IF(AND(AJ515="no match", AK515="", AL515="", K515&gt;26), "CUSM, CHU SJ, HGJ, CHUQ, CHUS, HMR", "")</f>
      </c>
    </row>
    <row x14ac:dyDescent="0.25" r="516" customHeight="1" ht="17.25">
      <c r="A516" s="41" t="s">
        <v>3684</v>
      </c>
      <c r="B516" s="28">
        <v>2</v>
      </c>
      <c r="C516" s="35">
        <v>796</v>
      </c>
      <c r="D516" s="29" t="s">
        <v>63</v>
      </c>
      <c r="E516" s="30" t="s">
        <v>54</v>
      </c>
      <c r="F516" s="31">
        <v>45191</v>
      </c>
      <c r="G516" s="32">
        <v>4.350694444444445</v>
      </c>
      <c r="H516" s="31">
        <v>45191</v>
      </c>
      <c r="I516" s="32">
        <v>4.1125</v>
      </c>
      <c r="J516" s="33">
        <f>F516-H516</f>
      </c>
      <c r="K516" s="28">
        <v>38</v>
      </c>
      <c r="L516" s="28">
        <v>6</v>
      </c>
      <c r="M516" s="28">
        <v>1</v>
      </c>
      <c r="N516" s="34"/>
      <c r="O516" s="34"/>
      <c r="P516" s="34"/>
      <c r="Q516" s="34"/>
      <c r="R516" s="34"/>
      <c r="S516" s="56"/>
      <c r="T516" s="35">
        <v>1</v>
      </c>
      <c r="U516" s="34"/>
      <c r="V516" s="34"/>
      <c r="W516" s="29" t="s">
        <v>58</v>
      </c>
      <c r="X516" s="28">
        <v>25</v>
      </c>
      <c r="Y516" s="28">
        <v>1</v>
      </c>
      <c r="Z516" s="28">
        <v>1</v>
      </c>
      <c r="AA516" s="28">
        <v>2</v>
      </c>
      <c r="AB516" s="28">
        <v>1</v>
      </c>
      <c r="AC516" s="28">
        <v>2</v>
      </c>
      <c r="AD516" s="28">
        <v>1</v>
      </c>
      <c r="AE516" s="28">
        <v>4</v>
      </c>
      <c r="AF516" s="28">
        <v>2</v>
      </c>
      <c r="AG516" s="28">
        <v>2</v>
      </c>
      <c r="AH516" s="29" t="s">
        <v>3685</v>
      </c>
      <c r="AI516" s="36">
        <f>IF(OR(AND(K516&lt;32, J516&lt;2), O516=1, P516=1, Q516=1, R516=1, S516=1, T516=1, U516=1, AND(W516&lt;&gt;"", W516&lt;&gt;"Oxygen", W516&lt;&gt;"LowFlow")), "Intensive", "Intermediate")</f>
      </c>
      <c r="AJ516" s="57">
        <f>IF(OR(LEFT(AH516, 1)="X", LEFT(AH516, 1)="Y", LEFT(AH516, 3)="J1M"), "CUSM", "No Match")</f>
      </c>
      <c r="AK516" s="57">
        <f>IF(AND(OR(O516=3, P516=1, Q516=1, T516=1), AJ516="no Match"), "CUSM, CHU SJ, CHUQ", "")</f>
      </c>
      <c r="AL516" s="57">
        <f>IF(AND(O516=2, ISBLANK(P516), ISBLANK(Q516), ISBLANK(R516), ISBLANK(S516), ISBLANK(T516)), "CUSM, CHU SJ, CHUS, CHUQ", "")</f>
      </c>
      <c r="AM516" s="57">
        <f>IF(AND(AJ516="no match", AK516="", AL516="", K516&lt;26), "CUSM, CHU SJ, HGJ, CHUQ, CHUS", "")</f>
      </c>
      <c r="AN516" s="57">
        <f>IF(AND(AJ516="no match", AK516="", AL516="", K516&gt;26), "CUSM, CHU SJ, HGJ, CHUQ, CHUS, HMR", "")</f>
      </c>
    </row>
    <row x14ac:dyDescent="0.25" r="517" customHeight="1" ht="17.25">
      <c r="A517" s="41" t="s">
        <v>3686</v>
      </c>
      <c r="B517" s="28">
        <v>2</v>
      </c>
      <c r="C517" s="35">
        <v>734</v>
      </c>
      <c r="D517" s="29" t="s">
        <v>264</v>
      </c>
      <c r="E517" s="30" t="s">
        <v>54</v>
      </c>
      <c r="F517" s="31">
        <v>45193</v>
      </c>
      <c r="G517" s="32">
        <v>4.604166666666666</v>
      </c>
      <c r="H517" s="31">
        <v>45185</v>
      </c>
      <c r="I517" s="32">
        <v>4.819444444444445</v>
      </c>
      <c r="J517" s="33">
        <f>F517-H517</f>
      </c>
      <c r="K517" s="28">
        <v>39</v>
      </c>
      <c r="L517" s="28">
        <v>0</v>
      </c>
      <c r="M517" s="28">
        <v>1</v>
      </c>
      <c r="N517" s="28">
        <v>1</v>
      </c>
      <c r="O517" s="38"/>
      <c r="P517" s="38"/>
      <c r="Q517" s="34"/>
      <c r="R517" s="34"/>
      <c r="S517" s="56"/>
      <c r="T517" s="34"/>
      <c r="U517" s="34"/>
      <c r="V517" s="34"/>
      <c r="W517" s="29" t="s">
        <v>600</v>
      </c>
      <c r="X517" s="28">
        <v>32</v>
      </c>
      <c r="Y517" s="28">
        <v>1</v>
      </c>
      <c r="Z517" s="28">
        <v>1</v>
      </c>
      <c r="AA517" s="28">
        <v>3</v>
      </c>
      <c r="AB517" s="28">
        <v>4</v>
      </c>
      <c r="AC517" s="28">
        <v>3</v>
      </c>
      <c r="AD517" s="28">
        <v>3</v>
      </c>
      <c r="AE517" s="28">
        <v>4</v>
      </c>
      <c r="AF517" s="28">
        <v>1</v>
      </c>
      <c r="AG517" s="28">
        <v>2</v>
      </c>
      <c r="AH517" s="29" t="s">
        <v>3687</v>
      </c>
      <c r="AI517" s="36">
        <f>IF(OR(AND(K517&lt;32, J517&lt;2), O517=1, P517=1, Q517=1, R517=1, S517=1, T517=1, U517=1, AND(W517&lt;&gt;"", W517&lt;&gt;"Oxygen", W517&lt;&gt;"LowFlow")), "Intensive", "Intermediate")</f>
      </c>
      <c r="AJ517" s="57">
        <f>IF(OR(LEFT(AH517, 1)="X", LEFT(AH517, 1)="Y", LEFT(AH517, 3)="J2M"), "CUSM", "No Match")</f>
      </c>
      <c r="AK517" s="57">
        <f>IF(AND(OR(O517=3, P517=1, Q517=1, T517=1), AJ517="no Match"), "CUSM, CHU SJ, CHUQ", "")</f>
      </c>
      <c r="AL517" s="57">
        <f>IF(AND(O517=2, ISBLANK(P517), ISBLANK(Q517), ISBLANK(R517), ISBLANK(S517), ISBLANK(T517)), "CUSM, CHU SJ, CHUS, CHUQ", "")</f>
      </c>
      <c r="AM517" s="57">
        <f>IF(AND(AJ517="no match", AK517="", AL517="", K517&lt;26), "CUSM, CHU SJ, HGJ, CHUQ, CHUS", "")</f>
      </c>
      <c r="AN517" s="57">
        <f>IF(AND(AJ517="no match", AK517="", AL517="", K517&gt;26), "CUSM, CHU SJ, HGJ, CHUQ, CHUS, HMR", "")</f>
      </c>
    </row>
    <row x14ac:dyDescent="0.25" r="518" customHeight="1" ht="17.25">
      <c r="A518" s="41" t="s">
        <v>3688</v>
      </c>
      <c r="B518" s="28">
        <v>2</v>
      </c>
      <c r="C518" s="28">
        <v>795</v>
      </c>
      <c r="D518" s="29" t="s">
        <v>73</v>
      </c>
      <c r="E518" s="30" t="s">
        <v>54</v>
      </c>
      <c r="F518" s="31">
        <v>45194</v>
      </c>
      <c r="G518" s="32">
        <v>4.951388888888889</v>
      </c>
      <c r="H518" s="31">
        <v>45193</v>
      </c>
      <c r="I518" s="32">
        <v>4.261111111111111</v>
      </c>
      <c r="J518" s="33">
        <f>F518-H518</f>
      </c>
      <c r="K518" s="28">
        <v>39</v>
      </c>
      <c r="L518" s="28">
        <v>3</v>
      </c>
      <c r="M518" s="28">
        <v>2</v>
      </c>
      <c r="N518" s="35">
        <v>1</v>
      </c>
      <c r="O518" s="34"/>
      <c r="P518" s="35">
        <v>1</v>
      </c>
      <c r="Q518" s="34"/>
      <c r="R518" s="34"/>
      <c r="S518" s="56"/>
      <c r="T518" s="34"/>
      <c r="U518" s="34"/>
      <c r="V518" s="34"/>
      <c r="W518" s="29"/>
      <c r="X518" s="28">
        <v>25</v>
      </c>
      <c r="Y518" s="28">
        <v>1</v>
      </c>
      <c r="Z518" s="28">
        <v>1</v>
      </c>
      <c r="AA518" s="28">
        <v>2</v>
      </c>
      <c r="AB518" s="28">
        <v>1</v>
      </c>
      <c r="AC518" s="28">
        <v>3</v>
      </c>
      <c r="AD518" s="28">
        <v>3</v>
      </c>
      <c r="AE518" s="28">
        <v>4</v>
      </c>
      <c r="AF518" s="28">
        <v>3</v>
      </c>
      <c r="AG518" s="28">
        <v>2</v>
      </c>
      <c r="AH518" s="29" t="s">
        <v>3689</v>
      </c>
      <c r="AI518" s="36">
        <f>IF(OR(AND(K518&lt;32, J518&lt;2), O518=1, P518=1, Q518=1, R518=1, S518=1, T518=1, U518=1, AND(W518&lt;&gt;"", W518&lt;&gt;"Oxygen", W518&lt;&gt;"LowFlow")), "Intensive", "Intermediate")</f>
      </c>
      <c r="AJ518" s="57">
        <f>IF(OR(LEFT(AH518, 1)="X", LEFT(AH518, 1)="Y", LEFT(AH518, 3)="J3M"), "CUSM", "No Match")</f>
      </c>
      <c r="AK518" s="57">
        <f>IF(AND(OR(O518=3, P518=1, Q518=1, T518=1), AJ518="no Match"), "CUSM, CHU SJ, CHUQ", "")</f>
      </c>
      <c r="AL518" s="57">
        <f>IF(AND(O518=2, ISBLANK(P518), ISBLANK(Q518), ISBLANK(R518), ISBLANK(S518), ISBLANK(T518)), "CUSM, CHU SJ, CHUS, CHUQ", "")</f>
      </c>
      <c r="AM518" s="57">
        <f>IF(AND(AJ518="no match", AK518="", AL518="", K518&lt;26), "CUSM, CHU SJ, HGJ, CHUQ, CHUS", "")</f>
      </c>
      <c r="AN518" s="57">
        <f>IF(AND(AJ518="no match", AK518="", AL518="", K518&gt;26), "CUSM, CHU SJ, HGJ, CHUQ, CHUS, HMR", "")</f>
      </c>
    </row>
    <row x14ac:dyDescent="0.25" r="519" customHeight="1" ht="17.25">
      <c r="A519" s="41" t="s">
        <v>3690</v>
      </c>
      <c r="B519" s="28">
        <v>2</v>
      </c>
      <c r="C519" s="35">
        <v>795</v>
      </c>
      <c r="D519" s="29" t="s">
        <v>73</v>
      </c>
      <c r="E519" s="30" t="s">
        <v>50</v>
      </c>
      <c r="F519" s="31">
        <v>45195</v>
      </c>
      <c r="G519" s="32">
        <v>4.614583333333334</v>
      </c>
      <c r="H519" s="31">
        <v>45195</v>
      </c>
      <c r="I519" s="32">
        <v>4.310416666666667</v>
      </c>
      <c r="J519" s="33">
        <f>F519-H519</f>
      </c>
      <c r="K519" s="28">
        <v>40</v>
      </c>
      <c r="L519" s="28">
        <v>3</v>
      </c>
      <c r="M519" s="28">
        <v>2</v>
      </c>
      <c r="N519" s="34"/>
      <c r="O519" s="34"/>
      <c r="P519" s="34"/>
      <c r="Q519" s="34"/>
      <c r="R519" s="34"/>
      <c r="S519" s="56"/>
      <c r="T519" s="35">
        <v>1</v>
      </c>
      <c r="U519" s="34"/>
      <c r="V519" s="34"/>
      <c r="W519" s="29" t="s">
        <v>74</v>
      </c>
      <c r="X519" s="28">
        <v>30</v>
      </c>
      <c r="Y519" s="28">
        <v>1</v>
      </c>
      <c r="Z519" s="28">
        <v>2</v>
      </c>
      <c r="AA519" s="28">
        <v>3</v>
      </c>
      <c r="AB519" s="28">
        <v>2</v>
      </c>
      <c r="AC519" s="28">
        <v>2</v>
      </c>
      <c r="AD519" s="28">
        <v>2</v>
      </c>
      <c r="AE519" s="28">
        <v>1</v>
      </c>
      <c r="AF519" s="38"/>
      <c r="AG519" s="28">
        <v>3</v>
      </c>
      <c r="AH519" s="29" t="s">
        <v>3691</v>
      </c>
      <c r="AI519" s="36">
        <f>IF(OR(AND(K519&lt;32, J519&lt;2), O519=1, P519=1, Q519=1, R519=1, S519=1, T519=1, U519=1, AND(W519&lt;&gt;"", W519&lt;&gt;"Oxygen", W519&lt;&gt;"LowFlow")), "Intensive", "Intermediate")</f>
      </c>
      <c r="AJ519" s="57">
        <f>IF(OR(LEFT(AH519, 1)="X", LEFT(AH519, 1)="Y", LEFT(AH519, 3)="J4M"), "CUSM", "No Match")</f>
      </c>
      <c r="AK519" s="57">
        <f>IF(AND(OR(O519=3, P519=1, Q519=1, T519=1), AJ519="no Match"), "CUSM, CHU SJ, CHUQ", "")</f>
      </c>
      <c r="AL519" s="57">
        <f>IF(AND(O519=2, ISBLANK(P519), ISBLANK(Q519), ISBLANK(R519), ISBLANK(S519), ISBLANK(T519)), "CUSM, CHU SJ, CHUS, CHUQ", "")</f>
      </c>
      <c r="AM519" s="57">
        <f>IF(AND(AJ519="no match", AK519="", AL519="", K519&lt;26), "CUSM, CHU SJ, HGJ, CHUQ, CHUS", "")</f>
      </c>
      <c r="AN519" s="57">
        <f>IF(AND(AJ519="no match", AK519="", AL519="", K519&gt;26), "CUSM, CHU SJ, HGJ, CHUQ, CHUS, HMR", "")</f>
      </c>
    </row>
    <row x14ac:dyDescent="0.25" r="520" customHeight="1" ht="17.25">
      <c r="A520" s="41" t="s">
        <v>3692</v>
      </c>
      <c r="B520" s="28">
        <v>2</v>
      </c>
      <c r="C520" s="35">
        <v>756</v>
      </c>
      <c r="D520" s="29" t="s">
        <v>66</v>
      </c>
      <c r="E520" s="30" t="s">
        <v>50</v>
      </c>
      <c r="F520" s="31">
        <v>45196</v>
      </c>
      <c r="G520" s="32">
        <v>4.590277777777778</v>
      </c>
      <c r="H520" s="31">
        <v>45196</v>
      </c>
      <c r="I520" s="32">
        <v>4</v>
      </c>
      <c r="J520" s="33">
        <f>F520-H520</f>
      </c>
      <c r="K520" s="28">
        <v>39</v>
      </c>
      <c r="L520" s="28">
        <v>5</v>
      </c>
      <c r="M520" s="28">
        <v>2</v>
      </c>
      <c r="N520" s="34"/>
      <c r="O520" s="34"/>
      <c r="P520" s="34"/>
      <c r="Q520" s="34"/>
      <c r="R520" s="34"/>
      <c r="S520" s="56"/>
      <c r="T520" s="34"/>
      <c r="U520" s="34"/>
      <c r="V520" s="34"/>
      <c r="W520" s="29"/>
      <c r="X520" s="28">
        <v>33</v>
      </c>
      <c r="Y520" s="28">
        <v>1</v>
      </c>
      <c r="Z520" s="28">
        <v>1</v>
      </c>
      <c r="AA520" s="28">
        <v>2</v>
      </c>
      <c r="AB520" s="28">
        <v>1</v>
      </c>
      <c r="AC520" s="28">
        <v>2</v>
      </c>
      <c r="AD520" s="28">
        <v>2</v>
      </c>
      <c r="AE520" s="28">
        <v>4</v>
      </c>
      <c r="AF520" s="28">
        <v>2</v>
      </c>
      <c r="AG520" s="28">
        <v>2</v>
      </c>
      <c r="AH520" s="29" t="s">
        <v>3693</v>
      </c>
      <c r="AI520" s="36">
        <f>IF(OR(AND(K520&lt;32, J520&lt;2), O520=1, P520=1, Q520=1, R520=1, S520=1, T520=1, U520=1, AND(W520&lt;&gt;"", W520&lt;&gt;"Oxygen", W520&lt;&gt;"LowFlow")), "Intensive", "Intermediate")</f>
      </c>
      <c r="AJ520" s="57">
        <f>IF(OR(LEFT(AH520, 1)="X", LEFT(AH520, 1)="Y", LEFT(AH520, 3)="J5M"), "CUSM", "No Match")</f>
      </c>
      <c r="AK520" s="57">
        <f>IF(AND(OR(O520=3, P520=1, Q520=1, T520=1), AJ520="no Match"), "CUSM, CHU SJ, CHUQ", "")</f>
      </c>
      <c r="AL520" s="57">
        <f>IF(AND(O520=2, ISBLANK(P520), ISBLANK(Q520), ISBLANK(R520), ISBLANK(S520), ISBLANK(T520)), "CUSM, CHU SJ, CHUS, CHUQ", "")</f>
      </c>
      <c r="AM520" s="57">
        <f>IF(AND(AJ520="no match", AK520="", AL520="", K520&lt;26), "CUSM, CHU SJ, HGJ, CHUQ, CHUS", "")</f>
      </c>
      <c r="AN520" s="57">
        <f>IF(AND(AJ520="no match", AK520="", AL520="", K520&gt;26), "CUSM, CHU SJ, HGJ, CHUQ, CHUS, HMR", "")</f>
      </c>
    </row>
    <row x14ac:dyDescent="0.25" r="521" customHeight="1" ht="17.25">
      <c r="A521" s="41" t="s">
        <v>3694</v>
      </c>
      <c r="B521" s="28">
        <v>2</v>
      </c>
      <c r="C521" s="35">
        <v>817</v>
      </c>
      <c r="D521" s="29" t="s">
        <v>163</v>
      </c>
      <c r="E521" s="30" t="s">
        <v>220</v>
      </c>
      <c r="F521" s="31">
        <v>45196</v>
      </c>
      <c r="G521" s="32">
        <v>4.174305555555556</v>
      </c>
      <c r="H521" s="31">
        <v>45196</v>
      </c>
      <c r="I521" s="32">
        <v>4.040972222222223</v>
      </c>
      <c r="J521" s="33">
        <f>F521-H521</f>
      </c>
      <c r="K521" s="28">
        <v>29</v>
      </c>
      <c r="L521" s="28">
        <v>0</v>
      </c>
      <c r="M521" s="28">
        <v>1</v>
      </c>
      <c r="N521" s="34"/>
      <c r="O521" s="34"/>
      <c r="P521" s="34"/>
      <c r="Q521" s="34"/>
      <c r="R521" s="34"/>
      <c r="S521" s="56"/>
      <c r="T521" s="34"/>
      <c r="U521" s="35">
        <v>1</v>
      </c>
      <c r="V521" s="35">
        <v>1</v>
      </c>
      <c r="W521" s="29" t="s">
        <v>74</v>
      </c>
      <c r="X521" s="28">
        <v>32</v>
      </c>
      <c r="Y521" s="28">
        <v>1</v>
      </c>
      <c r="Z521" s="28">
        <v>2</v>
      </c>
      <c r="AA521" s="28">
        <v>2</v>
      </c>
      <c r="AB521" s="28">
        <v>1</v>
      </c>
      <c r="AC521" s="28">
        <v>2</v>
      </c>
      <c r="AD521" s="28">
        <v>2</v>
      </c>
      <c r="AE521" s="28">
        <v>4</v>
      </c>
      <c r="AF521" s="28">
        <v>2</v>
      </c>
      <c r="AG521" s="28">
        <v>2</v>
      </c>
      <c r="AH521" s="29" t="s">
        <v>733</v>
      </c>
      <c r="AI521" s="36">
        <f>IF(OR(AND(K521&lt;32, J521&lt;2), O521=1, P521=1, Q521=1, R521=1, S521=1, T521=1, U521=1, AND(W521&lt;&gt;"", W521&lt;&gt;"Oxygen", W521&lt;&gt;"LowFlow")), "Intensive", "Intermediate")</f>
      </c>
      <c r="AJ521" s="57">
        <f>IF(OR(LEFT(AH521, 1)="X", LEFT(AH521, 1)="Y", LEFT(AH521, 3)="J6M"), "CUSM", "No Match")</f>
      </c>
      <c r="AK521" s="57">
        <f>IF(AND(OR(O521=3, P521=1, Q521=1, T521=1), AJ521="no Match"), "CUSM, CHU SJ, CHUQ", "")</f>
      </c>
      <c r="AL521" s="57">
        <f>IF(AND(O521=2, ISBLANK(P521), ISBLANK(Q521), ISBLANK(R521), ISBLANK(S521), ISBLANK(T521)), "CUSM, CHU SJ, CHUS, CHUQ", "")</f>
      </c>
      <c r="AM521" s="57">
        <f>IF(AND(AJ521="no match", AK521="", AL521="", K521&lt;26), "CUSM, CHU SJ, HGJ, CHUQ, CHUS", "")</f>
      </c>
      <c r="AN521" s="57">
        <f>IF(AND(AJ521="no match", AK521="", AL521="", K521&gt;26), "CUSM, CHU SJ, HGJ, CHUQ, CHUS, HMR", "")</f>
      </c>
    </row>
    <row x14ac:dyDescent="0.25" r="522" customHeight="1" ht="17.25">
      <c r="A522" s="41" t="s">
        <v>3695</v>
      </c>
      <c r="B522" s="28">
        <v>2</v>
      </c>
      <c r="C522" s="35">
        <v>817</v>
      </c>
      <c r="D522" s="29" t="s">
        <v>163</v>
      </c>
      <c r="E522" s="30" t="s">
        <v>54</v>
      </c>
      <c r="F522" s="31">
        <v>45197</v>
      </c>
      <c r="G522" s="32">
        <v>4.951388888888889</v>
      </c>
      <c r="H522" s="31">
        <v>45197</v>
      </c>
      <c r="I522" s="32">
        <v>4.753472222222222</v>
      </c>
      <c r="J522" s="33">
        <f>F522-H522</f>
      </c>
      <c r="K522" s="28">
        <v>38</v>
      </c>
      <c r="L522" s="28">
        <v>5</v>
      </c>
      <c r="M522" s="28">
        <v>1</v>
      </c>
      <c r="N522" s="34"/>
      <c r="O522" s="34"/>
      <c r="P522" s="34"/>
      <c r="Q522" s="34"/>
      <c r="R522" s="34"/>
      <c r="S522" s="56"/>
      <c r="T522" s="34"/>
      <c r="U522" s="34"/>
      <c r="V522" s="34"/>
      <c r="W522" s="29" t="s">
        <v>58</v>
      </c>
      <c r="X522" s="28">
        <v>38</v>
      </c>
      <c r="Y522" s="28">
        <v>1</v>
      </c>
      <c r="Z522" s="28">
        <v>1</v>
      </c>
      <c r="AA522" s="28">
        <v>2</v>
      </c>
      <c r="AB522" s="28">
        <v>1</v>
      </c>
      <c r="AC522" s="28">
        <v>2</v>
      </c>
      <c r="AD522" s="28">
        <v>1</v>
      </c>
      <c r="AE522" s="28">
        <v>4</v>
      </c>
      <c r="AF522" s="28">
        <v>2</v>
      </c>
      <c r="AG522" s="28">
        <v>2</v>
      </c>
      <c r="AH522" s="29" t="s">
        <v>3696</v>
      </c>
      <c r="AI522" s="36">
        <f>IF(OR(AND(K522&lt;32, J522&lt;2), O522=1, P522=1, Q522=1, R522=1, S522=1, T522=1, U522=1, AND(W522&lt;&gt;"", W522&lt;&gt;"Oxygen", W522&lt;&gt;"LowFlow")), "Intensive", "Intermediate")</f>
      </c>
      <c r="AJ522" s="57">
        <f>IF(OR(LEFT(AH522, 1)="X", LEFT(AH522, 1)="Y", LEFT(AH522, 3)="J7M"), "CUSM", "No Match")</f>
      </c>
      <c r="AK522" s="57">
        <f>IF(AND(OR(O522=3, P522=1, Q522=1, T522=1), AJ522="no Match"), "CUSM, CHU SJ, CHUQ", "")</f>
      </c>
      <c r="AL522" s="57">
        <f>IF(AND(O522=2, ISBLANK(P522), ISBLANK(Q522), ISBLANK(R522), ISBLANK(S522), ISBLANK(T522)), "CUSM, CHU SJ, CHUS, CHUQ", "")</f>
      </c>
      <c r="AM522" s="57">
        <f>IF(AND(AJ522="no match", AK522="", AL522="", K522&lt;26), "CUSM, CHU SJ, HGJ, CHUQ, CHUS", "")</f>
      </c>
      <c r="AN522" s="57">
        <f>IF(AND(AJ522="no match", AK522="", AL522="", K522&gt;26), "CUSM, CHU SJ, HGJ, CHUQ, CHUS, HMR", "")</f>
      </c>
    </row>
    <row x14ac:dyDescent="0.25" r="523" customHeight="1" ht="17.25">
      <c r="A523" s="41" t="s">
        <v>3697</v>
      </c>
      <c r="B523" s="28">
        <v>2</v>
      </c>
      <c r="C523" s="28">
        <v>825</v>
      </c>
      <c r="D523" s="29" t="s">
        <v>77</v>
      </c>
      <c r="E523" s="30" t="s">
        <v>50</v>
      </c>
      <c r="F523" s="31">
        <v>45197</v>
      </c>
      <c r="G523" s="32">
        <v>4.90625</v>
      </c>
      <c r="H523" s="31">
        <v>45197</v>
      </c>
      <c r="I523" s="32">
        <v>4.065277777777778</v>
      </c>
      <c r="J523" s="33">
        <f>F523-H523</f>
      </c>
      <c r="K523" s="28">
        <v>39</v>
      </c>
      <c r="L523" s="28">
        <v>2</v>
      </c>
      <c r="M523" s="28">
        <v>1</v>
      </c>
      <c r="N523" s="35">
        <v>1</v>
      </c>
      <c r="O523" s="34"/>
      <c r="P523" s="35">
        <v>1</v>
      </c>
      <c r="Q523" s="34"/>
      <c r="R523" s="34"/>
      <c r="S523" s="56"/>
      <c r="T523" s="38"/>
      <c r="U523" s="34"/>
      <c r="V523" s="34"/>
      <c r="W523" s="29"/>
      <c r="X523" s="28">
        <v>30</v>
      </c>
      <c r="Y523" s="28">
        <v>1</v>
      </c>
      <c r="Z523" s="28">
        <v>2</v>
      </c>
      <c r="AA523" s="28">
        <v>1</v>
      </c>
      <c r="AB523" s="28">
        <v>1</v>
      </c>
      <c r="AC523" s="28">
        <v>2</v>
      </c>
      <c r="AD523" s="28">
        <v>1</v>
      </c>
      <c r="AE523" s="28">
        <v>4</v>
      </c>
      <c r="AF523" s="28">
        <v>3</v>
      </c>
      <c r="AG523" s="28">
        <v>2</v>
      </c>
      <c r="AH523" s="29" t="s">
        <v>576</v>
      </c>
      <c r="AI523" s="36">
        <f>IF(OR(AND(K523&lt;32, J523&lt;2), O523=1, P523=1, Q523=1, R523=1, S523=1, T523=1, U523=1, AND(W523&lt;&gt;"", W523&lt;&gt;"Oxygen", W523&lt;&gt;"LowFlow")), "Intensive", "Intermediate")</f>
      </c>
      <c r="AJ523" s="57">
        <f>IF(OR(LEFT(AH523, 1)="X", LEFT(AH523, 1)="Y", LEFT(AH523, 3)="J8M"), "CUSM", "No Match")</f>
      </c>
      <c r="AK523" s="57">
        <f>IF(AND(OR(O523=3, P523=1, Q523=1, T523=1), AJ523="no Match"), "CUSM, CHU SJ, CHUQ", "")</f>
      </c>
      <c r="AL523" s="57">
        <f>IF(AND(O523=2, ISBLANK(P523), ISBLANK(Q523), ISBLANK(R523), ISBLANK(S523), ISBLANK(T523)), "CUSM, CHU SJ, CHUS, CHUQ", "")</f>
      </c>
      <c r="AM523" s="57">
        <f>IF(AND(AJ523="no match", AK523="", AL523="", K523&lt;26), "CUSM, CHU SJ, HGJ, CHUQ, CHUS", "")</f>
      </c>
      <c r="AN523" s="57">
        <f>IF(AND(AJ523="no match", AK523="", AL523="", K523&gt;26), "CUSM, CHU SJ, HGJ, CHUQ, CHUS, HMR", "")</f>
      </c>
    </row>
    <row x14ac:dyDescent="0.25" r="524" customHeight="1" ht="17.25">
      <c r="A524" s="41" t="s">
        <v>3698</v>
      </c>
      <c r="B524" s="28">
        <v>2</v>
      </c>
      <c r="C524" s="28">
        <v>824</v>
      </c>
      <c r="D524" s="29" t="s">
        <v>57</v>
      </c>
      <c r="E524" s="30" t="s">
        <v>54</v>
      </c>
      <c r="F524" s="31">
        <v>45198</v>
      </c>
      <c r="G524" s="32">
        <v>4.114583333333334</v>
      </c>
      <c r="H524" s="31">
        <v>45197</v>
      </c>
      <c r="I524" s="32">
        <v>4.884722222222223</v>
      </c>
      <c r="J524" s="33">
        <f>F524-H524</f>
      </c>
      <c r="K524" s="28">
        <v>41</v>
      </c>
      <c r="L524" s="28">
        <v>2</v>
      </c>
      <c r="M524" s="28">
        <v>2</v>
      </c>
      <c r="N524" s="34"/>
      <c r="O524" s="34"/>
      <c r="P524" s="34"/>
      <c r="Q524" s="34"/>
      <c r="R524" s="34"/>
      <c r="S524" s="56"/>
      <c r="T524" s="34"/>
      <c r="U524" s="34"/>
      <c r="V524" s="34"/>
      <c r="W524" s="29"/>
      <c r="X524" s="28">
        <v>30</v>
      </c>
      <c r="Y524" s="28">
        <v>1</v>
      </c>
      <c r="Z524" s="28">
        <v>1</v>
      </c>
      <c r="AA524" s="28">
        <v>2</v>
      </c>
      <c r="AB524" s="28">
        <v>3</v>
      </c>
      <c r="AC524" s="28">
        <v>2</v>
      </c>
      <c r="AD524" s="28">
        <v>2</v>
      </c>
      <c r="AE524" s="28">
        <v>4</v>
      </c>
      <c r="AF524" s="28">
        <v>2</v>
      </c>
      <c r="AG524" s="28">
        <v>2</v>
      </c>
      <c r="AH524" s="29" t="s">
        <v>3699</v>
      </c>
      <c r="AI524" s="36">
        <f>IF(OR(AND(K524&lt;32, J524&lt;2), O524=1, P524=1, Q524=1, R524=1, S524=1, T524=1, U524=1, AND(W524&lt;&gt;"", W524&lt;&gt;"Oxygen", W524&lt;&gt;"LowFlow")), "Intensive", "Intermediate")</f>
      </c>
      <c r="AJ524" s="57">
        <f>IF(OR(LEFT(AH524, 1)="X", LEFT(AH524, 1)="Y", LEFT(AH524, 3)="J9M"), "CUSM", "No Match")</f>
      </c>
      <c r="AK524" s="57">
        <f>IF(AND(OR(O524=3, P524=1, Q524=1, T524=1), AJ524="no Match"), "CUSM, CHU SJ, CHUQ", "")</f>
      </c>
      <c r="AL524" s="57">
        <f>IF(AND(O524=2, ISBLANK(P524), ISBLANK(Q524), ISBLANK(R524), ISBLANK(S524), ISBLANK(T524)), "CUSM, CHU SJ, CHUS, CHUQ", "")</f>
      </c>
      <c r="AM524" s="57">
        <f>IF(AND(AJ524="no match", AK524="", AL524="", K524&lt;26), "CUSM, CHU SJ, HGJ, CHUQ, CHUS", "")</f>
      </c>
      <c r="AN524" s="57">
        <f>IF(AND(AJ524="no match", AK524="", AL524="", K524&gt;26), "CUSM, CHU SJ, HGJ, CHUQ, CHUS, HMR", "")</f>
      </c>
    </row>
    <row x14ac:dyDescent="0.25" r="525" customHeight="1" ht="17.25">
      <c r="A525" s="41" t="s">
        <v>3700</v>
      </c>
      <c r="B525" s="28">
        <v>2</v>
      </c>
      <c r="C525" s="35">
        <v>1019</v>
      </c>
      <c r="D525" s="29" t="s">
        <v>354</v>
      </c>
      <c r="E525" s="30" t="s">
        <v>54</v>
      </c>
      <c r="F525" s="31">
        <v>45199</v>
      </c>
      <c r="G525" s="32">
        <v>4.434027777777778</v>
      </c>
      <c r="H525" s="31">
        <v>45199</v>
      </c>
      <c r="I525" s="32">
        <v>4.2659722222222225</v>
      </c>
      <c r="J525" s="33">
        <f>F525-H525</f>
      </c>
      <c r="K525" s="28">
        <v>41</v>
      </c>
      <c r="L525" s="28">
        <v>2</v>
      </c>
      <c r="M525" s="28">
        <v>2</v>
      </c>
      <c r="N525" s="34"/>
      <c r="O525" s="34"/>
      <c r="P525" s="34"/>
      <c r="Q525" s="34"/>
      <c r="R525" s="34"/>
      <c r="S525" s="56"/>
      <c r="T525" s="35">
        <v>1</v>
      </c>
      <c r="U525" s="34"/>
      <c r="V525" s="34"/>
      <c r="W525" s="29" t="s">
        <v>74</v>
      </c>
      <c r="X525" s="28">
        <v>35</v>
      </c>
      <c r="Y525" s="28">
        <v>1</v>
      </c>
      <c r="Z525" s="28">
        <v>2</v>
      </c>
      <c r="AA525" s="28">
        <v>2</v>
      </c>
      <c r="AB525" s="28">
        <v>1</v>
      </c>
      <c r="AC525" s="28">
        <v>2</v>
      </c>
      <c r="AD525" s="28">
        <v>2</v>
      </c>
      <c r="AE525" s="28">
        <v>4</v>
      </c>
      <c r="AF525" s="28">
        <v>2</v>
      </c>
      <c r="AG525" s="28">
        <v>2</v>
      </c>
      <c r="AH525" s="29" t="s">
        <v>3701</v>
      </c>
      <c r="AI525" s="36">
        <f>IF(OR(AND(K525&lt;32, J525&lt;2), O525=1, P525=1, Q525=1, R525=1, S525=1, T525=1, U525=1, AND(W525&lt;&gt;"", W525&lt;&gt;"Oxygen", W525&lt;&gt;"LowFlow")), "Intensive", "Intermediate")</f>
      </c>
      <c r="AJ525" s="57">
        <f>IF(OR(LEFT(AH525, 1)="X", LEFT(AH525, 1)="Y", LEFT(AH525, 3)="J10M"), "CUSM", "No Match")</f>
      </c>
      <c r="AK525" s="57">
        <f>IF(AND(OR(O525=3, P525=1, Q525=1, T525=1), AJ525="no Match"), "CUSM, CHU SJ, CHUQ", "")</f>
      </c>
      <c r="AL525" s="57">
        <f>IF(AND(O525=2, ISBLANK(P525), ISBLANK(Q525), ISBLANK(R525), ISBLANK(S525), ISBLANK(T525)), "CUSM, CHU SJ, CHUS, CHUQ", "")</f>
      </c>
      <c r="AM525" s="57">
        <f>IF(AND(AJ525="no match", AK525="", AL525="", K525&lt;26), "CUSM, CHU SJ, HGJ, CHUQ, CHUS", "")</f>
      </c>
      <c r="AN525" s="57">
        <f>IF(AND(AJ525="no match", AK525="", AL525="", K525&gt;26), "CUSM, CHU SJ, HGJ, CHUQ, CHUS, HMR", "")</f>
      </c>
    </row>
    <row x14ac:dyDescent="0.25" r="526" customHeight="1" ht="17.25">
      <c r="A526" s="41" t="s">
        <v>3702</v>
      </c>
      <c r="B526" s="28">
        <v>2</v>
      </c>
      <c r="C526" s="28">
        <v>6</v>
      </c>
      <c r="D526" s="29" t="s">
        <v>131</v>
      </c>
      <c r="E526" s="30" t="s">
        <v>50</v>
      </c>
      <c r="F526" s="31">
        <v>45199</v>
      </c>
      <c r="G526" s="32">
        <v>4.965277777777778</v>
      </c>
      <c r="H526" s="31">
        <v>45196</v>
      </c>
      <c r="I526" s="32">
        <v>4.283333333333333</v>
      </c>
      <c r="J526" s="33">
        <f>F526-H526</f>
      </c>
      <c r="K526" s="28">
        <v>39</v>
      </c>
      <c r="L526" s="28">
        <v>0</v>
      </c>
      <c r="M526" s="28">
        <v>2</v>
      </c>
      <c r="N526" s="28">
        <v>1</v>
      </c>
      <c r="O526" s="34"/>
      <c r="P526" s="28">
        <v>1</v>
      </c>
      <c r="Q526" s="34"/>
      <c r="R526" s="34"/>
      <c r="S526" s="56"/>
      <c r="T526" s="34"/>
      <c r="U526" s="34"/>
      <c r="V526" s="34"/>
      <c r="W526" s="29"/>
      <c r="X526" s="28">
        <v>28</v>
      </c>
      <c r="Y526" s="28">
        <v>1</v>
      </c>
      <c r="Z526" s="28">
        <v>1</v>
      </c>
      <c r="AA526" s="28">
        <v>3</v>
      </c>
      <c r="AB526" s="28">
        <v>4</v>
      </c>
      <c r="AC526" s="28">
        <v>2</v>
      </c>
      <c r="AD526" s="28">
        <v>2</v>
      </c>
      <c r="AE526" s="28">
        <v>4</v>
      </c>
      <c r="AF526" s="28">
        <v>3</v>
      </c>
      <c r="AG526" s="28">
        <v>3</v>
      </c>
      <c r="AH526" s="29" t="s">
        <v>3703</v>
      </c>
      <c r="AI526" s="36">
        <f>IF(OR(AND(K526&lt;32, J526&lt;2), O526=1, P526=1, Q526=1, R526=1, S526=1, T526=1, U526=1, AND(W526&lt;&gt;"", W526&lt;&gt;"Oxygen", W526&lt;&gt;"LowFlow")), "Intensive", "Intermediate")</f>
      </c>
      <c r="AJ526" s="57">
        <f>IF(OR(LEFT(AH526, 1)="X", LEFT(AH526, 1)="Y", LEFT(AH526, 3)="J11M"), "CUSM", "No Match")</f>
      </c>
      <c r="AK526" s="57">
        <f>IF(AND(OR(O526=3, P526=1, Q526=1, T526=1), AJ526="no Match"), "CUSM, CHU SJ, CHUQ", "")</f>
      </c>
      <c r="AL526" s="57">
        <f>IF(AND(O526=2, ISBLANK(P526), ISBLANK(Q526), ISBLANK(R526), ISBLANK(S526), ISBLANK(T526)), "CUSM, CHU SJ, CHUS, CHUQ", "")</f>
      </c>
      <c r="AM526" s="57">
        <f>IF(AND(AJ526="no match", AK526="", AL526="", K526&lt;26), "CUSM, CHU SJ, HGJ, CHUQ, CHUS", "")</f>
      </c>
      <c r="AN526" s="57">
        <f>IF(AND(AJ526="no match", AK526="", AL526="", K526&gt;26), "CUSM, CHU SJ, HGJ, CHUQ, CHUS, HMR", "")</f>
      </c>
    </row>
    <row x14ac:dyDescent="0.25" r="527" customHeight="1" ht="17.25">
      <c r="A527" s="41" t="s">
        <v>3704</v>
      </c>
      <c r="B527" s="28">
        <v>2</v>
      </c>
      <c r="C527" s="35">
        <v>734</v>
      </c>
      <c r="D527" s="29" t="s">
        <v>264</v>
      </c>
      <c r="E527" s="30" t="s">
        <v>50</v>
      </c>
      <c r="F527" s="31">
        <v>45199</v>
      </c>
      <c r="G527" s="32">
        <v>4.076388888888889</v>
      </c>
      <c r="H527" s="31">
        <v>45198</v>
      </c>
      <c r="I527" s="32">
        <v>4.826388888888889</v>
      </c>
      <c r="J527" s="33">
        <f>F527-H527</f>
      </c>
      <c r="K527" s="28">
        <v>37</v>
      </c>
      <c r="L527" s="28">
        <v>2</v>
      </c>
      <c r="M527" s="28">
        <v>2</v>
      </c>
      <c r="N527" s="34"/>
      <c r="O527" s="34"/>
      <c r="P527" s="34"/>
      <c r="Q527" s="34"/>
      <c r="R527" s="34"/>
      <c r="S527" s="56"/>
      <c r="T527" s="35">
        <v>1</v>
      </c>
      <c r="U527" s="34"/>
      <c r="V527" s="34"/>
      <c r="W527" s="29" t="s">
        <v>74</v>
      </c>
      <c r="X527" s="28">
        <v>27</v>
      </c>
      <c r="Y527" s="28">
        <v>1</v>
      </c>
      <c r="Z527" s="28">
        <v>2</v>
      </c>
      <c r="AA527" s="28">
        <v>1</v>
      </c>
      <c r="AB527" s="28">
        <v>1</v>
      </c>
      <c r="AC527" s="28">
        <v>2</v>
      </c>
      <c r="AD527" s="28">
        <v>2</v>
      </c>
      <c r="AE527" s="28">
        <v>4</v>
      </c>
      <c r="AF527" s="28">
        <v>3</v>
      </c>
      <c r="AG527" s="28">
        <v>3</v>
      </c>
      <c r="AH527" s="29" t="s">
        <v>3705</v>
      </c>
      <c r="AI527" s="36">
        <f>IF(OR(AND(K527&lt;32, J527&lt;2), O527=1, P527=1, Q527=1, R527=1, S527=1, T527=1, U527=1, AND(W527&lt;&gt;"", W527&lt;&gt;"Oxygen", W527&lt;&gt;"LowFlow")), "Intensive", "Intermediate")</f>
      </c>
      <c r="AJ527" s="57">
        <f>IF(OR(LEFT(AH527, 1)="X", LEFT(AH527, 1)="Y", LEFT(AH527, 3)="J12M"), "CUSM", "No Match")</f>
      </c>
      <c r="AK527" s="57">
        <f>IF(AND(OR(O527=3, P527=1, Q527=1, T527=1), AJ527="no Match"), "CUSM, CHU SJ, CHUQ", "")</f>
      </c>
      <c r="AL527" s="57">
        <f>IF(AND(O527=2, ISBLANK(P527), ISBLANK(Q527), ISBLANK(R527), ISBLANK(S527), ISBLANK(T527)), "CUSM, CHU SJ, CHUS, CHUQ", "")</f>
      </c>
      <c r="AM527" s="57">
        <f>IF(AND(AJ527="no match", AK527="", AL527="", K527&lt;26), "CUSM, CHU SJ, HGJ, CHUQ, CHUS", "")</f>
      </c>
      <c r="AN527" s="57">
        <f>IF(AND(AJ527="no match", AK527="", AL527="", K527&gt;26), "CUSM, CHU SJ, HGJ, CHUQ, CHUS, HMR", "")</f>
      </c>
    </row>
    <row x14ac:dyDescent="0.25" r="528" customHeight="1" ht="17.25">
      <c r="A528" s="41" t="s">
        <v>3706</v>
      </c>
      <c r="B528" s="28">
        <v>2</v>
      </c>
      <c r="C528" s="35">
        <v>730</v>
      </c>
      <c r="D528" s="29" t="s">
        <v>81</v>
      </c>
      <c r="E528" s="30" t="s">
        <v>50</v>
      </c>
      <c r="F528" s="31">
        <v>45200</v>
      </c>
      <c r="G528" s="32">
        <v>4.2972222222222225</v>
      </c>
      <c r="H528" s="31">
        <v>45200</v>
      </c>
      <c r="I528" s="32">
        <v>4.183333333333334</v>
      </c>
      <c r="J528" s="33">
        <f>F528-H528</f>
      </c>
      <c r="K528" s="28">
        <v>34</v>
      </c>
      <c r="L528" s="28">
        <v>2</v>
      </c>
      <c r="M528" s="28">
        <v>2</v>
      </c>
      <c r="N528" s="35">
        <v>1</v>
      </c>
      <c r="O528" s="34"/>
      <c r="P528" s="35">
        <v>1</v>
      </c>
      <c r="Q528" s="34"/>
      <c r="R528" s="34"/>
      <c r="S528" s="56"/>
      <c r="T528" s="34"/>
      <c r="U528" s="34"/>
      <c r="V528" s="34"/>
      <c r="W528" s="29" t="s">
        <v>74</v>
      </c>
      <c r="X528" s="28">
        <v>30</v>
      </c>
      <c r="Y528" s="28">
        <v>1</v>
      </c>
      <c r="Z528" s="28">
        <v>1</v>
      </c>
      <c r="AA528" s="28">
        <v>1</v>
      </c>
      <c r="AB528" s="28">
        <v>1</v>
      </c>
      <c r="AC528" s="28">
        <v>2</v>
      </c>
      <c r="AD528" s="28">
        <v>2</v>
      </c>
      <c r="AE528" s="28">
        <v>4</v>
      </c>
      <c r="AF528" s="28">
        <v>2</v>
      </c>
      <c r="AG528" s="28">
        <v>2</v>
      </c>
      <c r="AH528" s="29" t="s">
        <v>3707</v>
      </c>
      <c r="AI528" s="36">
        <f>IF(OR(AND(K528&lt;32, J528&lt;2), O528=1, P528=1, Q528=1, R528=1, S528=1, T528=1, U528=1, AND(W528&lt;&gt;"", W528&lt;&gt;"Oxygen", W528&lt;&gt;"LowFlow")), "Intensive", "Intermediate")</f>
      </c>
      <c r="AJ528" s="57">
        <f>IF(OR(LEFT(AH528, 1)="X", LEFT(AH528, 1)="Y", LEFT(AH528, 3)="J13M"), "CUSM", "No Match")</f>
      </c>
      <c r="AK528" s="57">
        <f>IF(AND(OR(O528=3, P528=1, Q528=1, T528=1), AJ528="no Match"), "CUSM, CHU SJ, CHUQ", "")</f>
      </c>
      <c r="AL528" s="57">
        <f>IF(AND(O528=2, ISBLANK(P528), ISBLANK(Q528), ISBLANK(R528), ISBLANK(S528), ISBLANK(T528)), "CUSM, CHU SJ, CHUS, CHUQ", "")</f>
      </c>
      <c r="AM528" s="57">
        <f>IF(AND(AJ528="no match", AK528="", AL528="", K528&lt;26), "CUSM, CHU SJ, HGJ, CHUQ, CHUS", "")</f>
      </c>
      <c r="AN528" s="57">
        <f>IF(AND(AJ528="no match", AK528="", AL528="", K528&gt;26), "CUSM, CHU SJ, HGJ, CHUQ, CHUS, HMR", "")</f>
      </c>
    </row>
    <row x14ac:dyDescent="0.25" r="529" customHeight="1" ht="17.25">
      <c r="A529" s="41" t="s">
        <v>3708</v>
      </c>
      <c r="B529" s="28">
        <v>2</v>
      </c>
      <c r="C529" s="35">
        <v>730</v>
      </c>
      <c r="D529" s="29" t="s">
        <v>81</v>
      </c>
      <c r="E529" s="30" t="s">
        <v>50</v>
      </c>
      <c r="F529" s="31">
        <v>45200</v>
      </c>
      <c r="G529" s="32">
        <v>4.125</v>
      </c>
      <c r="H529" s="31">
        <v>45200</v>
      </c>
      <c r="I529" s="32">
        <v>4.009027777777778</v>
      </c>
      <c r="J529" s="33">
        <f>F529-H529</f>
      </c>
      <c r="K529" s="28">
        <v>39</v>
      </c>
      <c r="L529" s="28">
        <v>4</v>
      </c>
      <c r="M529" s="28">
        <v>2</v>
      </c>
      <c r="N529" s="34"/>
      <c r="O529" s="34"/>
      <c r="P529" s="34"/>
      <c r="Q529" s="34"/>
      <c r="R529" s="34"/>
      <c r="S529" s="56"/>
      <c r="T529" s="35">
        <v>1</v>
      </c>
      <c r="U529" s="34"/>
      <c r="V529" s="34"/>
      <c r="W529" s="29" t="s">
        <v>74</v>
      </c>
      <c r="X529" s="28">
        <v>29</v>
      </c>
      <c r="Y529" s="28">
        <v>1</v>
      </c>
      <c r="Z529" s="28">
        <v>1</v>
      </c>
      <c r="AA529" s="28">
        <v>3</v>
      </c>
      <c r="AB529" s="28">
        <v>2</v>
      </c>
      <c r="AC529" s="28">
        <v>2</v>
      </c>
      <c r="AD529" s="28">
        <v>1</v>
      </c>
      <c r="AE529" s="28">
        <v>3</v>
      </c>
      <c r="AF529" s="28">
        <v>2</v>
      </c>
      <c r="AG529" s="28">
        <v>3</v>
      </c>
      <c r="AH529" s="29" t="s">
        <v>3709</v>
      </c>
      <c r="AI529" s="36">
        <f>IF(OR(AND(K529&lt;32, J529&lt;2), O529=1, P529=1, Q529=1, R529=1, S529=1, T529=1, U529=1, AND(W529&lt;&gt;"", W529&lt;&gt;"Oxygen", W529&lt;&gt;"LowFlow")), "Intensive", "Intermediate")</f>
      </c>
      <c r="AJ529" s="57">
        <f>IF(OR(LEFT(AH529, 1)="X", LEFT(AH529, 1)="Y", LEFT(AH529, 3)="J14M"), "CUSM", "No Match")</f>
      </c>
      <c r="AK529" s="57">
        <f>IF(AND(OR(O529=3, P529=1, Q529=1, T529=1), AJ529="no Match"), "CUSM, CHU SJ, CHUQ", "")</f>
      </c>
      <c r="AL529" s="57">
        <f>IF(AND(O529=2, ISBLANK(P529), ISBLANK(Q529), ISBLANK(R529), ISBLANK(S529), ISBLANK(T529)), "CUSM, CHU SJ, CHUS, CHUQ", "")</f>
      </c>
      <c r="AM529" s="57">
        <f>IF(AND(AJ529="no match", AK529="", AL529="", K529&lt;26), "CUSM, CHU SJ, HGJ, CHUQ, CHUS", "")</f>
      </c>
      <c r="AN529" s="57">
        <f>IF(AND(AJ529="no match", AK529="", AL529="", K529&gt;26), "CUSM, CHU SJ, HGJ, CHUQ, CHUS, HMR", "")</f>
      </c>
    </row>
    <row x14ac:dyDescent="0.25" r="530" customHeight="1" ht="17.25">
      <c r="A530" s="41" t="s">
        <v>3710</v>
      </c>
      <c r="B530" s="28">
        <v>2</v>
      </c>
      <c r="C530" s="35">
        <v>731</v>
      </c>
      <c r="D530" s="29" t="s">
        <v>103</v>
      </c>
      <c r="E530" s="30" t="s">
        <v>149</v>
      </c>
      <c r="F530" s="31">
        <v>45201</v>
      </c>
      <c r="G530" s="32">
        <v>4.4840277777777775</v>
      </c>
      <c r="H530" s="31">
        <v>45201</v>
      </c>
      <c r="I530" s="32">
        <v>4.322916666666666</v>
      </c>
      <c r="J530" s="33">
        <f>F530-H530</f>
      </c>
      <c r="K530" s="28">
        <v>24</v>
      </c>
      <c r="L530" s="28">
        <v>0</v>
      </c>
      <c r="M530" s="28">
        <v>2</v>
      </c>
      <c r="N530" s="38"/>
      <c r="O530" s="38"/>
      <c r="P530" s="38"/>
      <c r="Q530" s="34"/>
      <c r="R530" s="34"/>
      <c r="S530" s="56"/>
      <c r="T530" s="34"/>
      <c r="U530" s="34"/>
      <c r="V530" s="34"/>
      <c r="W530" s="29" t="s">
        <v>74</v>
      </c>
      <c r="X530" s="28">
        <v>34</v>
      </c>
      <c r="Y530" s="28">
        <v>2</v>
      </c>
      <c r="Z530" s="28">
        <v>1</v>
      </c>
      <c r="AA530" s="28">
        <v>1</v>
      </c>
      <c r="AB530" s="28">
        <v>1</v>
      </c>
      <c r="AC530" s="28">
        <v>2</v>
      </c>
      <c r="AD530" s="28">
        <v>2</v>
      </c>
      <c r="AE530" s="28">
        <v>4</v>
      </c>
      <c r="AF530" s="28">
        <v>3</v>
      </c>
      <c r="AG530" s="28">
        <v>2</v>
      </c>
      <c r="AH530" s="29" t="s">
        <v>3711</v>
      </c>
      <c r="AI530" s="36">
        <f>IF(OR(AND(K530&lt;32, J530&lt;2), O530=1, P530=1, Q530=1, R530=1, S530=1, T530=1, U530=1, AND(W530&lt;&gt;"", W530&lt;&gt;"Oxygen", W530&lt;&gt;"LowFlow")), "Intensive", "Intermediate")</f>
      </c>
      <c r="AJ530" s="57">
        <f>IF(OR(LEFT(AH530, 1)="X", LEFT(AH530, 1)="Y", LEFT(AH530, 3)="J15M"), "CUSM", "No Match")</f>
      </c>
      <c r="AK530" s="57">
        <f>IF(AND(OR(O530=3, P530=1, Q530=1, T530=1), AJ530="no Match"), "CUSM, CHU SJ, CHUQ", "")</f>
      </c>
      <c r="AL530" s="57">
        <f>IF(AND(O530=2, ISBLANK(P530), ISBLANK(Q530), ISBLANK(R530), ISBLANK(S530), ISBLANK(T530)), "CUSM, CHU SJ, CHUS, CHUQ", "")</f>
      </c>
      <c r="AM530" s="57">
        <f>IF(AND(AJ530="no match", AK530="", AL530="", K530&lt;26), "CUSM, CHU SJ, HGJ, CHUQ, CHUS", "")</f>
      </c>
      <c r="AN530" s="57">
        <f>IF(AND(AJ530="no match", AK530="", AL530="", K530&gt;26), "CUSM, CHU SJ, HGJ, CHUQ, CHUS, HMR", "")</f>
      </c>
    </row>
    <row x14ac:dyDescent="0.25" r="531" customHeight="1" ht="17.25">
      <c r="A531" s="41" t="s">
        <v>3712</v>
      </c>
      <c r="B531" s="28">
        <v>2</v>
      </c>
      <c r="C531" s="28">
        <v>731</v>
      </c>
      <c r="D531" s="29" t="s">
        <v>103</v>
      </c>
      <c r="E531" s="30" t="s">
        <v>149</v>
      </c>
      <c r="F531" s="31">
        <v>45201</v>
      </c>
      <c r="G531" s="32">
        <v>4.486111111111111</v>
      </c>
      <c r="H531" s="31">
        <v>45201</v>
      </c>
      <c r="I531" s="32">
        <v>4.3375</v>
      </c>
      <c r="J531" s="33">
        <f>F531-H531</f>
      </c>
      <c r="K531" s="28">
        <v>24</v>
      </c>
      <c r="L531" s="28">
        <v>0</v>
      </c>
      <c r="M531" s="28">
        <v>1</v>
      </c>
      <c r="N531" s="34"/>
      <c r="O531" s="34"/>
      <c r="P531" s="34"/>
      <c r="Q531" s="34"/>
      <c r="R531" s="34"/>
      <c r="S531" s="56"/>
      <c r="T531" s="34"/>
      <c r="U531" s="34"/>
      <c r="V531" s="34"/>
      <c r="W531" s="29" t="s">
        <v>74</v>
      </c>
      <c r="X531" s="28">
        <v>34</v>
      </c>
      <c r="Y531" s="28">
        <v>2</v>
      </c>
      <c r="Z531" s="28">
        <v>2</v>
      </c>
      <c r="AA531" s="28">
        <v>1</v>
      </c>
      <c r="AB531" s="28">
        <v>1</v>
      </c>
      <c r="AC531" s="28">
        <v>2</v>
      </c>
      <c r="AD531" s="28">
        <v>2</v>
      </c>
      <c r="AE531" s="28">
        <v>4</v>
      </c>
      <c r="AF531" s="28">
        <v>3</v>
      </c>
      <c r="AG531" s="28">
        <v>2</v>
      </c>
      <c r="AH531" s="29" t="s">
        <v>3711</v>
      </c>
      <c r="AI531" s="36">
        <f>IF(OR(AND(K531&lt;32, J531&lt;2), O531=1, P531=1, Q531=1, R531=1, S531=1, T531=1, U531=1, AND(W531&lt;&gt;"", W531&lt;&gt;"Oxygen", W531&lt;&gt;"LowFlow")), "Intensive", "Intermediate")</f>
      </c>
      <c r="AJ531" s="57">
        <f>IF(OR(LEFT(AH531, 1)="X", LEFT(AH531, 1)="Y", LEFT(AH531, 3)="J16M"), "CUSM", "No Match")</f>
      </c>
      <c r="AK531" s="57">
        <f>IF(AND(OR(O531=3, P531=1, Q531=1, T531=1), AJ531="no Match"), "CUSM, CHU SJ, CHUQ", "")</f>
      </c>
      <c r="AL531" s="57">
        <f>IF(AND(O531=2, ISBLANK(P531), ISBLANK(Q531), ISBLANK(R531), ISBLANK(S531), ISBLANK(T531)), "CUSM, CHU SJ, CHUS, CHUQ", "")</f>
      </c>
      <c r="AM531" s="57">
        <f>IF(AND(AJ531="no match", AK531="", AL531="", K531&lt;26), "CUSM, CHU SJ, HGJ, CHUQ, CHUS", "")</f>
      </c>
      <c r="AN531" s="57">
        <f>IF(AND(AJ531="no match", AK531="", AL531="", K531&gt;26), "CUSM, CHU SJ, HGJ, CHUQ, CHUS, HMR", "")</f>
      </c>
    </row>
    <row x14ac:dyDescent="0.25" r="532" customHeight="1" ht="17.25">
      <c r="A532" s="41" t="s">
        <v>3713</v>
      </c>
      <c r="B532" s="28">
        <v>2</v>
      </c>
      <c r="C532" s="35">
        <v>756</v>
      </c>
      <c r="D532" s="29" t="s">
        <v>66</v>
      </c>
      <c r="E532" s="30" t="s">
        <v>54</v>
      </c>
      <c r="F532" s="31">
        <v>45201</v>
      </c>
      <c r="G532" s="32">
        <v>4.454861111111111</v>
      </c>
      <c r="H532" s="31">
        <v>45199</v>
      </c>
      <c r="I532" s="32">
        <v>4.840972222222222</v>
      </c>
      <c r="J532" s="33">
        <f>F532-H532</f>
      </c>
      <c r="K532" s="28">
        <v>41</v>
      </c>
      <c r="L532" s="28">
        <v>5</v>
      </c>
      <c r="M532" s="28">
        <v>1</v>
      </c>
      <c r="N532" s="34"/>
      <c r="O532" s="34"/>
      <c r="P532" s="34"/>
      <c r="Q532" s="34"/>
      <c r="R532" s="34"/>
      <c r="S532" s="56"/>
      <c r="T532" s="34"/>
      <c r="U532" s="34"/>
      <c r="V532" s="34"/>
      <c r="W532" s="29"/>
      <c r="X532" s="28">
        <v>34</v>
      </c>
      <c r="Y532" s="28">
        <v>1</v>
      </c>
      <c r="Z532" s="28">
        <v>2</v>
      </c>
      <c r="AA532" s="28">
        <v>1</v>
      </c>
      <c r="AB532" s="28">
        <v>1</v>
      </c>
      <c r="AC532" s="28">
        <v>2</v>
      </c>
      <c r="AD532" s="28">
        <v>2</v>
      </c>
      <c r="AE532" s="28">
        <v>1</v>
      </c>
      <c r="AF532" s="38"/>
      <c r="AG532" s="28">
        <v>2</v>
      </c>
      <c r="AH532" s="29" t="s">
        <v>3714</v>
      </c>
      <c r="AI532" s="36">
        <f>IF(OR(AND(K532&lt;32, J532&lt;2), O532=1, P532=1, Q532=1, R532=1, S532=1, T532=1, U532=1, AND(W532&lt;&gt;"", W532&lt;&gt;"Oxygen", W532&lt;&gt;"LowFlow")), "Intensive", "Intermediate")</f>
      </c>
      <c r="AJ532" s="57">
        <f>IF(OR(LEFT(AH532, 1)="X", LEFT(AH532, 1)="Y", LEFT(AH532, 3)="J17M"), "CUSM", "No Match")</f>
      </c>
      <c r="AK532" s="57">
        <f>IF(AND(OR(O532=3, P532=1, Q532=1, T532=1), AJ532="no Match"), "CUSM, CHU SJ, CHUQ", "")</f>
      </c>
      <c r="AL532" s="57">
        <f>IF(AND(O532=2, ISBLANK(P532), ISBLANK(Q532), ISBLANK(R532), ISBLANK(S532), ISBLANK(T532)), "CUSM, CHU SJ, CHUS, CHUQ", "")</f>
      </c>
      <c r="AM532" s="57">
        <f>IF(AND(AJ532="no match", AK532="", AL532="", K532&lt;26), "CUSM, CHU SJ, HGJ, CHUQ, CHUS", "")</f>
      </c>
      <c r="AN532" s="57">
        <f>IF(AND(AJ532="no match", AK532="", AL532="", K532&gt;26), "CUSM, CHU SJ, HGJ, CHUQ, CHUS, HMR", "")</f>
      </c>
    </row>
    <row x14ac:dyDescent="0.25" r="533" customHeight="1" ht="17.25">
      <c r="A533" s="41" t="s">
        <v>3715</v>
      </c>
      <c r="B533" s="28">
        <v>2</v>
      </c>
      <c r="C533" s="35">
        <v>756</v>
      </c>
      <c r="D533" s="29" t="s">
        <v>66</v>
      </c>
      <c r="E533" s="30" t="s">
        <v>54</v>
      </c>
      <c r="F533" s="31">
        <v>45202</v>
      </c>
      <c r="G533" s="32">
        <v>4.802083333333334</v>
      </c>
      <c r="H533" s="31">
        <v>45201</v>
      </c>
      <c r="I533" s="32">
        <v>4.403472222222222</v>
      </c>
      <c r="J533" s="33">
        <f>F533-H533</f>
      </c>
      <c r="K533" s="28">
        <v>39</v>
      </c>
      <c r="L533" s="28">
        <v>4</v>
      </c>
      <c r="M533" s="28">
        <v>1</v>
      </c>
      <c r="N533" s="35">
        <v>1</v>
      </c>
      <c r="O533" s="35">
        <v>2</v>
      </c>
      <c r="P533" s="35">
        <v>1</v>
      </c>
      <c r="Q533" s="34"/>
      <c r="R533" s="34"/>
      <c r="S533" s="56"/>
      <c r="T533" s="34"/>
      <c r="U533" s="34"/>
      <c r="V533" s="34"/>
      <c r="W533" s="29" t="s">
        <v>58</v>
      </c>
      <c r="X533" s="28">
        <v>29</v>
      </c>
      <c r="Y533" s="28">
        <v>1</v>
      </c>
      <c r="Z533" s="28">
        <v>2</v>
      </c>
      <c r="AA533" s="28">
        <v>3</v>
      </c>
      <c r="AB533" s="28">
        <v>1</v>
      </c>
      <c r="AC533" s="28">
        <v>2</v>
      </c>
      <c r="AD533" s="28">
        <v>2</v>
      </c>
      <c r="AE533" s="28">
        <v>4</v>
      </c>
      <c r="AF533" s="28">
        <v>2</v>
      </c>
      <c r="AG533" s="28">
        <v>2</v>
      </c>
      <c r="AH533" s="29" t="s">
        <v>3716</v>
      </c>
      <c r="AI533" s="36">
        <f>IF(OR(AND(K533&lt;32, J533&lt;2), O533=1, P533=1, Q533=1, R533=1, S533=1, T533=1, U533=1, AND(W533&lt;&gt;"", W533&lt;&gt;"Oxygen", W533&lt;&gt;"LowFlow")), "Intensive", "Intermediate")</f>
      </c>
      <c r="AJ533" s="57">
        <f>IF(OR(LEFT(AH533, 1)="X", LEFT(AH533, 1)="Y", LEFT(AH533, 3)="J18M"), "CUSM", "No Match")</f>
      </c>
      <c r="AK533" s="57">
        <f>IF(AND(OR(O533=3, P533=1, Q533=1, T533=1), AJ533="no Match"), "CUSM, CHU SJ, CHUQ", "")</f>
      </c>
      <c r="AL533" s="57">
        <f>IF(AND(O533=2, ISBLANK(P533), ISBLANK(Q533), ISBLANK(R533), ISBLANK(S533), ISBLANK(T533)), "CUSM, CHU SJ, CHUS, CHUQ", "")</f>
      </c>
      <c r="AM533" s="57">
        <f>IF(AND(AJ533="no match", AK533="", AL533="", K533&lt;26), "CUSM, CHU SJ, HGJ, CHUQ, CHUS", "")</f>
      </c>
      <c r="AN533" s="57">
        <f>IF(AND(AJ533="no match", AK533="", AL533="", K533&gt;26), "CUSM, CHU SJ, HGJ, CHUQ, CHUS, HMR", "")</f>
      </c>
    </row>
    <row x14ac:dyDescent="0.25" r="534" customHeight="1" ht="17.25">
      <c r="A534" s="41" t="s">
        <v>3717</v>
      </c>
      <c r="B534" s="28">
        <v>2</v>
      </c>
      <c r="C534" s="35">
        <v>831</v>
      </c>
      <c r="D534" s="29" t="s">
        <v>313</v>
      </c>
      <c r="E534" s="30" t="s">
        <v>54</v>
      </c>
      <c r="F534" s="31">
        <v>45202</v>
      </c>
      <c r="G534" s="32">
        <v>4.791666666666666</v>
      </c>
      <c r="H534" s="31">
        <v>45191</v>
      </c>
      <c r="I534" s="32">
        <v>4.7868055555555555</v>
      </c>
      <c r="J534" s="33">
        <f>F534-H534</f>
      </c>
      <c r="K534" s="28">
        <v>34</v>
      </c>
      <c r="L534" s="28">
        <v>5</v>
      </c>
      <c r="M534" s="28">
        <v>2</v>
      </c>
      <c r="N534" s="34"/>
      <c r="O534" s="34"/>
      <c r="P534" s="34"/>
      <c r="Q534" s="34"/>
      <c r="R534" s="34"/>
      <c r="S534" s="56"/>
      <c r="T534" s="34"/>
      <c r="U534" s="34"/>
      <c r="V534" s="34"/>
      <c r="W534" s="29"/>
      <c r="X534" s="28">
        <v>26</v>
      </c>
      <c r="Y534" s="28">
        <v>1</v>
      </c>
      <c r="Z534" s="28">
        <v>1</v>
      </c>
      <c r="AA534" s="28">
        <v>1</v>
      </c>
      <c r="AB534" s="28">
        <v>4</v>
      </c>
      <c r="AC534" s="28">
        <v>2</v>
      </c>
      <c r="AD534" s="28">
        <v>1</v>
      </c>
      <c r="AE534" s="28">
        <v>4</v>
      </c>
      <c r="AF534" s="28">
        <v>1</v>
      </c>
      <c r="AG534" s="28">
        <v>2</v>
      </c>
      <c r="AH534" s="29" t="s">
        <v>3718</v>
      </c>
      <c r="AI534" s="36">
        <f>IF(OR(AND(K534&lt;32, J534&lt;2), O534=1, P534=1, Q534=1, R534=1, S534=1, T534=1, U534=1, AND(W534&lt;&gt;"", W534&lt;&gt;"Oxygen", W534&lt;&gt;"LowFlow")), "Intensive", "Intermediate")</f>
      </c>
      <c r="AJ534" s="57">
        <f>IF(OR(LEFT(AH534, 1)="X", LEFT(AH534, 1)="Y", LEFT(AH534, 3)="J19M"), "CUSM", "No Match")</f>
      </c>
      <c r="AK534" s="57">
        <f>IF(AND(OR(O534=3, P534=1, Q534=1, T534=1), AJ534="no Match"), "CUSM, CHU SJ, CHUQ", "")</f>
      </c>
      <c r="AL534" s="57">
        <f>IF(AND(O534=2, ISBLANK(P534), ISBLANK(Q534), ISBLANK(R534), ISBLANK(S534), ISBLANK(T534)), "CUSM, CHU SJ, CHUS, CHUQ", "")</f>
      </c>
      <c r="AM534" s="57">
        <f>IF(AND(AJ534="no match", AK534="", AL534="", K534&lt;26), "CUSM, CHU SJ, HGJ, CHUQ, CHUS", "")</f>
      </c>
      <c r="AN534" s="57">
        <f>IF(AND(AJ534="no match", AK534="", AL534="", K534&gt;26), "CUSM, CHU SJ, HGJ, CHUQ, CHUS, HMR", "")</f>
      </c>
    </row>
    <row x14ac:dyDescent="0.25" r="535" customHeight="1" ht="17.25">
      <c r="A535" s="41" t="s">
        <v>3719</v>
      </c>
      <c r="B535" s="28">
        <v>2</v>
      </c>
      <c r="C535" s="35">
        <v>806</v>
      </c>
      <c r="D535" s="29" t="s">
        <v>438</v>
      </c>
      <c r="E535" s="30" t="s">
        <v>54</v>
      </c>
      <c r="F535" s="31">
        <v>45203</v>
      </c>
      <c r="G535" s="32">
        <v>4.763888888888889</v>
      </c>
      <c r="H535" s="31">
        <v>45202</v>
      </c>
      <c r="I535" s="32">
        <v>4.9125</v>
      </c>
      <c r="J535" s="33">
        <f>F535-H535</f>
      </c>
      <c r="K535" s="28">
        <v>39</v>
      </c>
      <c r="L535" s="28">
        <v>2</v>
      </c>
      <c r="M535" s="28">
        <v>1</v>
      </c>
      <c r="N535" s="35">
        <v>1</v>
      </c>
      <c r="O535" s="34"/>
      <c r="P535" s="35">
        <v>1</v>
      </c>
      <c r="Q535" s="34"/>
      <c r="R535" s="34"/>
      <c r="S535" s="56"/>
      <c r="T535" s="34"/>
      <c r="U535" s="34"/>
      <c r="V535" s="34"/>
      <c r="W535" s="29"/>
      <c r="X535" s="28">
        <v>28</v>
      </c>
      <c r="Y535" s="28">
        <v>1</v>
      </c>
      <c r="Z535" s="28">
        <v>1</v>
      </c>
      <c r="AA535" s="28">
        <v>1</v>
      </c>
      <c r="AB535" s="28">
        <v>1</v>
      </c>
      <c r="AC535" s="28">
        <v>2</v>
      </c>
      <c r="AD535" s="28">
        <v>1</v>
      </c>
      <c r="AE535" s="28">
        <v>4</v>
      </c>
      <c r="AF535" s="28">
        <v>2</v>
      </c>
      <c r="AG535" s="28">
        <v>2</v>
      </c>
      <c r="AH535" s="29" t="s">
        <v>3124</v>
      </c>
      <c r="AI535" s="36">
        <f>IF(OR(AND(K535&lt;32, J535&lt;2), O535=1, P535=1, Q535=1, R535=1, S535=1, T535=1, U535=1, AND(W535&lt;&gt;"", W535&lt;&gt;"Oxygen", W535&lt;&gt;"LowFlow")), "Intensive", "Intermediate")</f>
      </c>
      <c r="AJ535" s="57">
        <f>IF(OR(LEFT(AH535, 1)="X", LEFT(AH535, 1)="Y", LEFT(AH535, 3)="J20M"), "CUSM", "No Match")</f>
      </c>
      <c r="AK535" s="57">
        <f>IF(AND(OR(O535=3, P535=1, Q535=1, T535=1), AJ535="no Match"), "CUSM, CHU SJ, CHUQ", "")</f>
      </c>
      <c r="AL535" s="57">
        <f>IF(AND(O535=2, ISBLANK(P535), ISBLANK(Q535), ISBLANK(R535), ISBLANK(S535), ISBLANK(T535)), "CUSM, CHU SJ, CHUS, CHUQ", "")</f>
      </c>
      <c r="AM535" s="57">
        <f>IF(AND(AJ535="no match", AK535="", AL535="", K535&lt;26), "CUSM, CHU SJ, HGJ, CHUQ, CHUS", "")</f>
      </c>
      <c r="AN535" s="57">
        <f>IF(AND(AJ535="no match", AK535="", AL535="", K535&gt;26), "CUSM, CHU SJ, HGJ, CHUQ, CHUS, HMR", "")</f>
      </c>
    </row>
    <row x14ac:dyDescent="0.25" r="536" customHeight="1" ht="17.25">
      <c r="A536" s="41" t="s">
        <v>3720</v>
      </c>
      <c r="B536" s="28">
        <v>2</v>
      </c>
      <c r="C536" s="28">
        <v>735</v>
      </c>
      <c r="D536" s="29" t="s">
        <v>49</v>
      </c>
      <c r="E536" s="30" t="s">
        <v>50</v>
      </c>
      <c r="F536" s="31">
        <v>45204</v>
      </c>
      <c r="G536" s="32">
        <v>4.826388888888889</v>
      </c>
      <c r="H536" s="31">
        <v>45190</v>
      </c>
      <c r="I536" s="32">
        <v>4.5465277777777775</v>
      </c>
      <c r="J536" s="33">
        <f>F536-H536</f>
      </c>
      <c r="K536" s="28">
        <v>38</v>
      </c>
      <c r="L536" s="28">
        <v>1</v>
      </c>
      <c r="M536" s="28">
        <v>1</v>
      </c>
      <c r="N536" s="35">
        <v>1</v>
      </c>
      <c r="O536" s="35">
        <v>2</v>
      </c>
      <c r="P536" s="35">
        <v>1</v>
      </c>
      <c r="Q536" s="34"/>
      <c r="R536" s="34"/>
      <c r="S536" s="56"/>
      <c r="T536" s="38"/>
      <c r="U536" s="38"/>
      <c r="V536" s="38"/>
      <c r="W536" s="29"/>
      <c r="X536" s="28">
        <v>37</v>
      </c>
      <c r="Y536" s="28">
        <v>1</v>
      </c>
      <c r="Z536" s="28">
        <v>1</v>
      </c>
      <c r="AA536" s="28">
        <v>3</v>
      </c>
      <c r="AB536" s="28">
        <v>4</v>
      </c>
      <c r="AC536" s="28">
        <v>1</v>
      </c>
      <c r="AD536" s="28">
        <v>2</v>
      </c>
      <c r="AE536" s="28">
        <v>4</v>
      </c>
      <c r="AF536" s="28">
        <v>3</v>
      </c>
      <c r="AG536" s="28">
        <v>2</v>
      </c>
      <c r="AH536" s="29"/>
      <c r="AI536" s="36">
        <f>IF(OR(AND(K536&lt;32, J536&lt;2), O536=1, P536=1, Q536=1, R536=1, S536=1, T536=1, U536=1, AND(W536&lt;&gt;"", W536&lt;&gt;"Oxygen", W536&lt;&gt;"LowFlow")), "Intensive", "Intermediate")</f>
      </c>
      <c r="AJ536" s="57">
        <f>IF(OR(LEFT(AH536, 1)="X", LEFT(AH536, 1)="Y", LEFT(AH536, 3)="J21M"), "CUSM", "No Match")</f>
      </c>
      <c r="AK536" s="57">
        <f>IF(AND(OR(O536=3, P536=1, Q536=1, T536=1), AJ536="no Match"), "CUSM, CHU SJ, CHUQ", "")</f>
      </c>
      <c r="AL536" s="57">
        <f>IF(AND(O536=2, ISBLANK(P536), ISBLANK(Q536), ISBLANK(R536), ISBLANK(S536), ISBLANK(T536)), "CUSM, CHU SJ, CHUS, CHUQ", "")</f>
      </c>
      <c r="AM536" s="57">
        <f>IF(AND(AJ536="no match", AK536="", AL536="", K536&lt;26), "CUSM, CHU SJ, HGJ, CHUQ, CHUS", "")</f>
      </c>
      <c r="AN536" s="57">
        <f>IF(AND(AJ536="no match", AK536="", AL536="", K536&gt;26), "CUSM, CHU SJ, HGJ, CHUQ, CHUS, HMR", "")</f>
      </c>
    </row>
    <row x14ac:dyDescent="0.25" r="537" customHeight="1" ht="17.25">
      <c r="A537" s="41" t="s">
        <v>3721</v>
      </c>
      <c r="B537" s="28">
        <v>2</v>
      </c>
      <c r="C537" s="35">
        <v>730</v>
      </c>
      <c r="D537" s="29" t="s">
        <v>81</v>
      </c>
      <c r="E537" s="30" t="s">
        <v>50</v>
      </c>
      <c r="F537" s="31">
        <v>45204</v>
      </c>
      <c r="G537" s="32">
        <v>4.779861111111111</v>
      </c>
      <c r="H537" s="31">
        <v>45201</v>
      </c>
      <c r="I537" s="32">
        <v>4.375</v>
      </c>
      <c r="J537" s="33">
        <f>F537-H537</f>
      </c>
      <c r="K537" s="28">
        <v>41</v>
      </c>
      <c r="L537" s="28">
        <v>1</v>
      </c>
      <c r="M537" s="28">
        <v>1</v>
      </c>
      <c r="N537" s="38"/>
      <c r="O537" s="34"/>
      <c r="P537" s="38"/>
      <c r="Q537" s="34"/>
      <c r="R537" s="34"/>
      <c r="S537" s="56"/>
      <c r="T537" s="34"/>
      <c r="U537" s="34"/>
      <c r="V537" s="34"/>
      <c r="W537" s="29"/>
      <c r="X537" s="28">
        <v>35</v>
      </c>
      <c r="Y537" s="28">
        <v>1</v>
      </c>
      <c r="Z537" s="28">
        <v>1</v>
      </c>
      <c r="AA537" s="28">
        <v>1</v>
      </c>
      <c r="AB537" s="28">
        <v>1</v>
      </c>
      <c r="AC537" s="28">
        <v>2</v>
      </c>
      <c r="AD537" s="28">
        <v>2</v>
      </c>
      <c r="AE537" s="28">
        <v>4</v>
      </c>
      <c r="AF537" s="28">
        <v>3</v>
      </c>
      <c r="AG537" s="28">
        <v>2</v>
      </c>
      <c r="AH537" s="29" t="s">
        <v>3722</v>
      </c>
      <c r="AI537" s="36">
        <f>IF(OR(AND(K537&lt;32, J537&lt;2), O537=1, P537=1, Q537=1, R537=1, S537=1, T537=1, U537=1, AND(W537&lt;&gt;"", W537&lt;&gt;"Oxygen", W537&lt;&gt;"LowFlow")), "Intensive", "Intermediate")</f>
      </c>
      <c r="AJ537" s="57">
        <f>IF(OR(LEFT(AH537, 1)="X", LEFT(AH537, 1)="Y", LEFT(AH537, 3)="J22M"), "CUSM", "No Match")</f>
      </c>
      <c r="AK537" s="57">
        <f>IF(AND(OR(O537=3, P537=1, Q537=1, T537=1), AJ537="no Match"), "CUSM, CHU SJ, CHUQ", "")</f>
      </c>
      <c r="AL537" s="57">
        <f>IF(AND(O537=2, ISBLANK(P537), ISBLANK(Q537), ISBLANK(R537), ISBLANK(S537), ISBLANK(T537)), "CUSM, CHU SJ, CHUS, CHUQ", "")</f>
      </c>
      <c r="AM537" s="57">
        <f>IF(AND(AJ537="no match", AK537="", AL537="", K537&lt;26), "CUSM, CHU SJ, HGJ, CHUQ, CHUS", "")</f>
      </c>
      <c r="AN537" s="57">
        <f>IF(AND(AJ537="no match", AK537="", AL537="", K537&gt;26), "CUSM, CHU SJ, HGJ, CHUQ, CHUS, HMR", "")</f>
      </c>
    </row>
    <row x14ac:dyDescent="0.25" r="538" customHeight="1" ht="17.25">
      <c r="A538" s="41" t="s">
        <v>3723</v>
      </c>
      <c r="B538" s="28">
        <v>2</v>
      </c>
      <c r="C538" s="28">
        <v>779</v>
      </c>
      <c r="D538" s="29" t="s">
        <v>136</v>
      </c>
      <c r="E538" s="30" t="s">
        <v>54</v>
      </c>
      <c r="F538" s="31">
        <v>45205</v>
      </c>
      <c r="G538" s="32">
        <v>4.659722222222222</v>
      </c>
      <c r="H538" s="31">
        <v>45205</v>
      </c>
      <c r="I538" s="32">
        <v>4.320138888888889</v>
      </c>
      <c r="J538" s="33">
        <f>F538-H538</f>
      </c>
      <c r="K538" s="28">
        <v>41</v>
      </c>
      <c r="L538" s="28">
        <v>4</v>
      </c>
      <c r="M538" s="28">
        <v>2</v>
      </c>
      <c r="N538" s="38"/>
      <c r="O538" s="34"/>
      <c r="P538" s="38"/>
      <c r="Q538" s="34"/>
      <c r="R538" s="34"/>
      <c r="S538" s="56"/>
      <c r="T538" s="38"/>
      <c r="U538" s="38"/>
      <c r="V538" s="38"/>
      <c r="W538" s="29"/>
      <c r="X538" s="28">
        <v>28</v>
      </c>
      <c r="Y538" s="28">
        <v>1</v>
      </c>
      <c r="Z538" s="28">
        <v>1</v>
      </c>
      <c r="AA538" s="28">
        <v>2</v>
      </c>
      <c r="AB538" s="28">
        <v>1</v>
      </c>
      <c r="AC538" s="28">
        <v>2</v>
      </c>
      <c r="AD538" s="28">
        <v>3</v>
      </c>
      <c r="AE538" s="28">
        <v>4</v>
      </c>
      <c r="AF538" s="28">
        <v>2</v>
      </c>
      <c r="AG538" s="28">
        <v>2</v>
      </c>
      <c r="AH538" s="29" t="s">
        <v>3724</v>
      </c>
      <c r="AI538" s="36">
        <f>IF(OR(AND(K538&lt;32, J538&lt;2), O538=1, P538=1, Q538=1, R538=1, S538=1, T538=1, U538=1, AND(W538&lt;&gt;"", W538&lt;&gt;"Oxygen", W538&lt;&gt;"LowFlow")), "Intensive", "Intermediate")</f>
      </c>
      <c r="AJ538" s="57">
        <f>IF(OR(LEFT(AH538, 1)="X", LEFT(AH538, 1)="Y", LEFT(AH538, 3)="J23M"), "CUSM", "No Match")</f>
      </c>
      <c r="AK538" s="57">
        <f>IF(AND(OR(O538=3, P538=1, Q538=1, T538=1), AJ538="no Match"), "CUSM, CHU SJ, CHUQ", "")</f>
      </c>
      <c r="AL538" s="57">
        <f>IF(AND(O538=2, ISBLANK(P538), ISBLANK(Q538), ISBLANK(R538), ISBLANK(S538), ISBLANK(T538)), "CUSM, CHU SJ, CHUS, CHUQ", "")</f>
      </c>
      <c r="AM538" s="57">
        <f>IF(AND(AJ538="no match", AK538="", AL538="", K538&lt;26), "CUSM, CHU SJ, HGJ, CHUQ, CHUS", "")</f>
      </c>
      <c r="AN538" s="57">
        <f>IF(AND(AJ538="no match", AK538="", AL538="", K538&gt;26), "CUSM, CHU SJ, HGJ, CHUQ, CHUS, HMR", "")</f>
      </c>
    </row>
    <row x14ac:dyDescent="0.25" r="539" customHeight="1" ht="17.25">
      <c r="A539" s="41" t="s">
        <v>3725</v>
      </c>
      <c r="B539" s="28">
        <v>2</v>
      </c>
      <c r="C539" s="35">
        <v>833</v>
      </c>
      <c r="D539" s="29" t="s">
        <v>376</v>
      </c>
      <c r="E539" s="30" t="s">
        <v>54</v>
      </c>
      <c r="F539" s="31">
        <v>45205</v>
      </c>
      <c r="G539" s="32">
        <v>4.944444444444445</v>
      </c>
      <c r="H539" s="31">
        <v>45203</v>
      </c>
      <c r="I539" s="32">
        <v>4.372222222222222</v>
      </c>
      <c r="J539" s="33">
        <f>F539-H539</f>
      </c>
      <c r="K539" s="28">
        <v>40</v>
      </c>
      <c r="L539" s="28">
        <v>1</v>
      </c>
      <c r="M539" s="28">
        <v>1</v>
      </c>
      <c r="N539" s="34"/>
      <c r="O539" s="34"/>
      <c r="P539" s="34"/>
      <c r="Q539" s="34"/>
      <c r="R539" s="34"/>
      <c r="S539" s="56"/>
      <c r="T539" s="34"/>
      <c r="U539" s="34"/>
      <c r="V539" s="34"/>
      <c r="W539" s="29"/>
      <c r="X539" s="28">
        <v>30</v>
      </c>
      <c r="Y539" s="28">
        <v>1</v>
      </c>
      <c r="Z539" s="28">
        <v>1</v>
      </c>
      <c r="AA539" s="28">
        <v>2</v>
      </c>
      <c r="AB539" s="28">
        <v>1</v>
      </c>
      <c r="AC539" s="28">
        <v>2</v>
      </c>
      <c r="AD539" s="28">
        <v>2</v>
      </c>
      <c r="AE539" s="28">
        <v>4</v>
      </c>
      <c r="AF539" s="28">
        <v>2</v>
      </c>
      <c r="AG539" s="28">
        <v>2</v>
      </c>
      <c r="AH539" s="29" t="s">
        <v>3726</v>
      </c>
      <c r="AI539" s="36">
        <f>IF(OR(AND(K539&lt;32, J539&lt;2), O539=1, P539=1, Q539=1, R539=1, S539=1, T539=1, U539=1, AND(W539&lt;&gt;"", W539&lt;&gt;"Oxygen", W539&lt;&gt;"LowFlow")), "Intensive", "Intermediate")</f>
      </c>
      <c r="AJ539" s="57">
        <f>IF(OR(LEFT(AH539, 1)="X", LEFT(AH539, 1)="Y", LEFT(AH539, 3)="J24M"), "CUSM", "No Match")</f>
      </c>
      <c r="AK539" s="57">
        <f>IF(AND(OR(O539=3, P539=1, Q539=1, T539=1), AJ539="no Match"), "CUSM, CHU SJ, CHUQ", "")</f>
      </c>
      <c r="AL539" s="57">
        <f>IF(AND(O539=2, ISBLANK(P539), ISBLANK(Q539), ISBLANK(R539), ISBLANK(S539), ISBLANK(T539)), "CUSM, CHU SJ, CHUS, CHUQ", "")</f>
      </c>
      <c r="AM539" s="57">
        <f>IF(AND(AJ539="no match", AK539="", AL539="", K539&lt;26), "CUSM, CHU SJ, HGJ, CHUQ, CHUS", "")</f>
      </c>
      <c r="AN539" s="57">
        <f>IF(AND(AJ539="no match", AK539="", AL539="", K539&gt;26), "CUSM, CHU SJ, HGJ, CHUQ, CHUS, HMR", "")</f>
      </c>
    </row>
    <row x14ac:dyDescent="0.25" r="540" customHeight="1" ht="17.25">
      <c r="A540" s="41" t="s">
        <v>3727</v>
      </c>
      <c r="B540" s="28">
        <v>2</v>
      </c>
      <c r="C540" s="35">
        <v>819</v>
      </c>
      <c r="D540" s="29" t="s">
        <v>917</v>
      </c>
      <c r="E540" s="30" t="s">
        <v>149</v>
      </c>
      <c r="F540" s="31">
        <v>45207</v>
      </c>
      <c r="G540" s="32">
        <v>4.855555555555556</v>
      </c>
      <c r="H540" s="31">
        <v>45207</v>
      </c>
      <c r="I540" s="32">
        <v>4.383333333333333</v>
      </c>
      <c r="J540" s="33">
        <f>F540-H540</f>
      </c>
      <c r="K540" s="28">
        <v>39</v>
      </c>
      <c r="L540" s="28">
        <v>0</v>
      </c>
      <c r="M540" s="28">
        <v>1</v>
      </c>
      <c r="N540" s="34"/>
      <c r="O540" s="34"/>
      <c r="P540" s="34"/>
      <c r="Q540" s="34"/>
      <c r="R540" s="34"/>
      <c r="S540" s="56"/>
      <c r="T540" s="35">
        <v>1</v>
      </c>
      <c r="U540" s="34"/>
      <c r="V540" s="34"/>
      <c r="W540" s="29" t="s">
        <v>164</v>
      </c>
      <c r="X540" s="28">
        <v>35</v>
      </c>
      <c r="Y540" s="28">
        <v>1</v>
      </c>
      <c r="Z540" s="28">
        <v>2</v>
      </c>
      <c r="AA540" s="28">
        <v>1</v>
      </c>
      <c r="AB540" s="28">
        <v>1</v>
      </c>
      <c r="AC540" s="28">
        <v>2</v>
      </c>
      <c r="AD540" s="28">
        <v>1</v>
      </c>
      <c r="AE540" s="28">
        <v>4</v>
      </c>
      <c r="AF540" s="28">
        <v>3</v>
      </c>
      <c r="AG540" s="28">
        <v>3</v>
      </c>
      <c r="AH540" s="29"/>
      <c r="AI540" s="36">
        <f>IF(OR(AND(K540&lt;32, J540&lt;2), O540=1, P540=1, Q540=1, R540=1, S540=1, T540=1, U540=1, AND(W540&lt;&gt;"", W540&lt;&gt;"Oxygen", W540&lt;&gt;"LowFlow")), "Intensive", "Intermediate")</f>
      </c>
      <c r="AJ540" s="57">
        <f>IF(OR(LEFT(AH540, 1)="X", LEFT(AH540, 1)="Y", LEFT(AH540, 3)="J25M"), "CUSM", "No Match")</f>
      </c>
      <c r="AK540" s="57">
        <f>IF(AND(OR(O540=3, P540=1, Q540=1, T540=1), AJ540="no Match"), "CUSM, CHU SJ, CHUQ", "")</f>
      </c>
      <c r="AL540" s="57">
        <f>IF(AND(O540=2, ISBLANK(P540), ISBLANK(Q540), ISBLANK(R540), ISBLANK(S540), ISBLANK(T540)), "CUSM, CHU SJ, CHUS, CHUQ", "")</f>
      </c>
      <c r="AM540" s="57">
        <f>IF(AND(AJ540="no match", AK540="", AL540="", K540&lt;26), "CUSM, CHU SJ, HGJ, CHUQ, CHUS", "")</f>
      </c>
      <c r="AN540" s="57">
        <f>IF(AND(AJ540="no match", AK540="", AL540="", K540&gt;26), "CUSM, CHU SJ, HGJ, CHUQ, CHUS, HMR", "")</f>
      </c>
    </row>
    <row x14ac:dyDescent="0.25" r="541" customHeight="1" ht="17.25">
      <c r="A541" s="41" t="s">
        <v>3728</v>
      </c>
      <c r="B541" s="28">
        <v>2</v>
      </c>
      <c r="C541" s="35">
        <v>822</v>
      </c>
      <c r="D541" s="29" t="s">
        <v>167</v>
      </c>
      <c r="E541" s="30" t="s">
        <v>54</v>
      </c>
      <c r="F541" s="31">
        <v>45207</v>
      </c>
      <c r="G541" s="32">
        <v>4.864583333333334</v>
      </c>
      <c r="H541" s="31">
        <v>45207</v>
      </c>
      <c r="I541" s="32">
        <v>4.5777777777777775</v>
      </c>
      <c r="J541" s="33">
        <f>F541-H541</f>
      </c>
      <c r="K541" s="28">
        <v>38</v>
      </c>
      <c r="L541" s="28">
        <v>0</v>
      </c>
      <c r="M541" s="28">
        <v>1</v>
      </c>
      <c r="N541" s="34"/>
      <c r="O541" s="34"/>
      <c r="P541" s="34"/>
      <c r="Q541" s="34"/>
      <c r="R541" s="34"/>
      <c r="S541" s="56"/>
      <c r="T541" s="34"/>
      <c r="U541" s="34"/>
      <c r="V541" s="34"/>
      <c r="W541" s="29"/>
      <c r="X541" s="28">
        <v>30</v>
      </c>
      <c r="Y541" s="28">
        <v>1</v>
      </c>
      <c r="Z541" s="28">
        <v>1</v>
      </c>
      <c r="AA541" s="28">
        <v>2</v>
      </c>
      <c r="AB541" s="28">
        <v>1</v>
      </c>
      <c r="AC541" s="28">
        <v>2</v>
      </c>
      <c r="AD541" s="28">
        <v>2</v>
      </c>
      <c r="AE541" s="28">
        <v>4</v>
      </c>
      <c r="AF541" s="28">
        <v>2</v>
      </c>
      <c r="AG541" s="28">
        <v>2</v>
      </c>
      <c r="AH541" s="29" t="s">
        <v>2346</v>
      </c>
      <c r="AI541" s="36">
        <f>IF(OR(AND(K541&lt;32, J541&lt;2), O541=1, P541=1, Q541=1, R541=1, S541=1, T541=1, U541=1, AND(W541&lt;&gt;"", W541&lt;&gt;"Oxygen", W541&lt;&gt;"LowFlow")), "Intensive", "Intermediate")</f>
      </c>
      <c r="AJ541" s="57">
        <f>IF(OR(LEFT(AH541, 1)="X", LEFT(AH541, 1)="Y", LEFT(AH541, 3)="J26M"), "CUSM", "No Match")</f>
      </c>
      <c r="AK541" s="57">
        <f>IF(AND(OR(O541=3, P541=1, Q541=1, T541=1), AJ541="no Match"), "CUSM, CHU SJ, CHUQ", "")</f>
      </c>
      <c r="AL541" s="57">
        <f>IF(AND(O541=2, ISBLANK(P541), ISBLANK(Q541), ISBLANK(R541), ISBLANK(S541), ISBLANK(T541)), "CUSM, CHU SJ, CHUS, CHUQ", "")</f>
      </c>
      <c r="AM541" s="57">
        <f>IF(AND(AJ541="no match", AK541="", AL541="", K541&lt;26), "CUSM, CHU SJ, HGJ, CHUQ, CHUS", "")</f>
      </c>
      <c r="AN541" s="57">
        <f>IF(AND(AJ541="no match", AK541="", AL541="", K541&gt;26), "CUSM, CHU SJ, HGJ, CHUQ, CHUS, HMR", "")</f>
      </c>
    </row>
    <row x14ac:dyDescent="0.25" r="542" customHeight="1" ht="17.25">
      <c r="A542" s="41" t="s">
        <v>3729</v>
      </c>
      <c r="B542" s="28">
        <v>2</v>
      </c>
      <c r="C542" s="28">
        <v>810</v>
      </c>
      <c r="D542" s="29" t="s">
        <v>3730</v>
      </c>
      <c r="E542" s="30" t="s">
        <v>54</v>
      </c>
      <c r="F542" s="31">
        <v>45209</v>
      </c>
      <c r="G542" s="32">
        <v>4.118055555555555</v>
      </c>
      <c r="H542" s="31">
        <v>45209</v>
      </c>
      <c r="I542" s="32">
        <v>4</v>
      </c>
      <c r="J542" s="33">
        <f>F542-H542</f>
      </c>
      <c r="K542" s="28">
        <v>38</v>
      </c>
      <c r="L542" s="28">
        <v>1</v>
      </c>
      <c r="M542" s="28">
        <v>2</v>
      </c>
      <c r="N542" s="34"/>
      <c r="O542" s="34"/>
      <c r="P542" s="34"/>
      <c r="Q542" s="34"/>
      <c r="R542" s="34"/>
      <c r="S542" s="56"/>
      <c r="T542" s="35">
        <v>1</v>
      </c>
      <c r="U542" s="34"/>
      <c r="V542" s="34"/>
      <c r="W542" s="29" t="s">
        <v>58</v>
      </c>
      <c r="X542" s="28">
        <v>33</v>
      </c>
      <c r="Y542" s="28">
        <v>1</v>
      </c>
      <c r="Z542" s="28">
        <v>1</v>
      </c>
      <c r="AA542" s="28">
        <v>3</v>
      </c>
      <c r="AB542" s="28">
        <v>1</v>
      </c>
      <c r="AC542" s="28">
        <v>2</v>
      </c>
      <c r="AD542" s="28">
        <v>2</v>
      </c>
      <c r="AE542" s="28">
        <v>4</v>
      </c>
      <c r="AF542" s="28">
        <v>2</v>
      </c>
      <c r="AG542" s="28">
        <v>2</v>
      </c>
      <c r="AH542" s="29" t="s">
        <v>3731</v>
      </c>
      <c r="AI542" s="36">
        <f>IF(OR(AND(K542&lt;32, J542&lt;2), O542=1, P542=1, Q542=1, R542=1, S542=1, T542=1, U542=1, AND(W542&lt;&gt;"", W542&lt;&gt;"Oxygen", W542&lt;&gt;"LowFlow")), "Intensive", "Intermediate")</f>
      </c>
      <c r="AJ542" s="57">
        <f>IF(OR(LEFT(AH542, 1)="X", LEFT(AH542, 1)="Y", LEFT(AH542, 3)="J27M"), "CUSM", "No Match")</f>
      </c>
      <c r="AK542" s="57">
        <f>IF(AND(OR(O542=3, P542=1, Q542=1, T542=1), AJ542="no Match"), "CUSM, CHU SJ, CHUQ", "")</f>
      </c>
      <c r="AL542" s="57">
        <f>IF(AND(O542=2, ISBLANK(P542), ISBLANK(Q542), ISBLANK(R542), ISBLANK(S542), ISBLANK(T542)), "CUSM, CHU SJ, CHUS, CHUQ", "")</f>
      </c>
      <c r="AM542" s="57">
        <f>IF(AND(AJ542="no match", AK542="", AL542="", K542&lt;26), "CUSM, CHU SJ, HGJ, CHUQ, CHUS", "")</f>
      </c>
      <c r="AN542" s="57">
        <f>IF(AND(AJ542="no match", AK542="", AL542="", K542&gt;26), "CUSM, CHU SJ, HGJ, CHUQ, CHUS, HMR", "")</f>
      </c>
    </row>
    <row x14ac:dyDescent="0.25" r="543" customHeight="1" ht="17.25">
      <c r="A543" s="41" t="s">
        <v>3732</v>
      </c>
      <c r="B543" s="28">
        <v>2</v>
      </c>
      <c r="C543" s="28">
        <v>839</v>
      </c>
      <c r="D543" s="29" t="s">
        <v>53</v>
      </c>
      <c r="E543" s="30" t="s">
        <v>54</v>
      </c>
      <c r="F543" s="31">
        <v>45209</v>
      </c>
      <c r="G543" s="32">
        <v>4.614583333333334</v>
      </c>
      <c r="H543" s="31">
        <v>45207</v>
      </c>
      <c r="I543" s="32">
        <v>4.847222222222222</v>
      </c>
      <c r="J543" s="33">
        <f>F543-H543</f>
      </c>
      <c r="K543" s="28">
        <v>38</v>
      </c>
      <c r="L543" s="28">
        <v>1</v>
      </c>
      <c r="M543" s="28">
        <v>2</v>
      </c>
      <c r="N543" s="38"/>
      <c r="O543" s="38"/>
      <c r="P543" s="38"/>
      <c r="Q543" s="34"/>
      <c r="R543" s="34"/>
      <c r="S543" s="56"/>
      <c r="T543" s="34"/>
      <c r="U543" s="34"/>
      <c r="V543" s="34"/>
      <c r="W543" s="29"/>
      <c r="X543" s="28">
        <v>27</v>
      </c>
      <c r="Y543" s="28">
        <v>1</v>
      </c>
      <c r="Z543" s="28">
        <v>1</v>
      </c>
      <c r="AA543" s="28">
        <v>1</v>
      </c>
      <c r="AB543" s="28">
        <v>1</v>
      </c>
      <c r="AC543" s="28">
        <v>2</v>
      </c>
      <c r="AD543" s="28">
        <v>3</v>
      </c>
      <c r="AE543" s="28">
        <v>4</v>
      </c>
      <c r="AF543" s="28">
        <v>2</v>
      </c>
      <c r="AG543" s="28">
        <v>1</v>
      </c>
      <c r="AH543" s="29" t="s">
        <v>3733</v>
      </c>
      <c r="AI543" s="36">
        <f>IF(OR(AND(K543&lt;32, J543&lt;2), O543=1, P543=1, Q543=1, R543=1, S543=1, T543=1, U543=1, AND(W543&lt;&gt;"", W543&lt;&gt;"Oxygen", W543&lt;&gt;"LowFlow")), "Intensive", "Intermediate")</f>
      </c>
      <c r="AJ543" s="57">
        <f>IF(OR(LEFT(AH543, 1)="X", LEFT(AH543, 1)="Y", LEFT(AH543, 3)="J28M"), "CUSM", "No Match")</f>
      </c>
      <c r="AK543" s="57">
        <f>IF(AND(OR(O543=3, P543=1, Q543=1, T543=1), AJ543="no Match"), "CUSM, CHU SJ, CHUQ", "")</f>
      </c>
      <c r="AL543" s="57">
        <f>IF(AND(O543=2, ISBLANK(P543), ISBLANK(Q543), ISBLANK(R543), ISBLANK(S543), ISBLANK(T543)), "CUSM, CHU SJ, CHUS, CHUQ", "")</f>
      </c>
      <c r="AM543" s="57">
        <f>IF(AND(AJ543="no match", AK543="", AL543="", K543&lt;26), "CUSM, CHU SJ, HGJ, CHUQ, CHUS", "")</f>
      </c>
      <c r="AN543" s="57">
        <f>IF(AND(AJ543="no match", AK543="", AL543="", K543&gt;26), "CUSM, CHU SJ, HGJ, CHUQ, CHUS, HMR", "")</f>
      </c>
    </row>
    <row x14ac:dyDescent="0.25" r="544" customHeight="1" ht="17.25">
      <c r="A544" s="41" t="s">
        <v>3734</v>
      </c>
      <c r="B544" s="28">
        <v>2</v>
      </c>
      <c r="C544" s="35">
        <v>833</v>
      </c>
      <c r="D544" s="29" t="s">
        <v>376</v>
      </c>
      <c r="E544" s="30" t="s">
        <v>54</v>
      </c>
      <c r="F544" s="31">
        <v>45209</v>
      </c>
      <c r="G544" s="32">
        <v>4.888888888888889</v>
      </c>
      <c r="H544" s="31">
        <v>45209</v>
      </c>
      <c r="I544" s="32">
        <v>4.196527777777778</v>
      </c>
      <c r="J544" s="33">
        <f>F544-H544</f>
      </c>
      <c r="K544" s="28">
        <v>38</v>
      </c>
      <c r="L544" s="28">
        <v>6</v>
      </c>
      <c r="M544" s="28">
        <v>1</v>
      </c>
      <c r="N544" s="38"/>
      <c r="O544" s="34"/>
      <c r="P544" s="38"/>
      <c r="Q544" s="34"/>
      <c r="R544" s="34"/>
      <c r="S544" s="56"/>
      <c r="T544" s="34"/>
      <c r="U544" s="34"/>
      <c r="V544" s="34"/>
      <c r="W544" s="29"/>
      <c r="X544" s="28">
        <v>33</v>
      </c>
      <c r="Y544" s="28">
        <v>1</v>
      </c>
      <c r="Z544" s="28">
        <v>1</v>
      </c>
      <c r="AA544" s="28">
        <v>2</v>
      </c>
      <c r="AB544" s="28">
        <v>1</v>
      </c>
      <c r="AC544" s="28">
        <v>3</v>
      </c>
      <c r="AD544" s="28">
        <v>3</v>
      </c>
      <c r="AE544" s="28">
        <v>4</v>
      </c>
      <c r="AF544" s="28">
        <v>2</v>
      </c>
      <c r="AG544" s="28">
        <v>1</v>
      </c>
      <c r="AH544" s="29" t="s">
        <v>3735</v>
      </c>
      <c r="AI544" s="36">
        <f>IF(OR(AND(K544&lt;32, J544&lt;2), O544=1, P544=1, Q544=1, R544=1, S544=1, T544=1, U544=1, AND(W544&lt;&gt;"", W544&lt;&gt;"Oxygen", W544&lt;&gt;"LowFlow")), "Intensive", "Intermediate")</f>
      </c>
      <c r="AJ544" s="57">
        <f>IF(OR(LEFT(AH544, 1)="X", LEFT(AH544, 1)="Y", LEFT(AH544, 3)="J29M"), "CUSM", "No Match")</f>
      </c>
      <c r="AK544" s="57">
        <f>IF(AND(OR(O544=3, P544=1, Q544=1, T544=1), AJ544="no Match"), "CUSM, CHU SJ, CHUQ", "")</f>
      </c>
      <c r="AL544" s="57">
        <f>IF(AND(O544=2, ISBLANK(P544), ISBLANK(Q544), ISBLANK(R544), ISBLANK(S544), ISBLANK(T544)), "CUSM, CHU SJ, CHUS, CHUQ", "")</f>
      </c>
      <c r="AM544" s="57">
        <f>IF(AND(AJ544="no match", AK544="", AL544="", K544&lt;26), "CUSM, CHU SJ, HGJ, CHUQ, CHUS", "")</f>
      </c>
      <c r="AN544" s="57">
        <f>IF(AND(AJ544="no match", AK544="", AL544="", K544&gt;26), "CUSM, CHU SJ, HGJ, CHUQ, CHUS, HMR", "")</f>
      </c>
    </row>
    <row x14ac:dyDescent="0.25" r="545" customHeight="1" ht="17.25">
      <c r="A545" s="41" t="s">
        <v>3736</v>
      </c>
      <c r="B545" s="28">
        <v>2</v>
      </c>
      <c r="C545" s="28">
        <v>796</v>
      </c>
      <c r="D545" s="29" t="s">
        <v>63</v>
      </c>
      <c r="E545" s="30" t="s">
        <v>54</v>
      </c>
      <c r="F545" s="31">
        <v>45209</v>
      </c>
      <c r="G545" s="32">
        <v>4.756944444444445</v>
      </c>
      <c r="H545" s="31">
        <v>45206</v>
      </c>
      <c r="I545" s="32">
        <v>4.836805555555555</v>
      </c>
      <c r="J545" s="33">
        <f>F545-H545</f>
      </c>
      <c r="K545" s="28">
        <v>37</v>
      </c>
      <c r="L545" s="28">
        <v>1</v>
      </c>
      <c r="M545" s="28">
        <v>1</v>
      </c>
      <c r="N545" s="34"/>
      <c r="O545" s="34"/>
      <c r="P545" s="34"/>
      <c r="Q545" s="34"/>
      <c r="R545" s="34"/>
      <c r="S545" s="56"/>
      <c r="T545" s="34"/>
      <c r="U545" s="34"/>
      <c r="V545" s="34"/>
      <c r="W545" s="29"/>
      <c r="X545" s="28">
        <v>24</v>
      </c>
      <c r="Y545" s="28">
        <v>1</v>
      </c>
      <c r="Z545" s="28">
        <v>2</v>
      </c>
      <c r="AA545" s="28">
        <v>3</v>
      </c>
      <c r="AB545" s="28">
        <v>1</v>
      </c>
      <c r="AC545" s="28">
        <v>1</v>
      </c>
      <c r="AD545" s="28">
        <v>2</v>
      </c>
      <c r="AE545" s="28">
        <v>4</v>
      </c>
      <c r="AF545" s="28">
        <v>2</v>
      </c>
      <c r="AG545" s="28">
        <v>3</v>
      </c>
      <c r="AH545" s="29" t="s">
        <v>3737</v>
      </c>
      <c r="AI545" s="36">
        <f>IF(OR(AND(K545&lt;32, J545&lt;2), O545=1, P545=1, Q545=1, R545=1, S545=1, T545=1, U545=1, AND(W545&lt;&gt;"", W545&lt;&gt;"Oxygen", W545&lt;&gt;"LowFlow")), "Intensive", "Intermediate")</f>
      </c>
      <c r="AJ545" s="57">
        <f>IF(OR(LEFT(AH545, 1)="X", LEFT(AH545, 1)="Y", LEFT(AH545, 3)="J30M"), "CUSM", "No Match")</f>
      </c>
      <c r="AK545" s="57">
        <f>IF(AND(OR(O545=3, P545=1, Q545=1, T545=1), AJ545="no Match"), "CUSM, CHU SJ, CHUQ", "")</f>
      </c>
      <c r="AL545" s="57">
        <f>IF(AND(O545=2, ISBLANK(P545), ISBLANK(Q545), ISBLANK(R545), ISBLANK(S545), ISBLANK(T545)), "CUSM, CHU SJ, CHUS, CHUQ", "")</f>
      </c>
      <c r="AM545" s="57">
        <f>IF(AND(AJ545="no match", AK545="", AL545="", K545&lt;26), "CUSM, CHU SJ, HGJ, CHUQ, CHUS", "")</f>
      </c>
      <c r="AN545" s="57">
        <f>IF(AND(AJ545="no match", AK545="", AL545="", K545&gt;26), "CUSM, CHU SJ, HGJ, CHUQ, CHUS, HMR", "")</f>
      </c>
    </row>
    <row x14ac:dyDescent="0.25" r="546" customHeight="1" ht="17.25">
      <c r="A546" s="41" t="s">
        <v>3738</v>
      </c>
      <c r="B546" s="28">
        <v>2</v>
      </c>
      <c r="C546" s="35">
        <v>825</v>
      </c>
      <c r="D546" s="29" t="s">
        <v>77</v>
      </c>
      <c r="E546" s="30" t="s">
        <v>50</v>
      </c>
      <c r="F546" s="31">
        <v>45209</v>
      </c>
      <c r="G546" s="32">
        <v>4.895833333333334</v>
      </c>
      <c r="H546" s="31">
        <v>45207</v>
      </c>
      <c r="I546" s="32">
        <v>4.3180555555555555</v>
      </c>
      <c r="J546" s="33">
        <f>F546-H546</f>
      </c>
      <c r="K546" s="28">
        <v>42</v>
      </c>
      <c r="L546" s="28">
        <v>2</v>
      </c>
      <c r="M546" s="28">
        <v>2</v>
      </c>
      <c r="N546" s="38"/>
      <c r="O546" s="34"/>
      <c r="P546" s="38"/>
      <c r="Q546" s="34"/>
      <c r="R546" s="34"/>
      <c r="S546" s="56"/>
      <c r="T546" s="34"/>
      <c r="U546" s="34"/>
      <c r="V546" s="34"/>
      <c r="W546" s="29"/>
      <c r="X546" s="28">
        <v>28</v>
      </c>
      <c r="Y546" s="28">
        <v>1</v>
      </c>
      <c r="Z546" s="28">
        <v>1</v>
      </c>
      <c r="AA546" s="28">
        <v>2</v>
      </c>
      <c r="AB546" s="28">
        <v>1</v>
      </c>
      <c r="AC546" s="28">
        <v>2</v>
      </c>
      <c r="AD546" s="28">
        <v>2</v>
      </c>
      <c r="AE546" s="28">
        <v>4</v>
      </c>
      <c r="AF546" s="35">
        <v>2</v>
      </c>
      <c r="AG546" s="28">
        <v>2</v>
      </c>
      <c r="AH546" s="29" t="s">
        <v>576</v>
      </c>
      <c r="AI546" s="36">
        <f>IF(OR(AND(K546&lt;32, J546&lt;2), O546=1, P546=1, Q546=1, R546=1, S546=1, T546=1, U546=1, AND(W546&lt;&gt;"", W546&lt;&gt;"Oxygen", W546&lt;&gt;"LowFlow")), "Intensive", "Intermediate")</f>
      </c>
      <c r="AJ546" s="57">
        <f>IF(OR(LEFT(AH546, 1)="X", LEFT(AH546, 1)="Y", LEFT(AH546, 3)="J31M"), "CUSM", "No Match")</f>
      </c>
      <c r="AK546" s="57">
        <f>IF(AND(OR(O546=3, P546=1, Q546=1, T546=1), AJ546="no Match"), "CUSM, CHU SJ, CHUQ", "")</f>
      </c>
      <c r="AL546" s="57">
        <f>IF(AND(O546=2, ISBLANK(P546), ISBLANK(Q546), ISBLANK(R546), ISBLANK(S546), ISBLANK(T546)), "CUSM, CHU SJ, CHUS, CHUQ", "")</f>
      </c>
      <c r="AM546" s="57">
        <f>IF(AND(AJ546="no match", AK546="", AL546="", K546&lt;26), "CUSM, CHU SJ, HGJ, CHUQ, CHUS", "")</f>
      </c>
      <c r="AN546" s="57">
        <f>IF(AND(AJ546="no match", AK546="", AL546="", K546&gt;26), "CUSM, CHU SJ, HGJ, CHUQ, CHUS, HMR", "")</f>
      </c>
    </row>
    <row x14ac:dyDescent="0.25" r="547" customHeight="1" ht="17.25">
      <c r="A547" s="41" t="s">
        <v>3739</v>
      </c>
      <c r="B547" s="28">
        <v>2</v>
      </c>
      <c r="C547" s="35">
        <v>730</v>
      </c>
      <c r="D547" s="29" t="s">
        <v>81</v>
      </c>
      <c r="E547" s="30" t="s">
        <v>50</v>
      </c>
      <c r="F547" s="31">
        <v>45209</v>
      </c>
      <c r="G547" s="32">
        <v>4.40625</v>
      </c>
      <c r="H547" s="31">
        <v>45207</v>
      </c>
      <c r="I547" s="32">
        <v>4.270833333333334</v>
      </c>
      <c r="J547" s="33">
        <f>F547-H547</f>
      </c>
      <c r="K547" s="28">
        <v>41</v>
      </c>
      <c r="L547" s="28">
        <v>2</v>
      </c>
      <c r="M547" s="28">
        <v>1</v>
      </c>
      <c r="N547" s="34"/>
      <c r="O547" s="34"/>
      <c r="P547" s="34"/>
      <c r="Q547" s="34"/>
      <c r="R547" s="34"/>
      <c r="S547" s="56"/>
      <c r="T547" s="34"/>
      <c r="U547" s="34"/>
      <c r="V547" s="34"/>
      <c r="W547" s="29"/>
      <c r="X547" s="28">
        <v>34</v>
      </c>
      <c r="Y547" s="28">
        <v>1</v>
      </c>
      <c r="Z547" s="28">
        <v>1</v>
      </c>
      <c r="AA547" s="28">
        <v>1</v>
      </c>
      <c r="AB547" s="28">
        <v>1</v>
      </c>
      <c r="AC547" s="28">
        <v>2</v>
      </c>
      <c r="AD547" s="28">
        <v>2</v>
      </c>
      <c r="AE547" s="28">
        <v>4</v>
      </c>
      <c r="AF547" s="28">
        <v>1</v>
      </c>
      <c r="AG547" s="28">
        <v>2</v>
      </c>
      <c r="AH547" s="29" t="s">
        <v>3740</v>
      </c>
      <c r="AI547" s="36">
        <f>IF(OR(AND(K547&lt;32, J547&lt;2), O547=1, P547=1, Q547=1, R547=1, S547=1, T547=1, U547=1, AND(W547&lt;&gt;"", W547&lt;&gt;"Oxygen", W547&lt;&gt;"LowFlow")), "Intensive", "Intermediate")</f>
      </c>
      <c r="AJ547" s="57">
        <f>IF(OR(LEFT(AH547, 1)="X", LEFT(AH547, 1)="Y", LEFT(AH547, 3)="J32M"), "CUSM", "No Match")</f>
      </c>
      <c r="AK547" s="57">
        <f>IF(AND(OR(O547=3, P547=1, Q547=1, T547=1), AJ547="no Match"), "CUSM, CHU SJ, CHUQ", "")</f>
      </c>
      <c r="AL547" s="57">
        <f>IF(AND(O547=2, ISBLANK(P547), ISBLANK(Q547), ISBLANK(R547), ISBLANK(S547), ISBLANK(T547)), "CUSM, CHU SJ, CHUS, CHUQ", "")</f>
      </c>
      <c r="AM547" s="57">
        <f>IF(AND(AJ547="no match", AK547="", AL547="", K547&lt;26), "CUSM, CHU SJ, HGJ, CHUQ, CHUS", "")</f>
      </c>
      <c r="AN547" s="57">
        <f>IF(AND(AJ547="no match", AK547="", AL547="", K547&gt;26), "CUSM, CHU SJ, HGJ, CHUQ, CHUS, HMR", "")</f>
      </c>
    </row>
    <row x14ac:dyDescent="0.25" r="548" customHeight="1" ht="17.25">
      <c r="A548" s="41" t="s">
        <v>3741</v>
      </c>
      <c r="B548" s="28">
        <v>2</v>
      </c>
      <c r="C548" s="35">
        <v>839</v>
      </c>
      <c r="D548" s="29" t="s">
        <v>53</v>
      </c>
      <c r="E548" s="30" t="s">
        <v>54</v>
      </c>
      <c r="F548" s="31">
        <v>45210</v>
      </c>
      <c r="G548" s="32">
        <v>4.767361111111111</v>
      </c>
      <c r="H548" s="31">
        <v>45210</v>
      </c>
      <c r="I548" s="32">
        <v>4.375</v>
      </c>
      <c r="J548" s="33">
        <f>F548-H548</f>
      </c>
      <c r="K548" s="28">
        <v>39</v>
      </c>
      <c r="L548" s="28">
        <v>2</v>
      </c>
      <c r="M548" s="28">
        <v>2</v>
      </c>
      <c r="N548" s="35">
        <v>1</v>
      </c>
      <c r="O548" s="34"/>
      <c r="P548" s="35">
        <v>1</v>
      </c>
      <c r="Q548" s="34"/>
      <c r="R548" s="34"/>
      <c r="S548" s="56"/>
      <c r="T548" s="34"/>
      <c r="U548" s="34"/>
      <c r="V548" s="34"/>
      <c r="W548" s="29"/>
      <c r="X548" s="28">
        <v>41</v>
      </c>
      <c r="Y548" s="28">
        <v>1</v>
      </c>
      <c r="Z548" s="28">
        <v>2</v>
      </c>
      <c r="AA548" s="28">
        <v>1</v>
      </c>
      <c r="AB548" s="28">
        <v>1</v>
      </c>
      <c r="AC548" s="28">
        <v>2</v>
      </c>
      <c r="AD548" s="28">
        <v>2</v>
      </c>
      <c r="AE548" s="28">
        <v>4</v>
      </c>
      <c r="AF548" s="28">
        <v>1</v>
      </c>
      <c r="AG548" s="28">
        <v>2</v>
      </c>
      <c r="AH548" s="29" t="s">
        <v>3742</v>
      </c>
      <c r="AI548" s="36">
        <f>IF(OR(AND(K548&lt;32, J548&lt;2), O548=1, P548=1, Q548=1, R548=1, S548=1, T548=1, U548=1, AND(W548&lt;&gt;"", W548&lt;&gt;"Oxygen", W548&lt;&gt;"LowFlow")), "Intensive", "Intermediate")</f>
      </c>
      <c r="AJ548" s="57">
        <f>IF(OR(LEFT(AH548, 1)="X", LEFT(AH548, 1)="Y", LEFT(AH548, 3)="J33M"), "CUSM", "No Match")</f>
      </c>
      <c r="AK548" s="57">
        <f>IF(AND(OR(O548=3, P548=1, Q548=1, T548=1), AJ548="no Match"), "CUSM, CHU SJ, CHUQ", "")</f>
      </c>
      <c r="AL548" s="57">
        <f>IF(AND(O548=2, ISBLANK(P548), ISBLANK(Q548), ISBLANK(R548), ISBLANK(S548), ISBLANK(T548)), "CUSM, CHU SJ, CHUS, CHUQ", "")</f>
      </c>
      <c r="AM548" s="57">
        <f>IF(AND(AJ548="no match", AK548="", AL548="", K548&lt;26), "CUSM, CHU SJ, HGJ, CHUQ, CHUS", "")</f>
      </c>
      <c r="AN548" s="57">
        <f>IF(AND(AJ548="no match", AK548="", AL548="", K548&gt;26), "CUSM, CHU SJ, HGJ, CHUQ, CHUS, HMR", "")</f>
      </c>
    </row>
    <row x14ac:dyDescent="0.25" r="549" customHeight="1" ht="17.25">
      <c r="A549" s="41" t="s">
        <v>3743</v>
      </c>
      <c r="B549" s="28">
        <v>2</v>
      </c>
      <c r="C549" s="28">
        <v>820</v>
      </c>
      <c r="D549" s="29" t="s">
        <v>69</v>
      </c>
      <c r="E549" s="30" t="s">
        <v>54</v>
      </c>
      <c r="F549" s="31">
        <v>45212</v>
      </c>
      <c r="G549" s="32">
        <v>4.989583333333334</v>
      </c>
      <c r="H549" s="31">
        <v>45212</v>
      </c>
      <c r="I549" s="32">
        <v>4.697916666666666</v>
      </c>
      <c r="J549" s="33">
        <f>F549-H549</f>
      </c>
      <c r="K549" s="28">
        <v>39</v>
      </c>
      <c r="L549" s="28">
        <v>1</v>
      </c>
      <c r="M549" s="28">
        <v>1</v>
      </c>
      <c r="N549" s="35">
        <v>1</v>
      </c>
      <c r="O549" s="34"/>
      <c r="P549" s="34"/>
      <c r="Q549" s="34"/>
      <c r="R549" s="34"/>
      <c r="S549" s="56"/>
      <c r="T549" s="34"/>
      <c r="U549" s="34"/>
      <c r="V549" s="34"/>
      <c r="W549" s="29"/>
      <c r="X549" s="28">
        <v>26</v>
      </c>
      <c r="Y549" s="28">
        <v>1</v>
      </c>
      <c r="Z549" s="28">
        <v>1</v>
      </c>
      <c r="AA549" s="28">
        <v>2</v>
      </c>
      <c r="AB549" s="28">
        <v>1</v>
      </c>
      <c r="AC549" s="28">
        <v>3</v>
      </c>
      <c r="AD549" s="28">
        <v>3</v>
      </c>
      <c r="AE549" s="28">
        <v>4</v>
      </c>
      <c r="AF549" s="28">
        <v>2</v>
      </c>
      <c r="AG549" s="28">
        <v>2</v>
      </c>
      <c r="AH549" s="29" t="s">
        <v>3744</v>
      </c>
      <c r="AI549" s="36">
        <f>IF(OR(AND(K549&lt;32, J549&lt;2), O549=1, P549=1, Q549=1, R549=1, S549=1, T549=1, U549=1, AND(W549&lt;&gt;"", W549&lt;&gt;"Oxygen", W549&lt;&gt;"LowFlow")), "Intensive", "Intermediate")</f>
      </c>
      <c r="AJ549" s="57">
        <f>IF(OR(LEFT(AH549, 1)="X", LEFT(AH549, 1)="Y", LEFT(AH549, 3)="J34M"), "CUSM", "No Match")</f>
      </c>
      <c r="AK549" s="57">
        <f>IF(AND(OR(O549=3, P549=1, Q549=1, T549=1), AJ549="no Match"), "CUSM, CHU SJ, CHUQ", "")</f>
      </c>
      <c r="AL549" s="57">
        <f>IF(AND(O549=2, ISBLANK(P549), ISBLANK(Q549), ISBLANK(R549), ISBLANK(S549), ISBLANK(T549)), "CUSM, CHU SJ, CHUS, CHUQ", "")</f>
      </c>
      <c r="AM549" s="57">
        <f>IF(AND(AJ549="no match", AK549="", AL549="", K549&lt;26), "CUSM, CHU SJ, HGJ, CHUQ, CHUS", "")</f>
      </c>
      <c r="AN549" s="57">
        <f>IF(AND(AJ549="no match", AK549="", AL549="", K549&gt;26), "CUSM, CHU SJ, HGJ, CHUQ, CHUS, HMR", "")</f>
      </c>
    </row>
    <row x14ac:dyDescent="0.25" r="550" customHeight="1" ht="17.25">
      <c r="A550" s="41" t="s">
        <v>3745</v>
      </c>
      <c r="B550" s="28">
        <v>2</v>
      </c>
      <c r="C550" s="35">
        <v>833</v>
      </c>
      <c r="D550" s="29" t="s">
        <v>376</v>
      </c>
      <c r="E550" s="30" t="s">
        <v>54</v>
      </c>
      <c r="F550" s="31">
        <v>45212</v>
      </c>
      <c r="G550" s="32">
        <v>4.829861111111111</v>
      </c>
      <c r="H550" s="31">
        <v>45212</v>
      </c>
      <c r="I550" s="32">
        <v>4.541666666666666</v>
      </c>
      <c r="J550" s="33">
        <f>F550-H550</f>
      </c>
      <c r="K550" s="28">
        <v>40</v>
      </c>
      <c r="L550" s="28">
        <v>1</v>
      </c>
      <c r="M550" s="28">
        <v>2</v>
      </c>
      <c r="N550" s="35">
        <v>1</v>
      </c>
      <c r="O550" s="34"/>
      <c r="P550" s="34"/>
      <c r="Q550" s="34"/>
      <c r="R550" s="34"/>
      <c r="S550" s="56"/>
      <c r="T550" s="34"/>
      <c r="U550" s="34"/>
      <c r="V550" s="34"/>
      <c r="W550" s="29" t="s">
        <v>74</v>
      </c>
      <c r="X550" s="28">
        <v>32</v>
      </c>
      <c r="Y550" s="28">
        <v>1</v>
      </c>
      <c r="Z550" s="28">
        <v>1</v>
      </c>
      <c r="AA550" s="28">
        <v>2</v>
      </c>
      <c r="AB550" s="28">
        <v>1</v>
      </c>
      <c r="AC550" s="28">
        <v>2</v>
      </c>
      <c r="AD550" s="28">
        <v>2</v>
      </c>
      <c r="AE550" s="28">
        <v>4</v>
      </c>
      <c r="AF550" s="28">
        <v>2</v>
      </c>
      <c r="AG550" s="28">
        <v>2</v>
      </c>
      <c r="AH550" s="29" t="s">
        <v>3746</v>
      </c>
      <c r="AI550" s="36">
        <f>IF(OR(AND(K550&lt;32, J550&lt;2), O550=1, P550=1, Q550=1, R550=1, S550=1, T550=1, U550=1, AND(W550&lt;&gt;"", W550&lt;&gt;"Oxygen", W550&lt;&gt;"LowFlow")), "Intensive", "Intermediate")</f>
      </c>
      <c r="AJ550" s="57">
        <f>IF(OR(LEFT(AH550, 1)="X", LEFT(AH550, 1)="Y", LEFT(AH550, 3)="J35M"), "CUSM", "No Match")</f>
      </c>
      <c r="AK550" s="57">
        <f>IF(AND(OR(O550=3, P550=1, Q550=1, T550=1), AJ550="no Match"), "CUSM, CHU SJ, CHUQ", "")</f>
      </c>
      <c r="AL550" s="57">
        <f>IF(AND(O550=2, ISBLANK(P550), ISBLANK(Q550), ISBLANK(R550), ISBLANK(S550), ISBLANK(T550)), "CUSM, CHU SJ, CHUS, CHUQ", "")</f>
      </c>
      <c r="AM550" s="57">
        <f>IF(AND(AJ550="no match", AK550="", AL550="", K550&lt;26), "CUSM, CHU SJ, HGJ, CHUQ, CHUS", "")</f>
      </c>
      <c r="AN550" s="57">
        <f>IF(AND(AJ550="no match", AK550="", AL550="", K550&gt;26), "CUSM, CHU SJ, HGJ, CHUQ, CHUS, HMR", "")</f>
      </c>
    </row>
    <row x14ac:dyDescent="0.25" r="551" customHeight="1" ht="17.25">
      <c r="A551" s="41" t="s">
        <v>3747</v>
      </c>
      <c r="B551" s="28">
        <v>2</v>
      </c>
      <c r="C551" s="35">
        <v>1019</v>
      </c>
      <c r="D551" s="29" t="s">
        <v>354</v>
      </c>
      <c r="E551" s="30" t="s">
        <v>54</v>
      </c>
      <c r="F551" s="31">
        <v>45212</v>
      </c>
      <c r="G551" s="32">
        <v>4.552083333333334</v>
      </c>
      <c r="H551" s="31">
        <v>45212</v>
      </c>
      <c r="I551" s="32">
        <v>4.311111111111111</v>
      </c>
      <c r="J551" s="33">
        <f>F551-H551</f>
      </c>
      <c r="K551" s="28">
        <v>40</v>
      </c>
      <c r="L551" s="28">
        <v>4</v>
      </c>
      <c r="M551" s="28">
        <v>2</v>
      </c>
      <c r="N551" s="35">
        <v>1</v>
      </c>
      <c r="O551" s="34"/>
      <c r="P551" s="34"/>
      <c r="Q551" s="34"/>
      <c r="R551" s="34"/>
      <c r="S551" s="56"/>
      <c r="T551" s="34"/>
      <c r="U551" s="34"/>
      <c r="V551" s="34"/>
      <c r="W551" s="29" t="s">
        <v>58</v>
      </c>
      <c r="X551" s="28">
        <v>30</v>
      </c>
      <c r="Y551" s="28">
        <v>1</v>
      </c>
      <c r="Z551" s="28">
        <v>1</v>
      </c>
      <c r="AA551" s="28">
        <v>2</v>
      </c>
      <c r="AB551" s="28">
        <v>1</v>
      </c>
      <c r="AC551" s="28">
        <v>2</v>
      </c>
      <c r="AD551" s="28">
        <v>2</v>
      </c>
      <c r="AE551" s="28">
        <v>4</v>
      </c>
      <c r="AF551" s="28">
        <v>2</v>
      </c>
      <c r="AG551" s="28">
        <v>2</v>
      </c>
      <c r="AH551" s="29" t="s">
        <v>3748</v>
      </c>
      <c r="AI551" s="36">
        <f>IF(OR(AND(K551&lt;32, J551&lt;2), O551=1, P551=1, Q551=1, R551=1, S551=1, T551=1, U551=1, AND(W551&lt;&gt;"", W551&lt;&gt;"Oxygen", W551&lt;&gt;"LowFlow")), "Intensive", "Intermediate")</f>
      </c>
      <c r="AJ551" s="57">
        <f>IF(OR(LEFT(AH551, 1)="X", LEFT(AH551, 1)="Y", LEFT(AH551, 3)="J36M"), "CUSM", "No Match")</f>
      </c>
      <c r="AK551" s="57">
        <f>IF(AND(OR(O551=3, P551=1, Q551=1, T551=1), AJ551="no Match"), "CUSM, CHU SJ, CHUQ", "")</f>
      </c>
      <c r="AL551" s="57">
        <f>IF(AND(O551=2, ISBLANK(P551), ISBLANK(Q551), ISBLANK(R551), ISBLANK(S551), ISBLANK(T551)), "CUSM, CHU SJ, CHUS, CHUQ", "")</f>
      </c>
      <c r="AM551" s="57">
        <f>IF(AND(AJ551="no match", AK551="", AL551="", K551&lt;26), "CUSM, CHU SJ, HGJ, CHUQ, CHUS", "")</f>
      </c>
      <c r="AN551" s="57">
        <f>IF(AND(AJ551="no match", AK551="", AL551="", K551&gt;26), "CUSM, CHU SJ, HGJ, CHUQ, CHUS, HMR", "")</f>
      </c>
    </row>
    <row x14ac:dyDescent="0.25" r="552" customHeight="1" ht="17.25">
      <c r="A552" s="41" t="s">
        <v>3749</v>
      </c>
      <c r="B552" s="28">
        <v>2</v>
      </c>
      <c r="C552" s="35">
        <v>782</v>
      </c>
      <c r="D552" s="29" t="s">
        <v>95</v>
      </c>
      <c r="E552" s="30" t="s">
        <v>50</v>
      </c>
      <c r="F552" s="31">
        <v>45212</v>
      </c>
      <c r="G552" s="32">
        <v>4.090277777777778</v>
      </c>
      <c r="H552" s="31">
        <v>45211</v>
      </c>
      <c r="I552" s="32">
        <v>4.94375</v>
      </c>
      <c r="J552" s="33">
        <f>F552-H552</f>
      </c>
      <c r="K552" s="28">
        <v>39</v>
      </c>
      <c r="L552" s="28">
        <v>2</v>
      </c>
      <c r="M552" s="28">
        <v>2</v>
      </c>
      <c r="N552" s="34"/>
      <c r="O552" s="34"/>
      <c r="P552" s="34"/>
      <c r="Q552" s="34"/>
      <c r="R552" s="34"/>
      <c r="S552" s="56"/>
      <c r="T552" s="34"/>
      <c r="U552" s="34"/>
      <c r="V552" s="34"/>
      <c r="W552" s="29"/>
      <c r="X552" s="28">
        <v>35</v>
      </c>
      <c r="Y552" s="28">
        <v>1</v>
      </c>
      <c r="Z552" s="28">
        <v>1</v>
      </c>
      <c r="AA552" s="28">
        <v>2</v>
      </c>
      <c r="AB552" s="28">
        <v>1</v>
      </c>
      <c r="AC552" s="28">
        <v>1</v>
      </c>
      <c r="AD552" s="28">
        <v>2</v>
      </c>
      <c r="AE552" s="28">
        <v>4</v>
      </c>
      <c r="AF552" s="28">
        <v>2</v>
      </c>
      <c r="AG552" s="28">
        <v>2</v>
      </c>
      <c r="AH552" s="29" t="s">
        <v>3750</v>
      </c>
      <c r="AI552" s="36">
        <f>IF(OR(AND(K552&lt;32, J552&lt;2), O552=1, P552=1, Q552=1, R552=1, S552=1, T552=1, U552=1, AND(W552&lt;&gt;"", W552&lt;&gt;"Oxygen", W552&lt;&gt;"LowFlow")), "Intensive", "Intermediate")</f>
      </c>
      <c r="AJ552" s="57">
        <f>IF(OR(LEFT(AH552, 1)="X", LEFT(AH552, 1)="Y", LEFT(AH552, 3)="J37M"), "CUSM", "No Match")</f>
      </c>
      <c r="AK552" s="57">
        <f>IF(AND(OR(O552=3, P552=1, Q552=1, T552=1), AJ552="no Match"), "CUSM, CHU SJ, CHUQ", "")</f>
      </c>
      <c r="AL552" s="57">
        <f>IF(AND(O552=2, ISBLANK(P552), ISBLANK(Q552), ISBLANK(R552), ISBLANK(S552), ISBLANK(T552)), "CUSM, CHU SJ, CHUS, CHUQ", "")</f>
      </c>
      <c r="AM552" s="57">
        <f>IF(AND(AJ552="no match", AK552="", AL552="", K552&lt;26), "CUSM, CHU SJ, HGJ, CHUQ, CHUS", "")</f>
      </c>
      <c r="AN552" s="57">
        <f>IF(AND(AJ552="no match", AK552="", AL552="", K552&gt;26), "CUSM, CHU SJ, HGJ, CHUQ, CHUS, HMR", "")</f>
      </c>
    </row>
    <row x14ac:dyDescent="0.25" r="553" customHeight="1" ht="17.25">
      <c r="A553" s="41" t="s">
        <v>3751</v>
      </c>
      <c r="B553" s="28">
        <v>2</v>
      </c>
      <c r="C553" s="35">
        <v>779</v>
      </c>
      <c r="D553" s="29" t="s">
        <v>136</v>
      </c>
      <c r="E553" s="30" t="s">
        <v>54</v>
      </c>
      <c r="F553" s="31">
        <v>45213</v>
      </c>
      <c r="G553" s="32">
        <v>4.892361111111111</v>
      </c>
      <c r="H553" s="31">
        <v>45212</v>
      </c>
      <c r="I553" s="32">
        <v>4.075694444444444</v>
      </c>
      <c r="J553" s="33">
        <f>F553-H553</f>
      </c>
      <c r="K553" s="28">
        <v>39</v>
      </c>
      <c r="L553" s="28">
        <v>2</v>
      </c>
      <c r="M553" s="28">
        <v>1</v>
      </c>
      <c r="N553" s="34"/>
      <c r="O553" s="34"/>
      <c r="P553" s="34"/>
      <c r="Q553" s="34"/>
      <c r="R553" s="34"/>
      <c r="S553" s="56"/>
      <c r="T553" s="34"/>
      <c r="U553" s="34"/>
      <c r="V553" s="34"/>
      <c r="W553" s="29"/>
      <c r="X553" s="28">
        <v>32</v>
      </c>
      <c r="Y553" s="28">
        <v>1</v>
      </c>
      <c r="Z553" s="28">
        <v>1</v>
      </c>
      <c r="AA553" s="28">
        <v>1</v>
      </c>
      <c r="AB553" s="28">
        <v>1</v>
      </c>
      <c r="AC553" s="28">
        <v>2</v>
      </c>
      <c r="AD553" s="28">
        <v>1</v>
      </c>
      <c r="AE553" s="28">
        <v>4</v>
      </c>
      <c r="AF553" s="35">
        <v>2</v>
      </c>
      <c r="AG553" s="28">
        <v>2</v>
      </c>
      <c r="AH553" s="29" t="s">
        <v>3752</v>
      </c>
      <c r="AI553" s="36">
        <f>IF(OR(AND(K553&lt;32, J553&lt;2), O553=1, P553=1, Q553=1, R553=1, S553=1, T553=1, U553=1, AND(W553&lt;&gt;"", W553&lt;&gt;"Oxygen", W553&lt;&gt;"LowFlow")), "Intensive", "Intermediate")</f>
      </c>
      <c r="AJ553" s="57">
        <f>IF(OR(LEFT(AH553, 1)="X", LEFT(AH553, 1)="Y", LEFT(AH553, 3)="J38M"), "CUSM", "No Match")</f>
      </c>
      <c r="AK553" s="57">
        <f>IF(AND(OR(O553=3, P553=1, Q553=1, T553=1), AJ553="no Match"), "CUSM, CHU SJ, CHUQ", "")</f>
      </c>
      <c r="AL553" s="57">
        <f>IF(AND(O553=2, ISBLANK(P553), ISBLANK(Q553), ISBLANK(R553), ISBLANK(S553), ISBLANK(T553)), "CUSM, CHU SJ, CHUS, CHUQ", "")</f>
      </c>
      <c r="AM553" s="57">
        <f>IF(AND(AJ553="no match", AK553="", AL553="", K553&lt;26), "CUSM, CHU SJ, HGJ, CHUQ, CHUS", "")</f>
      </c>
      <c r="AN553" s="57">
        <f>IF(AND(AJ553="no match", AK553="", AL553="", K553&gt;26), "CUSM, CHU SJ, HGJ, CHUQ, CHUS, HMR", "")</f>
      </c>
    </row>
    <row x14ac:dyDescent="0.25" r="554" customHeight="1" ht="17.25">
      <c r="A554" s="41" t="s">
        <v>3753</v>
      </c>
      <c r="B554" s="28">
        <v>2</v>
      </c>
      <c r="C554" s="28">
        <v>817</v>
      </c>
      <c r="D554" s="29" t="s">
        <v>163</v>
      </c>
      <c r="E554" s="30" t="s">
        <v>54</v>
      </c>
      <c r="F554" s="31">
        <v>45214</v>
      </c>
      <c r="G554" s="32">
        <v>4.163194444444445</v>
      </c>
      <c r="H554" s="31">
        <v>45213</v>
      </c>
      <c r="I554" s="32">
        <v>4.445833333333333</v>
      </c>
      <c r="J554" s="33">
        <f>F554-H554</f>
      </c>
      <c r="K554" s="28">
        <v>36</v>
      </c>
      <c r="L554" s="28">
        <v>1</v>
      </c>
      <c r="M554" s="28">
        <v>1</v>
      </c>
      <c r="N554" s="34"/>
      <c r="O554" s="34"/>
      <c r="P554" s="34"/>
      <c r="Q554" s="34"/>
      <c r="R554" s="34"/>
      <c r="S554" s="56"/>
      <c r="T554" s="34"/>
      <c r="U554" s="34"/>
      <c r="V554" s="34"/>
      <c r="W554" s="29" t="s">
        <v>58</v>
      </c>
      <c r="X554" s="28">
        <v>39</v>
      </c>
      <c r="Y554" s="28">
        <v>1</v>
      </c>
      <c r="Z554" s="28">
        <v>1</v>
      </c>
      <c r="AA554" s="28">
        <v>2</v>
      </c>
      <c r="AB554" s="28">
        <v>1</v>
      </c>
      <c r="AC554" s="28">
        <v>1</v>
      </c>
      <c r="AD554" s="28">
        <v>1</v>
      </c>
      <c r="AE554" s="28">
        <v>4</v>
      </c>
      <c r="AF554" s="28">
        <v>2</v>
      </c>
      <c r="AG554" s="28">
        <v>2</v>
      </c>
      <c r="AH554" s="29" t="s">
        <v>3754</v>
      </c>
      <c r="AI554" s="36">
        <f>IF(OR(AND(K554&lt;32, J554&lt;2), O554=1, P554=1, Q554=1, R554=1, S554=1, T554=1, U554=1, AND(W554&lt;&gt;"", W554&lt;&gt;"Oxygen", W554&lt;&gt;"LowFlow")), "Intensive", "Intermediate")</f>
      </c>
      <c r="AJ554" s="57">
        <f>IF(OR(LEFT(AH554, 1)="X", LEFT(AH554, 1)="Y", LEFT(AH554, 3)="J39M"), "CUSM", "No Match")</f>
      </c>
      <c r="AK554" s="57">
        <f>IF(AND(OR(O554=3, P554=1, Q554=1, T554=1), AJ554="no Match"), "CUSM, CHU SJ, CHUQ", "")</f>
      </c>
      <c r="AL554" s="57">
        <f>IF(AND(O554=2, ISBLANK(P554), ISBLANK(Q554), ISBLANK(R554), ISBLANK(S554), ISBLANK(T554)), "CUSM, CHU SJ, CHUS, CHUQ", "")</f>
      </c>
      <c r="AM554" s="57">
        <f>IF(AND(AJ554="no match", AK554="", AL554="", K554&lt;26), "CUSM, CHU SJ, HGJ, CHUQ, CHUS", "")</f>
      </c>
      <c r="AN554" s="57">
        <f>IF(AND(AJ554="no match", AK554="", AL554="", K554&gt;26), "CUSM, CHU SJ, HGJ, CHUQ, CHUS, HMR", "")</f>
      </c>
    </row>
    <row x14ac:dyDescent="0.25" r="555" customHeight="1" ht="17.25">
      <c r="A555" s="41" t="s">
        <v>3755</v>
      </c>
      <c r="B555" s="28">
        <v>2</v>
      </c>
      <c r="C555" s="35">
        <v>796</v>
      </c>
      <c r="D555" s="29" t="s">
        <v>63</v>
      </c>
      <c r="E555" s="30" t="s">
        <v>50</v>
      </c>
      <c r="F555" s="31">
        <v>45214</v>
      </c>
      <c r="G555" s="32">
        <v>4.545138888888889</v>
      </c>
      <c r="H555" s="31">
        <v>45210</v>
      </c>
      <c r="I555" s="32">
        <v>4.042361111111111</v>
      </c>
      <c r="J555" s="33">
        <f>F555-H555</f>
      </c>
      <c r="K555" s="28">
        <v>39</v>
      </c>
      <c r="L555" s="28">
        <v>0</v>
      </c>
      <c r="M555" s="28">
        <v>1</v>
      </c>
      <c r="N555" s="35">
        <v>1</v>
      </c>
      <c r="O555" s="34"/>
      <c r="P555" s="34"/>
      <c r="Q555" s="34"/>
      <c r="R555" s="34"/>
      <c r="S555" s="56"/>
      <c r="T555" s="34"/>
      <c r="U555" s="34"/>
      <c r="V555" s="34"/>
      <c r="W555" s="29" t="s">
        <v>58</v>
      </c>
      <c r="X555" s="28">
        <v>31</v>
      </c>
      <c r="Y555" s="28">
        <v>1</v>
      </c>
      <c r="Z555" s="28">
        <v>1</v>
      </c>
      <c r="AA555" s="28">
        <v>3</v>
      </c>
      <c r="AB555" s="28">
        <v>4</v>
      </c>
      <c r="AC555" s="28">
        <v>2</v>
      </c>
      <c r="AD555" s="28">
        <v>2</v>
      </c>
      <c r="AE555" s="28">
        <v>4</v>
      </c>
      <c r="AF555" s="35">
        <v>3</v>
      </c>
      <c r="AG555" s="28">
        <v>3</v>
      </c>
      <c r="AH555" s="29" t="s">
        <v>3756</v>
      </c>
      <c r="AI555" s="36">
        <f>IF(OR(AND(K555&lt;32, J555&lt;2), O555=1, P555=1, Q555=1, R555=1, S555=1, T555=1, U555=1, AND(W555&lt;&gt;"", W555&lt;&gt;"Oxygen", W555&lt;&gt;"LowFlow")), "Intensive", "Intermediate")</f>
      </c>
      <c r="AJ555" s="57">
        <f>IF(OR(LEFT(AH555, 1)="X", LEFT(AH555, 1)="Y", LEFT(AH555, 3)="J40M"), "CUSM", "No Match")</f>
      </c>
      <c r="AK555" s="57">
        <f>IF(AND(OR(O555=3, P555=1, Q555=1, T555=1), AJ555="no Match"), "CUSM, CHU SJ, CHUQ", "")</f>
      </c>
      <c r="AL555" s="57">
        <f>IF(AND(O555=2, ISBLANK(P555), ISBLANK(Q555), ISBLANK(R555), ISBLANK(S555), ISBLANK(T555)), "CUSM, CHU SJ, CHUS, CHUQ", "")</f>
      </c>
      <c r="AM555" s="57">
        <f>IF(AND(AJ555="no match", AK555="", AL555="", K555&lt;26), "CUSM, CHU SJ, HGJ, CHUQ, CHUS", "")</f>
      </c>
      <c r="AN555" s="57">
        <f>IF(AND(AJ555="no match", AK555="", AL555="", K555&gt;26), "CUSM, CHU SJ, HGJ, CHUQ, CHUS, HMR", "")</f>
      </c>
    </row>
    <row x14ac:dyDescent="0.25" r="556" customHeight="1" ht="17.25">
      <c r="A556" s="41" t="s">
        <v>3757</v>
      </c>
      <c r="B556" s="28">
        <v>2</v>
      </c>
      <c r="C556" s="35">
        <v>824</v>
      </c>
      <c r="D556" s="29" t="s">
        <v>57</v>
      </c>
      <c r="E556" s="30" t="s">
        <v>50</v>
      </c>
      <c r="F556" s="31">
        <v>45215</v>
      </c>
      <c r="G556" s="32">
        <v>4.798611111111111</v>
      </c>
      <c r="H556" s="31">
        <v>45215</v>
      </c>
      <c r="I556" s="32">
        <v>4.628472222222222</v>
      </c>
      <c r="J556" s="33">
        <f>F556-H556</f>
      </c>
      <c r="K556" s="28">
        <v>38</v>
      </c>
      <c r="L556" s="28">
        <v>6</v>
      </c>
      <c r="M556" s="28">
        <v>1</v>
      </c>
      <c r="N556" s="34"/>
      <c r="O556" s="34"/>
      <c r="P556" s="34"/>
      <c r="Q556" s="34"/>
      <c r="R556" s="34"/>
      <c r="S556" s="56"/>
      <c r="T556" s="34"/>
      <c r="U556" s="34"/>
      <c r="V556" s="34"/>
      <c r="W556" s="29" t="s">
        <v>58</v>
      </c>
      <c r="X556" s="28">
        <v>28</v>
      </c>
      <c r="Y556" s="28">
        <v>1</v>
      </c>
      <c r="Z556" s="28">
        <v>1</v>
      </c>
      <c r="AA556" s="28">
        <v>2</v>
      </c>
      <c r="AB556" s="28">
        <v>1</v>
      </c>
      <c r="AC556" s="28">
        <v>2</v>
      </c>
      <c r="AD556" s="28">
        <v>2</v>
      </c>
      <c r="AE556" s="28">
        <v>4</v>
      </c>
      <c r="AF556" s="28">
        <v>2</v>
      </c>
      <c r="AG556" s="28">
        <v>2</v>
      </c>
      <c r="AH556" s="29" t="s">
        <v>3758</v>
      </c>
      <c r="AI556" s="36">
        <f>IF(OR(AND(K556&lt;32, J556&lt;2), O556=1, P556=1, Q556=1, R556=1, S556=1, T556=1, U556=1, AND(W556&lt;&gt;"", W556&lt;&gt;"Oxygen", W556&lt;&gt;"LowFlow")), "Intensive", "Intermediate")</f>
      </c>
      <c r="AJ556" s="57">
        <f>IF(OR(LEFT(AH556, 1)="X", LEFT(AH556, 1)="Y", LEFT(AH556, 3)="J41M"), "CUSM", "No Match")</f>
      </c>
      <c r="AK556" s="57">
        <f>IF(AND(OR(O556=3, P556=1, Q556=1, T556=1), AJ556="no Match"), "CUSM, CHU SJ, CHUQ", "")</f>
      </c>
      <c r="AL556" s="57">
        <f>IF(AND(O556=2, ISBLANK(P556), ISBLANK(Q556), ISBLANK(R556), ISBLANK(S556), ISBLANK(T556)), "CUSM, CHU SJ, CHUS, CHUQ", "")</f>
      </c>
      <c r="AM556" s="57">
        <f>IF(AND(AJ556="no match", AK556="", AL556="", K556&lt;26), "CUSM, CHU SJ, HGJ, CHUQ, CHUS", "")</f>
      </c>
      <c r="AN556" s="57">
        <f>IF(AND(AJ556="no match", AK556="", AL556="", K556&gt;26), "CUSM, CHU SJ, HGJ, CHUQ, CHUS, HMR", "")</f>
      </c>
    </row>
    <row x14ac:dyDescent="0.25" r="557" customHeight="1" ht="17.25">
      <c r="A557" s="41" t="s">
        <v>3759</v>
      </c>
      <c r="B557" s="28">
        <v>2</v>
      </c>
      <c r="C557" s="35">
        <v>754</v>
      </c>
      <c r="D557" s="29" t="s">
        <v>504</v>
      </c>
      <c r="E557" s="30" t="s">
        <v>149</v>
      </c>
      <c r="F557" s="31">
        <v>45216</v>
      </c>
      <c r="G557" s="32">
        <v>4.197222222222223</v>
      </c>
      <c r="H557" s="31">
        <v>45215</v>
      </c>
      <c r="I557" s="32">
        <v>4.919444444444444</v>
      </c>
      <c r="J557" s="33">
        <f>F557-H557</f>
      </c>
      <c r="K557" s="28">
        <v>40</v>
      </c>
      <c r="L557" s="28">
        <v>0</v>
      </c>
      <c r="M557" s="28">
        <v>1</v>
      </c>
      <c r="N557" s="38"/>
      <c r="O557" s="34"/>
      <c r="P557" s="34"/>
      <c r="Q557" s="34"/>
      <c r="R557" s="34"/>
      <c r="S557" s="56"/>
      <c r="T557" s="35">
        <v>1</v>
      </c>
      <c r="U557" s="34"/>
      <c r="V557" s="34"/>
      <c r="W557" s="29"/>
      <c r="X557" s="28">
        <v>22</v>
      </c>
      <c r="Y557" s="28">
        <v>1</v>
      </c>
      <c r="Z557" s="28">
        <v>2</v>
      </c>
      <c r="AA557" s="28">
        <v>3</v>
      </c>
      <c r="AB557" s="28">
        <v>4</v>
      </c>
      <c r="AC557" s="28">
        <v>3</v>
      </c>
      <c r="AD557" s="28">
        <v>3</v>
      </c>
      <c r="AE557" s="28">
        <v>4</v>
      </c>
      <c r="AF557" s="28">
        <v>3</v>
      </c>
      <c r="AG557" s="28">
        <v>3</v>
      </c>
      <c r="AH557" s="29" t="s">
        <v>3760</v>
      </c>
      <c r="AI557" s="36">
        <f>IF(OR(AND(K557&lt;32, J557&lt;2), O557=1, P557=1, Q557=1, R557=1, S557=1, T557=1, U557=1, AND(W557&lt;&gt;"", W557&lt;&gt;"Oxygen", W557&lt;&gt;"LowFlow")), "Intensive", "Intermediate")</f>
      </c>
      <c r="AJ557" s="57">
        <f>IF(OR(LEFT(AH557, 1)="X", LEFT(AH557, 1)="Y", LEFT(AH557, 3)="J42M"), "CUSM", "No Match")</f>
      </c>
      <c r="AK557" s="57">
        <f>IF(AND(OR(O557=3, P557=1, Q557=1, T557=1), AJ557="no Match"), "CUSM, CHU SJ, CHUQ", "")</f>
      </c>
      <c r="AL557" s="57">
        <f>IF(AND(O557=2, ISBLANK(P557), ISBLANK(Q557), ISBLANK(R557), ISBLANK(S557), ISBLANK(T557)), "CUSM, CHU SJ, CHUS, CHUQ", "")</f>
      </c>
      <c r="AM557" s="57">
        <f>IF(AND(AJ557="no match", AK557="", AL557="", K557&lt;26), "CUSM, CHU SJ, HGJ, CHUQ, CHUS", "")</f>
      </c>
      <c r="AN557" s="57">
        <f>IF(AND(AJ557="no match", AK557="", AL557="", K557&gt;26), "CUSM, CHU SJ, HGJ, CHUQ, CHUS, HMR", "")</f>
      </c>
    </row>
    <row x14ac:dyDescent="0.25" r="558" customHeight="1" ht="17.25">
      <c r="A558" s="41" t="s">
        <v>3761</v>
      </c>
      <c r="B558" s="28">
        <v>2</v>
      </c>
      <c r="C558" s="28">
        <v>851</v>
      </c>
      <c r="D558" s="29" t="s">
        <v>1085</v>
      </c>
      <c r="E558" s="30" t="s">
        <v>149</v>
      </c>
      <c r="F558" s="31">
        <v>45217</v>
      </c>
      <c r="G558" s="32">
        <v>4.204166666666667</v>
      </c>
      <c r="H558" s="31">
        <v>45217</v>
      </c>
      <c r="I558" s="32">
        <v>4.053472222222222</v>
      </c>
      <c r="J558" s="33">
        <f>F558-H558</f>
      </c>
      <c r="K558" s="28">
        <v>36</v>
      </c>
      <c r="L558" s="28">
        <v>0</v>
      </c>
      <c r="M558" s="28">
        <v>1</v>
      </c>
      <c r="N558" s="38"/>
      <c r="O558" s="34"/>
      <c r="P558" s="34"/>
      <c r="Q558" s="34"/>
      <c r="R558" s="34"/>
      <c r="S558" s="56"/>
      <c r="T558" s="35">
        <v>1</v>
      </c>
      <c r="U558" s="34"/>
      <c r="V558" s="34"/>
      <c r="W558" s="29" t="s">
        <v>164</v>
      </c>
      <c r="X558" s="28">
        <v>26</v>
      </c>
      <c r="Y558" s="28">
        <v>2</v>
      </c>
      <c r="Z558" s="28">
        <v>2</v>
      </c>
      <c r="AA558" s="28">
        <v>3</v>
      </c>
      <c r="AB558" s="28">
        <v>1</v>
      </c>
      <c r="AC558" s="28">
        <v>2</v>
      </c>
      <c r="AD558" s="28">
        <v>1</v>
      </c>
      <c r="AE558" s="28">
        <v>4</v>
      </c>
      <c r="AF558" s="28">
        <v>3</v>
      </c>
      <c r="AG558" s="28">
        <v>2</v>
      </c>
      <c r="AH558" s="29" t="s">
        <v>3762</v>
      </c>
      <c r="AI558" s="36">
        <f>IF(OR(AND(K558&lt;32, J558&lt;2), O558=1, P558=1, Q558=1, R558=1, S558=1, T558=1, U558=1, AND(W558&lt;&gt;"", W558&lt;&gt;"Oxygen", W558&lt;&gt;"LowFlow")), "Intensive", "Intermediate")</f>
      </c>
      <c r="AJ558" s="57">
        <f>IF(OR(LEFT(AH558, 1)="X", LEFT(AH558, 1)="Y", LEFT(AH558, 3)="J43M"), "CUSM", "No Match")</f>
      </c>
      <c r="AK558" s="57">
        <f>IF(AND(OR(O558=3, P558=1, Q558=1, T558=1), AJ558="no Match"), "CUSM, CHU SJ, CHUQ", "")</f>
      </c>
      <c r="AL558" s="57">
        <f>IF(AND(O558=2, ISBLANK(P558), ISBLANK(Q558), ISBLANK(R558), ISBLANK(S558), ISBLANK(T558)), "CUSM, CHU SJ, CHUS, CHUQ", "")</f>
      </c>
      <c r="AM558" s="57">
        <f>IF(AND(AJ558="no match", AK558="", AL558="", K558&lt;26), "CUSM, CHU SJ, HGJ, CHUQ, CHUS", "")</f>
      </c>
      <c r="AN558" s="57">
        <f>IF(AND(AJ558="no match", AK558="", AL558="", K558&gt;26), "CUSM, CHU SJ, HGJ, CHUQ, CHUS, HMR", "")</f>
      </c>
    </row>
    <row x14ac:dyDescent="0.25" r="559" customHeight="1" ht="17.25">
      <c r="A559" s="41" t="s">
        <v>3763</v>
      </c>
      <c r="B559" s="28">
        <v>2</v>
      </c>
      <c r="C559" s="28">
        <v>824</v>
      </c>
      <c r="D559" s="29" t="s">
        <v>57</v>
      </c>
      <c r="E559" s="30" t="s">
        <v>54</v>
      </c>
      <c r="F559" s="31">
        <v>45217</v>
      </c>
      <c r="G559" s="32">
        <v>4.802083333333334</v>
      </c>
      <c r="H559" s="31">
        <v>45213</v>
      </c>
      <c r="I559" s="32">
        <v>4.3125</v>
      </c>
      <c r="J559" s="33">
        <f>F559-H559</f>
      </c>
      <c r="K559" s="28">
        <v>40</v>
      </c>
      <c r="L559" s="28">
        <v>1</v>
      </c>
      <c r="M559" s="28">
        <v>1</v>
      </c>
      <c r="N559" s="34"/>
      <c r="O559" s="34"/>
      <c r="P559" s="34"/>
      <c r="Q559" s="34"/>
      <c r="R559" s="34"/>
      <c r="S559" s="56"/>
      <c r="T559" s="34"/>
      <c r="U559" s="34"/>
      <c r="V559" s="34"/>
      <c r="W559" s="29"/>
      <c r="X559" s="28">
        <v>31</v>
      </c>
      <c r="Y559" s="28">
        <v>1</v>
      </c>
      <c r="Z559" s="28">
        <v>1</v>
      </c>
      <c r="AA559" s="28">
        <v>2</v>
      </c>
      <c r="AB559" s="28">
        <v>4</v>
      </c>
      <c r="AC559" s="28">
        <v>3</v>
      </c>
      <c r="AD559" s="28">
        <v>3</v>
      </c>
      <c r="AE559" s="28">
        <v>4</v>
      </c>
      <c r="AF559" s="28">
        <v>3</v>
      </c>
      <c r="AG559" s="28">
        <v>2</v>
      </c>
      <c r="AH559" s="29" t="s">
        <v>3764</v>
      </c>
      <c r="AI559" s="36">
        <f>IF(OR(AND(K559&lt;32, J559&lt;2), O559=1, P559=1, Q559=1, R559=1, S559=1, T559=1, U559=1, AND(W559&lt;&gt;"", W559&lt;&gt;"Oxygen", W559&lt;&gt;"LowFlow")), "Intensive", "Intermediate")</f>
      </c>
      <c r="AJ559" s="57">
        <f>IF(OR(LEFT(AH559, 1)="X", LEFT(AH559, 1)="Y", LEFT(AH559, 3)="J44M"), "CUSM", "No Match")</f>
      </c>
      <c r="AK559" s="57">
        <f>IF(AND(OR(O559=3, P559=1, Q559=1, T559=1), AJ559="no Match"), "CUSM, CHU SJ, CHUQ", "")</f>
      </c>
      <c r="AL559" s="57">
        <f>IF(AND(O559=2, ISBLANK(P559), ISBLANK(Q559), ISBLANK(R559), ISBLANK(S559), ISBLANK(T559)), "CUSM, CHU SJ, CHUS, CHUQ", "")</f>
      </c>
      <c r="AM559" s="57">
        <f>IF(AND(AJ559="no match", AK559="", AL559="", K559&lt;26), "CUSM, CHU SJ, HGJ, CHUQ, CHUS", "")</f>
      </c>
      <c r="AN559" s="57">
        <f>IF(AND(AJ559="no match", AK559="", AL559="", K559&gt;26), "CUSM, CHU SJ, HGJ, CHUQ, CHUS, HMR", "")</f>
      </c>
    </row>
    <row x14ac:dyDescent="0.25" r="560" customHeight="1" ht="17.25">
      <c r="A560" s="41" t="s">
        <v>3765</v>
      </c>
      <c r="B560" s="28">
        <v>2</v>
      </c>
      <c r="C560" s="28">
        <v>824</v>
      </c>
      <c r="D560" s="29" t="s">
        <v>57</v>
      </c>
      <c r="E560" s="30" t="s">
        <v>50</v>
      </c>
      <c r="F560" s="31">
        <v>45217</v>
      </c>
      <c r="G560" s="32">
        <v>4.743055555555555</v>
      </c>
      <c r="H560" s="31">
        <v>45217</v>
      </c>
      <c r="I560" s="32">
        <v>4.593055555555555</v>
      </c>
      <c r="J560" s="33">
        <f>F560-H560</f>
      </c>
      <c r="K560" s="28">
        <v>39</v>
      </c>
      <c r="L560" s="28">
        <v>0</v>
      </c>
      <c r="M560" s="28">
        <v>1</v>
      </c>
      <c r="N560" s="28">
        <v>1</v>
      </c>
      <c r="O560" s="38"/>
      <c r="P560" s="38"/>
      <c r="Q560" s="35">
        <v>1</v>
      </c>
      <c r="R560" s="34"/>
      <c r="S560" s="56"/>
      <c r="T560" s="35">
        <v>1</v>
      </c>
      <c r="U560" s="34"/>
      <c r="V560" s="34"/>
      <c r="W560" s="29" t="s">
        <v>142</v>
      </c>
      <c r="X560" s="28">
        <v>21</v>
      </c>
      <c r="Y560" s="28">
        <v>1</v>
      </c>
      <c r="Z560" s="28">
        <v>1</v>
      </c>
      <c r="AA560" s="28">
        <v>2</v>
      </c>
      <c r="AB560" s="28">
        <v>1</v>
      </c>
      <c r="AC560" s="28">
        <v>2</v>
      </c>
      <c r="AD560" s="28">
        <v>2</v>
      </c>
      <c r="AE560" s="28">
        <v>4</v>
      </c>
      <c r="AF560" s="28">
        <v>2</v>
      </c>
      <c r="AG560" s="28">
        <v>3</v>
      </c>
      <c r="AH560" s="29" t="s">
        <v>3766</v>
      </c>
      <c r="AI560" s="36">
        <f>IF(OR(AND(K560&lt;32, J560&lt;2), O560=1, P560=1, Q560=1, R560=1, S560=1, T560=1, U560=1, AND(W560&lt;&gt;"", W560&lt;&gt;"Oxygen", W560&lt;&gt;"LowFlow")), "Intensive", "Intermediate")</f>
      </c>
      <c r="AJ560" s="57">
        <f>IF(OR(LEFT(AH560, 1)="X", LEFT(AH560, 1)="Y", LEFT(AH560, 3)="J45M"), "CUSM", "No Match")</f>
      </c>
      <c r="AK560" s="57">
        <f>IF(AND(OR(O560=3, P560=1, Q560=1, T560=1), AJ560="no Match"), "CUSM, CHU SJ, CHUQ", "")</f>
      </c>
      <c r="AL560" s="57">
        <f>IF(AND(O560=2, ISBLANK(P560), ISBLANK(Q560), ISBLANK(R560), ISBLANK(S560), ISBLANK(T560)), "CUSM, CHU SJ, CHUS, CHUQ", "")</f>
      </c>
      <c r="AM560" s="57">
        <f>IF(AND(AJ560="no match", AK560="", AL560="", K560&lt;26), "CUSM, CHU SJ, HGJ, CHUQ, CHUS", "")</f>
      </c>
      <c r="AN560" s="57">
        <f>IF(AND(AJ560="no match", AK560="", AL560="", K560&gt;26), "CUSM, CHU SJ, HGJ, CHUQ, CHUS, HMR", "")</f>
      </c>
    </row>
    <row x14ac:dyDescent="0.25" r="561" customHeight="1" ht="17.25">
      <c r="A561" s="41" t="s">
        <v>3767</v>
      </c>
      <c r="B561" s="28">
        <v>2</v>
      </c>
      <c r="C561" s="35">
        <v>831</v>
      </c>
      <c r="D561" s="29" t="s">
        <v>313</v>
      </c>
      <c r="E561" s="30" t="s">
        <v>50</v>
      </c>
      <c r="F561" s="31">
        <v>45217</v>
      </c>
      <c r="G561" s="32">
        <v>4.506944444444445</v>
      </c>
      <c r="H561" s="31">
        <v>45207</v>
      </c>
      <c r="I561" s="32">
        <v>4.405555555555555</v>
      </c>
      <c r="J561" s="33">
        <f>F561-H561</f>
      </c>
      <c r="K561" s="28">
        <v>39</v>
      </c>
      <c r="L561" s="28">
        <v>2</v>
      </c>
      <c r="M561" s="28">
        <v>1</v>
      </c>
      <c r="N561" s="34"/>
      <c r="O561" s="34"/>
      <c r="P561" s="34"/>
      <c r="Q561" s="34"/>
      <c r="R561" s="34"/>
      <c r="S561" s="56"/>
      <c r="T561" s="34"/>
      <c r="U561" s="34"/>
      <c r="V561" s="34"/>
      <c r="W561" s="29"/>
      <c r="X561" s="28">
        <v>35</v>
      </c>
      <c r="Y561" s="28">
        <v>1</v>
      </c>
      <c r="Z561" s="28">
        <v>1</v>
      </c>
      <c r="AA561" s="28">
        <v>2</v>
      </c>
      <c r="AB561" s="28">
        <v>1</v>
      </c>
      <c r="AC561" s="28">
        <v>2</v>
      </c>
      <c r="AD561" s="28">
        <v>1</v>
      </c>
      <c r="AE561" s="28">
        <v>4</v>
      </c>
      <c r="AF561" s="28">
        <v>3</v>
      </c>
      <c r="AG561" s="28">
        <v>2</v>
      </c>
      <c r="AH561" s="29" t="s">
        <v>3768</v>
      </c>
      <c r="AI561" s="36">
        <f>IF(OR(AND(K561&lt;32, J561&lt;2), O561=1, P561=1, Q561=1, R561=1, S561=1, T561=1, U561=1, AND(W561&lt;&gt;"", W561&lt;&gt;"Oxygen", W561&lt;&gt;"LowFlow")), "Intensive", "Intermediate")</f>
      </c>
      <c r="AJ561" s="57">
        <f>IF(OR(LEFT(AH561, 1)="X", LEFT(AH561, 1)="Y", LEFT(AH561, 3)="J46M"), "CUSM", "No Match")</f>
      </c>
      <c r="AK561" s="57">
        <f>IF(AND(OR(O561=3, P561=1, Q561=1, T561=1), AJ561="no Match"), "CUSM, CHU SJ, CHUQ", "")</f>
      </c>
      <c r="AL561" s="57">
        <f>IF(AND(O561=2, ISBLANK(P561), ISBLANK(Q561), ISBLANK(R561), ISBLANK(S561), ISBLANK(T561)), "CUSM, CHU SJ, CHUS, CHUQ", "")</f>
      </c>
      <c r="AM561" s="57">
        <f>IF(AND(AJ561="no match", AK561="", AL561="", K561&lt;26), "CUSM, CHU SJ, HGJ, CHUQ, CHUS", "")</f>
      </c>
      <c r="AN561" s="57">
        <f>IF(AND(AJ561="no match", AK561="", AL561="", K561&gt;26), "CUSM, CHU SJ, HGJ, CHUQ, CHUS, HMR", "")</f>
      </c>
    </row>
    <row x14ac:dyDescent="0.25" r="562" customHeight="1" ht="17.25">
      <c r="A562" s="41" t="s">
        <v>3769</v>
      </c>
      <c r="B562" s="28">
        <v>2</v>
      </c>
      <c r="C562" s="35">
        <v>824</v>
      </c>
      <c r="D562" s="29" t="s">
        <v>57</v>
      </c>
      <c r="E562" s="30" t="s">
        <v>54</v>
      </c>
      <c r="F562" s="31">
        <v>45218</v>
      </c>
      <c r="G562" s="32">
        <v>4.746527777777778</v>
      </c>
      <c r="H562" s="31">
        <v>45217</v>
      </c>
      <c r="I562" s="32">
        <v>4.779166666666667</v>
      </c>
      <c r="J562" s="33">
        <f>F562-H562</f>
      </c>
      <c r="K562" s="28">
        <v>37</v>
      </c>
      <c r="L562" s="28">
        <v>5</v>
      </c>
      <c r="M562" s="28">
        <v>2</v>
      </c>
      <c r="N562" s="34"/>
      <c r="O562" s="34"/>
      <c r="P562" s="34"/>
      <c r="Q562" s="34"/>
      <c r="R562" s="34"/>
      <c r="S562" s="56"/>
      <c r="T562" s="34"/>
      <c r="U562" s="34"/>
      <c r="V562" s="34"/>
      <c r="W562" s="29"/>
      <c r="X562" s="28">
        <v>35</v>
      </c>
      <c r="Y562" s="28">
        <v>1</v>
      </c>
      <c r="Z562" s="28">
        <v>1</v>
      </c>
      <c r="AA562" s="28">
        <v>2</v>
      </c>
      <c r="AB562" s="28">
        <v>1</v>
      </c>
      <c r="AC562" s="28">
        <v>2</v>
      </c>
      <c r="AD562" s="28">
        <v>2</v>
      </c>
      <c r="AE562" s="28">
        <v>4</v>
      </c>
      <c r="AF562" s="28">
        <v>2</v>
      </c>
      <c r="AG562" s="28">
        <v>2</v>
      </c>
      <c r="AH562" s="29" t="s">
        <v>3770</v>
      </c>
      <c r="AI562" s="36">
        <f>IF(OR(AND(K562&lt;32, J562&lt;2), O562=1, P562=1, Q562=1, R562=1, S562=1, T562=1, U562=1, AND(W562&lt;&gt;"", W562&lt;&gt;"Oxygen", W562&lt;&gt;"LowFlow")), "Intensive", "Intermediate")</f>
      </c>
      <c r="AJ562" s="57">
        <f>IF(OR(LEFT(AH562, 1)="X", LEFT(AH562, 1)="Y", LEFT(AH562, 3)="J47M"), "CUSM", "No Match")</f>
      </c>
      <c r="AK562" s="57">
        <f>IF(AND(OR(O562=3, P562=1, Q562=1, T562=1), AJ562="no Match"), "CUSM, CHU SJ, CHUQ", "")</f>
      </c>
      <c r="AL562" s="57">
        <f>IF(AND(O562=2, ISBLANK(P562), ISBLANK(Q562), ISBLANK(R562), ISBLANK(S562), ISBLANK(T562)), "CUSM, CHU SJ, CHUS, CHUQ", "")</f>
      </c>
      <c r="AM562" s="57">
        <f>IF(AND(AJ562="no match", AK562="", AL562="", K562&lt;26), "CUSM, CHU SJ, HGJ, CHUQ, CHUS", "")</f>
      </c>
      <c r="AN562" s="57">
        <f>IF(AND(AJ562="no match", AK562="", AL562="", K562&gt;26), "CUSM, CHU SJ, HGJ, CHUQ, CHUS, HMR", "")</f>
      </c>
    </row>
    <row x14ac:dyDescent="0.25" r="563" customHeight="1" ht="17.25">
      <c r="A563" s="41" t="s">
        <v>3771</v>
      </c>
      <c r="B563" s="28">
        <v>2</v>
      </c>
      <c r="C563" s="28">
        <v>1019</v>
      </c>
      <c r="D563" s="29" t="s">
        <v>354</v>
      </c>
      <c r="E563" s="30" t="s">
        <v>54</v>
      </c>
      <c r="F563" s="31">
        <v>45218</v>
      </c>
      <c r="G563" s="32">
        <v>4.942361111111111</v>
      </c>
      <c r="H563" s="31">
        <v>45218</v>
      </c>
      <c r="I563" s="32">
        <v>4.809027777777778</v>
      </c>
      <c r="J563" s="33">
        <f>F563-H563</f>
      </c>
      <c r="K563" s="28">
        <v>39</v>
      </c>
      <c r="L563" s="28">
        <v>1</v>
      </c>
      <c r="M563" s="28">
        <v>2</v>
      </c>
      <c r="N563" s="34"/>
      <c r="O563" s="34"/>
      <c r="P563" s="34"/>
      <c r="Q563" s="34"/>
      <c r="R563" s="34"/>
      <c r="S563" s="56"/>
      <c r="T563" s="35">
        <v>1</v>
      </c>
      <c r="U563" s="34"/>
      <c r="V563" s="34"/>
      <c r="W563" s="29" t="s">
        <v>74</v>
      </c>
      <c r="X563" s="28">
        <v>27</v>
      </c>
      <c r="Y563" s="28">
        <v>1</v>
      </c>
      <c r="Z563" s="28">
        <v>2</v>
      </c>
      <c r="AA563" s="28">
        <v>1</v>
      </c>
      <c r="AB563" s="28">
        <v>2</v>
      </c>
      <c r="AC563" s="28">
        <v>2</v>
      </c>
      <c r="AD563" s="28">
        <v>2</v>
      </c>
      <c r="AE563" s="28">
        <v>4</v>
      </c>
      <c r="AF563" s="28">
        <v>1</v>
      </c>
      <c r="AG563" s="28">
        <v>2</v>
      </c>
      <c r="AH563" s="29" t="s">
        <v>3772</v>
      </c>
      <c r="AI563" s="36">
        <f>IF(OR(AND(K563&lt;32, J563&lt;2), O563=1, P563=1, Q563=1, R563=1, S563=1, T563=1, U563=1, AND(W563&lt;&gt;"", W563&lt;&gt;"Oxygen", W563&lt;&gt;"LowFlow")), "Intensive", "Intermediate")</f>
      </c>
      <c r="AJ563" s="57">
        <f>IF(OR(LEFT(AH563, 1)="X", LEFT(AH563, 1)="Y", LEFT(AH563, 3)="J48M"), "CUSM", "No Match")</f>
      </c>
      <c r="AK563" s="57">
        <f>IF(AND(OR(O563=3, P563=1, Q563=1, T563=1), AJ563="no Match"), "CUSM, CHU SJ, CHUQ", "")</f>
      </c>
      <c r="AL563" s="57">
        <f>IF(AND(O563=2, ISBLANK(P563), ISBLANK(Q563), ISBLANK(R563), ISBLANK(S563), ISBLANK(T563)), "CUSM, CHU SJ, CHUS, CHUQ", "")</f>
      </c>
      <c r="AM563" s="57">
        <f>IF(AND(AJ563="no match", AK563="", AL563="", K563&lt;26), "CUSM, CHU SJ, HGJ, CHUQ, CHUS", "")</f>
      </c>
      <c r="AN563" s="57">
        <f>IF(AND(AJ563="no match", AK563="", AL563="", K563&gt;26), "CUSM, CHU SJ, HGJ, CHUQ, CHUS, HMR", "")</f>
      </c>
    </row>
    <row x14ac:dyDescent="0.25" r="564" customHeight="1" ht="17.25">
      <c r="A564" s="41" t="s">
        <v>3773</v>
      </c>
      <c r="B564" s="28">
        <v>2</v>
      </c>
      <c r="C564" s="35">
        <v>734</v>
      </c>
      <c r="D564" s="29" t="s">
        <v>264</v>
      </c>
      <c r="E564" s="30" t="s">
        <v>220</v>
      </c>
      <c r="F564" s="31">
        <v>45218</v>
      </c>
      <c r="G564" s="32">
        <v>4.861111111111111</v>
      </c>
      <c r="H564" s="31">
        <v>45218</v>
      </c>
      <c r="I564" s="32">
        <v>4.7625</v>
      </c>
      <c r="J564" s="33">
        <f>F564-H564</f>
      </c>
      <c r="K564" s="28">
        <v>30</v>
      </c>
      <c r="L564" s="28">
        <v>0</v>
      </c>
      <c r="M564" s="28">
        <v>2</v>
      </c>
      <c r="N564" s="34"/>
      <c r="O564" s="34"/>
      <c r="P564" s="34"/>
      <c r="Q564" s="34"/>
      <c r="R564" s="34"/>
      <c r="S564" s="56"/>
      <c r="T564" s="34"/>
      <c r="U564" s="34"/>
      <c r="V564" s="34"/>
      <c r="W564" s="29" t="s">
        <v>58</v>
      </c>
      <c r="X564" s="28">
        <v>39</v>
      </c>
      <c r="Y564" s="28">
        <v>1</v>
      </c>
      <c r="Z564" s="28">
        <v>2</v>
      </c>
      <c r="AA564" s="28">
        <v>2</v>
      </c>
      <c r="AB564" s="28">
        <v>1</v>
      </c>
      <c r="AC564" s="28">
        <v>2</v>
      </c>
      <c r="AD564" s="28">
        <v>2</v>
      </c>
      <c r="AE564" s="28">
        <v>4</v>
      </c>
      <c r="AF564" s="28">
        <v>2</v>
      </c>
      <c r="AG564" s="28">
        <v>2</v>
      </c>
      <c r="AH564" s="29" t="s">
        <v>3774</v>
      </c>
      <c r="AI564" s="36">
        <f>IF(OR(AND(K564&lt;32, J564&lt;2), O564=1, P564=1, Q564=1, R564=1, S564=1, T564=1, U564=1, AND(W564&lt;&gt;"", W564&lt;&gt;"Oxygen", W564&lt;&gt;"LowFlow")), "Intensive", "Intermediate")</f>
      </c>
      <c r="AJ564" s="57">
        <f>IF(OR(LEFT(AH564, 1)="X", LEFT(AH564, 1)="Y", LEFT(AH564, 3)="J49M"), "CUSM", "No Match")</f>
      </c>
      <c r="AK564" s="57">
        <f>IF(AND(OR(O564=3, P564=1, Q564=1, T564=1), AJ564="no Match"), "CUSM, CHU SJ, CHUQ", "")</f>
      </c>
      <c r="AL564" s="57">
        <f>IF(AND(O564=2, ISBLANK(P564), ISBLANK(Q564), ISBLANK(R564), ISBLANK(S564), ISBLANK(T564)), "CUSM, CHU SJ, CHUS, CHUQ", "")</f>
      </c>
      <c r="AM564" s="57">
        <f>IF(AND(AJ564="no match", AK564="", AL564="", K564&lt;26), "CUSM, CHU SJ, HGJ, CHUQ, CHUS", "")</f>
      </c>
      <c r="AN564" s="57">
        <f>IF(AND(AJ564="no match", AK564="", AL564="", K564&gt;26), "CUSM, CHU SJ, HGJ, CHUQ, CHUS, HMR", "")</f>
      </c>
    </row>
    <row x14ac:dyDescent="0.25" r="565" customHeight="1" ht="17.25">
      <c r="A565" s="41" t="s">
        <v>3775</v>
      </c>
      <c r="B565" s="28">
        <v>2</v>
      </c>
      <c r="C565" s="35">
        <v>839</v>
      </c>
      <c r="D565" s="29" t="s">
        <v>53</v>
      </c>
      <c r="E565" s="30" t="s">
        <v>54</v>
      </c>
      <c r="F565" s="31">
        <v>45219</v>
      </c>
      <c r="G565" s="32">
        <v>4.572916666666666</v>
      </c>
      <c r="H565" s="31">
        <v>45219</v>
      </c>
      <c r="I565" s="32">
        <v>4.45625</v>
      </c>
      <c r="J565" s="33">
        <f>F565-H565</f>
      </c>
      <c r="K565" s="28">
        <v>36</v>
      </c>
      <c r="L565" s="28">
        <v>1</v>
      </c>
      <c r="M565" s="28">
        <v>2</v>
      </c>
      <c r="N565" s="28">
        <v>1</v>
      </c>
      <c r="O565" s="34"/>
      <c r="P565" s="28">
        <v>1</v>
      </c>
      <c r="Q565" s="34"/>
      <c r="R565" s="34"/>
      <c r="S565" s="56"/>
      <c r="T565" s="35">
        <v>1</v>
      </c>
      <c r="U565" s="34"/>
      <c r="V565" s="34"/>
      <c r="W565" s="29" t="s">
        <v>74</v>
      </c>
      <c r="X565" s="28">
        <v>27</v>
      </c>
      <c r="Y565" s="28">
        <v>1</v>
      </c>
      <c r="Z565" s="28">
        <v>1</v>
      </c>
      <c r="AA565" s="28">
        <v>2</v>
      </c>
      <c r="AB565" s="28">
        <v>1</v>
      </c>
      <c r="AC565" s="28">
        <v>1</v>
      </c>
      <c r="AD565" s="28">
        <v>1</v>
      </c>
      <c r="AE565" s="28">
        <v>4</v>
      </c>
      <c r="AF565" s="28">
        <v>2</v>
      </c>
      <c r="AG565" s="28">
        <v>2</v>
      </c>
      <c r="AH565" s="29" t="s">
        <v>3776</v>
      </c>
      <c r="AI565" s="36">
        <f>IF(OR(AND(K565&lt;32, J565&lt;2), O565=1, P565=1, Q565=1, R565=1, S565=1, T565=1, U565=1, AND(W565&lt;&gt;"", W565&lt;&gt;"Oxygen", W565&lt;&gt;"LowFlow")), "Intensive", "Intermediate")</f>
      </c>
      <c r="AJ565" s="57">
        <f>IF(OR(LEFT(AH565, 1)="X", LEFT(AH565, 1)="Y", LEFT(AH565, 3)="J50M"), "CUSM", "No Match")</f>
      </c>
      <c r="AK565" s="57">
        <f>IF(AND(OR(O565=3, P565=1, Q565=1, T565=1), AJ565="no Match"), "CUSM, CHU SJ, CHUQ", "")</f>
      </c>
      <c r="AL565" s="57">
        <f>IF(AND(O565=2, ISBLANK(P565), ISBLANK(Q565), ISBLANK(R565), ISBLANK(S565), ISBLANK(T565)), "CUSM, CHU SJ, CHUS, CHUQ", "")</f>
      </c>
      <c r="AM565" s="57">
        <f>IF(AND(AJ565="no match", AK565="", AL565="", K565&lt;26), "CUSM, CHU SJ, HGJ, CHUQ, CHUS", "")</f>
      </c>
      <c r="AN565" s="57">
        <f>IF(AND(AJ565="no match", AK565="", AL565="", K565&gt;26), "CUSM, CHU SJ, HGJ, CHUQ, CHUS, HMR", "")</f>
      </c>
    </row>
    <row x14ac:dyDescent="0.25" r="566" customHeight="1" ht="17.25">
      <c r="A566" s="41" t="s">
        <v>3777</v>
      </c>
      <c r="B566" s="28">
        <v>2</v>
      </c>
      <c r="C566" s="35">
        <v>833</v>
      </c>
      <c r="D566" s="29" t="s">
        <v>376</v>
      </c>
      <c r="E566" s="30" t="s">
        <v>50</v>
      </c>
      <c r="F566" s="31">
        <v>45219</v>
      </c>
      <c r="G566" s="32">
        <v>4.118055555555555</v>
      </c>
      <c r="H566" s="31">
        <v>45218</v>
      </c>
      <c r="I566" s="32">
        <v>4.9</v>
      </c>
      <c r="J566" s="33">
        <f>F566-H566</f>
      </c>
      <c r="K566" s="28">
        <v>38</v>
      </c>
      <c r="L566" s="28">
        <v>6</v>
      </c>
      <c r="M566" s="28">
        <v>1</v>
      </c>
      <c r="N566" s="38"/>
      <c r="O566" s="34"/>
      <c r="P566" s="34"/>
      <c r="Q566" s="34"/>
      <c r="R566" s="34"/>
      <c r="S566" s="56"/>
      <c r="T566" s="34"/>
      <c r="U566" s="34"/>
      <c r="V566" s="34"/>
      <c r="W566" s="29" t="s">
        <v>58</v>
      </c>
      <c r="X566" s="28">
        <v>34</v>
      </c>
      <c r="Y566" s="28">
        <v>1</v>
      </c>
      <c r="Z566" s="28">
        <v>2</v>
      </c>
      <c r="AA566" s="28">
        <v>1</v>
      </c>
      <c r="AB566" s="28">
        <v>4</v>
      </c>
      <c r="AC566" s="28">
        <v>2</v>
      </c>
      <c r="AD566" s="28">
        <v>2</v>
      </c>
      <c r="AE566" s="28">
        <v>4</v>
      </c>
      <c r="AF566" s="35">
        <v>2</v>
      </c>
      <c r="AG566" s="28">
        <v>2</v>
      </c>
      <c r="AH566" s="29" t="s">
        <v>3778</v>
      </c>
      <c r="AI566" s="36">
        <f>IF(OR(AND(K566&lt;32, J566&lt;2), O566=1, P566=1, Q566=1, R566=1, S566=1, T566=1, U566=1, AND(W566&lt;&gt;"", W566&lt;&gt;"Oxygen", W566&lt;&gt;"LowFlow")), "Intensive", "Intermediate")</f>
      </c>
      <c r="AJ566" s="57">
        <f>IF(OR(LEFT(AH566, 1)="X", LEFT(AH566, 1)="Y", LEFT(AH566, 3)="J51M"), "CUSM", "No Match")</f>
      </c>
      <c r="AK566" s="57">
        <f>IF(AND(OR(O566=3, P566=1, Q566=1, T566=1), AJ566="no Match"), "CUSM, CHU SJ, CHUQ", "")</f>
      </c>
      <c r="AL566" s="57">
        <f>IF(AND(O566=2, ISBLANK(P566), ISBLANK(Q566), ISBLANK(R566), ISBLANK(S566), ISBLANK(T566)), "CUSM, CHU SJ, CHUS, CHUQ", "")</f>
      </c>
      <c r="AM566" s="57">
        <f>IF(AND(AJ566="no match", AK566="", AL566="", K566&lt;26), "CUSM, CHU SJ, HGJ, CHUQ, CHUS", "")</f>
      </c>
      <c r="AN566" s="57">
        <f>IF(AND(AJ566="no match", AK566="", AL566="", K566&gt;26), "CUSM, CHU SJ, HGJ, CHUQ, CHUS, HMR", "")</f>
      </c>
    </row>
    <row x14ac:dyDescent="0.25" r="567" customHeight="1" ht="17.25">
      <c r="A567" s="41" t="s">
        <v>3779</v>
      </c>
      <c r="B567" s="28">
        <v>2</v>
      </c>
      <c r="C567" s="35">
        <v>721</v>
      </c>
      <c r="D567" s="29" t="s">
        <v>367</v>
      </c>
      <c r="E567" s="30" t="s">
        <v>50</v>
      </c>
      <c r="F567" s="31">
        <v>45220</v>
      </c>
      <c r="G567" s="32">
        <v>4.388888888888889</v>
      </c>
      <c r="H567" s="31">
        <v>45220</v>
      </c>
      <c r="I567" s="32">
        <v>4.009722222222223</v>
      </c>
      <c r="J567" s="33">
        <f>F567-H567</f>
      </c>
      <c r="K567" s="28">
        <v>30</v>
      </c>
      <c r="L567" s="28">
        <v>0</v>
      </c>
      <c r="M567" s="28">
        <v>1</v>
      </c>
      <c r="N567" s="34"/>
      <c r="O567" s="34"/>
      <c r="P567" s="34"/>
      <c r="Q567" s="34"/>
      <c r="R567" s="34"/>
      <c r="S567" s="56"/>
      <c r="T567" s="34"/>
      <c r="U567" s="34"/>
      <c r="V567" s="34"/>
      <c r="W567" s="29" t="s">
        <v>164</v>
      </c>
      <c r="X567" s="28">
        <v>26</v>
      </c>
      <c r="Y567" s="28">
        <v>1</v>
      </c>
      <c r="Z567" s="28">
        <v>1</v>
      </c>
      <c r="AA567" s="28">
        <v>1</v>
      </c>
      <c r="AB567" s="28">
        <v>2</v>
      </c>
      <c r="AC567" s="28">
        <v>2</v>
      </c>
      <c r="AD567" s="28">
        <v>2</v>
      </c>
      <c r="AE567" s="28">
        <v>4</v>
      </c>
      <c r="AF567" s="28">
        <v>1</v>
      </c>
      <c r="AG567" s="28">
        <v>2</v>
      </c>
      <c r="AH567" s="29" t="s">
        <v>1734</v>
      </c>
      <c r="AI567" s="36">
        <f>IF(OR(AND(K567&lt;32, J567&lt;2), O567=1, P567=1, Q567=1, R567=1, S567=1, T567=1, U567=1, AND(W567&lt;&gt;"", W567&lt;&gt;"Oxygen", W567&lt;&gt;"LowFlow")), "Intensive", "Intermediate")</f>
      </c>
      <c r="AJ567" s="57">
        <f>IF(OR(LEFT(AH567, 1)="X", LEFT(AH567, 1)="Y", LEFT(AH567, 3)="J52M"), "CUSM", "No Match")</f>
      </c>
      <c r="AK567" s="57">
        <f>IF(AND(OR(O567=3, P567=1, Q567=1, T567=1), AJ567="no Match"), "CUSM, CHU SJ, CHUQ", "")</f>
      </c>
      <c r="AL567" s="57">
        <f>IF(AND(O567=2, ISBLANK(P567), ISBLANK(Q567), ISBLANK(R567), ISBLANK(S567), ISBLANK(T567)), "CUSM, CHU SJ, CHUS, CHUQ", "")</f>
      </c>
      <c r="AM567" s="57">
        <f>IF(AND(AJ567="no match", AK567="", AL567="", K567&lt;26), "CUSM, CHU SJ, HGJ, CHUQ, CHUS", "")</f>
      </c>
      <c r="AN567" s="57">
        <f>IF(AND(AJ567="no match", AK567="", AL567="", K567&gt;26), "CUSM, CHU SJ, HGJ, CHUQ, CHUS, HMR", "")</f>
      </c>
    </row>
    <row x14ac:dyDescent="0.25" r="568" customHeight="1" ht="17.25">
      <c r="A568" s="41" t="s">
        <v>3780</v>
      </c>
      <c r="B568" s="28">
        <v>2</v>
      </c>
      <c r="C568" s="35">
        <v>734</v>
      </c>
      <c r="D568" s="29" t="s">
        <v>264</v>
      </c>
      <c r="E568" s="30" t="s">
        <v>54</v>
      </c>
      <c r="F568" s="31">
        <v>45221</v>
      </c>
      <c r="G568" s="32">
        <v>4.766666666666667</v>
      </c>
      <c r="H568" s="31">
        <v>45221</v>
      </c>
      <c r="I568" s="32">
        <v>4.167361111111111</v>
      </c>
      <c r="J568" s="33">
        <f>F568-H568</f>
      </c>
      <c r="K568" s="28">
        <v>39</v>
      </c>
      <c r="L568" s="28">
        <v>6</v>
      </c>
      <c r="M568" s="28">
        <v>1</v>
      </c>
      <c r="N568" s="34"/>
      <c r="O568" s="34"/>
      <c r="P568" s="34"/>
      <c r="Q568" s="34"/>
      <c r="R568" s="34"/>
      <c r="S568" s="56"/>
      <c r="T568" s="34"/>
      <c r="U568" s="34"/>
      <c r="V568" s="34"/>
      <c r="W568" s="29"/>
      <c r="X568" s="28">
        <v>31</v>
      </c>
      <c r="Y568" s="28">
        <v>1</v>
      </c>
      <c r="Z568" s="28">
        <v>1</v>
      </c>
      <c r="AA568" s="28">
        <v>2</v>
      </c>
      <c r="AB568" s="28">
        <v>1</v>
      </c>
      <c r="AC568" s="28">
        <v>2</v>
      </c>
      <c r="AD568" s="28">
        <v>1</v>
      </c>
      <c r="AE568" s="28">
        <v>4</v>
      </c>
      <c r="AF568" s="28">
        <v>2</v>
      </c>
      <c r="AG568" s="28">
        <v>2</v>
      </c>
      <c r="AH568" s="29" t="s">
        <v>3781</v>
      </c>
      <c r="AI568" s="36">
        <f>IF(OR(AND(K568&lt;32, J568&lt;2), O568=1, P568=1, Q568=1, R568=1, S568=1, T568=1, U568=1, AND(W568&lt;&gt;"", W568&lt;&gt;"Oxygen", W568&lt;&gt;"LowFlow")), "Intensive", "Intermediate")</f>
      </c>
      <c r="AJ568" s="57">
        <f>IF(OR(LEFT(AH568, 1)="X", LEFT(AH568, 1)="Y", LEFT(AH568, 3)="J53M"), "CUSM", "No Match")</f>
      </c>
      <c r="AK568" s="57">
        <f>IF(AND(OR(O568=3, P568=1, Q568=1, T568=1), AJ568="no Match"), "CUSM, CHU SJ, CHUQ", "")</f>
      </c>
      <c r="AL568" s="57">
        <f>IF(AND(O568=2, ISBLANK(P568), ISBLANK(Q568), ISBLANK(R568), ISBLANK(S568), ISBLANK(T568)), "CUSM, CHU SJ, CHUS, CHUQ", "")</f>
      </c>
      <c r="AM568" s="57">
        <f>IF(AND(AJ568="no match", AK568="", AL568="", K568&lt;26), "CUSM, CHU SJ, HGJ, CHUQ, CHUS", "")</f>
      </c>
      <c r="AN568" s="57">
        <f>IF(AND(AJ568="no match", AK568="", AL568="", K568&gt;26), "CUSM, CHU SJ, HGJ, CHUQ, CHUS, HMR", "")</f>
      </c>
    </row>
    <row x14ac:dyDescent="0.25" r="569" customHeight="1" ht="17.25">
      <c r="A569" s="41" t="s">
        <v>3782</v>
      </c>
      <c r="B569" s="28">
        <v>2</v>
      </c>
      <c r="C569" s="35">
        <v>1019</v>
      </c>
      <c r="D569" s="29" t="s">
        <v>354</v>
      </c>
      <c r="E569" s="30" t="s">
        <v>54</v>
      </c>
      <c r="F569" s="31">
        <v>45222</v>
      </c>
      <c r="G569" s="32">
        <v>4.142361111111111</v>
      </c>
      <c r="H569" s="31">
        <v>45222</v>
      </c>
      <c r="I569" s="32">
        <v>4.020833333333334</v>
      </c>
      <c r="J569" s="33">
        <f>F569-H569</f>
      </c>
      <c r="K569" s="28">
        <v>38</v>
      </c>
      <c r="L569" s="28">
        <v>4</v>
      </c>
      <c r="M569" s="28">
        <v>2</v>
      </c>
      <c r="N569" s="34"/>
      <c r="O569" s="34"/>
      <c r="P569" s="34"/>
      <c r="Q569" s="34"/>
      <c r="R569" s="34"/>
      <c r="S569" s="56"/>
      <c r="T569" s="34"/>
      <c r="U569" s="34"/>
      <c r="V569" s="34"/>
      <c r="W569" s="29" t="s">
        <v>164</v>
      </c>
      <c r="X569" s="28">
        <v>28</v>
      </c>
      <c r="Y569" s="28">
        <v>1</v>
      </c>
      <c r="Z569" s="28">
        <v>2</v>
      </c>
      <c r="AA569" s="28">
        <v>1</v>
      </c>
      <c r="AB569" s="28">
        <v>4</v>
      </c>
      <c r="AC569" s="28">
        <v>2</v>
      </c>
      <c r="AD569" s="28">
        <v>2</v>
      </c>
      <c r="AE569" s="28">
        <v>4</v>
      </c>
      <c r="AF569" s="28">
        <v>2</v>
      </c>
      <c r="AG569" s="28">
        <v>2</v>
      </c>
      <c r="AH569" s="29" t="s">
        <v>3783</v>
      </c>
      <c r="AI569" s="36">
        <f>IF(OR(AND(K569&lt;32, J569&lt;2), O569=1, P569=1, Q569=1, R569=1, S569=1, T569=1, U569=1, AND(W569&lt;&gt;"", W569&lt;&gt;"Oxygen", W569&lt;&gt;"LowFlow")), "Intensive", "Intermediate")</f>
      </c>
      <c r="AJ569" s="57">
        <f>IF(OR(LEFT(AH569, 1)="X", LEFT(AH569, 1)="Y", LEFT(AH569, 3)="J54M"), "CUSM", "No Match")</f>
      </c>
      <c r="AK569" s="57">
        <f>IF(AND(OR(O569=3, P569=1, Q569=1, T569=1), AJ569="no Match"), "CUSM, CHU SJ, CHUQ", "")</f>
      </c>
      <c r="AL569" s="57">
        <f>IF(AND(O569=2, ISBLANK(P569), ISBLANK(Q569), ISBLANK(R569), ISBLANK(S569), ISBLANK(T569)), "CUSM, CHU SJ, CHUS, CHUQ", "")</f>
      </c>
      <c r="AM569" s="57">
        <f>IF(AND(AJ569="no match", AK569="", AL569="", K569&lt;26), "CUSM, CHU SJ, HGJ, CHUQ, CHUS", "")</f>
      </c>
      <c r="AN569" s="57">
        <f>IF(AND(AJ569="no match", AK569="", AL569="", K569&gt;26), "CUSM, CHU SJ, HGJ, CHUQ, CHUS, HMR", "")</f>
      </c>
    </row>
    <row x14ac:dyDescent="0.25" r="570" customHeight="1" ht="17.25">
      <c r="A570" s="41" t="s">
        <v>3784</v>
      </c>
      <c r="B570" s="28">
        <v>2</v>
      </c>
      <c r="C570" s="35">
        <v>731</v>
      </c>
      <c r="D570" s="29" t="s">
        <v>103</v>
      </c>
      <c r="E570" s="30" t="s">
        <v>149</v>
      </c>
      <c r="F570" s="31">
        <v>45223</v>
      </c>
      <c r="G570" s="32">
        <v>4.649305555555555</v>
      </c>
      <c r="H570" s="31">
        <v>45223</v>
      </c>
      <c r="I570" s="32">
        <v>4.458333333333334</v>
      </c>
      <c r="J570" s="33">
        <f>F570-H570</f>
      </c>
      <c r="K570" s="28">
        <v>26</v>
      </c>
      <c r="L570" s="28">
        <v>0</v>
      </c>
      <c r="M570" s="28">
        <v>1</v>
      </c>
      <c r="N570" s="35">
        <v>1</v>
      </c>
      <c r="O570" s="34"/>
      <c r="P570" s="34"/>
      <c r="Q570" s="34"/>
      <c r="R570" s="34"/>
      <c r="S570" s="56"/>
      <c r="T570" s="34"/>
      <c r="U570" s="34"/>
      <c r="V570" s="35">
        <v>1</v>
      </c>
      <c r="W570" s="29" t="s">
        <v>74</v>
      </c>
      <c r="X570" s="28">
        <v>29</v>
      </c>
      <c r="Y570" s="28">
        <v>1</v>
      </c>
      <c r="Z570" s="28">
        <v>2</v>
      </c>
      <c r="AA570" s="28">
        <v>1</v>
      </c>
      <c r="AB570" s="28">
        <v>4</v>
      </c>
      <c r="AC570" s="28">
        <v>2</v>
      </c>
      <c r="AD570" s="28">
        <v>2</v>
      </c>
      <c r="AE570" s="28">
        <v>4</v>
      </c>
      <c r="AF570" s="28">
        <v>3</v>
      </c>
      <c r="AG570" s="28">
        <v>2</v>
      </c>
      <c r="AH570" s="29" t="s">
        <v>3785</v>
      </c>
      <c r="AI570" s="36">
        <f>IF(OR(AND(K570&lt;32, J570&lt;2), O570=1, P570=1, Q570=1, R570=1, S570=1, T570=1, U570=1, AND(W570&lt;&gt;"", W570&lt;&gt;"Oxygen", W570&lt;&gt;"LowFlow")), "Intensive", "Intermediate")</f>
      </c>
      <c r="AJ570" s="57">
        <f>IF(OR(LEFT(AH570, 1)="X", LEFT(AH570, 1)="Y", LEFT(AH570, 3)="J55M"), "CUSM", "No Match")</f>
      </c>
      <c r="AK570" s="57">
        <f>IF(AND(OR(O570=3, P570=1, Q570=1, T570=1), AJ570="no Match"), "CUSM, CHU SJ, CHUQ", "")</f>
      </c>
      <c r="AL570" s="57">
        <f>IF(AND(O570=2, ISBLANK(P570), ISBLANK(Q570), ISBLANK(R570), ISBLANK(S570), ISBLANK(T570)), "CUSM, CHU SJ, CHUS, CHUQ", "")</f>
      </c>
      <c r="AM570" s="57">
        <f>IF(AND(AJ570="no match", AK570="", AL570="", K570&lt;26), "CUSM, CHU SJ, HGJ, CHUQ, CHUS", "")</f>
      </c>
      <c r="AN570" s="57">
        <f>IF(AND(AJ570="no match", AK570="", AL570="", K570&gt;26), "CUSM, CHU SJ, HGJ, CHUQ, CHUS, HMR", "")</f>
      </c>
    </row>
    <row x14ac:dyDescent="0.25" r="571" customHeight="1" ht="17.25">
      <c r="A571" s="41" t="s">
        <v>3786</v>
      </c>
      <c r="B571" s="28">
        <v>2</v>
      </c>
      <c r="C571" s="35">
        <v>737</v>
      </c>
      <c r="D571" s="29" t="s">
        <v>202</v>
      </c>
      <c r="E571" s="30" t="s">
        <v>54</v>
      </c>
      <c r="F571" s="31">
        <v>45223</v>
      </c>
      <c r="G571" s="32">
        <v>4.260416666666666</v>
      </c>
      <c r="H571" s="31">
        <v>45217</v>
      </c>
      <c r="I571" s="39"/>
      <c r="J571" s="33">
        <f>F571-H571</f>
      </c>
      <c r="K571" s="28">
        <v>38</v>
      </c>
      <c r="L571" s="28">
        <v>5</v>
      </c>
      <c r="M571" s="28">
        <v>1</v>
      </c>
      <c r="N571" s="34"/>
      <c r="O571" s="34"/>
      <c r="P571" s="34"/>
      <c r="Q571" s="34"/>
      <c r="R571" s="34"/>
      <c r="S571" s="56"/>
      <c r="T571" s="34"/>
      <c r="U571" s="34"/>
      <c r="V571" s="34"/>
      <c r="W571" s="29"/>
      <c r="X571" s="28">
        <v>31</v>
      </c>
      <c r="Y571" s="28">
        <v>1</v>
      </c>
      <c r="Z571" s="28">
        <v>1</v>
      </c>
      <c r="AA571" s="28">
        <v>3</v>
      </c>
      <c r="AB571" s="28">
        <v>4</v>
      </c>
      <c r="AC571" s="28">
        <v>2</v>
      </c>
      <c r="AD571" s="28">
        <v>2</v>
      </c>
      <c r="AE571" s="28">
        <v>4</v>
      </c>
      <c r="AF571" s="28">
        <v>3</v>
      </c>
      <c r="AG571" s="28">
        <v>2</v>
      </c>
      <c r="AH571" s="29" t="s">
        <v>3787</v>
      </c>
      <c r="AI571" s="36">
        <f>IF(OR(AND(K571&lt;32, J571&lt;2), O571=1, P571=1, Q571=1, R571=1, S571=1, T571=1, U571=1, AND(W571&lt;&gt;"", W571&lt;&gt;"Oxygen", W571&lt;&gt;"LowFlow")), "Intensive", "Intermediate")</f>
      </c>
      <c r="AJ571" s="57">
        <f>IF(OR(LEFT(AH571, 1)="X", LEFT(AH571, 1)="Y", LEFT(AH571, 3)="J56M"), "CUSM", "No Match")</f>
      </c>
      <c r="AK571" s="57">
        <f>IF(AND(OR(O571=3, P571=1, Q571=1, T571=1), AJ571="no Match"), "CUSM, CHU SJ, CHUQ", "")</f>
      </c>
      <c r="AL571" s="57">
        <f>IF(AND(O571=2, ISBLANK(P571), ISBLANK(Q571), ISBLANK(R571), ISBLANK(S571), ISBLANK(T571)), "CUSM, CHU SJ, CHUS, CHUQ", "")</f>
      </c>
      <c r="AM571" s="57">
        <f>IF(AND(AJ571="no match", AK571="", AL571="", K571&lt;26), "CUSM, CHU SJ, HGJ, CHUQ, CHUS", "")</f>
      </c>
      <c r="AN571" s="57">
        <f>IF(AND(AJ571="no match", AK571="", AL571="", K571&gt;26), "CUSM, CHU SJ, HGJ, CHUQ, CHUS, HMR", "")</f>
      </c>
    </row>
    <row x14ac:dyDescent="0.25" r="572" customHeight="1" ht="17.25">
      <c r="A572" s="41" t="s">
        <v>3788</v>
      </c>
      <c r="B572" s="28">
        <v>2</v>
      </c>
      <c r="C572" s="35">
        <v>779</v>
      </c>
      <c r="D572" s="29" t="s">
        <v>136</v>
      </c>
      <c r="E572" s="30" t="s">
        <v>78</v>
      </c>
      <c r="F572" s="31">
        <v>45223</v>
      </c>
      <c r="G572" s="32">
        <v>4.604166666666666</v>
      </c>
      <c r="H572" s="31">
        <v>45223</v>
      </c>
      <c r="I572" s="32">
        <v>4.25</v>
      </c>
      <c r="J572" s="33">
        <f>F572-H572</f>
      </c>
      <c r="K572" s="28">
        <v>35</v>
      </c>
      <c r="L572" s="28">
        <v>0</v>
      </c>
      <c r="M572" s="28">
        <v>1</v>
      </c>
      <c r="N572" s="34"/>
      <c r="O572" s="34"/>
      <c r="P572" s="34"/>
      <c r="Q572" s="34"/>
      <c r="R572" s="34"/>
      <c r="S572" s="56"/>
      <c r="T572" s="34"/>
      <c r="U572" s="34"/>
      <c r="V572" s="34"/>
      <c r="W572" s="29" t="s">
        <v>74</v>
      </c>
      <c r="X572" s="28">
        <v>34</v>
      </c>
      <c r="Y572" s="28">
        <v>2</v>
      </c>
      <c r="Z572" s="28">
        <v>2</v>
      </c>
      <c r="AA572" s="28">
        <v>2</v>
      </c>
      <c r="AB572" s="28">
        <v>1</v>
      </c>
      <c r="AC572" s="28">
        <v>2</v>
      </c>
      <c r="AD572" s="28">
        <v>2</v>
      </c>
      <c r="AE572" s="28">
        <v>4</v>
      </c>
      <c r="AF572" s="28">
        <v>2</v>
      </c>
      <c r="AG572" s="28">
        <v>2</v>
      </c>
      <c r="AH572" s="29" t="s">
        <v>1052</v>
      </c>
      <c r="AI572" s="36">
        <f>IF(OR(AND(K572&lt;32, J572&lt;2), O572=1, P572=1, Q572=1, R572=1, S572=1, T572=1, U572=1, AND(W572&lt;&gt;"", W572&lt;&gt;"Oxygen", W572&lt;&gt;"LowFlow")), "Intensive", "Intermediate")</f>
      </c>
      <c r="AJ572" s="57">
        <f>IF(OR(LEFT(AH572, 1)="X", LEFT(AH572, 1)="Y", LEFT(AH572, 3)="J57M"), "CUSM", "No Match")</f>
      </c>
      <c r="AK572" s="57">
        <f>IF(AND(OR(O572=3, P572=1, Q572=1, T572=1), AJ572="no Match"), "CUSM, CHU SJ, CHUQ", "")</f>
      </c>
      <c r="AL572" s="57">
        <f>IF(AND(O572=2, ISBLANK(P572), ISBLANK(Q572), ISBLANK(R572), ISBLANK(S572), ISBLANK(T572)), "CUSM, CHU SJ, CHUS, CHUQ", "")</f>
      </c>
      <c r="AM572" s="57">
        <f>IF(AND(AJ572="no match", AK572="", AL572="", K572&lt;26), "CUSM, CHU SJ, HGJ, CHUQ, CHUS", "")</f>
      </c>
      <c r="AN572" s="57">
        <f>IF(AND(AJ572="no match", AK572="", AL572="", K572&gt;26), "CUSM, CHU SJ, HGJ, CHUQ, CHUS, HMR", "")</f>
      </c>
    </row>
    <row x14ac:dyDescent="0.25" r="573" customHeight="1" ht="17.25">
      <c r="A573" s="41" t="s">
        <v>3789</v>
      </c>
      <c r="B573" s="28">
        <v>2</v>
      </c>
      <c r="C573" s="35">
        <v>779</v>
      </c>
      <c r="D573" s="29" t="s">
        <v>136</v>
      </c>
      <c r="E573" s="30" t="s">
        <v>78</v>
      </c>
      <c r="F573" s="31">
        <v>45223</v>
      </c>
      <c r="G573" s="32">
        <v>4.697916666666666</v>
      </c>
      <c r="H573" s="31">
        <v>45223</v>
      </c>
      <c r="I573" s="32">
        <v>4.256944444444445</v>
      </c>
      <c r="J573" s="33">
        <f>F573-H573</f>
      </c>
      <c r="K573" s="28">
        <v>35</v>
      </c>
      <c r="L573" s="28">
        <v>0</v>
      </c>
      <c r="M573" s="28">
        <v>1</v>
      </c>
      <c r="N573" s="34"/>
      <c r="O573" s="34"/>
      <c r="P573" s="34"/>
      <c r="Q573" s="34"/>
      <c r="R573" s="34"/>
      <c r="S573" s="56"/>
      <c r="T573" s="34"/>
      <c r="U573" s="34"/>
      <c r="V573" s="34"/>
      <c r="W573" s="29" t="s">
        <v>58</v>
      </c>
      <c r="X573" s="28">
        <v>34</v>
      </c>
      <c r="Y573" s="28">
        <v>2</v>
      </c>
      <c r="Z573" s="28">
        <v>2</v>
      </c>
      <c r="AA573" s="28">
        <v>2</v>
      </c>
      <c r="AB573" s="28">
        <v>1</v>
      </c>
      <c r="AC573" s="28">
        <v>2</v>
      </c>
      <c r="AD573" s="28">
        <v>2</v>
      </c>
      <c r="AE573" s="28">
        <v>4</v>
      </c>
      <c r="AF573" s="28">
        <v>2</v>
      </c>
      <c r="AG573" s="28">
        <v>2</v>
      </c>
      <c r="AH573" s="29" t="s">
        <v>1052</v>
      </c>
      <c r="AI573" s="36">
        <f>IF(OR(AND(K573&lt;32, J573&lt;2), O573=1, P573=1, Q573=1, R573=1, S573=1, T573=1, U573=1, AND(W573&lt;&gt;"", W573&lt;&gt;"Oxygen", W573&lt;&gt;"LowFlow")), "Intensive", "Intermediate")</f>
      </c>
      <c r="AJ573" s="57">
        <f>IF(OR(LEFT(AH573, 1)="X", LEFT(AH573, 1)="Y", LEFT(AH573, 3)="J58M"), "CUSM", "No Match")</f>
      </c>
      <c r="AK573" s="57">
        <f>IF(AND(OR(O573=3, P573=1, Q573=1, T573=1), AJ573="no Match"), "CUSM, CHU SJ, CHUQ", "")</f>
      </c>
      <c r="AL573" s="57">
        <f>IF(AND(O573=2, ISBLANK(P573), ISBLANK(Q573), ISBLANK(R573), ISBLANK(S573), ISBLANK(T573)), "CUSM, CHU SJ, CHUS, CHUQ", "")</f>
      </c>
      <c r="AM573" s="57">
        <f>IF(AND(AJ573="no match", AK573="", AL573="", K573&lt;26), "CUSM, CHU SJ, HGJ, CHUQ, CHUS", "")</f>
      </c>
      <c r="AN573" s="57">
        <f>IF(AND(AJ573="no match", AK573="", AL573="", K573&gt;26), "CUSM, CHU SJ, HGJ, CHUQ, CHUS, HMR", "")</f>
      </c>
    </row>
    <row x14ac:dyDescent="0.25" r="574" customHeight="1" ht="17.25">
      <c r="A574" s="41" t="s">
        <v>3790</v>
      </c>
      <c r="B574" s="28">
        <v>2</v>
      </c>
      <c r="C574" s="28">
        <v>756</v>
      </c>
      <c r="D574" s="29" t="s">
        <v>66</v>
      </c>
      <c r="E574" s="30" t="s">
        <v>50</v>
      </c>
      <c r="F574" s="31">
        <v>45223</v>
      </c>
      <c r="G574" s="32">
        <v>4.708333333333334</v>
      </c>
      <c r="H574" s="31">
        <v>45223</v>
      </c>
      <c r="I574" s="32">
        <v>4.6097222222222225</v>
      </c>
      <c r="J574" s="33">
        <f>F574-H574</f>
      </c>
      <c r="K574" s="28">
        <v>24</v>
      </c>
      <c r="L574" s="28">
        <v>1</v>
      </c>
      <c r="M574" s="28">
        <v>1</v>
      </c>
      <c r="N574" s="35">
        <v>1</v>
      </c>
      <c r="O574" s="34"/>
      <c r="P574" s="34"/>
      <c r="Q574" s="34"/>
      <c r="R574" s="34"/>
      <c r="S574" s="56"/>
      <c r="T574" s="34"/>
      <c r="U574" s="34"/>
      <c r="V574" s="34"/>
      <c r="W574" s="29" t="s">
        <v>74</v>
      </c>
      <c r="X574" s="28">
        <v>32</v>
      </c>
      <c r="Y574" s="28">
        <v>1</v>
      </c>
      <c r="Z574" s="28">
        <v>1</v>
      </c>
      <c r="AA574" s="28">
        <v>1</v>
      </c>
      <c r="AB574" s="28">
        <v>1</v>
      </c>
      <c r="AC574" s="28">
        <v>2</v>
      </c>
      <c r="AD574" s="28">
        <v>2</v>
      </c>
      <c r="AE574" s="28">
        <v>4</v>
      </c>
      <c r="AF574" s="28">
        <v>2</v>
      </c>
      <c r="AG574" s="28">
        <v>2</v>
      </c>
      <c r="AH574" s="29" t="s">
        <v>3791</v>
      </c>
      <c r="AI574" s="36">
        <f>IF(OR(AND(K574&lt;32, J574&lt;2), O574=1, P574=1, Q574=1, R574=1, S574=1, T574=1, U574=1, AND(W574&lt;&gt;"", W574&lt;&gt;"Oxygen", W574&lt;&gt;"LowFlow")), "Intensive", "Intermediate")</f>
      </c>
      <c r="AJ574" s="57">
        <f>IF(OR(LEFT(AH574, 1)="X", LEFT(AH574, 1)="Y", LEFT(AH574, 3)="J59M"), "CUSM", "No Match")</f>
      </c>
      <c r="AK574" s="57">
        <f>IF(AND(OR(O574=3, P574=1, Q574=1, T574=1), AJ574="no Match"), "CUSM, CHU SJ, CHUQ", "")</f>
      </c>
      <c r="AL574" s="57">
        <f>IF(AND(O574=2, ISBLANK(P574), ISBLANK(Q574), ISBLANK(R574), ISBLANK(S574), ISBLANK(T574)), "CUSM, CHU SJ, CHUS, CHUQ", "")</f>
      </c>
      <c r="AM574" s="57">
        <f>IF(AND(AJ574="no match", AK574="", AL574="", K574&lt;26), "CUSM, CHU SJ, HGJ, CHUQ, CHUS", "")</f>
      </c>
      <c r="AN574" s="57">
        <f>IF(AND(AJ574="no match", AK574="", AL574="", K574&gt;26), "CUSM, CHU SJ, HGJ, CHUQ, CHUS, HMR", "")</f>
      </c>
    </row>
    <row x14ac:dyDescent="0.25" r="575" customHeight="1" ht="17.25">
      <c r="A575" s="41" t="s">
        <v>3792</v>
      </c>
      <c r="B575" s="28">
        <v>2</v>
      </c>
      <c r="C575" s="28">
        <v>825</v>
      </c>
      <c r="D575" s="29" t="s">
        <v>77</v>
      </c>
      <c r="E575" s="30" t="s">
        <v>50</v>
      </c>
      <c r="F575" s="31">
        <v>45223</v>
      </c>
      <c r="G575" s="32">
        <v>4.618055555555555</v>
      </c>
      <c r="H575" s="31">
        <v>45223</v>
      </c>
      <c r="I575" s="32">
        <v>4.297916666666667</v>
      </c>
      <c r="J575" s="33">
        <f>F575-H575</f>
      </c>
      <c r="K575" s="28">
        <v>36</v>
      </c>
      <c r="L575" s="28">
        <v>6</v>
      </c>
      <c r="M575" s="28">
        <v>2</v>
      </c>
      <c r="N575" s="34"/>
      <c r="O575" s="34"/>
      <c r="P575" s="34"/>
      <c r="Q575" s="34"/>
      <c r="R575" s="34"/>
      <c r="S575" s="56"/>
      <c r="T575" s="35">
        <v>1</v>
      </c>
      <c r="U575" s="34"/>
      <c r="V575" s="34"/>
      <c r="W575" s="29"/>
      <c r="X575" s="28">
        <v>39</v>
      </c>
      <c r="Y575" s="28">
        <v>1</v>
      </c>
      <c r="Z575" s="28">
        <v>1</v>
      </c>
      <c r="AA575" s="28">
        <v>2</v>
      </c>
      <c r="AB575" s="28">
        <v>1</v>
      </c>
      <c r="AC575" s="28">
        <v>2</v>
      </c>
      <c r="AD575" s="28">
        <v>1</v>
      </c>
      <c r="AE575" s="28">
        <v>4</v>
      </c>
      <c r="AF575" s="28">
        <v>2</v>
      </c>
      <c r="AG575" s="28">
        <v>2</v>
      </c>
      <c r="AH575" s="29" t="s">
        <v>3793</v>
      </c>
      <c r="AI575" s="36">
        <f>IF(OR(AND(K575&lt;32, J575&lt;2), O575=1, P575=1, Q575=1, R575=1, S575=1, T575=1, U575=1, AND(W575&lt;&gt;"", W575&lt;&gt;"Oxygen", W575&lt;&gt;"LowFlow")), "Intensive", "Intermediate")</f>
      </c>
      <c r="AJ575" s="57">
        <f>IF(OR(LEFT(AH575, 1)="X", LEFT(AH575, 1)="Y", LEFT(AH575, 3)="J60M"), "CUSM", "No Match")</f>
      </c>
      <c r="AK575" s="57">
        <f>IF(AND(OR(O575=3, P575=1, Q575=1, T575=1), AJ575="no Match"), "CUSM, CHU SJ, CHUQ", "")</f>
      </c>
      <c r="AL575" s="57">
        <f>IF(AND(O575=2, ISBLANK(P575), ISBLANK(Q575), ISBLANK(R575), ISBLANK(S575), ISBLANK(T575)), "CUSM, CHU SJ, CHUS, CHUQ", "")</f>
      </c>
      <c r="AM575" s="57">
        <f>IF(AND(AJ575="no match", AK575="", AL575="", K575&lt;26), "CUSM, CHU SJ, HGJ, CHUQ, CHUS", "")</f>
      </c>
      <c r="AN575" s="57">
        <f>IF(AND(AJ575="no match", AK575="", AL575="", K575&gt;26), "CUSM, CHU SJ, HGJ, CHUQ, CHUS, HMR", "")</f>
      </c>
    </row>
    <row x14ac:dyDescent="0.25" r="576" customHeight="1" ht="17.25">
      <c r="A576" s="41" t="s">
        <v>3794</v>
      </c>
      <c r="B576" s="28">
        <v>2</v>
      </c>
      <c r="C576" s="35">
        <v>730</v>
      </c>
      <c r="D576" s="29" t="s">
        <v>81</v>
      </c>
      <c r="E576" s="30" t="s">
        <v>50</v>
      </c>
      <c r="F576" s="31">
        <v>45223</v>
      </c>
      <c r="G576" s="32">
        <v>4.496527777777778</v>
      </c>
      <c r="H576" s="31">
        <v>45223</v>
      </c>
      <c r="I576" s="32">
        <v>4.371527777777778</v>
      </c>
      <c r="J576" s="33">
        <f>F576-H576</f>
      </c>
      <c r="K576" s="28">
        <v>39</v>
      </c>
      <c r="L576" s="28">
        <v>1</v>
      </c>
      <c r="M576" s="28">
        <v>1</v>
      </c>
      <c r="N576" s="35">
        <v>1</v>
      </c>
      <c r="O576" s="34"/>
      <c r="P576" s="34"/>
      <c r="Q576" s="34"/>
      <c r="R576" s="34"/>
      <c r="S576" s="56"/>
      <c r="T576" s="34"/>
      <c r="U576" s="34"/>
      <c r="V576" s="34"/>
      <c r="W576" s="29"/>
      <c r="X576" s="28">
        <v>37</v>
      </c>
      <c r="Y576" s="28">
        <v>1</v>
      </c>
      <c r="Z576" s="28">
        <v>2</v>
      </c>
      <c r="AA576" s="28">
        <v>1</v>
      </c>
      <c r="AB576" s="28">
        <v>1</v>
      </c>
      <c r="AC576" s="28">
        <v>2</v>
      </c>
      <c r="AD576" s="28">
        <v>2</v>
      </c>
      <c r="AE576" s="28">
        <v>4</v>
      </c>
      <c r="AF576" s="28">
        <v>2</v>
      </c>
      <c r="AG576" s="28">
        <v>2</v>
      </c>
      <c r="AH576" s="29" t="s">
        <v>3795</v>
      </c>
      <c r="AI576" s="36">
        <f>IF(OR(AND(K576&lt;32, J576&lt;2), O576=1, P576=1, Q576=1, R576=1, S576=1, T576=1, U576=1, AND(W576&lt;&gt;"", W576&lt;&gt;"Oxygen", W576&lt;&gt;"LowFlow")), "Intensive", "Intermediate")</f>
      </c>
      <c r="AJ576" s="57">
        <f>IF(OR(LEFT(AH576, 1)="X", LEFT(AH576, 1)="Y", LEFT(AH576, 3)="J61M"), "CUSM", "No Match")</f>
      </c>
      <c r="AK576" s="57">
        <f>IF(AND(OR(O576=3, P576=1, Q576=1, T576=1), AJ576="no Match"), "CUSM, CHU SJ, CHUQ", "")</f>
      </c>
      <c r="AL576" s="57">
        <f>IF(AND(O576=2, ISBLANK(P576), ISBLANK(Q576), ISBLANK(R576), ISBLANK(S576), ISBLANK(T576)), "CUSM, CHU SJ, CHUS, CHUQ", "")</f>
      </c>
      <c r="AM576" s="57">
        <f>IF(AND(AJ576="no match", AK576="", AL576="", K576&lt;26), "CUSM, CHU SJ, HGJ, CHUQ, CHUS", "")</f>
      </c>
      <c r="AN576" s="57">
        <f>IF(AND(AJ576="no match", AK576="", AL576="", K576&gt;26), "CUSM, CHU SJ, HGJ, CHUQ, CHUS, HMR", "")</f>
      </c>
    </row>
    <row x14ac:dyDescent="0.25" r="577" customHeight="1" ht="17.25">
      <c r="A577" s="41" t="s">
        <v>3796</v>
      </c>
      <c r="B577" s="28">
        <v>2</v>
      </c>
      <c r="C577" s="35">
        <v>734</v>
      </c>
      <c r="D577" s="29" t="s">
        <v>264</v>
      </c>
      <c r="E577" s="30" t="s">
        <v>54</v>
      </c>
      <c r="F577" s="31">
        <v>45225</v>
      </c>
      <c r="G577" s="32">
        <v>4.863888888888889</v>
      </c>
      <c r="H577" s="31">
        <v>45225</v>
      </c>
      <c r="I577" s="32">
        <v>4.307638888888889</v>
      </c>
      <c r="J577" s="33">
        <f>F577-H577</f>
      </c>
      <c r="K577" s="28">
        <v>39</v>
      </c>
      <c r="L577" s="28">
        <v>5</v>
      </c>
      <c r="M577" s="28">
        <v>1</v>
      </c>
      <c r="N577" s="34"/>
      <c r="O577" s="34"/>
      <c r="P577" s="34"/>
      <c r="Q577" s="34"/>
      <c r="R577" s="34"/>
      <c r="S577" s="56"/>
      <c r="T577" s="34"/>
      <c r="U577" s="34"/>
      <c r="V577" s="34"/>
      <c r="W577" s="29" t="s">
        <v>58</v>
      </c>
      <c r="X577" s="28">
        <v>29</v>
      </c>
      <c r="Y577" s="28">
        <v>1</v>
      </c>
      <c r="Z577" s="28">
        <v>1</v>
      </c>
      <c r="AA577" s="28">
        <v>2</v>
      </c>
      <c r="AB577" s="28">
        <v>2</v>
      </c>
      <c r="AC577" s="28">
        <v>2</v>
      </c>
      <c r="AD577" s="28">
        <v>2</v>
      </c>
      <c r="AE577" s="28">
        <v>4</v>
      </c>
      <c r="AF577" s="28">
        <v>2</v>
      </c>
      <c r="AG577" s="28">
        <v>2</v>
      </c>
      <c r="AH577" s="29" t="s">
        <v>3797</v>
      </c>
      <c r="AI577" s="36">
        <f>IF(OR(AND(K577&lt;32, J577&lt;2), O577=1, P577=1, Q577=1, R577=1, S577=1, T577=1, U577=1, AND(W577&lt;&gt;"", W577&lt;&gt;"Oxygen", W577&lt;&gt;"LowFlow")), "Intensive", "Intermediate")</f>
      </c>
      <c r="AJ577" s="57">
        <f>IF(OR(LEFT(AH577, 1)="X", LEFT(AH577, 1)="Y", LEFT(AH577, 3)="J62M"), "CUSM", "No Match")</f>
      </c>
      <c r="AK577" s="57">
        <f>IF(AND(OR(O577=3, P577=1, Q577=1, T577=1), AJ577="no Match"), "CUSM, CHU SJ, CHUQ", "")</f>
      </c>
      <c r="AL577" s="57">
        <f>IF(AND(O577=2, ISBLANK(P577), ISBLANK(Q577), ISBLANK(R577), ISBLANK(S577), ISBLANK(T577)), "CUSM, CHU SJ, CHUS, CHUQ", "")</f>
      </c>
      <c r="AM577" s="57">
        <f>IF(AND(AJ577="no match", AK577="", AL577="", K577&lt;26), "CUSM, CHU SJ, HGJ, CHUQ, CHUS", "")</f>
      </c>
      <c r="AN577" s="57">
        <f>IF(AND(AJ577="no match", AK577="", AL577="", K577&gt;26), "CUSM, CHU SJ, HGJ, CHUQ, CHUS, HMR", "")</f>
      </c>
    </row>
    <row x14ac:dyDescent="0.25" r="578" customHeight="1" ht="17.25">
      <c r="A578" s="41" t="s">
        <v>3798</v>
      </c>
      <c r="B578" s="28">
        <v>2</v>
      </c>
      <c r="C578" s="28">
        <v>2</v>
      </c>
      <c r="D578" s="29" t="s">
        <v>269</v>
      </c>
      <c r="E578" s="30" t="s">
        <v>54</v>
      </c>
      <c r="F578" s="31">
        <v>45225</v>
      </c>
      <c r="G578" s="32">
        <v>4.784722222222222</v>
      </c>
      <c r="H578" s="31">
        <v>45225</v>
      </c>
      <c r="I578" s="32">
        <v>4.690277777777778</v>
      </c>
      <c r="J578" s="33">
        <f>F578-H578</f>
      </c>
      <c r="K578" s="28">
        <v>39</v>
      </c>
      <c r="L578" s="28">
        <v>6</v>
      </c>
      <c r="M578" s="28">
        <v>2</v>
      </c>
      <c r="N578" s="34"/>
      <c r="O578" s="34"/>
      <c r="P578" s="34"/>
      <c r="Q578" s="34"/>
      <c r="R578" s="34"/>
      <c r="S578" s="56"/>
      <c r="T578" s="34"/>
      <c r="U578" s="34"/>
      <c r="V578" s="34"/>
      <c r="W578" s="29" t="s">
        <v>58</v>
      </c>
      <c r="X578" s="28">
        <v>29</v>
      </c>
      <c r="Y578" s="28">
        <v>1</v>
      </c>
      <c r="Z578" s="28">
        <v>1</v>
      </c>
      <c r="AA578" s="28">
        <v>2</v>
      </c>
      <c r="AB578" s="28">
        <v>2</v>
      </c>
      <c r="AC578" s="28">
        <v>2</v>
      </c>
      <c r="AD578" s="28">
        <v>1</v>
      </c>
      <c r="AE578" s="28">
        <v>4</v>
      </c>
      <c r="AF578" s="28">
        <v>2</v>
      </c>
      <c r="AG578" s="28">
        <v>2</v>
      </c>
      <c r="AH578" s="29" t="s">
        <v>3799</v>
      </c>
      <c r="AI578" s="36">
        <f>IF(OR(AND(K578&lt;32, J578&lt;2), O578=1, P578=1, Q578=1, R578=1, S578=1, T578=1, U578=1, AND(W578&lt;&gt;"", W578&lt;&gt;"Oxygen", W578&lt;&gt;"LowFlow")), "Intensive", "Intermediate")</f>
      </c>
      <c r="AJ578" s="57">
        <f>IF(OR(LEFT(AH578, 1)="X", LEFT(AH578, 1)="Y", LEFT(AH578, 3)="J63M"), "CUSM", "No Match")</f>
      </c>
      <c r="AK578" s="57">
        <f>IF(AND(OR(O578=3, P578=1, Q578=1, T578=1), AJ578="no Match"), "CUSM, CHU SJ, CHUQ", "")</f>
      </c>
      <c r="AL578" s="57">
        <f>IF(AND(O578=2, ISBLANK(P578), ISBLANK(Q578), ISBLANK(R578), ISBLANK(S578), ISBLANK(T578)), "CUSM, CHU SJ, CHUS, CHUQ", "")</f>
      </c>
      <c r="AM578" s="57">
        <f>IF(AND(AJ578="no match", AK578="", AL578="", K578&lt;26), "CUSM, CHU SJ, HGJ, CHUQ, CHUS", "")</f>
      </c>
      <c r="AN578" s="57">
        <f>IF(AND(AJ578="no match", AK578="", AL578="", K578&gt;26), "CUSM, CHU SJ, HGJ, CHUQ, CHUS, HMR", "")</f>
      </c>
    </row>
    <row x14ac:dyDescent="0.25" r="579" customHeight="1" ht="17.25">
      <c r="A579" s="41" t="s">
        <v>3800</v>
      </c>
      <c r="B579" s="28">
        <v>2</v>
      </c>
      <c r="C579" s="35">
        <v>779</v>
      </c>
      <c r="D579" s="29" t="s">
        <v>136</v>
      </c>
      <c r="E579" s="30" t="s">
        <v>50</v>
      </c>
      <c r="F579" s="31">
        <v>45225</v>
      </c>
      <c r="G579" s="32">
        <v>4.243055555555555</v>
      </c>
      <c r="H579" s="31">
        <v>45224</v>
      </c>
      <c r="I579" s="32">
        <v>4.469444444444445</v>
      </c>
      <c r="J579" s="33">
        <f>F579-H579</f>
      </c>
      <c r="K579" s="28">
        <v>37</v>
      </c>
      <c r="L579" s="28">
        <v>2</v>
      </c>
      <c r="M579" s="28">
        <v>2</v>
      </c>
      <c r="N579" s="35">
        <v>1</v>
      </c>
      <c r="O579" s="34"/>
      <c r="P579" s="35">
        <v>1</v>
      </c>
      <c r="Q579" s="34"/>
      <c r="R579" s="34"/>
      <c r="S579" s="56"/>
      <c r="T579" s="38"/>
      <c r="U579" s="34"/>
      <c r="V579" s="34"/>
      <c r="W579" s="29"/>
      <c r="X579" s="28">
        <v>35</v>
      </c>
      <c r="Y579" s="28">
        <v>1</v>
      </c>
      <c r="Z579" s="28">
        <v>1</v>
      </c>
      <c r="AA579" s="28">
        <v>2</v>
      </c>
      <c r="AB579" s="28">
        <v>1</v>
      </c>
      <c r="AC579" s="28">
        <v>2</v>
      </c>
      <c r="AD579" s="28">
        <v>1</v>
      </c>
      <c r="AE579" s="28">
        <v>4</v>
      </c>
      <c r="AF579" s="28">
        <v>2</v>
      </c>
      <c r="AG579" s="28">
        <v>2</v>
      </c>
      <c r="AH579" s="29" t="s">
        <v>3801</v>
      </c>
      <c r="AI579" s="36">
        <f>IF(OR(AND(K579&lt;32, J579&lt;2), O579=1, P579=1, Q579=1, R579=1, S579=1, T579=1, U579=1, AND(W579&lt;&gt;"", W579&lt;&gt;"Oxygen", W579&lt;&gt;"LowFlow")), "Intensive", "Intermediate")</f>
      </c>
      <c r="AJ579" s="57">
        <f>IF(OR(LEFT(AH579, 1)="X", LEFT(AH579, 1)="Y", LEFT(AH579, 3)="J0M"), "CUSM", "No Match")</f>
      </c>
      <c r="AK579" s="57">
        <f>IF(AND(OR(O579=3, P579=1, Q579=1, T579=1), AJ579="no Match"), "CUSM, CHU SJ, CHUQ", "")</f>
      </c>
      <c r="AL579" s="57">
        <f>IF(AND(O579=2, ISBLANK(P579), ISBLANK(Q579), ISBLANK(R579), ISBLANK(S579), ISBLANK(T579)), "CUSM, CHU SJ, CHUS, CHUQ", "")</f>
      </c>
      <c r="AM579" s="57">
        <f>IF(AND(AJ579="no match", AK579="", AL579="", K579&lt;26), "CUSM, CHU SJ, HGJ, CHUQ, CHUS", "")</f>
      </c>
      <c r="AN579" s="57">
        <f>IF(AND(AJ579="no match", AK579="", AL579="", K579&gt;26), "CUSM, CHU SJ, HGJ, CHUQ, CHUS, HMR", "")</f>
      </c>
    </row>
    <row x14ac:dyDescent="0.25" r="580" customHeight="1" ht="17.25">
      <c r="A580" s="41" t="s">
        <v>3802</v>
      </c>
      <c r="B580" s="28">
        <v>2</v>
      </c>
      <c r="C580" s="35">
        <v>756</v>
      </c>
      <c r="D580" s="29" t="s">
        <v>66</v>
      </c>
      <c r="E580" s="30" t="s">
        <v>50</v>
      </c>
      <c r="F580" s="31">
        <v>45225</v>
      </c>
      <c r="G580" s="32">
        <v>4.760416666666666</v>
      </c>
      <c r="H580" s="31">
        <v>45223</v>
      </c>
      <c r="I580" s="32">
        <v>4.26875</v>
      </c>
      <c r="J580" s="33">
        <f>F580-H580</f>
      </c>
      <c r="K580" s="28">
        <v>41</v>
      </c>
      <c r="L580" s="28">
        <v>3</v>
      </c>
      <c r="M580" s="28">
        <v>1</v>
      </c>
      <c r="N580" s="34"/>
      <c r="O580" s="34"/>
      <c r="P580" s="34"/>
      <c r="Q580" s="34"/>
      <c r="R580" s="34"/>
      <c r="S580" s="56"/>
      <c r="T580" s="34"/>
      <c r="U580" s="34"/>
      <c r="V580" s="34"/>
      <c r="W580" s="29" t="s">
        <v>106</v>
      </c>
      <c r="X580" s="28">
        <v>29</v>
      </c>
      <c r="Y580" s="28">
        <v>1</v>
      </c>
      <c r="Z580" s="28">
        <v>1</v>
      </c>
      <c r="AA580" s="28">
        <v>1</v>
      </c>
      <c r="AB580" s="28">
        <v>1</v>
      </c>
      <c r="AC580" s="28">
        <v>2</v>
      </c>
      <c r="AD580" s="28">
        <v>2</v>
      </c>
      <c r="AE580" s="28">
        <v>4</v>
      </c>
      <c r="AF580" s="35">
        <v>2</v>
      </c>
      <c r="AG580" s="28">
        <v>2</v>
      </c>
      <c r="AH580" s="29" t="s">
        <v>3803</v>
      </c>
      <c r="AI580" s="36">
        <f>IF(OR(AND(K580&lt;32, J580&lt;2), O580=1, P580=1, Q580=1, R580=1, S580=1, T580=1, U580=1, AND(W580&lt;&gt;"", W580&lt;&gt;"Oxygen", W580&lt;&gt;"LowFlow")), "Intensive", "Intermediate")</f>
      </c>
      <c r="AJ580" s="57">
        <f>IF(OR(LEFT(AH580, 1)="X", LEFT(AH580, 1)="Y", LEFT(AH580, 3)="J1M"), "CUSM", "No Match")</f>
      </c>
      <c r="AK580" s="57">
        <f>IF(AND(OR(O580=3, P580=1, Q580=1, T580=1), AJ580="no Match"), "CUSM, CHU SJ, CHUQ", "")</f>
      </c>
      <c r="AL580" s="57">
        <f>IF(AND(O580=2, ISBLANK(P580), ISBLANK(Q580), ISBLANK(R580), ISBLANK(S580), ISBLANK(T580)), "CUSM, CHU SJ, CHUS, CHUQ", "")</f>
      </c>
      <c r="AM580" s="57">
        <f>IF(AND(AJ580="no match", AK580="", AL580="", K580&lt;26), "CUSM, CHU SJ, HGJ, CHUQ, CHUS", "")</f>
      </c>
      <c r="AN580" s="57">
        <f>IF(AND(AJ580="no match", AK580="", AL580="", K580&gt;26), "CUSM, CHU SJ, HGJ, CHUQ, CHUS, HMR", "")</f>
      </c>
    </row>
    <row x14ac:dyDescent="0.25" r="581" customHeight="1" ht="17.25">
      <c r="A581" s="41" t="s">
        <v>3804</v>
      </c>
      <c r="B581" s="28">
        <v>2</v>
      </c>
      <c r="C581" s="35">
        <v>825</v>
      </c>
      <c r="D581" s="29" t="s">
        <v>77</v>
      </c>
      <c r="E581" s="30" t="s">
        <v>220</v>
      </c>
      <c r="F581" s="31">
        <v>45225</v>
      </c>
      <c r="G581" s="32">
        <v>4.029166666666667</v>
      </c>
      <c r="H581" s="31">
        <v>45224</v>
      </c>
      <c r="I581" s="32">
        <v>4.9118055555555555</v>
      </c>
      <c r="J581" s="33">
        <f>F581-H581</f>
      </c>
      <c r="K581" s="28">
        <v>30</v>
      </c>
      <c r="L581" s="28">
        <v>0</v>
      </c>
      <c r="M581" s="28">
        <v>1</v>
      </c>
      <c r="N581" s="38"/>
      <c r="O581" s="38"/>
      <c r="P581" s="38"/>
      <c r="Q581" s="34"/>
      <c r="R581" s="34"/>
      <c r="S581" s="56"/>
      <c r="T581" s="34"/>
      <c r="U581" s="34"/>
      <c r="V581" s="34"/>
      <c r="W581" s="29" t="s">
        <v>164</v>
      </c>
      <c r="X581" s="28">
        <v>30</v>
      </c>
      <c r="Y581" s="28">
        <v>1</v>
      </c>
      <c r="Z581" s="28">
        <v>2</v>
      </c>
      <c r="AA581" s="28">
        <v>2</v>
      </c>
      <c r="AB581" s="28">
        <v>1</v>
      </c>
      <c r="AC581" s="28">
        <v>2</v>
      </c>
      <c r="AD581" s="28">
        <v>2</v>
      </c>
      <c r="AE581" s="28">
        <v>4</v>
      </c>
      <c r="AF581" s="28">
        <v>2</v>
      </c>
      <c r="AG581" s="28">
        <v>2</v>
      </c>
      <c r="AH581" s="29" t="s">
        <v>3805</v>
      </c>
      <c r="AI581" s="36">
        <f>IF(OR(AND(K581&lt;32, J581&lt;2), O581=1, P581=1, Q581=1, R581=1, S581=1, T581=1, U581=1, AND(W581&lt;&gt;"", W581&lt;&gt;"Oxygen", W581&lt;&gt;"LowFlow")), "Intensive", "Intermediate")</f>
      </c>
      <c r="AJ581" s="57">
        <f>IF(OR(LEFT(AH581, 1)="X", LEFT(AH581, 1)="Y", LEFT(AH581, 3)="J2M"), "CUSM", "No Match")</f>
      </c>
      <c r="AK581" s="57">
        <f>IF(AND(OR(O581=3, P581=1, Q581=1, T581=1), AJ581="no Match"), "CUSM, CHU SJ, CHUQ", "")</f>
      </c>
      <c r="AL581" s="57">
        <f>IF(AND(O581=2, ISBLANK(P581), ISBLANK(Q581), ISBLANK(R581), ISBLANK(S581), ISBLANK(T581)), "CUSM, CHU SJ, CHUS, CHUQ", "")</f>
      </c>
      <c r="AM581" s="57">
        <f>IF(AND(AJ581="no match", AK581="", AL581="", K581&lt;26), "CUSM, CHU SJ, HGJ, CHUQ, CHUS", "")</f>
      </c>
      <c r="AN581" s="57">
        <f>IF(AND(AJ581="no match", AK581="", AL581="", K581&gt;26), "CUSM, CHU SJ, HGJ, CHUQ, CHUS, HMR", "")</f>
      </c>
    </row>
    <row x14ac:dyDescent="0.25" r="582" customHeight="1" ht="17.25">
      <c r="A582" s="41" t="s">
        <v>3806</v>
      </c>
      <c r="B582" s="28">
        <v>2</v>
      </c>
      <c r="C582" s="35">
        <v>831</v>
      </c>
      <c r="D582" s="29" t="s">
        <v>313</v>
      </c>
      <c r="E582" s="30" t="s">
        <v>54</v>
      </c>
      <c r="F582" s="31">
        <v>45226</v>
      </c>
      <c r="G582" s="32">
        <v>4.434722222222222</v>
      </c>
      <c r="H582" s="31">
        <v>45226</v>
      </c>
      <c r="I582" s="32">
        <v>4.275</v>
      </c>
      <c r="J582" s="33">
        <f>F582-H582</f>
      </c>
      <c r="K582" s="28">
        <v>23</v>
      </c>
      <c r="L582" s="28">
        <v>4</v>
      </c>
      <c r="M582" s="28">
        <v>2</v>
      </c>
      <c r="N582" s="35">
        <v>1</v>
      </c>
      <c r="O582" s="34"/>
      <c r="P582" s="35">
        <v>1</v>
      </c>
      <c r="Q582" s="34"/>
      <c r="R582" s="34"/>
      <c r="S582" s="56"/>
      <c r="T582" s="34"/>
      <c r="U582" s="35">
        <v>1</v>
      </c>
      <c r="V582" s="35">
        <v>1</v>
      </c>
      <c r="W582" s="29" t="s">
        <v>70</v>
      </c>
      <c r="X582" s="28">
        <v>39</v>
      </c>
      <c r="Y582" s="28">
        <v>1</v>
      </c>
      <c r="Z582" s="28">
        <v>2</v>
      </c>
      <c r="AA582" s="28">
        <v>3</v>
      </c>
      <c r="AB582" s="28">
        <v>4</v>
      </c>
      <c r="AC582" s="28">
        <v>3</v>
      </c>
      <c r="AD582" s="28">
        <v>3</v>
      </c>
      <c r="AE582" s="28">
        <v>3</v>
      </c>
      <c r="AF582" s="28">
        <v>2</v>
      </c>
      <c r="AG582" s="28">
        <v>2</v>
      </c>
      <c r="AH582" s="29" t="s">
        <v>3807</v>
      </c>
      <c r="AI582" s="36">
        <f>IF(OR(AND(K582&lt;32, J582&lt;2), O582=1, P582=1, Q582=1, R582=1, S582=1, T582=1, U582=1, AND(W582&lt;&gt;"", W582&lt;&gt;"Oxygen", W582&lt;&gt;"LowFlow")), "Intensive", "Intermediate")</f>
      </c>
      <c r="AJ582" s="57">
        <f>IF(OR(LEFT(AH582, 1)="X", LEFT(AH582, 1)="Y", LEFT(AH582, 3)="J3M"), "CUSM", "No Match")</f>
      </c>
      <c r="AK582" s="57">
        <f>IF(AND(OR(O582=3, P582=1, Q582=1, T582=1), AJ582="no Match"), "CUSM, CHU SJ, CHUQ", "")</f>
      </c>
      <c r="AL582" s="57">
        <f>IF(AND(O582=2, ISBLANK(P582), ISBLANK(Q582), ISBLANK(R582), ISBLANK(S582), ISBLANK(T582)), "CUSM, CHU SJ, CHUS, CHUQ", "")</f>
      </c>
      <c r="AM582" s="57">
        <f>IF(AND(AJ582="no match", AK582="", AL582="", K582&lt;26), "CUSM, CHU SJ, HGJ, CHUQ, CHUS", "")</f>
      </c>
      <c r="AN582" s="57">
        <f>IF(AND(AJ582="no match", AK582="", AL582="", K582&gt;26), "CUSM, CHU SJ, HGJ, CHUQ, CHUS, HMR", "")</f>
      </c>
    </row>
    <row x14ac:dyDescent="0.25" r="583" customHeight="1" ht="17.25">
      <c r="A583" s="41" t="s">
        <v>3808</v>
      </c>
      <c r="B583" s="28">
        <v>2</v>
      </c>
      <c r="C583" s="28">
        <v>730</v>
      </c>
      <c r="D583" s="29" t="s">
        <v>81</v>
      </c>
      <c r="E583" s="30" t="s">
        <v>78</v>
      </c>
      <c r="F583" s="31">
        <v>45226</v>
      </c>
      <c r="G583" s="32">
        <v>4.958333333333334</v>
      </c>
      <c r="H583" s="31">
        <v>45225</v>
      </c>
      <c r="I583" s="32">
        <v>4.331944444444444</v>
      </c>
      <c r="J583" s="33">
        <f>F583-H583</f>
      </c>
      <c r="K583" s="28">
        <v>39</v>
      </c>
      <c r="L583" s="28">
        <v>0</v>
      </c>
      <c r="M583" s="28">
        <v>1</v>
      </c>
      <c r="N583" s="38"/>
      <c r="O583" s="34"/>
      <c r="P583" s="34"/>
      <c r="Q583" s="34"/>
      <c r="R583" s="34"/>
      <c r="S583" s="56"/>
      <c r="T583" s="38"/>
      <c r="U583" s="34"/>
      <c r="V583" s="34"/>
      <c r="W583" s="29" t="s">
        <v>600</v>
      </c>
      <c r="X583" s="28">
        <v>29</v>
      </c>
      <c r="Y583" s="28">
        <v>1</v>
      </c>
      <c r="Z583" s="28">
        <v>2</v>
      </c>
      <c r="AA583" s="28">
        <v>2</v>
      </c>
      <c r="AB583" s="28">
        <v>1</v>
      </c>
      <c r="AC583" s="28">
        <v>2</v>
      </c>
      <c r="AD583" s="28">
        <v>2</v>
      </c>
      <c r="AE583" s="28">
        <v>4</v>
      </c>
      <c r="AF583" s="28">
        <v>2</v>
      </c>
      <c r="AG583" s="28">
        <v>2</v>
      </c>
      <c r="AH583" s="29" t="s">
        <v>3809</v>
      </c>
      <c r="AI583" s="36">
        <f>IF(OR(AND(K583&lt;32, J583&lt;2), O583=1, P583=1, Q583=1, R583=1, S583=1, T583=1, U583=1, AND(W583&lt;&gt;"", W583&lt;&gt;"Oxygen", W583&lt;&gt;"LowFlow")), "Intensive", "Intermediate")</f>
      </c>
      <c r="AJ583" s="57">
        <f>IF(OR(LEFT(AH583, 1)="X", LEFT(AH583, 1)="Y", LEFT(AH583, 3)="J4M"), "CUSM", "No Match")</f>
      </c>
      <c r="AK583" s="57">
        <f>IF(AND(OR(O583=3, P583=1, Q583=1, T583=1), AJ583="no Match"), "CUSM, CHU SJ, CHUQ", "")</f>
      </c>
      <c r="AL583" s="57">
        <f>IF(AND(O583=2, ISBLANK(P583), ISBLANK(Q583), ISBLANK(R583), ISBLANK(S583), ISBLANK(T583)), "CUSM, CHU SJ, CHUS, CHUQ", "")</f>
      </c>
      <c r="AM583" s="57">
        <f>IF(AND(AJ583="no match", AK583="", AL583="", K583&lt;26), "CUSM, CHU SJ, HGJ, CHUQ, CHUS", "")</f>
      </c>
      <c r="AN583" s="57">
        <f>IF(AND(AJ583="no match", AK583="", AL583="", K583&gt;26), "CUSM, CHU SJ, HGJ, CHUQ, CHUS, HMR", "")</f>
      </c>
    </row>
    <row x14ac:dyDescent="0.25" r="584" customHeight="1" ht="17.25">
      <c r="A584" s="41" t="s">
        <v>3810</v>
      </c>
      <c r="B584" s="28">
        <v>2</v>
      </c>
      <c r="C584" s="35">
        <v>835</v>
      </c>
      <c r="D584" s="29" t="s">
        <v>170</v>
      </c>
      <c r="E584" s="30" t="s">
        <v>50</v>
      </c>
      <c r="F584" s="31">
        <v>45226</v>
      </c>
      <c r="G584" s="32">
        <v>4.888888888888889</v>
      </c>
      <c r="H584" s="31">
        <v>45226</v>
      </c>
      <c r="I584" s="32">
        <v>4.704166666666667</v>
      </c>
      <c r="J584" s="33">
        <f>F584-H584</f>
      </c>
      <c r="K584" s="28">
        <v>38</v>
      </c>
      <c r="L584" s="28">
        <v>0</v>
      </c>
      <c r="M584" s="28">
        <v>1</v>
      </c>
      <c r="N584" s="34"/>
      <c r="O584" s="34"/>
      <c r="P584" s="34"/>
      <c r="Q584" s="34"/>
      <c r="R584" s="34"/>
      <c r="S584" s="56"/>
      <c r="T584" s="35">
        <v>1</v>
      </c>
      <c r="U584" s="34"/>
      <c r="V584" s="35">
        <v>1</v>
      </c>
      <c r="W584" s="29" t="s">
        <v>74</v>
      </c>
      <c r="X584" s="28">
        <v>29</v>
      </c>
      <c r="Y584" s="28">
        <v>1</v>
      </c>
      <c r="Z584" s="28">
        <v>2</v>
      </c>
      <c r="AA584" s="28">
        <v>3</v>
      </c>
      <c r="AB584" s="28">
        <v>1</v>
      </c>
      <c r="AC584" s="28">
        <v>2</v>
      </c>
      <c r="AD584" s="28">
        <v>1</v>
      </c>
      <c r="AE584" s="28">
        <v>4</v>
      </c>
      <c r="AF584" s="28">
        <v>2</v>
      </c>
      <c r="AG584" s="28">
        <v>2</v>
      </c>
      <c r="AH584" s="29" t="s">
        <v>3811</v>
      </c>
      <c r="AI584" s="36">
        <f>IF(OR(AND(K584&lt;32, J584&lt;2), O584=1, P584=1, Q584=1, R584=1, S584=1, T584=1, U584=1, AND(W584&lt;&gt;"", W584&lt;&gt;"Oxygen", W584&lt;&gt;"LowFlow")), "Intensive", "Intermediate")</f>
      </c>
      <c r="AJ584" s="57">
        <f>IF(OR(LEFT(AH584, 1)="X", LEFT(AH584, 1)="Y", LEFT(AH584, 3)="J5M"), "CUSM", "No Match")</f>
      </c>
      <c r="AK584" s="57">
        <f>IF(AND(OR(O584=3, P584=1, Q584=1, T584=1), AJ584="no Match"), "CUSM, CHU SJ, CHUQ", "")</f>
      </c>
      <c r="AL584" s="57">
        <f>IF(AND(O584=2, ISBLANK(P584), ISBLANK(Q584), ISBLANK(R584), ISBLANK(S584), ISBLANK(T584)), "CUSM, CHU SJ, CHUS, CHUQ", "")</f>
      </c>
      <c r="AM584" s="57">
        <f>IF(AND(AJ584="no match", AK584="", AL584="", K584&lt;26), "CUSM, CHU SJ, HGJ, CHUQ, CHUS", "")</f>
      </c>
      <c r="AN584" s="57">
        <f>IF(AND(AJ584="no match", AK584="", AL584="", K584&gt;26), "CUSM, CHU SJ, HGJ, CHUQ, CHUS, HMR", "")</f>
      </c>
    </row>
    <row x14ac:dyDescent="0.25" r="585" customHeight="1" ht="17.25">
      <c r="A585" s="41" t="s">
        <v>3812</v>
      </c>
      <c r="B585" s="28">
        <v>2</v>
      </c>
      <c r="C585" s="28">
        <v>6</v>
      </c>
      <c r="D585" s="29" t="s">
        <v>131</v>
      </c>
      <c r="E585" s="30" t="s">
        <v>50</v>
      </c>
      <c r="F585" s="31">
        <v>45226</v>
      </c>
      <c r="G585" s="32">
        <v>4.5625</v>
      </c>
      <c r="H585" s="31">
        <v>45219</v>
      </c>
      <c r="I585" s="32">
        <v>4.35</v>
      </c>
      <c r="J585" s="33">
        <f>F585-H585</f>
      </c>
      <c r="K585" s="28">
        <v>38</v>
      </c>
      <c r="L585" s="28">
        <v>5</v>
      </c>
      <c r="M585" s="28">
        <v>2</v>
      </c>
      <c r="N585" s="34"/>
      <c r="O585" s="34"/>
      <c r="P585" s="34"/>
      <c r="Q585" s="34"/>
      <c r="R585" s="34"/>
      <c r="S585" s="56"/>
      <c r="T585" s="38"/>
      <c r="U585" s="34"/>
      <c r="V585" s="28">
        <v>1</v>
      </c>
      <c r="W585" s="29" t="s">
        <v>58</v>
      </c>
      <c r="X585" s="28">
        <v>37</v>
      </c>
      <c r="Y585" s="28">
        <v>1</v>
      </c>
      <c r="Z585" s="28">
        <v>2</v>
      </c>
      <c r="AA585" s="28">
        <v>3</v>
      </c>
      <c r="AB585" s="28">
        <v>1</v>
      </c>
      <c r="AC585" s="28">
        <v>2</v>
      </c>
      <c r="AD585" s="28">
        <v>2</v>
      </c>
      <c r="AE585" s="28">
        <v>4</v>
      </c>
      <c r="AF585" s="28">
        <v>2</v>
      </c>
      <c r="AG585" s="28">
        <v>2</v>
      </c>
      <c r="AH585" s="29" t="s">
        <v>3813</v>
      </c>
      <c r="AI585" s="36">
        <f>IF(OR(AND(K585&lt;32, J585&lt;2), O585=1, P585=1, Q585=1, R585=1, S585=1, T585=1, U585=1, AND(W585&lt;&gt;"", W585&lt;&gt;"Oxygen", W585&lt;&gt;"LowFlow")), "Intensive", "Intermediate")</f>
      </c>
      <c r="AJ585" s="57">
        <f>IF(OR(LEFT(AH585, 1)="X", LEFT(AH585, 1)="Y", LEFT(AH585, 3)="J6M"), "CUSM", "No Match")</f>
      </c>
      <c r="AK585" s="57">
        <f>IF(AND(OR(O585=3, P585=1, Q585=1, T585=1), AJ585="no Match"), "CUSM, CHU SJ, CHUQ", "")</f>
      </c>
      <c r="AL585" s="57">
        <f>IF(AND(O585=2, ISBLANK(P585), ISBLANK(Q585), ISBLANK(R585), ISBLANK(S585), ISBLANK(T585)), "CUSM, CHU SJ, CHUS, CHUQ", "")</f>
      </c>
      <c r="AM585" s="57">
        <f>IF(AND(AJ585="no match", AK585="", AL585="", K585&lt;26), "CUSM, CHU SJ, HGJ, CHUQ, CHUS", "")</f>
      </c>
      <c r="AN585" s="57">
        <f>IF(AND(AJ585="no match", AK585="", AL585="", K585&gt;26), "CUSM, CHU SJ, HGJ, CHUQ, CHUS, HMR", "")</f>
      </c>
    </row>
    <row x14ac:dyDescent="0.25" r="586" customHeight="1" ht="17.25">
      <c r="A586" s="41" t="s">
        <v>3814</v>
      </c>
      <c r="B586" s="28">
        <v>2</v>
      </c>
      <c r="C586" s="35">
        <v>779</v>
      </c>
      <c r="D586" s="29" t="s">
        <v>136</v>
      </c>
      <c r="E586" s="30" t="s">
        <v>220</v>
      </c>
      <c r="F586" s="31">
        <v>45226</v>
      </c>
      <c r="G586" s="32">
        <v>4.911111111111111</v>
      </c>
      <c r="H586" s="31">
        <v>45226</v>
      </c>
      <c r="I586" s="32">
        <v>4.752777777777778</v>
      </c>
      <c r="J586" s="33">
        <f>F586-H586</f>
      </c>
      <c r="K586" s="28">
        <v>28</v>
      </c>
      <c r="L586" s="28">
        <v>0</v>
      </c>
      <c r="M586" s="28">
        <v>1</v>
      </c>
      <c r="N586" s="34"/>
      <c r="O586" s="34"/>
      <c r="P586" s="34"/>
      <c r="Q586" s="34"/>
      <c r="R586" s="34"/>
      <c r="S586" s="56"/>
      <c r="T586" s="34"/>
      <c r="U586" s="34"/>
      <c r="V586" s="34"/>
      <c r="W586" s="29" t="s">
        <v>74</v>
      </c>
      <c r="X586" s="28">
        <v>35</v>
      </c>
      <c r="Y586" s="28">
        <v>1</v>
      </c>
      <c r="Z586" s="28">
        <v>2</v>
      </c>
      <c r="AA586" s="28">
        <v>3</v>
      </c>
      <c r="AB586" s="28">
        <v>1</v>
      </c>
      <c r="AC586" s="28">
        <v>2</v>
      </c>
      <c r="AD586" s="28">
        <v>2</v>
      </c>
      <c r="AE586" s="28">
        <v>4</v>
      </c>
      <c r="AF586" s="28">
        <v>3</v>
      </c>
      <c r="AG586" s="28">
        <v>2</v>
      </c>
      <c r="AH586" s="29" t="s">
        <v>3815</v>
      </c>
      <c r="AI586" s="36">
        <f>IF(OR(AND(K586&lt;32, J586&lt;2), O586=1, P586=1, Q586=1, R586=1, S586=1, T586=1, U586=1, AND(W586&lt;&gt;"", W586&lt;&gt;"Oxygen", W586&lt;&gt;"LowFlow")), "Intensive", "Intermediate")</f>
      </c>
      <c r="AJ586" s="57">
        <f>IF(OR(LEFT(AH586, 1)="X", LEFT(AH586, 1)="Y", LEFT(AH586, 3)="J7M"), "CUSM", "No Match")</f>
      </c>
      <c r="AK586" s="57">
        <f>IF(AND(OR(O586=3, P586=1, Q586=1, T586=1), AJ586="no Match"), "CUSM, CHU SJ, CHUQ", "")</f>
      </c>
      <c r="AL586" s="57">
        <f>IF(AND(O586=2, ISBLANK(P586), ISBLANK(Q586), ISBLANK(R586), ISBLANK(S586), ISBLANK(T586)), "CUSM, CHU SJ, CHUS, CHUQ", "")</f>
      </c>
      <c r="AM586" s="57">
        <f>IF(AND(AJ586="no match", AK586="", AL586="", K586&lt;26), "CUSM, CHU SJ, HGJ, CHUQ, CHUS", "")</f>
      </c>
      <c r="AN586" s="57">
        <f>IF(AND(AJ586="no match", AK586="", AL586="", K586&gt;26), "CUSM, CHU SJ, HGJ, CHUQ, CHUS, HMR", "")</f>
      </c>
    </row>
    <row x14ac:dyDescent="0.25" r="587" customHeight="1" ht="17.25">
      <c r="A587" s="41" t="s">
        <v>3816</v>
      </c>
      <c r="B587" s="28">
        <v>2</v>
      </c>
      <c r="C587" s="35">
        <v>734</v>
      </c>
      <c r="D587" s="29" t="s">
        <v>264</v>
      </c>
      <c r="E587" s="30" t="s">
        <v>54</v>
      </c>
      <c r="F587" s="31">
        <v>45227</v>
      </c>
      <c r="G587" s="32">
        <v>4.333333333333334</v>
      </c>
      <c r="H587" s="31">
        <v>45226</v>
      </c>
      <c r="I587" s="32">
        <v>4.375</v>
      </c>
      <c r="J587" s="33">
        <f>F587-H587</f>
      </c>
      <c r="K587" s="28">
        <v>38</v>
      </c>
      <c r="L587" s="28">
        <v>5</v>
      </c>
      <c r="M587" s="28">
        <v>1</v>
      </c>
      <c r="N587" s="34"/>
      <c r="O587" s="34"/>
      <c r="P587" s="34"/>
      <c r="Q587" s="34"/>
      <c r="R587" s="34"/>
      <c r="S587" s="56"/>
      <c r="T587" s="34"/>
      <c r="U587" s="34"/>
      <c r="V587" s="34"/>
      <c r="W587" s="29" t="s">
        <v>58</v>
      </c>
      <c r="X587" s="28">
        <v>28</v>
      </c>
      <c r="Y587" s="28">
        <v>1</v>
      </c>
      <c r="Z587" s="28">
        <v>2</v>
      </c>
      <c r="AA587" s="28">
        <v>2</v>
      </c>
      <c r="AB587" s="28">
        <v>1</v>
      </c>
      <c r="AC587" s="28">
        <v>2</v>
      </c>
      <c r="AD587" s="28">
        <v>2</v>
      </c>
      <c r="AE587" s="28">
        <v>4</v>
      </c>
      <c r="AF587" s="28">
        <v>2</v>
      </c>
      <c r="AG587" s="28">
        <v>2</v>
      </c>
      <c r="AH587" s="29" t="s">
        <v>3817</v>
      </c>
      <c r="AI587" s="36">
        <f>IF(OR(AND(K587&lt;32, J587&lt;2), O587=1, P587=1, Q587=1, R587=1, S587=1, T587=1, U587=1, AND(W587&lt;&gt;"", W587&lt;&gt;"Oxygen", W587&lt;&gt;"LowFlow")), "Intensive", "Intermediate")</f>
      </c>
      <c r="AJ587" s="57">
        <f>IF(OR(LEFT(AH587, 1)="X", LEFT(AH587, 1)="Y", LEFT(AH587, 3)="J8M"), "CUSM", "No Match")</f>
      </c>
      <c r="AK587" s="57">
        <f>IF(AND(OR(O587=3, P587=1, Q587=1, T587=1), AJ587="no Match"), "CUSM, CHU SJ, CHUQ", "")</f>
      </c>
      <c r="AL587" s="57">
        <f>IF(AND(O587=2, ISBLANK(P587), ISBLANK(Q587), ISBLANK(R587), ISBLANK(S587), ISBLANK(T587)), "CUSM, CHU SJ, CHUS, CHUQ", "")</f>
      </c>
      <c r="AM587" s="57">
        <f>IF(AND(AJ587="no match", AK587="", AL587="", K587&lt;26), "CUSM, CHU SJ, HGJ, CHUQ, CHUS", "")</f>
      </c>
      <c r="AN587" s="57">
        <f>IF(AND(AJ587="no match", AK587="", AL587="", K587&gt;26), "CUSM, CHU SJ, HGJ, CHUQ, CHUS, HMR", "")</f>
      </c>
    </row>
    <row x14ac:dyDescent="0.25" r="588" customHeight="1" ht="17.25">
      <c r="A588" s="41" t="s">
        <v>3818</v>
      </c>
      <c r="B588" s="28">
        <v>2</v>
      </c>
      <c r="C588" s="28">
        <v>824</v>
      </c>
      <c r="D588" s="29" t="s">
        <v>57</v>
      </c>
      <c r="E588" s="30" t="s">
        <v>50</v>
      </c>
      <c r="F588" s="31">
        <v>45227</v>
      </c>
      <c r="G588" s="32">
        <v>4.593055555555555</v>
      </c>
      <c r="H588" s="31">
        <v>45224</v>
      </c>
      <c r="I588" s="32">
        <v>4.545138888888889</v>
      </c>
      <c r="J588" s="33">
        <f>F588-H588</f>
      </c>
      <c r="K588" s="28">
        <v>36</v>
      </c>
      <c r="L588" s="28">
        <v>4</v>
      </c>
      <c r="M588" s="28">
        <v>2</v>
      </c>
      <c r="N588" s="34"/>
      <c r="O588" s="34"/>
      <c r="P588" s="34"/>
      <c r="Q588" s="34"/>
      <c r="R588" s="34"/>
      <c r="S588" s="56"/>
      <c r="T588" s="38"/>
      <c r="U588" s="34"/>
      <c r="V588" s="38"/>
      <c r="W588" s="29"/>
      <c r="X588" s="28">
        <v>25</v>
      </c>
      <c r="Y588" s="28">
        <v>1</v>
      </c>
      <c r="Z588" s="28">
        <v>1</v>
      </c>
      <c r="AA588" s="28">
        <v>1</v>
      </c>
      <c r="AB588" s="28">
        <v>1</v>
      </c>
      <c r="AC588" s="28">
        <v>2</v>
      </c>
      <c r="AD588" s="28">
        <v>2</v>
      </c>
      <c r="AE588" s="28">
        <v>4</v>
      </c>
      <c r="AF588" s="28">
        <v>2</v>
      </c>
      <c r="AG588" s="28">
        <v>2</v>
      </c>
      <c r="AH588" s="29" t="s">
        <v>1778</v>
      </c>
      <c r="AI588" s="36">
        <f>IF(OR(AND(K588&lt;32, J588&lt;2), O588=1, P588=1, Q588=1, R588=1, S588=1, T588=1, U588=1, AND(W588&lt;&gt;"", W588&lt;&gt;"Oxygen", W588&lt;&gt;"LowFlow")), "Intensive", "Intermediate")</f>
      </c>
      <c r="AJ588" s="57">
        <f>IF(OR(LEFT(AH588, 1)="X", LEFT(AH588, 1)="Y", LEFT(AH588, 3)="J9M"), "CUSM", "No Match")</f>
      </c>
      <c r="AK588" s="57">
        <f>IF(AND(OR(O588=3, P588=1, Q588=1, T588=1), AJ588="no Match"), "CUSM, CHU SJ, CHUQ", "")</f>
      </c>
      <c r="AL588" s="57">
        <f>IF(AND(O588=2, ISBLANK(P588), ISBLANK(Q588), ISBLANK(R588), ISBLANK(S588), ISBLANK(T588)), "CUSM, CHU SJ, CHUS, CHUQ", "")</f>
      </c>
      <c r="AM588" s="57">
        <f>IF(AND(AJ588="no match", AK588="", AL588="", K588&lt;26), "CUSM, CHU SJ, HGJ, CHUQ, CHUS", "")</f>
      </c>
      <c r="AN588" s="57">
        <f>IF(AND(AJ588="no match", AK588="", AL588="", K588&gt;26), "CUSM, CHU SJ, HGJ, CHUQ, CHUS, HMR", "")</f>
      </c>
    </row>
    <row x14ac:dyDescent="0.25" r="589" customHeight="1" ht="17.25">
      <c r="A589" s="41" t="s">
        <v>3819</v>
      </c>
      <c r="B589" s="28">
        <v>2</v>
      </c>
      <c r="C589" s="35">
        <v>756</v>
      </c>
      <c r="D589" s="29" t="s">
        <v>66</v>
      </c>
      <c r="E589" s="30" t="s">
        <v>78</v>
      </c>
      <c r="F589" s="31">
        <v>45228</v>
      </c>
      <c r="G589" s="32">
        <v>4.993055555555555</v>
      </c>
      <c r="H589" s="31">
        <v>45227</v>
      </c>
      <c r="I589" s="32">
        <v>4.639583333333333</v>
      </c>
      <c r="J589" s="33">
        <f>F589-H589</f>
      </c>
      <c r="K589" s="28">
        <v>32</v>
      </c>
      <c r="L589" s="28">
        <v>5</v>
      </c>
      <c r="M589" s="28">
        <v>1</v>
      </c>
      <c r="N589" s="38"/>
      <c r="O589" s="34"/>
      <c r="P589" s="38"/>
      <c r="Q589" s="34"/>
      <c r="R589" s="34"/>
      <c r="S589" s="56"/>
      <c r="T589" s="34"/>
      <c r="U589" s="34"/>
      <c r="V589" s="34"/>
      <c r="W589" s="29" t="s">
        <v>58</v>
      </c>
      <c r="X589" s="28">
        <v>26</v>
      </c>
      <c r="Y589" s="28">
        <v>1</v>
      </c>
      <c r="Z589" s="28">
        <v>1</v>
      </c>
      <c r="AA589" s="28">
        <v>2</v>
      </c>
      <c r="AB589" s="28">
        <v>4</v>
      </c>
      <c r="AC589" s="28">
        <v>3</v>
      </c>
      <c r="AD589" s="28">
        <v>3</v>
      </c>
      <c r="AE589" s="28">
        <v>4</v>
      </c>
      <c r="AF589" s="28">
        <v>2</v>
      </c>
      <c r="AG589" s="28">
        <v>2</v>
      </c>
      <c r="AH589" s="29" t="s">
        <v>3820</v>
      </c>
      <c r="AI589" s="36">
        <f>IF(OR(AND(K589&lt;32, J589&lt;2), O589=1, P589=1, Q589=1, R589=1, S589=1, T589=1, U589=1, AND(W589&lt;&gt;"", W589&lt;&gt;"Oxygen", W589&lt;&gt;"LowFlow")), "Intensive", "Intermediate")</f>
      </c>
      <c r="AJ589" s="57">
        <f>IF(OR(LEFT(AH589, 1)="X", LEFT(AH589, 1)="Y", LEFT(AH589, 3)="J10M"), "CUSM", "No Match")</f>
      </c>
      <c r="AK589" s="57">
        <f>IF(AND(OR(O589=3, P589=1, Q589=1, T589=1), AJ589="no Match"), "CUSM, CHU SJ, CHUQ", "")</f>
      </c>
      <c r="AL589" s="57">
        <f>IF(AND(O589=2, ISBLANK(P589), ISBLANK(Q589), ISBLANK(R589), ISBLANK(S589), ISBLANK(T589)), "CUSM, CHU SJ, CHUS, CHUQ", "")</f>
      </c>
      <c r="AM589" s="57">
        <f>IF(AND(AJ589="no match", AK589="", AL589="", K589&lt;26), "CUSM, CHU SJ, HGJ, CHUQ, CHUS", "")</f>
      </c>
      <c r="AN589" s="57">
        <f>IF(AND(AJ589="no match", AK589="", AL589="", K589&gt;26), "CUSM, CHU SJ, HGJ, CHUQ, CHUS, HMR", "")</f>
      </c>
    </row>
    <row x14ac:dyDescent="0.25" r="590" customHeight="1" ht="17.25">
      <c r="A590" s="41" t="s">
        <v>3821</v>
      </c>
      <c r="B590" s="28">
        <v>2</v>
      </c>
      <c r="C590" s="35">
        <v>832</v>
      </c>
      <c r="D590" s="29" t="s">
        <v>308</v>
      </c>
      <c r="E590" s="30" t="s">
        <v>54</v>
      </c>
      <c r="F590" s="31">
        <v>45229</v>
      </c>
      <c r="G590" s="32">
        <v>4.833333333333334</v>
      </c>
      <c r="H590" s="31">
        <v>45229</v>
      </c>
      <c r="I590" s="32">
        <v>4.527083333333334</v>
      </c>
      <c r="J590" s="33">
        <f>F590-H590</f>
      </c>
      <c r="K590" s="28">
        <v>40</v>
      </c>
      <c r="L590" s="28">
        <v>3</v>
      </c>
      <c r="M590" s="28">
        <v>1</v>
      </c>
      <c r="N590" s="34"/>
      <c r="O590" s="34"/>
      <c r="P590" s="34"/>
      <c r="Q590" s="34"/>
      <c r="R590" s="34"/>
      <c r="S590" s="56"/>
      <c r="T590" s="34"/>
      <c r="U590" s="34"/>
      <c r="V590" s="34"/>
      <c r="W590" s="29" t="s">
        <v>74</v>
      </c>
      <c r="X590" s="28">
        <v>29</v>
      </c>
      <c r="Y590" s="28">
        <v>1</v>
      </c>
      <c r="Z590" s="28">
        <v>1</v>
      </c>
      <c r="AA590" s="28">
        <v>3</v>
      </c>
      <c r="AB590" s="28">
        <v>4</v>
      </c>
      <c r="AC590" s="28">
        <v>2</v>
      </c>
      <c r="AD590" s="28">
        <v>2</v>
      </c>
      <c r="AE590" s="28">
        <v>4</v>
      </c>
      <c r="AF590" s="28">
        <v>1</v>
      </c>
      <c r="AG590" s="28">
        <v>2</v>
      </c>
      <c r="AH590" s="29" t="s">
        <v>2518</v>
      </c>
      <c r="AI590" s="36">
        <f>IF(OR(AND(K590&lt;32, J590&lt;2), O590=1, P590=1, Q590=1, R590=1, S590=1, T590=1, U590=1, AND(W590&lt;&gt;"", W590&lt;&gt;"Oxygen", W590&lt;&gt;"LowFlow")), "Intensive", "Intermediate")</f>
      </c>
      <c r="AJ590" s="57">
        <f>IF(OR(LEFT(AH590, 1)="X", LEFT(AH590, 1)="Y", LEFT(AH590, 3)="J11M"), "CUSM", "No Match")</f>
      </c>
      <c r="AK590" s="57">
        <f>IF(AND(OR(O590=3, P590=1, Q590=1, T590=1), AJ590="no Match"), "CUSM, CHU SJ, CHUQ", "")</f>
      </c>
      <c r="AL590" s="57">
        <f>IF(AND(O590=2, ISBLANK(P590), ISBLANK(Q590), ISBLANK(R590), ISBLANK(S590), ISBLANK(T590)), "CUSM, CHU SJ, CHUS, CHUQ", "")</f>
      </c>
      <c r="AM590" s="57">
        <f>IF(AND(AJ590="no match", AK590="", AL590="", K590&lt;26), "CUSM, CHU SJ, HGJ, CHUQ, CHUS", "")</f>
      </c>
      <c r="AN590" s="57">
        <f>IF(AND(AJ590="no match", AK590="", AL590="", K590&gt;26), "CUSM, CHU SJ, HGJ, CHUQ, CHUS, HMR", "")</f>
      </c>
    </row>
    <row x14ac:dyDescent="0.25" r="591" customHeight="1" ht="17.25">
      <c r="A591" s="41" t="s">
        <v>3822</v>
      </c>
      <c r="B591" s="28">
        <v>2</v>
      </c>
      <c r="C591" s="35">
        <v>806</v>
      </c>
      <c r="D591" s="29" t="s">
        <v>438</v>
      </c>
      <c r="E591" s="30" t="s">
        <v>54</v>
      </c>
      <c r="F591" s="31">
        <v>45229</v>
      </c>
      <c r="G591" s="32">
        <v>4.722222222222222</v>
      </c>
      <c r="H591" s="31">
        <v>45227</v>
      </c>
      <c r="I591" s="32">
        <v>4.063888888888889</v>
      </c>
      <c r="J591" s="33">
        <f>F591-H591</f>
      </c>
      <c r="K591" s="28">
        <v>41</v>
      </c>
      <c r="L591" s="28">
        <v>1</v>
      </c>
      <c r="M591" s="28">
        <v>1</v>
      </c>
      <c r="N591" s="34"/>
      <c r="O591" s="34"/>
      <c r="P591" s="34"/>
      <c r="Q591" s="34"/>
      <c r="R591" s="34"/>
      <c r="S591" s="56"/>
      <c r="T591" s="34"/>
      <c r="U591" s="34"/>
      <c r="V591" s="34"/>
      <c r="W591" s="29"/>
      <c r="X591" s="28">
        <v>27</v>
      </c>
      <c r="Y591" s="28">
        <v>1</v>
      </c>
      <c r="Z591" s="28">
        <v>2</v>
      </c>
      <c r="AA591" s="28">
        <v>2</v>
      </c>
      <c r="AB591" s="28">
        <v>1</v>
      </c>
      <c r="AC591" s="28">
        <v>2</v>
      </c>
      <c r="AD591" s="28">
        <v>2</v>
      </c>
      <c r="AE591" s="28">
        <v>4</v>
      </c>
      <c r="AF591" s="28">
        <v>2</v>
      </c>
      <c r="AG591" s="28">
        <v>2</v>
      </c>
      <c r="AH591" s="29" t="s">
        <v>3823</v>
      </c>
      <c r="AI591" s="36">
        <f>IF(OR(AND(K591&lt;32, J591&lt;2), O591=1, P591=1, Q591=1, R591=1, S591=1, T591=1, U591=1, AND(W591&lt;&gt;"", W591&lt;&gt;"Oxygen", W591&lt;&gt;"LowFlow")), "Intensive", "Intermediate")</f>
      </c>
      <c r="AJ591" s="57">
        <f>IF(OR(LEFT(AH591, 1)="X", LEFT(AH591, 1)="Y", LEFT(AH591, 3)="J12M"), "CUSM", "No Match")</f>
      </c>
      <c r="AK591" s="57">
        <f>IF(AND(OR(O591=3, P591=1, Q591=1, T591=1), AJ591="no Match"), "CUSM, CHU SJ, CHUQ", "")</f>
      </c>
      <c r="AL591" s="57">
        <f>IF(AND(O591=2, ISBLANK(P591), ISBLANK(Q591), ISBLANK(R591), ISBLANK(S591), ISBLANK(T591)), "CUSM, CHU SJ, CHUS, CHUQ", "")</f>
      </c>
      <c r="AM591" s="57">
        <f>IF(AND(AJ591="no match", AK591="", AL591="", K591&lt;26), "CUSM, CHU SJ, HGJ, CHUQ, CHUS", "")</f>
      </c>
      <c r="AN591" s="57">
        <f>IF(AND(AJ591="no match", AK591="", AL591="", K591&gt;26), "CUSM, CHU SJ, HGJ, CHUQ, CHUS, HMR", "")</f>
      </c>
    </row>
    <row x14ac:dyDescent="0.25" r="592" customHeight="1" ht="17.25">
      <c r="A592" s="41" t="s">
        <v>3824</v>
      </c>
      <c r="B592" s="28">
        <v>2</v>
      </c>
      <c r="C592" s="35">
        <v>831</v>
      </c>
      <c r="D592" s="29" t="s">
        <v>313</v>
      </c>
      <c r="E592" s="30" t="s">
        <v>54</v>
      </c>
      <c r="F592" s="31">
        <v>45230</v>
      </c>
      <c r="G592" s="32">
        <v>4.524305555555555</v>
      </c>
      <c r="H592" s="31">
        <v>45211</v>
      </c>
      <c r="I592" s="32">
        <v>4.398611111111111</v>
      </c>
      <c r="J592" s="33">
        <f>F592-H592</f>
      </c>
      <c r="K592" s="28">
        <v>36</v>
      </c>
      <c r="L592" s="28">
        <v>6</v>
      </c>
      <c r="M592" s="28">
        <v>2</v>
      </c>
      <c r="N592" s="35">
        <v>1</v>
      </c>
      <c r="O592" s="34"/>
      <c r="P592" s="34"/>
      <c r="Q592" s="34"/>
      <c r="R592" s="34"/>
      <c r="S592" s="56"/>
      <c r="T592" s="34"/>
      <c r="U592" s="34"/>
      <c r="V592" s="34"/>
      <c r="W592" s="29" t="s">
        <v>58</v>
      </c>
      <c r="X592" s="28">
        <v>30</v>
      </c>
      <c r="Y592" s="28">
        <v>1</v>
      </c>
      <c r="Z592" s="28">
        <v>1</v>
      </c>
      <c r="AA592" s="28">
        <v>1</v>
      </c>
      <c r="AB592" s="28">
        <v>2</v>
      </c>
      <c r="AC592" s="28">
        <v>2</v>
      </c>
      <c r="AD592" s="28">
        <v>2</v>
      </c>
      <c r="AE592" s="28">
        <v>4</v>
      </c>
      <c r="AF592" s="28">
        <v>2</v>
      </c>
      <c r="AG592" s="28">
        <v>2</v>
      </c>
      <c r="AH592" s="29" t="s">
        <v>3825</v>
      </c>
      <c r="AI592" s="36">
        <f>IF(OR(AND(K592&lt;32, J592&lt;2), O592=1, P592=1, Q592=1, R592=1, S592=1, T592=1, U592=1, AND(W592&lt;&gt;"", W592&lt;&gt;"Oxygen", W592&lt;&gt;"LowFlow")), "Intensive", "Intermediate")</f>
      </c>
      <c r="AJ592" s="57">
        <f>IF(OR(LEFT(AH592, 1)="X", LEFT(AH592, 1)="Y", LEFT(AH592, 3)="J13M"), "CUSM", "No Match")</f>
      </c>
      <c r="AK592" s="57">
        <f>IF(AND(OR(O592=3, P592=1, Q592=1, T592=1), AJ592="no Match"), "CUSM, CHU SJ, CHUQ", "")</f>
      </c>
      <c r="AL592" s="57">
        <f>IF(AND(O592=2, ISBLANK(P592), ISBLANK(Q592), ISBLANK(R592), ISBLANK(S592), ISBLANK(T592)), "CUSM, CHU SJ, CHUS, CHUQ", "")</f>
      </c>
      <c r="AM592" s="57">
        <f>IF(AND(AJ592="no match", AK592="", AL592="", K592&lt;26), "CUSM, CHU SJ, HGJ, CHUQ, CHUS", "")</f>
      </c>
      <c r="AN592" s="57">
        <f>IF(AND(AJ592="no match", AK592="", AL592="", K592&gt;26), "CUSM, CHU SJ, HGJ, CHUQ, CHUS, HMR", "")</f>
      </c>
    </row>
    <row x14ac:dyDescent="0.25" r="593" customHeight="1" ht="17.25">
      <c r="A593" s="41" t="s">
        <v>3826</v>
      </c>
      <c r="B593" s="28">
        <v>2</v>
      </c>
      <c r="C593" s="35">
        <v>839</v>
      </c>
      <c r="D593" s="29" t="s">
        <v>53</v>
      </c>
      <c r="E593" s="30" t="s">
        <v>54</v>
      </c>
      <c r="F593" s="31">
        <v>45230</v>
      </c>
      <c r="G593" s="32">
        <v>4.059027777777778</v>
      </c>
      <c r="H593" s="31">
        <v>45229</v>
      </c>
      <c r="I593" s="32">
        <v>4.967361111111111</v>
      </c>
      <c r="J593" s="33">
        <f>F593-H593</f>
      </c>
      <c r="K593" s="28">
        <v>40</v>
      </c>
      <c r="L593" s="28">
        <v>2</v>
      </c>
      <c r="M593" s="28">
        <v>1</v>
      </c>
      <c r="N593" s="35">
        <v>1</v>
      </c>
      <c r="O593" s="34"/>
      <c r="P593" s="35">
        <v>1</v>
      </c>
      <c r="Q593" s="34"/>
      <c r="R593" s="34"/>
      <c r="S593" s="56"/>
      <c r="T593" s="35">
        <v>1</v>
      </c>
      <c r="U593" s="35">
        <v>1</v>
      </c>
      <c r="V593" s="35">
        <v>1</v>
      </c>
      <c r="W593" s="29" t="s">
        <v>74</v>
      </c>
      <c r="X593" s="28">
        <v>24</v>
      </c>
      <c r="Y593" s="28">
        <v>1</v>
      </c>
      <c r="Z593" s="28">
        <v>2</v>
      </c>
      <c r="AA593" s="28">
        <v>3</v>
      </c>
      <c r="AB593" s="28">
        <v>1</v>
      </c>
      <c r="AC593" s="28">
        <v>1</v>
      </c>
      <c r="AD593" s="28">
        <v>2</v>
      </c>
      <c r="AE593" s="28">
        <v>4</v>
      </c>
      <c r="AF593" s="28">
        <v>3</v>
      </c>
      <c r="AG593" s="28">
        <v>2</v>
      </c>
      <c r="AH593" s="29" t="s">
        <v>3827</v>
      </c>
      <c r="AI593" s="36">
        <f>IF(OR(AND(K593&lt;32, J593&lt;2), O593=1, P593=1, Q593=1, R593=1, S593=1, T593=1, U593=1, AND(W593&lt;&gt;"", W593&lt;&gt;"Oxygen", W593&lt;&gt;"LowFlow")), "Intensive", "Intermediate")</f>
      </c>
      <c r="AJ593" s="57">
        <f>IF(OR(LEFT(AH593, 1)="X", LEFT(AH593, 1)="Y", LEFT(AH593, 3)="J14M"), "CUSM", "No Match")</f>
      </c>
      <c r="AK593" s="57">
        <f>IF(AND(OR(O593=3, P593=1, Q593=1, T593=1), AJ593="no Match"), "CUSM, CHU SJ, CHUQ", "")</f>
      </c>
      <c r="AL593" s="57">
        <f>IF(AND(O593=2, ISBLANK(P593), ISBLANK(Q593), ISBLANK(R593), ISBLANK(S593), ISBLANK(T593)), "CUSM, CHU SJ, CHUS, CHUQ", "")</f>
      </c>
      <c r="AM593" s="57">
        <f>IF(AND(AJ593="no match", AK593="", AL593="", K593&lt;26), "CUSM, CHU SJ, HGJ, CHUQ, CHUS", "")</f>
      </c>
      <c r="AN593" s="57">
        <f>IF(AND(AJ593="no match", AK593="", AL593="", K593&gt;26), "CUSM, CHU SJ, HGJ, CHUQ, CHUS, HMR", "")</f>
      </c>
    </row>
    <row x14ac:dyDescent="0.25" r="594" customHeight="1" ht="17.25">
      <c r="A594" s="41" t="s">
        <v>3828</v>
      </c>
      <c r="B594" s="28">
        <v>2</v>
      </c>
      <c r="C594" s="35">
        <v>779</v>
      </c>
      <c r="D594" s="29" t="s">
        <v>136</v>
      </c>
      <c r="E594" s="30" t="s">
        <v>78</v>
      </c>
      <c r="F594" s="31">
        <v>45230</v>
      </c>
      <c r="G594" s="32">
        <v>4.423611111111111</v>
      </c>
      <c r="H594" s="31">
        <v>45230</v>
      </c>
      <c r="I594" s="32">
        <v>4.281944444444445</v>
      </c>
      <c r="J594" s="33">
        <f>F594-H594</f>
      </c>
      <c r="K594" s="28">
        <v>23</v>
      </c>
      <c r="L594" s="28">
        <v>6</v>
      </c>
      <c r="M594" s="28">
        <v>2</v>
      </c>
      <c r="N594" s="38"/>
      <c r="O594" s="34"/>
      <c r="P594" s="34"/>
      <c r="Q594" s="34"/>
      <c r="R594" s="34"/>
      <c r="S594" s="56"/>
      <c r="T594" s="34"/>
      <c r="U594" s="34"/>
      <c r="V594" s="34"/>
      <c r="W594" s="29" t="s">
        <v>74</v>
      </c>
      <c r="X594" s="28">
        <v>41</v>
      </c>
      <c r="Y594" s="28">
        <v>1</v>
      </c>
      <c r="Z594" s="28">
        <v>2</v>
      </c>
      <c r="AA594" s="28">
        <v>2</v>
      </c>
      <c r="AB594" s="28">
        <v>1</v>
      </c>
      <c r="AC594" s="28">
        <v>1</v>
      </c>
      <c r="AD594" s="28">
        <v>1</v>
      </c>
      <c r="AE594" s="28">
        <v>4</v>
      </c>
      <c r="AF594" s="28">
        <v>3</v>
      </c>
      <c r="AG594" s="28">
        <v>2</v>
      </c>
      <c r="AH594" s="29" t="s">
        <v>3829</v>
      </c>
      <c r="AI594" s="36">
        <f>IF(OR(AND(K594&lt;32, J594&lt;2), O594=1, P594=1, Q594=1, R594=1, S594=1, T594=1, U594=1, AND(W594&lt;&gt;"", W594&lt;&gt;"Oxygen", W594&lt;&gt;"LowFlow")), "Intensive", "Intermediate")</f>
      </c>
      <c r="AJ594" s="57">
        <f>IF(OR(LEFT(AH594, 1)="X", LEFT(AH594, 1)="Y", LEFT(AH594, 3)="J15M"), "CUSM", "No Match")</f>
      </c>
      <c r="AK594" s="57">
        <f>IF(AND(OR(O594=3, P594=1, Q594=1, T594=1), AJ594="no Match"), "CUSM, CHU SJ, CHUQ", "")</f>
      </c>
      <c r="AL594" s="57">
        <f>IF(AND(O594=2, ISBLANK(P594), ISBLANK(Q594), ISBLANK(R594), ISBLANK(S594), ISBLANK(T594)), "CUSM, CHU SJ, CHUS, CHUQ", "")</f>
      </c>
      <c r="AM594" s="57">
        <f>IF(AND(AJ594="no match", AK594="", AL594="", K594&lt;26), "CUSM, CHU SJ, HGJ, CHUQ, CHUS", "")</f>
      </c>
      <c r="AN594" s="57">
        <f>IF(AND(AJ594="no match", AK594="", AL594="", K594&gt;26), "CUSM, CHU SJ, HGJ, CHUQ, CHUS, HMR", "")</f>
      </c>
    </row>
    <row x14ac:dyDescent="0.25" r="595" customHeight="1" ht="17.25">
      <c r="A595" s="41" t="s">
        <v>3830</v>
      </c>
      <c r="B595" s="28">
        <v>2</v>
      </c>
      <c r="C595" s="35">
        <v>782</v>
      </c>
      <c r="D595" s="29" t="s">
        <v>95</v>
      </c>
      <c r="E595" s="30" t="s">
        <v>50</v>
      </c>
      <c r="F595" s="31">
        <v>45230</v>
      </c>
      <c r="G595" s="32">
        <v>4.142361111111111</v>
      </c>
      <c r="H595" s="31">
        <v>45230</v>
      </c>
      <c r="I595" s="32">
        <v>4.045138888888889</v>
      </c>
      <c r="J595" s="33">
        <f>F595-H595</f>
      </c>
      <c r="K595" s="28">
        <v>30</v>
      </c>
      <c r="L595" s="28">
        <v>6</v>
      </c>
      <c r="M595" s="28">
        <v>1</v>
      </c>
      <c r="N595" s="38"/>
      <c r="O595" s="34"/>
      <c r="P595" s="34"/>
      <c r="Q595" s="34"/>
      <c r="R595" s="34"/>
      <c r="S595" s="56"/>
      <c r="T595" s="34"/>
      <c r="U595" s="34"/>
      <c r="V595" s="34"/>
      <c r="W595" s="29" t="s">
        <v>58</v>
      </c>
      <c r="X595" s="28">
        <v>32</v>
      </c>
      <c r="Y595" s="28">
        <v>1</v>
      </c>
      <c r="Z595" s="28">
        <v>1</v>
      </c>
      <c r="AA595" s="28">
        <v>3</v>
      </c>
      <c r="AB595" s="28">
        <v>1</v>
      </c>
      <c r="AC595" s="28">
        <v>2</v>
      </c>
      <c r="AD595" s="28">
        <v>2</v>
      </c>
      <c r="AE595" s="28">
        <v>4</v>
      </c>
      <c r="AF595" s="35">
        <v>2</v>
      </c>
      <c r="AG595" s="28">
        <v>2</v>
      </c>
      <c r="AH595" s="29" t="s">
        <v>3831</v>
      </c>
      <c r="AI595" s="36">
        <f>IF(OR(AND(K595&lt;32, J595&lt;2), O595=1, P595=1, Q595=1, R595=1, S595=1, T595=1, U595=1, AND(W595&lt;&gt;"", W595&lt;&gt;"Oxygen", W595&lt;&gt;"LowFlow")), "Intensive", "Intermediate")</f>
      </c>
      <c r="AJ595" s="57">
        <f>IF(OR(LEFT(AH595, 1)="X", LEFT(AH595, 1)="Y", LEFT(AH595, 3)="J16M"), "CUSM", "No Match")</f>
      </c>
      <c r="AK595" s="57">
        <f>IF(AND(OR(O595=3, P595=1, Q595=1, T595=1), AJ595="no Match"), "CUSM, CHU SJ, CHUQ", "")</f>
      </c>
      <c r="AL595" s="57">
        <f>IF(AND(O595=2, ISBLANK(P595), ISBLANK(Q595), ISBLANK(R595), ISBLANK(S595), ISBLANK(T595)), "CUSM, CHU SJ, CHUS, CHUQ", "")</f>
      </c>
      <c r="AM595" s="57">
        <f>IF(AND(AJ595="no match", AK595="", AL595="", K595&lt;26), "CUSM, CHU SJ, HGJ, CHUQ, CHUS", "")</f>
      </c>
      <c r="AN595" s="57">
        <f>IF(AND(AJ595="no match", AK595="", AL595="", K595&gt;26), "CUSM, CHU SJ, HGJ, CHUQ, CHUS, HMR", "")</f>
      </c>
    </row>
    <row x14ac:dyDescent="0.25" r="596" customHeight="1" ht="17.25">
      <c r="A596" s="41" t="s">
        <v>3832</v>
      </c>
      <c r="B596" s="28">
        <v>2</v>
      </c>
      <c r="C596" s="35">
        <v>815</v>
      </c>
      <c r="D596" s="29" t="s">
        <v>100</v>
      </c>
      <c r="E596" s="30" t="s">
        <v>54</v>
      </c>
      <c r="F596" s="31">
        <v>45231</v>
      </c>
      <c r="G596" s="32">
        <v>4.522222222222222</v>
      </c>
      <c r="H596" s="31">
        <v>45230</v>
      </c>
      <c r="I596" s="32">
        <v>4.902083333333334</v>
      </c>
      <c r="J596" s="33">
        <f>F596-H596</f>
      </c>
      <c r="K596" s="28">
        <v>35</v>
      </c>
      <c r="L596" s="28">
        <v>1</v>
      </c>
      <c r="M596" s="28">
        <v>1</v>
      </c>
      <c r="N596" s="38"/>
      <c r="O596" s="34"/>
      <c r="P596" s="34"/>
      <c r="Q596" s="34"/>
      <c r="R596" s="34"/>
      <c r="S596" s="56"/>
      <c r="T596" s="34"/>
      <c r="U596" s="34"/>
      <c r="V596" s="34"/>
      <c r="W596" s="29" t="s">
        <v>164</v>
      </c>
      <c r="X596" s="28">
        <v>34</v>
      </c>
      <c r="Y596" s="28">
        <v>1</v>
      </c>
      <c r="Z596" s="28">
        <v>2</v>
      </c>
      <c r="AA596" s="28">
        <v>1</v>
      </c>
      <c r="AB596" s="28">
        <v>1</v>
      </c>
      <c r="AC596" s="28">
        <v>1</v>
      </c>
      <c r="AD596" s="28">
        <v>1</v>
      </c>
      <c r="AE596" s="28">
        <v>4</v>
      </c>
      <c r="AF596" s="28">
        <v>2</v>
      </c>
      <c r="AG596" s="28">
        <v>2</v>
      </c>
      <c r="AH596" s="29" t="s">
        <v>3833</v>
      </c>
      <c r="AI596" s="36">
        <f>IF(OR(AND(K596&lt;32, J596&lt;2), O596=1, P596=1, Q596=1, R596=1, S596=1, T596=1, U596=1, AND(W596&lt;&gt;"", W596&lt;&gt;"Oxygen", W596&lt;&gt;"LowFlow")), "Intensive", "Intermediate")</f>
      </c>
      <c r="AJ596" s="57">
        <f>IF(OR(LEFT(AH596, 1)="X", LEFT(AH596, 1)="Y", LEFT(AH596, 3)="J17M"), "CUSM", "No Match")</f>
      </c>
      <c r="AK596" s="57">
        <f>IF(AND(OR(O596=3, P596=1, Q596=1, T596=1), AJ596="no Match"), "CUSM, CHU SJ, CHUQ", "")</f>
      </c>
      <c r="AL596" s="57">
        <f>IF(AND(O596=2, ISBLANK(P596), ISBLANK(Q596), ISBLANK(R596), ISBLANK(S596), ISBLANK(T596)), "CUSM, CHU SJ, CHUS, CHUQ", "")</f>
      </c>
      <c r="AM596" s="57">
        <f>IF(AND(AJ596="no match", AK596="", AL596="", K596&lt;26), "CUSM, CHU SJ, HGJ, CHUQ, CHUS", "")</f>
      </c>
      <c r="AN596" s="57">
        <f>IF(AND(AJ596="no match", AK596="", AL596="", K596&gt;26), "CUSM, CHU SJ, HGJ, CHUQ, CHUS, HMR", "")</f>
      </c>
    </row>
    <row x14ac:dyDescent="0.25" r="597" customHeight="1" ht="17.25">
      <c r="A597" s="41" t="s">
        <v>3834</v>
      </c>
      <c r="B597" s="28">
        <v>2</v>
      </c>
      <c r="C597" s="28">
        <v>839</v>
      </c>
      <c r="D597" s="29" t="s">
        <v>53</v>
      </c>
      <c r="E597" s="30" t="s">
        <v>54</v>
      </c>
      <c r="F597" s="31">
        <v>45231</v>
      </c>
      <c r="G597" s="32">
        <v>4.938888888888889</v>
      </c>
      <c r="H597" s="31">
        <v>45231</v>
      </c>
      <c r="I597" s="32">
        <v>4.6305555555555555</v>
      </c>
      <c r="J597" s="33">
        <f>F597-H597</f>
      </c>
      <c r="K597" s="28">
        <v>38</v>
      </c>
      <c r="L597" s="28">
        <v>4</v>
      </c>
      <c r="M597" s="28">
        <v>1</v>
      </c>
      <c r="N597" s="35">
        <v>1</v>
      </c>
      <c r="O597" s="34"/>
      <c r="P597" s="35">
        <v>1</v>
      </c>
      <c r="Q597" s="34"/>
      <c r="R597" s="34"/>
      <c r="S597" s="56"/>
      <c r="T597" s="35">
        <v>1</v>
      </c>
      <c r="U597" s="34"/>
      <c r="V597" s="35">
        <v>1</v>
      </c>
      <c r="W597" s="29" t="s">
        <v>70</v>
      </c>
      <c r="X597" s="28">
        <v>29</v>
      </c>
      <c r="Y597" s="28">
        <v>1</v>
      </c>
      <c r="Z597" s="28">
        <v>1</v>
      </c>
      <c r="AA597" s="28">
        <v>3</v>
      </c>
      <c r="AB597" s="28">
        <v>1</v>
      </c>
      <c r="AC597" s="28">
        <v>2</v>
      </c>
      <c r="AD597" s="28">
        <v>2</v>
      </c>
      <c r="AE597" s="28">
        <v>4</v>
      </c>
      <c r="AF597" s="28">
        <v>2</v>
      </c>
      <c r="AG597" s="28">
        <v>2</v>
      </c>
      <c r="AH597" s="29" t="s">
        <v>3835</v>
      </c>
      <c r="AI597" s="36">
        <f>IF(OR(AND(K597&lt;32, J597&lt;2), O597=1, P597=1, Q597=1, R597=1, S597=1, T597=1, U597=1, AND(W597&lt;&gt;"", W597&lt;&gt;"Oxygen", W597&lt;&gt;"LowFlow")), "Intensive", "Intermediate")</f>
      </c>
      <c r="AJ597" s="57">
        <f>IF(OR(LEFT(AH597, 1)="X", LEFT(AH597, 1)="Y", LEFT(AH597, 3)="J18M"), "CUSM", "No Match")</f>
      </c>
      <c r="AK597" s="57">
        <f>IF(AND(OR(O597=3, P597=1, Q597=1, T597=1), AJ597="no Match"), "CUSM, CHU SJ, CHUQ", "")</f>
      </c>
      <c r="AL597" s="57">
        <f>IF(AND(O597=2, ISBLANK(P597), ISBLANK(Q597), ISBLANK(R597), ISBLANK(S597), ISBLANK(T597)), "CUSM, CHU SJ, CHUS, CHUQ", "")</f>
      </c>
      <c r="AM597" s="57">
        <f>IF(AND(AJ597="no match", AK597="", AL597="", K597&lt;26), "CUSM, CHU SJ, HGJ, CHUQ, CHUS", "")</f>
      </c>
      <c r="AN597" s="57">
        <f>IF(AND(AJ597="no match", AK597="", AL597="", K597&gt;26), "CUSM, CHU SJ, HGJ, CHUQ, CHUS, HMR", "")</f>
      </c>
    </row>
    <row x14ac:dyDescent="0.25" r="598" customHeight="1" ht="17.25">
      <c r="A598" s="41" t="s">
        <v>3836</v>
      </c>
      <c r="B598" s="28">
        <v>2</v>
      </c>
      <c r="C598" s="28">
        <v>825</v>
      </c>
      <c r="D598" s="29" t="s">
        <v>77</v>
      </c>
      <c r="E598" s="30" t="s">
        <v>54</v>
      </c>
      <c r="F598" s="31">
        <v>45232</v>
      </c>
      <c r="G598" s="32">
        <v>4.784722222222222</v>
      </c>
      <c r="H598" s="31">
        <v>45228</v>
      </c>
      <c r="I598" s="32">
        <v>4.540972222222223</v>
      </c>
      <c r="J598" s="33">
        <f>F598-H598</f>
      </c>
      <c r="K598" s="28">
        <v>38</v>
      </c>
      <c r="L598" s="28">
        <v>5</v>
      </c>
      <c r="M598" s="28">
        <v>1</v>
      </c>
      <c r="N598" s="35">
        <v>1</v>
      </c>
      <c r="O598" s="35">
        <v>2</v>
      </c>
      <c r="P598" s="35">
        <v>1</v>
      </c>
      <c r="Q598" s="34"/>
      <c r="R598" s="34"/>
      <c r="S598" s="56"/>
      <c r="T598" s="34"/>
      <c r="U598" s="34"/>
      <c r="V598" s="34"/>
      <c r="W598" s="29" t="s">
        <v>106</v>
      </c>
      <c r="X598" s="28">
        <v>18</v>
      </c>
      <c r="Y598" s="28">
        <v>1</v>
      </c>
      <c r="Z598" s="28">
        <v>2</v>
      </c>
      <c r="AA598" s="28">
        <v>3</v>
      </c>
      <c r="AB598" s="28">
        <v>1</v>
      </c>
      <c r="AC598" s="28">
        <v>2</v>
      </c>
      <c r="AD598" s="28">
        <v>2</v>
      </c>
      <c r="AE598" s="28">
        <v>4</v>
      </c>
      <c r="AF598" s="28">
        <v>2</v>
      </c>
      <c r="AG598" s="28">
        <v>2</v>
      </c>
      <c r="AH598" s="29" t="s">
        <v>3837</v>
      </c>
      <c r="AI598" s="36">
        <f>IF(OR(AND(K598&lt;32, J598&lt;2), O598=1, P598=1, Q598=1, R598=1, S598=1, T598=1, U598=1, AND(W598&lt;&gt;"", W598&lt;&gt;"Oxygen", W598&lt;&gt;"LowFlow")), "Intensive", "Intermediate")</f>
      </c>
      <c r="AJ598" s="57">
        <f>IF(OR(LEFT(AH598, 1)="X", LEFT(AH598, 1)="Y", LEFT(AH598, 3)="J19M"), "CUSM", "No Match")</f>
      </c>
      <c r="AK598" s="57">
        <f>IF(AND(OR(O598=3, P598=1, Q598=1, T598=1), AJ598="no Match"), "CUSM, CHU SJ, CHUQ", "")</f>
      </c>
      <c r="AL598" s="57">
        <f>IF(AND(O598=2, ISBLANK(P598), ISBLANK(Q598), ISBLANK(R598), ISBLANK(S598), ISBLANK(T598)), "CUSM, CHU SJ, CHUS, CHUQ", "")</f>
      </c>
      <c r="AM598" s="57">
        <f>IF(AND(AJ598="no match", AK598="", AL598="", K598&lt;26), "CUSM, CHU SJ, HGJ, CHUQ, CHUS", "")</f>
      </c>
      <c r="AN598" s="57">
        <f>IF(AND(AJ598="no match", AK598="", AL598="", K598&gt;26), "CUSM, CHU SJ, HGJ, CHUQ, CHUS, HMR", "")</f>
      </c>
    </row>
    <row x14ac:dyDescent="0.25" r="599" customHeight="1" ht="17.25">
      <c r="A599" s="41" t="s">
        <v>3838</v>
      </c>
      <c r="B599" s="28">
        <v>2</v>
      </c>
      <c r="C599" s="28">
        <v>730</v>
      </c>
      <c r="D599" s="29" t="s">
        <v>81</v>
      </c>
      <c r="E599" s="30" t="s">
        <v>78</v>
      </c>
      <c r="F599" s="31">
        <v>45233</v>
      </c>
      <c r="G599" s="32">
        <v>4.929166666666667</v>
      </c>
      <c r="H599" s="31">
        <v>45233</v>
      </c>
      <c r="I599" s="32">
        <v>4.776388888888889</v>
      </c>
      <c r="J599" s="33">
        <f>F599-H599</f>
      </c>
      <c r="K599" s="28">
        <v>28</v>
      </c>
      <c r="L599" s="28">
        <v>1</v>
      </c>
      <c r="M599" s="28">
        <v>1</v>
      </c>
      <c r="N599" s="34"/>
      <c r="O599" s="34"/>
      <c r="P599" s="34"/>
      <c r="Q599" s="34"/>
      <c r="R599" s="34"/>
      <c r="S599" s="56"/>
      <c r="T599" s="34"/>
      <c r="U599" s="34"/>
      <c r="V599" s="34"/>
      <c r="W599" s="29" t="s">
        <v>74</v>
      </c>
      <c r="X599" s="28">
        <v>25</v>
      </c>
      <c r="Y599" s="28">
        <v>1</v>
      </c>
      <c r="Z599" s="28">
        <v>1</v>
      </c>
      <c r="AA599" s="28">
        <v>2</v>
      </c>
      <c r="AB599" s="28">
        <v>1</v>
      </c>
      <c r="AC599" s="28">
        <v>3</v>
      </c>
      <c r="AD599" s="28">
        <v>3</v>
      </c>
      <c r="AE599" s="28">
        <v>2</v>
      </c>
      <c r="AF599" s="28">
        <v>3</v>
      </c>
      <c r="AG599" s="28">
        <v>2</v>
      </c>
      <c r="AH599" s="29" t="s">
        <v>3839</v>
      </c>
      <c r="AI599" s="36">
        <f>IF(OR(AND(K599&lt;32, J599&lt;2), O599=1, P599=1, Q599=1, R599=1, S599=1, T599=1, U599=1, AND(W599&lt;&gt;"", W599&lt;&gt;"Oxygen", W599&lt;&gt;"LowFlow")), "Intensive", "Intermediate")</f>
      </c>
      <c r="AJ599" s="57">
        <f>IF(OR(LEFT(AH599, 1)="X", LEFT(AH599, 1)="Y", LEFT(AH599, 3)="J20M"), "CUSM", "No Match")</f>
      </c>
      <c r="AK599" s="57">
        <f>IF(AND(OR(O599=3, P599=1, Q599=1, T599=1), AJ599="no Match"), "CUSM, CHU SJ, CHUQ", "")</f>
      </c>
      <c r="AL599" s="57">
        <f>IF(AND(O599=2, ISBLANK(P599), ISBLANK(Q599), ISBLANK(R599), ISBLANK(S599), ISBLANK(T599)), "CUSM, CHU SJ, CHUS, CHUQ", "")</f>
      </c>
      <c r="AM599" s="57">
        <f>IF(AND(AJ599="no match", AK599="", AL599="", K599&lt;26), "CUSM, CHU SJ, HGJ, CHUQ, CHUS", "")</f>
      </c>
      <c r="AN599" s="57">
        <f>IF(AND(AJ599="no match", AK599="", AL599="", K599&gt;26), "CUSM, CHU SJ, HGJ, CHUQ, CHUS, HMR", "")</f>
      </c>
    </row>
    <row x14ac:dyDescent="0.25" r="600" customHeight="1" ht="17.25">
      <c r="A600" s="41" t="s">
        <v>3840</v>
      </c>
      <c r="B600" s="28">
        <v>2</v>
      </c>
      <c r="C600" s="35">
        <v>796</v>
      </c>
      <c r="D600" s="29" t="s">
        <v>63</v>
      </c>
      <c r="E600" s="30" t="s">
        <v>54</v>
      </c>
      <c r="F600" s="31">
        <v>45234</v>
      </c>
      <c r="G600" s="32">
        <v>4.694444444444445</v>
      </c>
      <c r="H600" s="31">
        <v>45233</v>
      </c>
      <c r="I600" s="32">
        <v>4.5152777777777775</v>
      </c>
      <c r="J600" s="33">
        <f>F600-H600</f>
      </c>
      <c r="K600" s="28">
        <v>39</v>
      </c>
      <c r="L600" s="28">
        <v>5</v>
      </c>
      <c r="M600" s="28">
        <v>2</v>
      </c>
      <c r="N600" s="35">
        <v>1</v>
      </c>
      <c r="O600" s="34"/>
      <c r="P600" s="34"/>
      <c r="Q600" s="34"/>
      <c r="R600" s="34"/>
      <c r="S600" s="56"/>
      <c r="T600" s="34"/>
      <c r="U600" s="34"/>
      <c r="V600" s="34"/>
      <c r="W600" s="29"/>
      <c r="X600" s="28">
        <v>28</v>
      </c>
      <c r="Y600" s="28">
        <v>1</v>
      </c>
      <c r="Z600" s="28">
        <v>2</v>
      </c>
      <c r="AA600" s="28">
        <v>1</v>
      </c>
      <c r="AB600" s="28">
        <v>1</v>
      </c>
      <c r="AC600" s="28">
        <v>2</v>
      </c>
      <c r="AD600" s="28">
        <v>1</v>
      </c>
      <c r="AE600" s="28">
        <v>4</v>
      </c>
      <c r="AF600" s="28">
        <v>2</v>
      </c>
      <c r="AG600" s="28">
        <v>2</v>
      </c>
      <c r="AH600" s="29" t="s">
        <v>3841</v>
      </c>
      <c r="AI600" s="36">
        <f>IF(OR(AND(K600&lt;32, J600&lt;2), O600=1, P600=1, Q600=1, R600=1, S600=1, T600=1, U600=1, AND(W600&lt;&gt;"", W600&lt;&gt;"Oxygen", W600&lt;&gt;"LowFlow")), "Intensive", "Intermediate")</f>
      </c>
      <c r="AJ600" s="57">
        <f>IF(OR(LEFT(AH600, 1)="X", LEFT(AH600, 1)="Y", LEFT(AH600, 3)="J21M"), "CUSM", "No Match")</f>
      </c>
      <c r="AK600" s="57">
        <f>IF(AND(OR(O600=3, P600=1, Q600=1, T600=1), AJ600="no Match"), "CUSM, CHU SJ, CHUQ", "")</f>
      </c>
      <c r="AL600" s="57">
        <f>IF(AND(O600=2, ISBLANK(P600), ISBLANK(Q600), ISBLANK(R600), ISBLANK(S600), ISBLANK(T600)), "CUSM, CHU SJ, CHUS, CHUQ", "")</f>
      </c>
      <c r="AM600" s="57">
        <f>IF(AND(AJ600="no match", AK600="", AL600="", K600&lt;26), "CUSM, CHU SJ, HGJ, CHUQ, CHUS", "")</f>
      </c>
      <c r="AN600" s="57">
        <f>IF(AND(AJ600="no match", AK600="", AL600="", K600&gt;26), "CUSM, CHU SJ, HGJ, CHUQ, CHUS, HMR", "")</f>
      </c>
    </row>
    <row x14ac:dyDescent="0.25" r="601" customHeight="1" ht="17.25">
      <c r="A601" s="41" t="s">
        <v>3842</v>
      </c>
      <c r="B601" s="28">
        <v>2</v>
      </c>
      <c r="C601" s="35">
        <v>730</v>
      </c>
      <c r="D601" s="29" t="s">
        <v>81</v>
      </c>
      <c r="E601" s="30" t="s">
        <v>50</v>
      </c>
      <c r="F601" s="31">
        <v>45234</v>
      </c>
      <c r="G601" s="32">
        <v>4.485416666666667</v>
      </c>
      <c r="H601" s="31">
        <v>45232</v>
      </c>
      <c r="I601" s="32">
        <v>4.465972222222222</v>
      </c>
      <c r="J601" s="33">
        <f>F601-H601</f>
      </c>
      <c r="K601" s="28">
        <v>36</v>
      </c>
      <c r="L601" s="28">
        <v>6</v>
      </c>
      <c r="M601" s="28">
        <v>1</v>
      </c>
      <c r="N601" s="34"/>
      <c r="O601" s="34"/>
      <c r="P601" s="34"/>
      <c r="Q601" s="34"/>
      <c r="R601" s="34"/>
      <c r="S601" s="56"/>
      <c r="T601" s="34"/>
      <c r="U601" s="34"/>
      <c r="V601" s="34"/>
      <c r="W601" s="29" t="s">
        <v>58</v>
      </c>
      <c r="X601" s="28">
        <v>31</v>
      </c>
      <c r="Y601" s="28">
        <v>2</v>
      </c>
      <c r="Z601" s="28">
        <v>2</v>
      </c>
      <c r="AA601" s="28">
        <v>2</v>
      </c>
      <c r="AB601" s="28">
        <v>4</v>
      </c>
      <c r="AC601" s="28">
        <v>2</v>
      </c>
      <c r="AD601" s="28">
        <v>2</v>
      </c>
      <c r="AE601" s="28">
        <v>4</v>
      </c>
      <c r="AF601" s="28">
        <v>3</v>
      </c>
      <c r="AG601" s="28">
        <v>3</v>
      </c>
      <c r="AH601" s="29" t="s">
        <v>3843</v>
      </c>
      <c r="AI601" s="36">
        <f>IF(OR(AND(K601&lt;32, J601&lt;2), O601=1, P601=1, Q601=1, R601=1, S601=1, T601=1, U601=1, AND(W601&lt;&gt;"", W601&lt;&gt;"Oxygen", W601&lt;&gt;"LowFlow")), "Intensive", "Intermediate")</f>
      </c>
      <c r="AJ601" s="57">
        <f>IF(OR(LEFT(AH601, 1)="X", LEFT(AH601, 1)="Y", LEFT(AH601, 3)="J22M"), "CUSM", "No Match")</f>
      </c>
      <c r="AK601" s="57">
        <f>IF(AND(OR(O601=3, P601=1, Q601=1, T601=1), AJ601="no Match"), "CUSM, CHU SJ, CHUQ", "")</f>
      </c>
      <c r="AL601" s="57">
        <f>IF(AND(O601=2, ISBLANK(P601), ISBLANK(Q601), ISBLANK(R601), ISBLANK(S601), ISBLANK(T601)), "CUSM, CHU SJ, CHUS, CHUQ", "")</f>
      </c>
      <c r="AM601" s="57">
        <f>IF(AND(AJ601="no match", AK601="", AL601="", K601&lt;26), "CUSM, CHU SJ, HGJ, CHUQ, CHUS", "")</f>
      </c>
      <c r="AN601" s="57">
        <f>IF(AND(AJ601="no match", AK601="", AL601="", K601&gt;26), "CUSM, CHU SJ, HGJ, CHUQ, CHUS, HMR", "")</f>
      </c>
    </row>
    <row x14ac:dyDescent="0.25" r="602" customHeight="1" ht="17.25">
      <c r="A602" s="41" t="s">
        <v>3844</v>
      </c>
      <c r="B602" s="28">
        <v>2</v>
      </c>
      <c r="C602" s="35">
        <v>756</v>
      </c>
      <c r="D602" s="29" t="s">
        <v>66</v>
      </c>
      <c r="E602" s="30" t="s">
        <v>50</v>
      </c>
      <c r="F602" s="31">
        <v>45234</v>
      </c>
      <c r="G602" s="32">
        <v>4.017361111111111</v>
      </c>
      <c r="H602" s="31">
        <v>45231</v>
      </c>
      <c r="I602" s="32">
        <v>4.7868055555555555</v>
      </c>
      <c r="J602" s="33">
        <f>F602-H602</f>
      </c>
      <c r="K602" s="28">
        <v>34</v>
      </c>
      <c r="L602" s="28">
        <v>4</v>
      </c>
      <c r="M602" s="28">
        <v>2</v>
      </c>
      <c r="N602" s="34"/>
      <c r="O602" s="34"/>
      <c r="P602" s="34"/>
      <c r="Q602" s="34"/>
      <c r="R602" s="34"/>
      <c r="S602" s="56"/>
      <c r="T602" s="34"/>
      <c r="U602" s="34"/>
      <c r="V602" s="34"/>
      <c r="W602" s="29" t="s">
        <v>600</v>
      </c>
      <c r="X602" s="28">
        <v>33</v>
      </c>
      <c r="Y602" s="28">
        <v>1</v>
      </c>
      <c r="Z602" s="28">
        <v>2</v>
      </c>
      <c r="AA602" s="28">
        <v>2</v>
      </c>
      <c r="AB602" s="28">
        <v>4</v>
      </c>
      <c r="AC602" s="28">
        <v>2</v>
      </c>
      <c r="AD602" s="28">
        <v>2</v>
      </c>
      <c r="AE602" s="28">
        <v>4</v>
      </c>
      <c r="AF602" s="28">
        <v>3</v>
      </c>
      <c r="AG602" s="28">
        <v>2</v>
      </c>
      <c r="AH602" s="29" t="s">
        <v>3845</v>
      </c>
      <c r="AI602" s="36">
        <f>IF(OR(AND(K602&lt;32, J602&lt;2), O602=1, P602=1, Q602=1, R602=1, S602=1, T602=1, U602=1, AND(W602&lt;&gt;"", W602&lt;&gt;"Oxygen", W602&lt;&gt;"LowFlow")), "Intensive", "Intermediate")</f>
      </c>
      <c r="AJ602" s="57">
        <f>IF(OR(LEFT(AH602, 1)="X", LEFT(AH602, 1)="Y", LEFT(AH602, 3)="J23M"), "CUSM", "No Match")</f>
      </c>
      <c r="AK602" s="57">
        <f>IF(AND(OR(O602=3, P602=1, Q602=1, T602=1), AJ602="no Match"), "CUSM, CHU SJ, CHUQ", "")</f>
      </c>
      <c r="AL602" s="57">
        <f>IF(AND(O602=2, ISBLANK(P602), ISBLANK(Q602), ISBLANK(R602), ISBLANK(S602), ISBLANK(T602)), "CUSM, CHU SJ, CHUS, CHUQ", "")</f>
      </c>
      <c r="AM602" s="57">
        <f>IF(AND(AJ602="no match", AK602="", AL602="", K602&lt;26), "CUSM, CHU SJ, HGJ, CHUQ, CHUS", "")</f>
      </c>
      <c r="AN602" s="57">
        <f>IF(AND(AJ602="no match", AK602="", AL602="", K602&gt;26), "CUSM, CHU SJ, HGJ, CHUQ, CHUS, HMR", "")</f>
      </c>
    </row>
    <row x14ac:dyDescent="0.25" r="603" customHeight="1" ht="17.25">
      <c r="A603" s="41" t="s">
        <v>3846</v>
      </c>
      <c r="B603" s="28">
        <v>2</v>
      </c>
      <c r="C603" s="35">
        <v>809</v>
      </c>
      <c r="D603" s="29" t="s">
        <v>117</v>
      </c>
      <c r="E603" s="30" t="s">
        <v>118</v>
      </c>
      <c r="F603" s="31">
        <v>45235</v>
      </c>
      <c r="G603" s="32">
        <v>4.58125</v>
      </c>
      <c r="H603" s="31">
        <v>45235</v>
      </c>
      <c r="I603" s="32">
        <v>4.419444444444444</v>
      </c>
      <c r="J603" s="33">
        <f>F603-H603</f>
      </c>
      <c r="K603" s="28">
        <v>24</v>
      </c>
      <c r="L603" s="28">
        <v>0</v>
      </c>
      <c r="M603" s="28">
        <v>1</v>
      </c>
      <c r="N603" s="34"/>
      <c r="O603" s="34"/>
      <c r="P603" s="34"/>
      <c r="Q603" s="34"/>
      <c r="R603" s="34"/>
      <c r="S603" s="56"/>
      <c r="T603" s="34"/>
      <c r="U603" s="34"/>
      <c r="V603" s="34"/>
      <c r="W603" s="29" t="s">
        <v>74</v>
      </c>
      <c r="X603" s="28">
        <v>27</v>
      </c>
      <c r="Y603" s="28">
        <v>1</v>
      </c>
      <c r="Z603" s="28">
        <v>1</v>
      </c>
      <c r="AA603" s="28">
        <v>1</v>
      </c>
      <c r="AB603" s="28">
        <v>1</v>
      </c>
      <c r="AC603" s="28">
        <v>2</v>
      </c>
      <c r="AD603" s="28">
        <v>2</v>
      </c>
      <c r="AE603" s="28">
        <v>4</v>
      </c>
      <c r="AF603" s="28">
        <v>1</v>
      </c>
      <c r="AG603" s="28">
        <v>2</v>
      </c>
      <c r="AH603" s="29" t="s">
        <v>3847</v>
      </c>
      <c r="AI603" s="36">
        <f>IF(OR(AND(K603&lt;32, J603&lt;2), O603=1, P603=1, Q603=1, R603=1, S603=1, T603=1, U603=1, AND(W603&lt;&gt;"", W603&lt;&gt;"Oxygen", W603&lt;&gt;"LowFlow")), "Intensive", "Intermediate")</f>
      </c>
      <c r="AJ603" s="57">
        <f>IF(OR(LEFT(AH603, 1)="X", LEFT(AH603, 1)="Y", LEFT(AH603, 3)="J24M"), "CUSM", "No Match")</f>
      </c>
      <c r="AK603" s="57">
        <f>IF(AND(OR(O603=3, P603=1, Q603=1, T603=1), AJ603="no Match"), "CUSM, CHU SJ, CHUQ", "")</f>
      </c>
      <c r="AL603" s="57">
        <f>IF(AND(O603=2, ISBLANK(P603), ISBLANK(Q603), ISBLANK(R603), ISBLANK(S603), ISBLANK(T603)), "CUSM, CHU SJ, CHUS, CHUQ", "")</f>
      </c>
      <c r="AM603" s="57">
        <f>IF(AND(AJ603="no match", AK603="", AL603="", K603&lt;26), "CUSM, CHU SJ, HGJ, CHUQ, CHUS", "")</f>
      </c>
      <c r="AN603" s="57">
        <f>IF(AND(AJ603="no match", AK603="", AL603="", K603&gt;26), "CUSM, CHU SJ, HGJ, CHUQ, CHUS, HMR", "")</f>
      </c>
    </row>
    <row x14ac:dyDescent="0.25" r="604" customHeight="1" ht="17.25">
      <c r="A604" s="41" t="s">
        <v>3848</v>
      </c>
      <c r="B604" s="28">
        <v>2</v>
      </c>
      <c r="C604" s="35">
        <v>564</v>
      </c>
      <c r="D604" s="29" t="s">
        <v>153</v>
      </c>
      <c r="E604" s="30" t="s">
        <v>54</v>
      </c>
      <c r="F604" s="31">
        <v>45235</v>
      </c>
      <c r="G604" s="32">
        <v>4.508333333333333</v>
      </c>
      <c r="H604" s="31">
        <v>45235</v>
      </c>
      <c r="I604" s="32">
        <v>4.259027777777778</v>
      </c>
      <c r="J604" s="33">
        <f>F604-H604</f>
      </c>
      <c r="K604" s="28">
        <v>41</v>
      </c>
      <c r="L604" s="28">
        <v>4</v>
      </c>
      <c r="M604" s="28">
        <v>1</v>
      </c>
      <c r="N604" s="38"/>
      <c r="O604" s="34"/>
      <c r="P604" s="34"/>
      <c r="Q604" s="34"/>
      <c r="R604" s="34"/>
      <c r="S604" s="56"/>
      <c r="T604" s="34"/>
      <c r="U604" s="34"/>
      <c r="V604" s="34"/>
      <c r="W604" s="29" t="s">
        <v>58</v>
      </c>
      <c r="X604" s="28">
        <v>29</v>
      </c>
      <c r="Y604" s="28">
        <v>1</v>
      </c>
      <c r="Z604" s="28">
        <v>1</v>
      </c>
      <c r="AA604" s="28">
        <v>1</v>
      </c>
      <c r="AB604" s="28">
        <v>1</v>
      </c>
      <c r="AC604" s="28">
        <v>2</v>
      </c>
      <c r="AD604" s="28">
        <v>2</v>
      </c>
      <c r="AE604" s="28">
        <v>4</v>
      </c>
      <c r="AF604" s="28">
        <v>2</v>
      </c>
      <c r="AG604" s="28">
        <v>2</v>
      </c>
      <c r="AH604" s="29" t="s">
        <v>3849</v>
      </c>
      <c r="AI604" s="36">
        <f>IF(OR(AND(K604&lt;32, J604&lt;2), O604=1, P604=1, Q604=1, R604=1, S604=1, T604=1, U604=1, AND(W604&lt;&gt;"", W604&lt;&gt;"Oxygen", W604&lt;&gt;"LowFlow")), "Intensive", "Intermediate")</f>
      </c>
      <c r="AJ604" s="57">
        <f>IF(OR(LEFT(AH604, 1)="X", LEFT(AH604, 1)="Y", LEFT(AH604, 3)="J25M"), "CUSM", "No Match")</f>
      </c>
      <c r="AK604" s="57">
        <f>IF(AND(OR(O604=3, P604=1, Q604=1, T604=1), AJ604="no Match"), "CUSM, CHU SJ, CHUQ", "")</f>
      </c>
      <c r="AL604" s="57">
        <f>IF(AND(O604=2, ISBLANK(P604), ISBLANK(Q604), ISBLANK(R604), ISBLANK(S604), ISBLANK(T604)), "CUSM, CHU SJ, CHUS, CHUQ", "")</f>
      </c>
      <c r="AM604" s="57">
        <f>IF(AND(AJ604="no match", AK604="", AL604="", K604&lt;26), "CUSM, CHU SJ, HGJ, CHUQ, CHUS", "")</f>
      </c>
      <c r="AN604" s="57">
        <f>IF(AND(AJ604="no match", AK604="", AL604="", K604&gt;26), "CUSM, CHU SJ, HGJ, CHUQ, CHUS, HMR", "")</f>
      </c>
    </row>
    <row x14ac:dyDescent="0.25" r="605" customHeight="1" ht="17.25">
      <c r="A605" s="41" t="s">
        <v>3850</v>
      </c>
      <c r="B605" s="28">
        <v>2</v>
      </c>
      <c r="C605" s="35">
        <v>779</v>
      </c>
      <c r="D605" s="29" t="s">
        <v>136</v>
      </c>
      <c r="E605" s="30" t="s">
        <v>54</v>
      </c>
      <c r="F605" s="31">
        <v>45235</v>
      </c>
      <c r="G605" s="32">
        <v>4.9222222222222225</v>
      </c>
      <c r="H605" s="31">
        <v>45234</v>
      </c>
      <c r="I605" s="32">
        <v>4.204861111111111</v>
      </c>
      <c r="J605" s="33">
        <f>F605-H605</f>
      </c>
      <c r="K605" s="28">
        <v>36</v>
      </c>
      <c r="L605" s="28">
        <v>4</v>
      </c>
      <c r="M605" s="28">
        <v>1</v>
      </c>
      <c r="N605" s="34"/>
      <c r="O605" s="34"/>
      <c r="P605" s="34"/>
      <c r="Q605" s="34"/>
      <c r="R605" s="34"/>
      <c r="S605" s="56"/>
      <c r="T605" s="34"/>
      <c r="U605" s="34"/>
      <c r="V605" s="34"/>
      <c r="W605" s="29"/>
      <c r="X605" s="28">
        <v>33</v>
      </c>
      <c r="Y605" s="28">
        <v>1</v>
      </c>
      <c r="Z605" s="28">
        <v>2</v>
      </c>
      <c r="AA605" s="28">
        <v>1</v>
      </c>
      <c r="AB605" s="28">
        <v>1</v>
      </c>
      <c r="AC605" s="28">
        <v>2</v>
      </c>
      <c r="AD605" s="28">
        <v>1</v>
      </c>
      <c r="AE605" s="28">
        <v>4</v>
      </c>
      <c r="AF605" s="28">
        <v>2</v>
      </c>
      <c r="AG605" s="28">
        <v>2</v>
      </c>
      <c r="AH605" s="29" t="s">
        <v>3851</v>
      </c>
      <c r="AI605" s="36">
        <f>IF(OR(AND(K605&lt;32, J605&lt;2), O605=1, P605=1, Q605=1, R605=1, S605=1, T605=1, U605=1, AND(W605&lt;&gt;"", W605&lt;&gt;"Oxygen", W605&lt;&gt;"LowFlow")), "Intensive", "Intermediate")</f>
      </c>
      <c r="AJ605" s="57">
        <f>IF(OR(LEFT(AH605, 1)="X", LEFT(AH605, 1)="Y", LEFT(AH605, 3)="J26M"), "CUSM", "No Match")</f>
      </c>
      <c r="AK605" s="57">
        <f>IF(AND(OR(O605=3, P605=1, Q605=1, T605=1), AJ605="no Match"), "CUSM, CHU SJ, CHUQ", "")</f>
      </c>
      <c r="AL605" s="57">
        <f>IF(AND(O605=2, ISBLANK(P605), ISBLANK(Q605), ISBLANK(R605), ISBLANK(S605), ISBLANK(T605)), "CUSM, CHU SJ, CHUS, CHUQ", "")</f>
      </c>
      <c r="AM605" s="57">
        <f>IF(AND(AJ605="no match", AK605="", AL605="", K605&lt;26), "CUSM, CHU SJ, HGJ, CHUQ, CHUS", "")</f>
      </c>
      <c r="AN605" s="57">
        <f>IF(AND(AJ605="no match", AK605="", AL605="", K605&gt;26), "CUSM, CHU SJ, HGJ, CHUQ, CHUS, HMR", "")</f>
      </c>
    </row>
    <row x14ac:dyDescent="0.25" r="606" customHeight="1" ht="17.25">
      <c r="A606" s="41" t="s">
        <v>3852</v>
      </c>
      <c r="B606" s="28">
        <v>2</v>
      </c>
      <c r="C606" s="35">
        <v>831</v>
      </c>
      <c r="D606" s="29" t="s">
        <v>313</v>
      </c>
      <c r="E606" s="30" t="s">
        <v>220</v>
      </c>
      <c r="F606" s="31">
        <v>45235</v>
      </c>
      <c r="G606" s="40">
        <v>4.270138888888889</v>
      </c>
      <c r="H606" s="31">
        <v>45235</v>
      </c>
      <c r="I606" s="32">
        <v>4.142361111111111</v>
      </c>
      <c r="J606" s="33">
        <f>F606-H606</f>
      </c>
      <c r="K606" s="28">
        <v>29</v>
      </c>
      <c r="L606" s="28">
        <v>0</v>
      </c>
      <c r="M606" s="28">
        <v>2</v>
      </c>
      <c r="N606" s="34"/>
      <c r="O606" s="34"/>
      <c r="P606" s="34"/>
      <c r="Q606" s="34"/>
      <c r="R606" s="34"/>
      <c r="S606" s="56"/>
      <c r="T606" s="34"/>
      <c r="U606" s="34"/>
      <c r="V606" s="34"/>
      <c r="W606" s="29" t="s">
        <v>74</v>
      </c>
      <c r="X606" s="28">
        <v>30</v>
      </c>
      <c r="Y606" s="28">
        <v>1</v>
      </c>
      <c r="Z606" s="28">
        <v>1</v>
      </c>
      <c r="AA606" s="28">
        <v>2</v>
      </c>
      <c r="AB606" s="28">
        <v>1</v>
      </c>
      <c r="AC606" s="28">
        <v>2</v>
      </c>
      <c r="AD606" s="28">
        <v>2</v>
      </c>
      <c r="AE606" s="28">
        <v>4</v>
      </c>
      <c r="AF606" s="28">
        <v>2</v>
      </c>
      <c r="AG606" s="28">
        <v>2</v>
      </c>
      <c r="AH606" s="29" t="s">
        <v>3853</v>
      </c>
      <c r="AI606" s="36">
        <f>IF(OR(AND(K606&lt;32, J606&lt;2), O606=1, P606=1, Q606=1, R606=1, S606=1, T606=1, U606=1, AND(W606&lt;&gt;"", W606&lt;&gt;"Oxygen", W606&lt;&gt;"LowFlow")), "Intensive", "Intermediate")</f>
      </c>
      <c r="AJ606" s="57">
        <f>IF(OR(LEFT(AH606, 1)="X", LEFT(AH606, 1)="Y", LEFT(AH606, 3)="J27M"), "CUSM", "No Match")</f>
      </c>
      <c r="AK606" s="57">
        <f>IF(AND(OR(O606=3, P606=1, Q606=1, T606=1), AJ606="no Match"), "CUSM, CHU SJ, CHUQ", "")</f>
      </c>
      <c r="AL606" s="57">
        <f>IF(AND(O606=2, ISBLANK(P606), ISBLANK(Q606), ISBLANK(R606), ISBLANK(S606), ISBLANK(T606)), "CUSM, CHU SJ, CHUS, CHUQ", "")</f>
      </c>
      <c r="AM606" s="57">
        <f>IF(AND(AJ606="no match", AK606="", AL606="", K606&lt;26), "CUSM, CHU SJ, HGJ, CHUQ, CHUS", "")</f>
      </c>
      <c r="AN606" s="57">
        <f>IF(AND(AJ606="no match", AK606="", AL606="", K606&gt;26), "CUSM, CHU SJ, HGJ, CHUQ, CHUS, HMR", "")</f>
      </c>
    </row>
    <row x14ac:dyDescent="0.25" r="607" customHeight="1" ht="17.25">
      <c r="A607" s="41" t="s">
        <v>3854</v>
      </c>
      <c r="B607" s="28">
        <v>2</v>
      </c>
      <c r="C607" s="35">
        <v>839</v>
      </c>
      <c r="D607" s="29" t="s">
        <v>53</v>
      </c>
      <c r="E607" s="30" t="s">
        <v>54</v>
      </c>
      <c r="F607" s="31">
        <v>45236</v>
      </c>
      <c r="G607" s="32">
        <v>4.583333333333334</v>
      </c>
      <c r="H607" s="31">
        <v>45234</v>
      </c>
      <c r="I607" s="32">
        <v>4.90625</v>
      </c>
      <c r="J607" s="33">
        <f>F607-H607</f>
      </c>
      <c r="K607" s="28">
        <v>38</v>
      </c>
      <c r="L607" s="28">
        <v>1</v>
      </c>
      <c r="M607" s="28">
        <v>2</v>
      </c>
      <c r="N607" s="34"/>
      <c r="O607" s="34"/>
      <c r="P607" s="34"/>
      <c r="Q607" s="34"/>
      <c r="R607" s="34"/>
      <c r="S607" s="56"/>
      <c r="T607" s="34"/>
      <c r="U607" s="34"/>
      <c r="V607" s="34"/>
      <c r="W607" s="29"/>
      <c r="X607" s="28">
        <v>29</v>
      </c>
      <c r="Y607" s="28">
        <v>1</v>
      </c>
      <c r="Z607" s="28">
        <v>1</v>
      </c>
      <c r="AA607" s="28">
        <v>1</v>
      </c>
      <c r="AB607" s="28">
        <v>1</v>
      </c>
      <c r="AC607" s="28">
        <v>2</v>
      </c>
      <c r="AD607" s="28">
        <v>2</v>
      </c>
      <c r="AE607" s="28">
        <v>4</v>
      </c>
      <c r="AF607" s="28">
        <v>2</v>
      </c>
      <c r="AG607" s="28">
        <v>2</v>
      </c>
      <c r="AH607" s="29" t="s">
        <v>3855</v>
      </c>
      <c r="AI607" s="36">
        <f>IF(OR(AND(K607&lt;32, J607&lt;2), O607=1, P607=1, Q607=1, R607=1, S607=1, T607=1, U607=1, AND(W607&lt;&gt;"", W607&lt;&gt;"Oxygen", W607&lt;&gt;"LowFlow")), "Intensive", "Intermediate")</f>
      </c>
      <c r="AJ607" s="57">
        <f>IF(OR(LEFT(AH607, 1)="X", LEFT(AH607, 1)="Y", LEFT(AH607, 3)="J28M"), "CUSM", "No Match")</f>
      </c>
      <c r="AK607" s="57">
        <f>IF(AND(OR(O607=3, P607=1, Q607=1, T607=1), AJ607="no Match"), "CUSM, CHU SJ, CHUQ", "")</f>
      </c>
      <c r="AL607" s="57">
        <f>IF(AND(O607=2, ISBLANK(P607), ISBLANK(Q607), ISBLANK(R607), ISBLANK(S607), ISBLANK(T607)), "CUSM, CHU SJ, CHUS, CHUQ", "")</f>
      </c>
      <c r="AM607" s="57">
        <f>IF(AND(AJ607="no match", AK607="", AL607="", K607&lt;26), "CUSM, CHU SJ, HGJ, CHUQ, CHUS", "")</f>
      </c>
      <c r="AN607" s="57">
        <f>IF(AND(AJ607="no match", AK607="", AL607="", K607&gt;26), "CUSM, CHU SJ, HGJ, CHUQ, CHUS, HMR", "")</f>
      </c>
    </row>
    <row x14ac:dyDescent="0.25" r="608" customHeight="1" ht="17.25">
      <c r="A608" s="41" t="s">
        <v>3856</v>
      </c>
      <c r="B608" s="28">
        <v>2</v>
      </c>
      <c r="C608" s="28">
        <v>1019</v>
      </c>
      <c r="D608" s="29" t="s">
        <v>354</v>
      </c>
      <c r="E608" s="30" t="s">
        <v>54</v>
      </c>
      <c r="F608" s="31">
        <v>45237</v>
      </c>
      <c r="G608" s="32">
        <v>4.464583333333334</v>
      </c>
      <c r="H608" s="31">
        <v>45236</v>
      </c>
      <c r="I608" s="32">
        <v>4.204861111111111</v>
      </c>
      <c r="J608" s="33">
        <f>F608-H608</f>
      </c>
      <c r="K608" s="28">
        <v>40</v>
      </c>
      <c r="L608" s="28">
        <v>1</v>
      </c>
      <c r="M608" s="28">
        <v>1</v>
      </c>
      <c r="N608" s="34"/>
      <c r="O608" s="34"/>
      <c r="P608" s="34"/>
      <c r="Q608" s="34"/>
      <c r="R608" s="34"/>
      <c r="S608" s="56"/>
      <c r="T608" s="38"/>
      <c r="U608" s="34"/>
      <c r="V608" s="34"/>
      <c r="W608" s="29"/>
      <c r="X608" s="28">
        <v>33</v>
      </c>
      <c r="Y608" s="28">
        <v>1</v>
      </c>
      <c r="Z608" s="28">
        <v>1</v>
      </c>
      <c r="AA608" s="28">
        <v>1</v>
      </c>
      <c r="AB608" s="28">
        <v>2</v>
      </c>
      <c r="AC608" s="28">
        <v>2</v>
      </c>
      <c r="AD608" s="28">
        <v>2</v>
      </c>
      <c r="AE608" s="28">
        <v>4</v>
      </c>
      <c r="AF608" s="28">
        <v>2</v>
      </c>
      <c r="AG608" s="28">
        <v>2</v>
      </c>
      <c r="AH608" s="29" t="s">
        <v>3857</v>
      </c>
      <c r="AI608" s="36">
        <f>IF(OR(AND(K608&lt;32, J608&lt;2), O608=1, P608=1, Q608=1, R608=1, S608=1, T608=1, U608=1, AND(W608&lt;&gt;"", W608&lt;&gt;"Oxygen", W608&lt;&gt;"LowFlow")), "Intensive", "Intermediate")</f>
      </c>
      <c r="AJ608" s="57">
        <f>IF(OR(LEFT(AH608, 1)="X", LEFT(AH608, 1)="Y", LEFT(AH608, 3)="J29M"), "CUSM", "No Match")</f>
      </c>
      <c r="AK608" s="57">
        <f>IF(AND(OR(O608=3, P608=1, Q608=1, T608=1), AJ608="no Match"), "CUSM, CHU SJ, CHUQ", "")</f>
      </c>
      <c r="AL608" s="57">
        <f>IF(AND(O608=2, ISBLANK(P608), ISBLANK(Q608), ISBLANK(R608), ISBLANK(S608), ISBLANK(T608)), "CUSM, CHU SJ, CHUS, CHUQ", "")</f>
      </c>
      <c r="AM608" s="57">
        <f>IF(AND(AJ608="no match", AK608="", AL608="", K608&lt;26), "CUSM, CHU SJ, HGJ, CHUQ, CHUS", "")</f>
      </c>
      <c r="AN608" s="57">
        <f>IF(AND(AJ608="no match", AK608="", AL608="", K608&gt;26), "CUSM, CHU SJ, HGJ, CHUQ, CHUS, HMR", "")</f>
      </c>
    </row>
    <row x14ac:dyDescent="0.25" r="609" customHeight="1" ht="17.25">
      <c r="A609" s="41" t="s">
        <v>3858</v>
      </c>
      <c r="B609" s="28">
        <v>2</v>
      </c>
      <c r="C609" s="28">
        <v>839</v>
      </c>
      <c r="D609" s="29" t="s">
        <v>53</v>
      </c>
      <c r="E609" s="30" t="s">
        <v>54</v>
      </c>
      <c r="F609" s="31">
        <v>45239</v>
      </c>
      <c r="G609" s="32">
        <v>4.774305555555555</v>
      </c>
      <c r="H609" s="31">
        <v>45239</v>
      </c>
      <c r="I609" s="32">
        <v>4.675694444444444</v>
      </c>
      <c r="J609" s="33">
        <f>F609-H609</f>
      </c>
      <c r="K609" s="28">
        <v>40</v>
      </c>
      <c r="L609" s="28">
        <v>6</v>
      </c>
      <c r="M609" s="28">
        <v>1</v>
      </c>
      <c r="N609" s="28">
        <v>1</v>
      </c>
      <c r="O609" s="34"/>
      <c r="P609" s="35">
        <v>1</v>
      </c>
      <c r="Q609" s="34"/>
      <c r="R609" s="34"/>
      <c r="S609" s="56"/>
      <c r="T609" s="35">
        <v>1</v>
      </c>
      <c r="U609" s="34"/>
      <c r="V609" s="34"/>
      <c r="W609" s="29" t="s">
        <v>74</v>
      </c>
      <c r="X609" s="28">
        <v>28</v>
      </c>
      <c r="Y609" s="28">
        <v>1</v>
      </c>
      <c r="Z609" s="28">
        <v>2</v>
      </c>
      <c r="AA609" s="28">
        <v>1</v>
      </c>
      <c r="AB609" s="28">
        <v>1</v>
      </c>
      <c r="AC609" s="28">
        <v>2</v>
      </c>
      <c r="AD609" s="28">
        <v>1</v>
      </c>
      <c r="AE609" s="28">
        <v>4</v>
      </c>
      <c r="AF609" s="28">
        <v>2</v>
      </c>
      <c r="AG609" s="28">
        <v>2</v>
      </c>
      <c r="AH609" s="29" t="s">
        <v>3859</v>
      </c>
      <c r="AI609" s="36">
        <f>IF(OR(AND(K609&lt;32, J609&lt;2), O609=1, P609=1, Q609=1, R609=1, S609=1, T609=1, U609=1, AND(W609&lt;&gt;"", W609&lt;&gt;"Oxygen", W609&lt;&gt;"LowFlow")), "Intensive", "Intermediate")</f>
      </c>
      <c r="AJ609" s="57">
        <f>IF(OR(LEFT(AH609, 1)="X", LEFT(AH609, 1)="Y", LEFT(AH609, 3)="J30M"), "CUSM", "No Match")</f>
      </c>
      <c r="AK609" s="57">
        <f>IF(AND(OR(O609=3, P609=1, Q609=1, T609=1), AJ609="no Match"), "CUSM, CHU SJ, CHUQ", "")</f>
      </c>
      <c r="AL609" s="57">
        <f>IF(AND(O609=2, ISBLANK(P609), ISBLANK(Q609), ISBLANK(R609), ISBLANK(S609), ISBLANK(T609)), "CUSM, CHU SJ, CHUS, CHUQ", "")</f>
      </c>
      <c r="AM609" s="57">
        <f>IF(AND(AJ609="no match", AK609="", AL609="", K609&lt;26), "CUSM, CHU SJ, HGJ, CHUQ, CHUS", "")</f>
      </c>
      <c r="AN609" s="57">
        <f>IF(AND(AJ609="no match", AK609="", AL609="", K609&gt;26), "CUSM, CHU SJ, HGJ, CHUQ, CHUS, HMR", "")</f>
      </c>
    </row>
    <row x14ac:dyDescent="0.25" r="610" customHeight="1" ht="17.25">
      <c r="A610" s="41" t="s">
        <v>3860</v>
      </c>
      <c r="B610" s="28">
        <v>2</v>
      </c>
      <c r="C610" s="35">
        <v>815</v>
      </c>
      <c r="D610" s="29" t="s">
        <v>100</v>
      </c>
      <c r="E610" s="30" t="s">
        <v>78</v>
      </c>
      <c r="F610" s="31">
        <v>45240</v>
      </c>
      <c r="G610" s="32">
        <v>4.916666666666666</v>
      </c>
      <c r="H610" s="31">
        <v>45239</v>
      </c>
      <c r="I610" s="32">
        <v>4.6409722222222225</v>
      </c>
      <c r="J610" s="33">
        <f>F610-H610</f>
      </c>
      <c r="K610" s="28">
        <v>35</v>
      </c>
      <c r="L610" s="28">
        <v>0</v>
      </c>
      <c r="M610" s="28">
        <v>2</v>
      </c>
      <c r="N610" s="34"/>
      <c r="O610" s="34"/>
      <c r="P610" s="34"/>
      <c r="Q610" s="34"/>
      <c r="R610" s="34"/>
      <c r="S610" s="56"/>
      <c r="T610" s="34"/>
      <c r="U610" s="34"/>
      <c r="V610" s="34"/>
      <c r="W610" s="29" t="s">
        <v>58</v>
      </c>
      <c r="X610" s="28">
        <v>30</v>
      </c>
      <c r="Y610" s="28">
        <v>1</v>
      </c>
      <c r="Z610" s="28">
        <v>1</v>
      </c>
      <c r="AA610" s="28">
        <v>1</v>
      </c>
      <c r="AB610" s="28">
        <v>1</v>
      </c>
      <c r="AC610" s="28">
        <v>2</v>
      </c>
      <c r="AD610" s="28">
        <v>2</v>
      </c>
      <c r="AE610" s="28">
        <v>4</v>
      </c>
      <c r="AF610" s="28">
        <v>2</v>
      </c>
      <c r="AG610" s="28">
        <v>2</v>
      </c>
      <c r="AH610" s="29" t="s">
        <v>3861</v>
      </c>
      <c r="AI610" s="36">
        <f>IF(OR(AND(K610&lt;32, J610&lt;2), O610=1, P610=1, Q610=1, R610=1, S610=1, T610=1, U610=1, AND(W610&lt;&gt;"", W610&lt;&gt;"Oxygen", W610&lt;&gt;"LowFlow")), "Intensive", "Intermediate")</f>
      </c>
      <c r="AJ610" s="57">
        <f>IF(OR(LEFT(AH610, 1)="X", LEFT(AH610, 1)="Y", LEFT(AH610, 3)="J31M"), "CUSM", "No Match")</f>
      </c>
      <c r="AK610" s="57">
        <f>IF(AND(OR(O610=3, P610=1, Q610=1, T610=1), AJ610="no Match"), "CUSM, CHU SJ, CHUQ", "")</f>
      </c>
      <c r="AL610" s="57">
        <f>IF(AND(O610=2, ISBLANK(P610), ISBLANK(Q610), ISBLANK(R610), ISBLANK(S610), ISBLANK(T610)), "CUSM, CHU SJ, CHUS, CHUQ", "")</f>
      </c>
      <c r="AM610" s="57">
        <f>IF(AND(AJ610="no match", AK610="", AL610="", K610&lt;26), "CUSM, CHU SJ, HGJ, CHUQ, CHUS", "")</f>
      </c>
      <c r="AN610" s="57">
        <f>IF(AND(AJ610="no match", AK610="", AL610="", K610&gt;26), "CUSM, CHU SJ, HGJ, CHUQ, CHUS, HMR", "")</f>
      </c>
    </row>
    <row x14ac:dyDescent="0.25" r="611" customHeight="1" ht="17.25">
      <c r="A611" s="41" t="s">
        <v>3862</v>
      </c>
      <c r="B611" s="28">
        <v>2</v>
      </c>
      <c r="C611" s="35">
        <v>815</v>
      </c>
      <c r="D611" s="29" t="s">
        <v>100</v>
      </c>
      <c r="E611" s="30" t="s">
        <v>50</v>
      </c>
      <c r="F611" s="31">
        <v>45240</v>
      </c>
      <c r="G611" s="32">
        <v>4.690972222222222</v>
      </c>
      <c r="H611" s="31">
        <v>45239</v>
      </c>
      <c r="I611" s="32">
        <v>4.123611111111111</v>
      </c>
      <c r="J611" s="33">
        <f>F611-H611</f>
      </c>
      <c r="K611" s="28">
        <v>40</v>
      </c>
      <c r="L611" s="28">
        <v>0</v>
      </c>
      <c r="M611" s="28">
        <v>2</v>
      </c>
      <c r="N611" s="34"/>
      <c r="O611" s="34"/>
      <c r="P611" s="34"/>
      <c r="Q611" s="34"/>
      <c r="R611" s="34"/>
      <c r="S611" s="56"/>
      <c r="T611" s="34"/>
      <c r="U611" s="34"/>
      <c r="V611" s="34"/>
      <c r="W611" s="29"/>
      <c r="X611" s="28">
        <v>32</v>
      </c>
      <c r="Y611" s="28">
        <v>1</v>
      </c>
      <c r="Z611" s="28">
        <v>1</v>
      </c>
      <c r="AA611" s="28">
        <v>2</v>
      </c>
      <c r="AB611" s="28">
        <v>1</v>
      </c>
      <c r="AC611" s="28">
        <v>2</v>
      </c>
      <c r="AD611" s="28">
        <v>2</v>
      </c>
      <c r="AE611" s="28">
        <v>4</v>
      </c>
      <c r="AF611" s="28">
        <v>2</v>
      </c>
      <c r="AG611" s="28">
        <v>2</v>
      </c>
      <c r="AH611" s="29" t="s">
        <v>143</v>
      </c>
      <c r="AI611" s="36">
        <f>IF(OR(AND(K611&lt;32, J611&lt;2), O611=1, P611=1, Q611=1, R611=1, S611=1, T611=1, U611=1, AND(W611&lt;&gt;"", W611&lt;&gt;"Oxygen", W611&lt;&gt;"LowFlow")), "Intensive", "Intermediate")</f>
      </c>
      <c r="AJ611" s="57">
        <f>IF(OR(LEFT(AH611, 1)="X", LEFT(AH611, 1)="Y", LEFT(AH611, 3)="J32M"), "CUSM", "No Match")</f>
      </c>
      <c r="AK611" s="57">
        <f>IF(AND(OR(O611=3, P611=1, Q611=1, T611=1), AJ611="no Match"), "CUSM, CHU SJ, CHUQ", "")</f>
      </c>
      <c r="AL611" s="57">
        <f>IF(AND(O611=2, ISBLANK(P611), ISBLANK(Q611), ISBLANK(R611), ISBLANK(S611), ISBLANK(T611)), "CUSM, CHU SJ, CHUS, CHUQ", "")</f>
      </c>
      <c r="AM611" s="57">
        <f>IF(AND(AJ611="no match", AK611="", AL611="", K611&lt;26), "CUSM, CHU SJ, HGJ, CHUQ, CHUS", "")</f>
      </c>
      <c r="AN611" s="57">
        <f>IF(AND(AJ611="no match", AK611="", AL611="", K611&gt;26), "CUSM, CHU SJ, HGJ, CHUQ, CHUS, HMR", "")</f>
      </c>
    </row>
    <row x14ac:dyDescent="0.25" r="612" customHeight="1" ht="17.25">
      <c r="A612" s="41" t="s">
        <v>3863</v>
      </c>
      <c r="B612" s="28">
        <v>2</v>
      </c>
      <c r="C612" s="35">
        <v>730</v>
      </c>
      <c r="D612" s="29" t="s">
        <v>81</v>
      </c>
      <c r="E612" s="30" t="s">
        <v>50</v>
      </c>
      <c r="F612" s="31">
        <v>45240</v>
      </c>
      <c r="G612" s="32">
        <v>4.5625</v>
      </c>
      <c r="H612" s="31">
        <v>45240</v>
      </c>
      <c r="I612" s="32">
        <v>4.4375</v>
      </c>
      <c r="J612" s="33">
        <f>F612-H612</f>
      </c>
      <c r="K612" s="28">
        <v>39</v>
      </c>
      <c r="L612" s="28">
        <v>4</v>
      </c>
      <c r="M612" s="28">
        <v>1</v>
      </c>
      <c r="N612" s="34"/>
      <c r="O612" s="34"/>
      <c r="P612" s="34"/>
      <c r="Q612" s="34"/>
      <c r="R612" s="34"/>
      <c r="S612" s="56"/>
      <c r="T612" s="34"/>
      <c r="U612" s="34"/>
      <c r="V612" s="34"/>
      <c r="W612" s="29"/>
      <c r="X612" s="28">
        <v>36</v>
      </c>
      <c r="Y612" s="28">
        <v>1</v>
      </c>
      <c r="Z612" s="28">
        <v>1</v>
      </c>
      <c r="AA612" s="28">
        <v>3</v>
      </c>
      <c r="AB612" s="28">
        <v>1</v>
      </c>
      <c r="AC612" s="28">
        <v>2</v>
      </c>
      <c r="AD612" s="28">
        <v>2</v>
      </c>
      <c r="AE612" s="28">
        <v>4</v>
      </c>
      <c r="AF612" s="28">
        <v>3</v>
      </c>
      <c r="AG612" s="28">
        <v>3</v>
      </c>
      <c r="AH612" s="29" t="s">
        <v>3864</v>
      </c>
      <c r="AI612" s="36">
        <f>IF(OR(AND(K612&lt;32, J612&lt;2), O612=1, P612=1, Q612=1, R612=1, S612=1, T612=1, U612=1, AND(W612&lt;&gt;"", W612&lt;&gt;"Oxygen", W612&lt;&gt;"LowFlow")), "Intensive", "Intermediate")</f>
      </c>
      <c r="AJ612" s="57">
        <f>IF(OR(LEFT(AH612, 1)="X", LEFT(AH612, 1)="Y", LEFT(AH612, 3)="J33M"), "CUSM", "No Match")</f>
      </c>
      <c r="AK612" s="57">
        <f>IF(AND(OR(O612=3, P612=1, Q612=1, T612=1), AJ612="no Match"), "CUSM, CHU SJ, CHUQ", "")</f>
      </c>
      <c r="AL612" s="57">
        <f>IF(AND(O612=2, ISBLANK(P612), ISBLANK(Q612), ISBLANK(R612), ISBLANK(S612), ISBLANK(T612)), "CUSM, CHU SJ, CHUS, CHUQ", "")</f>
      </c>
      <c r="AM612" s="57">
        <f>IF(AND(AJ612="no match", AK612="", AL612="", K612&lt;26), "CUSM, CHU SJ, HGJ, CHUQ, CHUS", "")</f>
      </c>
      <c r="AN612" s="57">
        <f>IF(AND(AJ612="no match", AK612="", AL612="", K612&gt;26), "CUSM, CHU SJ, HGJ, CHUQ, CHUS, HMR", "")</f>
      </c>
    </row>
    <row x14ac:dyDescent="0.25" r="613" customHeight="1" ht="17.25">
      <c r="A613" s="41" t="s">
        <v>3865</v>
      </c>
      <c r="B613" s="28">
        <v>2</v>
      </c>
      <c r="C613" s="35">
        <v>809</v>
      </c>
      <c r="D613" s="29" t="s">
        <v>117</v>
      </c>
      <c r="E613" s="30" t="s">
        <v>78</v>
      </c>
      <c r="F613" s="31">
        <v>45241</v>
      </c>
      <c r="G613" s="32">
        <v>4.833333333333334</v>
      </c>
      <c r="H613" s="31">
        <v>45241</v>
      </c>
      <c r="I613" s="32">
        <v>4.48125</v>
      </c>
      <c r="J613" s="33">
        <f>F613-H613</f>
      </c>
      <c r="K613" s="28">
        <v>35</v>
      </c>
      <c r="L613" s="28">
        <v>0</v>
      </c>
      <c r="M613" s="28">
        <v>1</v>
      </c>
      <c r="N613" s="34"/>
      <c r="O613" s="34"/>
      <c r="P613" s="34"/>
      <c r="Q613" s="34"/>
      <c r="R613" s="34"/>
      <c r="S613" s="56"/>
      <c r="T613" s="34"/>
      <c r="U613" s="34"/>
      <c r="V613" s="34"/>
      <c r="W613" s="29" t="s">
        <v>58</v>
      </c>
      <c r="X613" s="28">
        <v>25</v>
      </c>
      <c r="Y613" s="28">
        <v>1</v>
      </c>
      <c r="Z613" s="28">
        <v>1</v>
      </c>
      <c r="AA613" s="28">
        <v>1</v>
      </c>
      <c r="AB613" s="28">
        <v>1</v>
      </c>
      <c r="AC613" s="28">
        <v>2</v>
      </c>
      <c r="AD613" s="28">
        <v>2</v>
      </c>
      <c r="AE613" s="28">
        <v>4</v>
      </c>
      <c r="AF613" s="28">
        <v>2</v>
      </c>
      <c r="AG613" s="28">
        <v>2</v>
      </c>
      <c r="AH613" s="29" t="s">
        <v>3866</v>
      </c>
      <c r="AI613" s="36">
        <f>IF(OR(AND(K613&lt;32, J613&lt;2), O613=1, P613=1, Q613=1, R613=1, S613=1, T613=1, U613=1, AND(W613&lt;&gt;"", W613&lt;&gt;"Oxygen", W613&lt;&gt;"LowFlow")), "Intensive", "Intermediate")</f>
      </c>
      <c r="AJ613" s="57">
        <f>IF(OR(LEFT(AH613, 1)="X", LEFT(AH613, 1)="Y", LEFT(AH613, 3)="J34M"), "CUSM", "No Match")</f>
      </c>
      <c r="AK613" s="57">
        <f>IF(AND(OR(O613=3, P613=1, Q613=1, T613=1), AJ613="no Match"), "CUSM, CHU SJ, CHUQ", "")</f>
      </c>
      <c r="AL613" s="57">
        <f>IF(AND(O613=2, ISBLANK(P613), ISBLANK(Q613), ISBLANK(R613), ISBLANK(S613), ISBLANK(T613)), "CUSM, CHU SJ, CHUS, CHUQ", "")</f>
      </c>
      <c r="AM613" s="57">
        <f>IF(AND(AJ613="no match", AK613="", AL613="", K613&lt;26), "CUSM, CHU SJ, HGJ, CHUQ, CHUS", "")</f>
      </c>
      <c r="AN613" s="57">
        <f>IF(AND(AJ613="no match", AK613="", AL613="", K613&gt;26), "CUSM, CHU SJ, HGJ, CHUQ, CHUS, HMR", "")</f>
      </c>
    </row>
    <row x14ac:dyDescent="0.25" r="614" customHeight="1" ht="17.25">
      <c r="A614" s="41" t="s">
        <v>3867</v>
      </c>
      <c r="B614" s="28">
        <v>2</v>
      </c>
      <c r="C614" s="35">
        <v>756</v>
      </c>
      <c r="D614" s="29" t="s">
        <v>66</v>
      </c>
      <c r="E614" s="30" t="s">
        <v>50</v>
      </c>
      <c r="F614" s="31">
        <v>45241</v>
      </c>
      <c r="G614" s="32">
        <v>4.345833333333333</v>
      </c>
      <c r="H614" s="31">
        <v>45231</v>
      </c>
      <c r="I614" s="32">
        <v>4.354166666666666</v>
      </c>
      <c r="J614" s="33">
        <f>F614-H614</f>
      </c>
      <c r="K614" s="28">
        <v>36</v>
      </c>
      <c r="L614" s="28">
        <v>0</v>
      </c>
      <c r="M614" s="28">
        <v>1</v>
      </c>
      <c r="N614" s="34"/>
      <c r="O614" s="34"/>
      <c r="P614" s="34"/>
      <c r="Q614" s="34"/>
      <c r="R614" s="34"/>
      <c r="S614" s="56"/>
      <c r="T614" s="34"/>
      <c r="U614" s="34"/>
      <c r="V614" s="34"/>
      <c r="W614" s="29" t="s">
        <v>58</v>
      </c>
      <c r="X614" s="28">
        <v>37</v>
      </c>
      <c r="Y614" s="28">
        <v>2</v>
      </c>
      <c r="Z614" s="28">
        <v>2</v>
      </c>
      <c r="AA614" s="28">
        <v>3</v>
      </c>
      <c r="AB614" s="28">
        <v>1</v>
      </c>
      <c r="AC614" s="28">
        <v>2</v>
      </c>
      <c r="AD614" s="28">
        <v>2</v>
      </c>
      <c r="AE614" s="28">
        <v>4</v>
      </c>
      <c r="AF614" s="35">
        <v>3</v>
      </c>
      <c r="AG614" s="28">
        <v>3</v>
      </c>
      <c r="AH614" s="29" t="s">
        <v>3868</v>
      </c>
      <c r="AI614" s="36">
        <f>IF(OR(AND(K614&lt;32, J614&lt;2), O614=1, P614=1, Q614=1, R614=1, S614=1, T614=1, U614=1, AND(W614&lt;&gt;"", W614&lt;&gt;"Oxygen", W614&lt;&gt;"LowFlow")), "Intensive", "Intermediate")</f>
      </c>
      <c r="AJ614" s="57">
        <f>IF(OR(LEFT(AH614, 1)="X", LEFT(AH614, 1)="Y", LEFT(AH614, 3)="J35M"), "CUSM", "No Match")</f>
      </c>
      <c r="AK614" s="57">
        <f>IF(AND(OR(O614=3, P614=1, Q614=1, T614=1), AJ614="no Match"), "CUSM, CHU SJ, CHUQ", "")</f>
      </c>
      <c r="AL614" s="57">
        <f>IF(AND(O614=2, ISBLANK(P614), ISBLANK(Q614), ISBLANK(R614), ISBLANK(S614), ISBLANK(T614)), "CUSM, CHU SJ, CHUS, CHUQ", "")</f>
      </c>
      <c r="AM614" s="57">
        <f>IF(AND(AJ614="no match", AK614="", AL614="", K614&lt;26), "CUSM, CHU SJ, HGJ, CHUQ, CHUS", "")</f>
      </c>
      <c r="AN614" s="57">
        <f>IF(AND(AJ614="no match", AK614="", AL614="", K614&gt;26), "CUSM, CHU SJ, HGJ, CHUQ, CHUS, HMR", "")</f>
      </c>
    </row>
    <row x14ac:dyDescent="0.25" r="615" customHeight="1" ht="17.25">
      <c r="A615" s="41" t="s">
        <v>3869</v>
      </c>
      <c r="B615" s="28">
        <v>2</v>
      </c>
      <c r="C615" s="35">
        <v>779</v>
      </c>
      <c r="D615" s="29" t="s">
        <v>136</v>
      </c>
      <c r="E615" s="30" t="s">
        <v>54</v>
      </c>
      <c r="F615" s="31">
        <v>45243</v>
      </c>
      <c r="G615" s="32">
        <v>4.708333333333334</v>
      </c>
      <c r="H615" s="31">
        <v>45222</v>
      </c>
      <c r="I615" s="32">
        <v>4.366666666666667</v>
      </c>
      <c r="J615" s="33">
        <f>F615-H615</f>
      </c>
      <c r="K615" s="28">
        <v>34</v>
      </c>
      <c r="L615" s="28">
        <v>0</v>
      </c>
      <c r="M615" s="28">
        <v>1</v>
      </c>
      <c r="N615" s="35">
        <v>1</v>
      </c>
      <c r="O615" s="34"/>
      <c r="P615" s="34"/>
      <c r="Q615" s="34"/>
      <c r="R615" s="34"/>
      <c r="S615" s="56"/>
      <c r="T615" s="34"/>
      <c r="U615" s="34"/>
      <c r="V615" s="34"/>
      <c r="W615" s="29"/>
      <c r="X615" s="28">
        <v>25</v>
      </c>
      <c r="Y615" s="28">
        <v>1</v>
      </c>
      <c r="Z615" s="28">
        <v>1</v>
      </c>
      <c r="AA615" s="28">
        <v>1</v>
      </c>
      <c r="AB615" s="28">
        <v>2</v>
      </c>
      <c r="AC615" s="28">
        <v>2</v>
      </c>
      <c r="AD615" s="28">
        <v>2</v>
      </c>
      <c r="AE615" s="28">
        <v>4</v>
      </c>
      <c r="AF615" s="28">
        <v>1</v>
      </c>
      <c r="AG615" s="28">
        <v>2</v>
      </c>
      <c r="AH615" s="29" t="s">
        <v>3870</v>
      </c>
      <c r="AI615" s="36">
        <f>IF(OR(AND(K615&lt;32, J615&lt;2), O615=1, P615=1, Q615=1, R615=1, S615=1, T615=1, U615=1, AND(W615&lt;&gt;"", W615&lt;&gt;"Oxygen", W615&lt;&gt;"LowFlow")), "Intensive", "Intermediate")</f>
      </c>
      <c r="AJ615" s="57">
        <f>IF(OR(LEFT(AH615, 1)="X", LEFT(AH615, 1)="Y", LEFT(AH615, 3)="J36M"), "CUSM", "No Match")</f>
      </c>
      <c r="AK615" s="57">
        <f>IF(AND(OR(O615=3, P615=1, Q615=1, T615=1), AJ615="no Match"), "CUSM, CHU SJ, CHUQ", "")</f>
      </c>
      <c r="AL615" s="57">
        <f>IF(AND(O615=2, ISBLANK(P615), ISBLANK(Q615), ISBLANK(R615), ISBLANK(S615), ISBLANK(T615)), "CUSM, CHU SJ, CHUS, CHUQ", "")</f>
      </c>
      <c r="AM615" s="57">
        <f>IF(AND(AJ615="no match", AK615="", AL615="", K615&lt;26), "CUSM, CHU SJ, HGJ, CHUQ, CHUS", "")</f>
      </c>
      <c r="AN615" s="57">
        <f>IF(AND(AJ615="no match", AK615="", AL615="", K615&gt;26), "CUSM, CHU SJ, HGJ, CHUQ, CHUS, HMR", "")</f>
      </c>
    </row>
    <row x14ac:dyDescent="0.25" r="616" customHeight="1" ht="17.25">
      <c r="A616" s="41" t="s">
        <v>3871</v>
      </c>
      <c r="B616" s="28">
        <v>2</v>
      </c>
      <c r="C616" s="35">
        <v>730</v>
      </c>
      <c r="D616" s="29" t="s">
        <v>81</v>
      </c>
      <c r="E616" s="30" t="s">
        <v>50</v>
      </c>
      <c r="F616" s="31">
        <v>45243</v>
      </c>
      <c r="G616" s="32">
        <v>4.947916666666666</v>
      </c>
      <c r="H616" s="31">
        <v>45243</v>
      </c>
      <c r="I616" s="32">
        <v>4.797916666666667</v>
      </c>
      <c r="J616" s="33">
        <f>F616-H616</f>
      </c>
      <c r="K616" s="28">
        <v>40</v>
      </c>
      <c r="L616" s="28">
        <v>0</v>
      </c>
      <c r="M616" s="28">
        <v>1</v>
      </c>
      <c r="N616" s="34"/>
      <c r="O616" s="34"/>
      <c r="P616" s="34"/>
      <c r="Q616" s="34"/>
      <c r="R616" s="34"/>
      <c r="S616" s="56"/>
      <c r="T616" s="35">
        <v>1</v>
      </c>
      <c r="U616" s="34"/>
      <c r="V616" s="34"/>
      <c r="W616" s="29"/>
      <c r="X616" s="28">
        <v>28</v>
      </c>
      <c r="Y616" s="28">
        <v>1</v>
      </c>
      <c r="Z616" s="28">
        <v>2</v>
      </c>
      <c r="AA616" s="28">
        <v>3</v>
      </c>
      <c r="AB616" s="28">
        <v>1</v>
      </c>
      <c r="AC616" s="28">
        <v>2</v>
      </c>
      <c r="AD616" s="28">
        <v>2</v>
      </c>
      <c r="AE616" s="28">
        <v>4</v>
      </c>
      <c r="AF616" s="28">
        <v>1</v>
      </c>
      <c r="AG616" s="28">
        <v>2</v>
      </c>
      <c r="AH616" s="29" t="s">
        <v>3872</v>
      </c>
      <c r="AI616" s="36">
        <f>IF(OR(AND(K616&lt;32, J616&lt;2), O616=1, P616=1, Q616=1, R616=1, S616=1, T616=1, U616=1, AND(W616&lt;&gt;"", W616&lt;&gt;"Oxygen", W616&lt;&gt;"LowFlow")), "Intensive", "Intermediate")</f>
      </c>
      <c r="AJ616" s="57">
        <f>IF(OR(LEFT(AH616, 1)="X", LEFT(AH616, 1)="Y", LEFT(AH616, 3)="J37M"), "CUSM", "No Match")</f>
      </c>
      <c r="AK616" s="57">
        <f>IF(AND(OR(O616=3, P616=1, Q616=1, T616=1), AJ616="no Match"), "CUSM, CHU SJ, CHUQ", "")</f>
      </c>
      <c r="AL616" s="57">
        <f>IF(AND(O616=2, ISBLANK(P616), ISBLANK(Q616), ISBLANK(R616), ISBLANK(S616), ISBLANK(T616)), "CUSM, CHU SJ, CHUS, CHUQ", "")</f>
      </c>
      <c r="AM616" s="57">
        <f>IF(AND(AJ616="no match", AK616="", AL616="", K616&lt;26), "CUSM, CHU SJ, HGJ, CHUQ, CHUS", "")</f>
      </c>
      <c r="AN616" s="57">
        <f>IF(AND(AJ616="no match", AK616="", AL616="", K616&gt;26), "CUSM, CHU SJ, HGJ, CHUQ, CHUS, HMR", "")</f>
      </c>
    </row>
    <row x14ac:dyDescent="0.25" r="617" customHeight="1" ht="17.25">
      <c r="A617" s="41" t="s">
        <v>3873</v>
      </c>
      <c r="B617" s="28">
        <v>2</v>
      </c>
      <c r="C617" s="35">
        <v>831</v>
      </c>
      <c r="D617" s="29" t="s">
        <v>313</v>
      </c>
      <c r="E617" s="30" t="s">
        <v>54</v>
      </c>
      <c r="F617" s="31">
        <v>45244</v>
      </c>
      <c r="G617" s="32">
        <v>4.03125</v>
      </c>
      <c r="H617" s="31">
        <v>45243</v>
      </c>
      <c r="I617" s="32">
        <v>4.846527777777778</v>
      </c>
      <c r="J617" s="33">
        <f>F617-H617</f>
      </c>
      <c r="K617" s="28">
        <v>36</v>
      </c>
      <c r="L617" s="28">
        <v>1</v>
      </c>
      <c r="M617" s="28">
        <v>1</v>
      </c>
      <c r="N617" s="28">
        <v>1</v>
      </c>
      <c r="O617" s="34"/>
      <c r="P617" s="28">
        <v>1</v>
      </c>
      <c r="Q617" s="34"/>
      <c r="R617" s="34"/>
      <c r="S617" s="56"/>
      <c r="T617" s="34"/>
      <c r="U617" s="35">
        <v>1</v>
      </c>
      <c r="V617" s="35">
        <v>1</v>
      </c>
      <c r="W617" s="29" t="s">
        <v>74</v>
      </c>
      <c r="X617" s="28">
        <v>30</v>
      </c>
      <c r="Y617" s="28">
        <v>1</v>
      </c>
      <c r="Z617" s="28">
        <v>2</v>
      </c>
      <c r="AA617" s="28">
        <v>3</v>
      </c>
      <c r="AB617" s="28">
        <v>1</v>
      </c>
      <c r="AC617" s="28">
        <v>2</v>
      </c>
      <c r="AD617" s="28">
        <v>1</v>
      </c>
      <c r="AE617" s="28">
        <v>4</v>
      </c>
      <c r="AF617" s="28">
        <v>3</v>
      </c>
      <c r="AG617" s="28">
        <v>2</v>
      </c>
      <c r="AH617" s="29" t="s">
        <v>3874</v>
      </c>
      <c r="AI617" s="36">
        <f>IF(OR(AND(K617&lt;32, J617&lt;2), O617=1, P617=1, Q617=1, R617=1, S617=1, T617=1, U617=1, AND(W617&lt;&gt;"", W617&lt;&gt;"Oxygen", W617&lt;&gt;"LowFlow")), "Intensive", "Intermediate")</f>
      </c>
      <c r="AJ617" s="57">
        <f>IF(OR(LEFT(AH617, 1)="X", LEFT(AH617, 1)="Y", LEFT(AH617, 3)="J38M"), "CUSM", "No Match")</f>
      </c>
      <c r="AK617" s="57">
        <f>IF(AND(OR(O617=3, P617=1, Q617=1, T617=1), AJ617="no Match"), "CUSM, CHU SJ, CHUQ", "")</f>
      </c>
      <c r="AL617" s="57">
        <f>IF(AND(O617=2, ISBLANK(P617), ISBLANK(Q617), ISBLANK(R617), ISBLANK(S617), ISBLANK(T617)), "CUSM, CHU SJ, CHUS, CHUQ", "")</f>
      </c>
      <c r="AM617" s="57">
        <f>IF(AND(AJ617="no match", AK617="", AL617="", K617&lt;26), "CUSM, CHU SJ, HGJ, CHUQ, CHUS", "")</f>
      </c>
      <c r="AN617" s="57">
        <f>IF(AND(AJ617="no match", AK617="", AL617="", K617&gt;26), "CUSM, CHU SJ, HGJ, CHUQ, CHUS, HMR", "")</f>
      </c>
    </row>
    <row x14ac:dyDescent="0.25" r="618" customHeight="1" ht="17.25">
      <c r="A618" s="41" t="s">
        <v>3875</v>
      </c>
      <c r="B618" s="28">
        <v>2</v>
      </c>
      <c r="C618" s="35">
        <v>839</v>
      </c>
      <c r="D618" s="29" t="s">
        <v>53</v>
      </c>
      <c r="E618" s="30" t="s">
        <v>54</v>
      </c>
      <c r="F618" s="31">
        <v>45244</v>
      </c>
      <c r="G618" s="32">
        <v>4.722222222222222</v>
      </c>
      <c r="H618" s="31">
        <v>45244</v>
      </c>
      <c r="I618" s="32">
        <v>4.404861111111111</v>
      </c>
      <c r="J618" s="33">
        <f>F618-H618</f>
      </c>
      <c r="K618" s="28">
        <v>39</v>
      </c>
      <c r="L618" s="28">
        <v>3</v>
      </c>
      <c r="M618" s="28">
        <v>2</v>
      </c>
      <c r="N618" s="34"/>
      <c r="O618" s="34"/>
      <c r="P618" s="34"/>
      <c r="Q618" s="34"/>
      <c r="R618" s="34"/>
      <c r="S618" s="56"/>
      <c r="T618" s="34"/>
      <c r="U618" s="34"/>
      <c r="V618" s="34"/>
      <c r="W618" s="29"/>
      <c r="X618" s="28">
        <v>35</v>
      </c>
      <c r="Y618" s="28">
        <v>1</v>
      </c>
      <c r="Z618" s="28">
        <v>2</v>
      </c>
      <c r="AA618" s="28">
        <v>3</v>
      </c>
      <c r="AB618" s="28">
        <v>1</v>
      </c>
      <c r="AC618" s="28">
        <v>2</v>
      </c>
      <c r="AD618" s="28">
        <v>2</v>
      </c>
      <c r="AE618" s="28">
        <v>4</v>
      </c>
      <c r="AF618" s="28">
        <v>2</v>
      </c>
      <c r="AG618" s="28">
        <v>2</v>
      </c>
      <c r="AH618" s="29" t="s">
        <v>3876</v>
      </c>
      <c r="AI618" s="36">
        <f>IF(OR(AND(K618&lt;32, J618&lt;2), O618=1, P618=1, Q618=1, R618=1, S618=1, T618=1, U618=1, AND(W618&lt;&gt;"", W618&lt;&gt;"Oxygen", W618&lt;&gt;"LowFlow")), "Intensive", "Intermediate")</f>
      </c>
      <c r="AJ618" s="57">
        <f>IF(OR(LEFT(AH618, 1)="X", LEFT(AH618, 1)="Y", LEFT(AH618, 3)="J39M"), "CUSM", "No Match")</f>
      </c>
      <c r="AK618" s="57">
        <f>IF(AND(OR(O618=3, P618=1, Q618=1, T618=1), AJ618="no Match"), "CUSM, CHU SJ, CHUQ", "")</f>
      </c>
      <c r="AL618" s="57">
        <f>IF(AND(O618=2, ISBLANK(P618), ISBLANK(Q618), ISBLANK(R618), ISBLANK(S618), ISBLANK(T618)), "CUSM, CHU SJ, CHUS, CHUQ", "")</f>
      </c>
      <c r="AM618" s="57">
        <f>IF(AND(AJ618="no match", AK618="", AL618="", K618&lt;26), "CUSM, CHU SJ, HGJ, CHUQ, CHUS", "")</f>
      </c>
      <c r="AN618" s="57">
        <f>IF(AND(AJ618="no match", AK618="", AL618="", K618&gt;26), "CUSM, CHU SJ, HGJ, CHUQ, CHUS, HMR", "")</f>
      </c>
    </row>
    <row x14ac:dyDescent="0.25" r="619" customHeight="1" ht="17.25">
      <c r="A619" s="41" t="s">
        <v>3877</v>
      </c>
      <c r="B619" s="28">
        <v>2</v>
      </c>
      <c r="C619" s="35">
        <v>756</v>
      </c>
      <c r="D619" s="29" t="s">
        <v>66</v>
      </c>
      <c r="E619" s="30" t="s">
        <v>78</v>
      </c>
      <c r="F619" s="31">
        <v>45244</v>
      </c>
      <c r="G619" s="32">
        <v>4.458333333333334</v>
      </c>
      <c r="H619" s="31">
        <v>45242</v>
      </c>
      <c r="I619" s="32">
        <v>4.966666666666667</v>
      </c>
      <c r="J619" s="33">
        <f>F619-H619</f>
      </c>
      <c r="K619" s="28">
        <v>34</v>
      </c>
      <c r="L619" s="28">
        <v>2</v>
      </c>
      <c r="M619" s="28">
        <v>1</v>
      </c>
      <c r="N619" s="34"/>
      <c r="O619" s="34"/>
      <c r="P619" s="34"/>
      <c r="Q619" s="34"/>
      <c r="R619" s="34"/>
      <c r="S619" s="56"/>
      <c r="T619" s="34"/>
      <c r="U619" s="34"/>
      <c r="V619" s="34"/>
      <c r="W619" s="29" t="s">
        <v>58</v>
      </c>
      <c r="X619" s="28">
        <v>38</v>
      </c>
      <c r="Y619" s="28">
        <v>1</v>
      </c>
      <c r="Z619" s="28">
        <v>2</v>
      </c>
      <c r="AA619" s="28">
        <v>1</v>
      </c>
      <c r="AB619" s="28">
        <v>1</v>
      </c>
      <c r="AC619" s="28">
        <v>2</v>
      </c>
      <c r="AD619" s="28">
        <v>1</v>
      </c>
      <c r="AE619" s="28">
        <v>4</v>
      </c>
      <c r="AF619" s="28">
        <v>2</v>
      </c>
      <c r="AG619" s="28">
        <v>2</v>
      </c>
      <c r="AH619" s="29" t="s">
        <v>3878</v>
      </c>
      <c r="AI619" s="36">
        <f>IF(OR(AND(K619&lt;32, J619&lt;2), O619=1, P619=1, Q619=1, R619=1, S619=1, T619=1, U619=1, AND(W619&lt;&gt;"", W619&lt;&gt;"Oxygen", W619&lt;&gt;"LowFlow")), "Intensive", "Intermediate")</f>
      </c>
      <c r="AJ619" s="57">
        <f>IF(OR(LEFT(AH619, 1)="X", LEFT(AH619, 1)="Y", LEFT(AH619, 3)="J40M"), "CUSM", "No Match")</f>
      </c>
      <c r="AK619" s="57">
        <f>IF(AND(OR(O619=3, P619=1, Q619=1, T619=1), AJ619="no Match"), "CUSM, CHU SJ, CHUQ", "")</f>
      </c>
      <c r="AL619" s="57">
        <f>IF(AND(O619=2, ISBLANK(P619), ISBLANK(Q619), ISBLANK(R619), ISBLANK(S619), ISBLANK(T619)), "CUSM, CHU SJ, CHUS, CHUQ", "")</f>
      </c>
      <c r="AM619" s="57">
        <f>IF(AND(AJ619="no match", AK619="", AL619="", K619&lt;26), "CUSM, CHU SJ, HGJ, CHUQ, CHUS", "")</f>
      </c>
      <c r="AN619" s="57">
        <f>IF(AND(AJ619="no match", AK619="", AL619="", K619&gt;26), "CUSM, CHU SJ, HGJ, CHUQ, CHUS, HMR", "")</f>
      </c>
    </row>
    <row x14ac:dyDescent="0.25" r="620" customHeight="1" ht="17.25">
      <c r="A620" s="41" t="s">
        <v>3879</v>
      </c>
      <c r="B620" s="28">
        <v>2</v>
      </c>
      <c r="C620" s="28">
        <v>731</v>
      </c>
      <c r="D620" s="29" t="s">
        <v>103</v>
      </c>
      <c r="E620" s="30" t="s">
        <v>118</v>
      </c>
      <c r="F620" s="31">
        <v>45245</v>
      </c>
      <c r="G620" s="32">
        <v>4.666666666666666</v>
      </c>
      <c r="H620" s="31">
        <v>45241</v>
      </c>
      <c r="I620" s="32">
        <v>4.329166666666667</v>
      </c>
      <c r="J620" s="33">
        <f>F620-H620</f>
      </c>
      <c r="K620" s="28">
        <v>32</v>
      </c>
      <c r="L620" s="28">
        <v>0</v>
      </c>
      <c r="M620" s="28">
        <v>1</v>
      </c>
      <c r="N620" s="38"/>
      <c r="O620" s="34"/>
      <c r="P620" s="38"/>
      <c r="Q620" s="34"/>
      <c r="R620" s="34"/>
      <c r="S620" s="56"/>
      <c r="T620" s="34"/>
      <c r="U620" s="34"/>
      <c r="V620" s="34"/>
      <c r="W620" s="29" t="s">
        <v>58</v>
      </c>
      <c r="X620" s="28">
        <v>30</v>
      </c>
      <c r="Y620" s="28">
        <v>1</v>
      </c>
      <c r="Z620" s="28">
        <v>1</v>
      </c>
      <c r="AA620" s="28">
        <v>1</v>
      </c>
      <c r="AB620" s="28">
        <v>1</v>
      </c>
      <c r="AC620" s="28">
        <v>2</v>
      </c>
      <c r="AD620" s="28">
        <v>2</v>
      </c>
      <c r="AE620" s="28">
        <v>4</v>
      </c>
      <c r="AF620" s="28">
        <v>2</v>
      </c>
      <c r="AG620" s="28">
        <v>2</v>
      </c>
      <c r="AH620" s="29" t="s">
        <v>3880</v>
      </c>
      <c r="AI620" s="36">
        <f>IF(OR(AND(K620&lt;32, J620&lt;2), O620=1, P620=1, Q620=1, R620=1, S620=1, T620=1, U620=1, AND(W620&lt;&gt;"", W620&lt;&gt;"Oxygen", W620&lt;&gt;"LowFlow")), "Intensive", "Intermediate")</f>
      </c>
      <c r="AJ620" s="57">
        <f>IF(OR(LEFT(AH620, 1)="X", LEFT(AH620, 1)="Y", LEFT(AH620, 3)="J41M"), "CUSM", "No Match")</f>
      </c>
      <c r="AK620" s="57">
        <f>IF(AND(OR(O620=3, P620=1, Q620=1, T620=1), AJ620="no Match"), "CUSM, CHU SJ, CHUQ", "")</f>
      </c>
      <c r="AL620" s="57">
        <f>IF(AND(O620=2, ISBLANK(P620), ISBLANK(Q620), ISBLANK(R620), ISBLANK(S620), ISBLANK(T620)), "CUSM, CHU SJ, CHUS, CHUQ", "")</f>
      </c>
      <c r="AM620" s="57">
        <f>IF(AND(AJ620="no match", AK620="", AL620="", K620&lt;26), "CUSM, CHU SJ, HGJ, CHUQ, CHUS", "")</f>
      </c>
      <c r="AN620" s="57">
        <f>IF(AND(AJ620="no match", AK620="", AL620="", K620&gt;26), "CUSM, CHU SJ, HGJ, CHUQ, CHUS, HMR", "")</f>
      </c>
    </row>
    <row x14ac:dyDescent="0.25" r="621" customHeight="1" ht="17.25">
      <c r="A621" s="41" t="s">
        <v>3881</v>
      </c>
      <c r="B621" s="28">
        <v>2</v>
      </c>
      <c r="C621" s="35">
        <v>779</v>
      </c>
      <c r="D621" s="29" t="s">
        <v>136</v>
      </c>
      <c r="E621" s="30" t="s">
        <v>78</v>
      </c>
      <c r="F621" s="31">
        <v>45246</v>
      </c>
      <c r="G621" s="32">
        <v>4.756944444444445</v>
      </c>
      <c r="H621" s="31">
        <v>45246</v>
      </c>
      <c r="I621" s="32">
        <v>4.5125</v>
      </c>
      <c r="J621" s="33">
        <f>F621-H621</f>
      </c>
      <c r="K621" s="28">
        <v>40</v>
      </c>
      <c r="L621" s="28">
        <v>3</v>
      </c>
      <c r="M621" s="28">
        <v>1</v>
      </c>
      <c r="N621" s="38"/>
      <c r="O621" s="34"/>
      <c r="P621" s="34"/>
      <c r="Q621" s="34"/>
      <c r="R621" s="34"/>
      <c r="S621" s="56"/>
      <c r="T621" s="34"/>
      <c r="U621" s="34"/>
      <c r="V621" s="34"/>
      <c r="W621" s="29" t="s">
        <v>74</v>
      </c>
      <c r="X621" s="28">
        <v>35</v>
      </c>
      <c r="Y621" s="28">
        <v>1</v>
      </c>
      <c r="Z621" s="28">
        <v>1</v>
      </c>
      <c r="AA621" s="28">
        <v>2</v>
      </c>
      <c r="AB621" s="28">
        <v>1</v>
      </c>
      <c r="AC621" s="28">
        <v>2</v>
      </c>
      <c r="AD621" s="28">
        <v>2</v>
      </c>
      <c r="AE621" s="28">
        <v>3</v>
      </c>
      <c r="AF621" s="28">
        <v>2</v>
      </c>
      <c r="AG621" s="28">
        <v>2</v>
      </c>
      <c r="AH621" s="29" t="s">
        <v>3882</v>
      </c>
      <c r="AI621" s="36">
        <f>IF(OR(AND(K621&lt;32, J621&lt;2), O621=1, P621=1, Q621=1, R621=1, S621=1, T621=1, U621=1, AND(W621&lt;&gt;"", W621&lt;&gt;"Oxygen", W621&lt;&gt;"LowFlow")), "Intensive", "Intermediate")</f>
      </c>
      <c r="AJ621" s="57">
        <f>IF(OR(LEFT(AH621, 1)="X", LEFT(AH621, 1)="Y", LEFT(AH621, 3)="J42M"), "CUSM", "No Match")</f>
      </c>
      <c r="AK621" s="57">
        <f>IF(AND(OR(O621=3, P621=1, Q621=1, T621=1), AJ621="no Match"), "CUSM, CHU SJ, CHUQ", "")</f>
      </c>
      <c r="AL621" s="57">
        <f>IF(AND(O621=2, ISBLANK(P621), ISBLANK(Q621), ISBLANK(R621), ISBLANK(S621), ISBLANK(T621)), "CUSM, CHU SJ, CHUS, CHUQ", "")</f>
      </c>
      <c r="AM621" s="57">
        <f>IF(AND(AJ621="no match", AK621="", AL621="", K621&lt;26), "CUSM, CHU SJ, HGJ, CHUQ, CHUS", "")</f>
      </c>
      <c r="AN621" s="57">
        <f>IF(AND(AJ621="no match", AK621="", AL621="", K621&gt;26), "CUSM, CHU SJ, HGJ, CHUQ, CHUS, HMR", "")</f>
      </c>
    </row>
    <row x14ac:dyDescent="0.25" r="622" customHeight="1" ht="17.25">
      <c r="A622" s="41" t="s">
        <v>3883</v>
      </c>
      <c r="B622" s="28">
        <v>2</v>
      </c>
      <c r="C622" s="35">
        <v>6</v>
      </c>
      <c r="D622" s="29" t="s">
        <v>131</v>
      </c>
      <c r="E622" s="30" t="s">
        <v>50</v>
      </c>
      <c r="F622" s="31">
        <v>45246</v>
      </c>
      <c r="G622" s="32">
        <v>4.024305555555555</v>
      </c>
      <c r="H622" s="31">
        <v>45237</v>
      </c>
      <c r="I622" s="32">
        <v>4.225694444444445</v>
      </c>
      <c r="J622" s="33">
        <f>F622-H622</f>
      </c>
      <c r="K622" s="28">
        <v>40</v>
      </c>
      <c r="L622" s="28">
        <v>2</v>
      </c>
      <c r="M622" s="28">
        <v>2</v>
      </c>
      <c r="N622" s="38"/>
      <c r="O622" s="34"/>
      <c r="P622" s="38"/>
      <c r="Q622" s="34"/>
      <c r="R622" s="34"/>
      <c r="S622" s="56"/>
      <c r="T622" s="34"/>
      <c r="U622" s="34"/>
      <c r="V622" s="34"/>
      <c r="W622" s="29"/>
      <c r="X622" s="28">
        <v>20</v>
      </c>
      <c r="Y622" s="28">
        <v>1</v>
      </c>
      <c r="Z622" s="28">
        <v>1</v>
      </c>
      <c r="AA622" s="28">
        <v>3</v>
      </c>
      <c r="AB622" s="28">
        <v>1</v>
      </c>
      <c r="AC622" s="28">
        <v>2</v>
      </c>
      <c r="AD622" s="28">
        <v>2</v>
      </c>
      <c r="AE622" s="28">
        <v>4</v>
      </c>
      <c r="AF622" s="28">
        <v>3</v>
      </c>
      <c r="AG622" s="28">
        <v>2</v>
      </c>
      <c r="AH622" s="29" t="s">
        <v>3884</v>
      </c>
      <c r="AI622" s="36">
        <f>IF(OR(AND(K622&lt;32, J622&lt;2), O622=1, P622=1, Q622=1, R622=1, S622=1, T622=1, U622=1, AND(W622&lt;&gt;"", W622&lt;&gt;"Oxygen", W622&lt;&gt;"LowFlow")), "Intensive", "Intermediate")</f>
      </c>
      <c r="AJ622" s="57">
        <f>IF(OR(LEFT(AH622, 1)="X", LEFT(AH622, 1)="Y", LEFT(AH622, 3)="J43M"), "CUSM", "No Match")</f>
      </c>
      <c r="AK622" s="57">
        <f>IF(AND(OR(O622=3, P622=1, Q622=1, T622=1), AJ622="no Match"), "CUSM, CHU SJ, CHUQ", "")</f>
      </c>
      <c r="AL622" s="57">
        <f>IF(AND(O622=2, ISBLANK(P622), ISBLANK(Q622), ISBLANK(R622), ISBLANK(S622), ISBLANK(T622)), "CUSM, CHU SJ, CHUS, CHUQ", "")</f>
      </c>
      <c r="AM622" s="57">
        <f>IF(AND(AJ622="no match", AK622="", AL622="", K622&lt;26), "CUSM, CHU SJ, HGJ, CHUQ, CHUS", "")</f>
      </c>
      <c r="AN622" s="57">
        <f>IF(AND(AJ622="no match", AK622="", AL622="", K622&gt;26), "CUSM, CHU SJ, HGJ, CHUQ, CHUS, HMR", "")</f>
      </c>
    </row>
    <row x14ac:dyDescent="0.25" r="623" customHeight="1" ht="17.25">
      <c r="A623" s="41" t="s">
        <v>3885</v>
      </c>
      <c r="B623" s="28">
        <v>2</v>
      </c>
      <c r="C623" s="35">
        <v>796</v>
      </c>
      <c r="D623" s="29" t="s">
        <v>63</v>
      </c>
      <c r="E623" s="30" t="s">
        <v>54</v>
      </c>
      <c r="F623" s="31">
        <v>45247</v>
      </c>
      <c r="G623" s="32">
        <v>4.246527777777778</v>
      </c>
      <c r="H623" s="31">
        <v>45247</v>
      </c>
      <c r="I623" s="32">
        <v>4.003472222222222</v>
      </c>
      <c r="J623" s="33">
        <f>F623-H623</f>
      </c>
      <c r="K623" s="28">
        <v>34</v>
      </c>
      <c r="L623" s="28">
        <v>3</v>
      </c>
      <c r="M623" s="28">
        <v>1</v>
      </c>
      <c r="N623" s="34"/>
      <c r="O623" s="34"/>
      <c r="P623" s="34"/>
      <c r="Q623" s="34"/>
      <c r="R623" s="34"/>
      <c r="S623" s="56"/>
      <c r="T623" s="34"/>
      <c r="U623" s="34"/>
      <c r="V623" s="34"/>
      <c r="W623" s="29" t="s">
        <v>58</v>
      </c>
      <c r="X623" s="28">
        <v>31</v>
      </c>
      <c r="Y623" s="28">
        <v>2</v>
      </c>
      <c r="Z623" s="28">
        <v>1</v>
      </c>
      <c r="AA623" s="28">
        <v>1</v>
      </c>
      <c r="AB623" s="28">
        <v>1</v>
      </c>
      <c r="AC623" s="28">
        <v>2</v>
      </c>
      <c r="AD623" s="28">
        <v>2</v>
      </c>
      <c r="AE623" s="28">
        <v>4</v>
      </c>
      <c r="AF623" s="28">
        <v>2</v>
      </c>
      <c r="AG623" s="28">
        <v>2</v>
      </c>
      <c r="AH623" s="29" t="s">
        <v>3886</v>
      </c>
      <c r="AI623" s="36">
        <f>IF(OR(AND(K623&lt;32, J623&lt;2), O623=1, P623=1, Q623=1, R623=1, S623=1, T623=1, U623=1, AND(W623&lt;&gt;"", W623&lt;&gt;"Oxygen", W623&lt;&gt;"LowFlow")), "Intensive", "Intermediate")</f>
      </c>
      <c r="AJ623" s="57">
        <f>IF(OR(LEFT(AH623, 1)="X", LEFT(AH623, 1)="Y", LEFT(AH623, 3)="J44M"), "CUSM", "No Match")</f>
      </c>
      <c r="AK623" s="57">
        <f>IF(AND(OR(O623=3, P623=1, Q623=1, T623=1), AJ623="no Match"), "CUSM, CHU SJ, CHUQ", "")</f>
      </c>
      <c r="AL623" s="57">
        <f>IF(AND(O623=2, ISBLANK(P623), ISBLANK(Q623), ISBLANK(R623), ISBLANK(S623), ISBLANK(T623)), "CUSM, CHU SJ, CHUS, CHUQ", "")</f>
      </c>
      <c r="AM623" s="57">
        <f>IF(AND(AJ623="no match", AK623="", AL623="", K623&lt;26), "CUSM, CHU SJ, HGJ, CHUQ, CHUS", "")</f>
      </c>
      <c r="AN623" s="57">
        <f>IF(AND(AJ623="no match", AK623="", AL623="", K623&gt;26), "CUSM, CHU SJ, HGJ, CHUQ, CHUS, HMR", "")</f>
      </c>
    </row>
    <row x14ac:dyDescent="0.25" r="624" customHeight="1" ht="17.25">
      <c r="A624" s="41" t="s">
        <v>3887</v>
      </c>
      <c r="B624" s="28">
        <v>2</v>
      </c>
      <c r="C624" s="35">
        <v>796</v>
      </c>
      <c r="D624" s="29" t="s">
        <v>63</v>
      </c>
      <c r="E624" s="30" t="s">
        <v>54</v>
      </c>
      <c r="F624" s="31">
        <v>45247</v>
      </c>
      <c r="G624" s="32">
        <v>4.621527777777778</v>
      </c>
      <c r="H624" s="31">
        <v>45247</v>
      </c>
      <c r="I624" s="32">
        <v>4</v>
      </c>
      <c r="J624" s="33">
        <f>F624-H624</f>
      </c>
      <c r="K624" s="28">
        <v>34</v>
      </c>
      <c r="L624" s="28">
        <v>5</v>
      </c>
      <c r="M624" s="28">
        <v>1</v>
      </c>
      <c r="N624" s="34"/>
      <c r="O624" s="34"/>
      <c r="P624" s="34"/>
      <c r="Q624" s="34"/>
      <c r="R624" s="34"/>
      <c r="S624" s="56"/>
      <c r="T624" s="34"/>
      <c r="U624" s="34"/>
      <c r="V624" s="34"/>
      <c r="W624" s="29"/>
      <c r="X624" s="28">
        <v>31</v>
      </c>
      <c r="Y624" s="28">
        <v>2</v>
      </c>
      <c r="Z624" s="28">
        <v>1</v>
      </c>
      <c r="AA624" s="28">
        <v>1</v>
      </c>
      <c r="AB624" s="28">
        <v>1</v>
      </c>
      <c r="AC624" s="28">
        <v>2</v>
      </c>
      <c r="AD624" s="28">
        <v>2</v>
      </c>
      <c r="AE624" s="28">
        <v>4</v>
      </c>
      <c r="AF624" s="35">
        <v>2</v>
      </c>
      <c r="AG624" s="28">
        <v>2</v>
      </c>
      <c r="AH624" s="29" t="s">
        <v>3886</v>
      </c>
      <c r="AI624" s="36">
        <f>IF(OR(AND(K624&lt;32, J624&lt;2), O624=1, P624=1, Q624=1, R624=1, S624=1, T624=1, U624=1, AND(W624&lt;&gt;"", W624&lt;&gt;"Oxygen", W624&lt;&gt;"LowFlow")), "Intensive", "Intermediate")</f>
      </c>
      <c r="AJ624" s="57">
        <f>IF(OR(LEFT(AH624, 1)="X", LEFT(AH624, 1)="Y", LEFT(AH624, 3)="J45M"), "CUSM", "No Match")</f>
      </c>
      <c r="AK624" s="57">
        <f>IF(AND(OR(O624=3, P624=1, Q624=1, T624=1), AJ624="no Match"), "CUSM, CHU SJ, CHUQ", "")</f>
      </c>
      <c r="AL624" s="57">
        <f>IF(AND(O624=2, ISBLANK(P624), ISBLANK(Q624), ISBLANK(R624), ISBLANK(S624), ISBLANK(T624)), "CUSM, CHU SJ, CHUS, CHUQ", "")</f>
      </c>
      <c r="AM624" s="57">
        <f>IF(AND(AJ624="no match", AK624="", AL624="", K624&lt;26), "CUSM, CHU SJ, HGJ, CHUQ, CHUS", "")</f>
      </c>
      <c r="AN624" s="57">
        <f>IF(AND(AJ624="no match", AK624="", AL624="", K624&gt;26), "CUSM, CHU SJ, HGJ, CHUQ, CHUS, HMR", "")</f>
      </c>
    </row>
    <row x14ac:dyDescent="0.25" r="625" customHeight="1" ht="17.25">
      <c r="A625" s="41" t="s">
        <v>3888</v>
      </c>
      <c r="B625" s="28">
        <v>2</v>
      </c>
      <c r="C625" s="28">
        <v>756</v>
      </c>
      <c r="D625" s="29" t="s">
        <v>66</v>
      </c>
      <c r="E625" s="30" t="s">
        <v>50</v>
      </c>
      <c r="F625" s="31">
        <v>45247</v>
      </c>
      <c r="G625" s="32">
        <v>4.246527777777778</v>
      </c>
      <c r="H625" s="31">
        <v>45244</v>
      </c>
      <c r="I625" s="32">
        <v>4.8902777777777775</v>
      </c>
      <c r="J625" s="33">
        <f>F625-H625</f>
      </c>
      <c r="K625" s="28">
        <v>34</v>
      </c>
      <c r="L625" s="28">
        <v>1</v>
      </c>
      <c r="M625" s="28">
        <v>1</v>
      </c>
      <c r="N625" s="38"/>
      <c r="O625" s="38"/>
      <c r="P625" s="38"/>
      <c r="Q625" s="34"/>
      <c r="R625" s="34"/>
      <c r="S625" s="56"/>
      <c r="T625" s="34"/>
      <c r="U625" s="34"/>
      <c r="V625" s="34"/>
      <c r="W625" s="29"/>
      <c r="X625" s="28">
        <v>30</v>
      </c>
      <c r="Y625" s="28">
        <v>1</v>
      </c>
      <c r="Z625" s="28">
        <v>2</v>
      </c>
      <c r="AA625" s="28">
        <v>3</v>
      </c>
      <c r="AB625" s="28">
        <v>1</v>
      </c>
      <c r="AC625" s="28">
        <v>1</v>
      </c>
      <c r="AD625" s="28">
        <v>2</v>
      </c>
      <c r="AE625" s="28">
        <v>4</v>
      </c>
      <c r="AF625" s="28">
        <v>3</v>
      </c>
      <c r="AG625" s="28">
        <v>2</v>
      </c>
      <c r="AH625" s="29" t="s">
        <v>3889</v>
      </c>
      <c r="AI625" s="36">
        <f>IF(OR(AND(K625&lt;32, J625&lt;2), O625=1, P625=1, Q625=1, R625=1, S625=1, T625=1, U625=1, AND(W625&lt;&gt;"", W625&lt;&gt;"Oxygen", W625&lt;&gt;"LowFlow")), "Intensive", "Intermediate")</f>
      </c>
      <c r="AJ625" s="57">
        <f>IF(OR(LEFT(AH625, 1)="X", LEFT(AH625, 1)="Y", LEFT(AH625, 3)="J46M"), "CUSM", "No Match")</f>
      </c>
      <c r="AK625" s="57">
        <f>IF(AND(OR(O625=3, P625=1, Q625=1, T625=1), AJ625="no Match"), "CUSM, CHU SJ, CHUQ", "")</f>
      </c>
      <c r="AL625" s="57">
        <f>IF(AND(O625=2, ISBLANK(P625), ISBLANK(Q625), ISBLANK(R625), ISBLANK(S625), ISBLANK(T625)), "CUSM, CHU SJ, CHUS, CHUQ", "")</f>
      </c>
      <c r="AM625" s="57">
        <f>IF(AND(AJ625="no match", AK625="", AL625="", K625&lt;26), "CUSM, CHU SJ, HGJ, CHUQ, CHUS", "")</f>
      </c>
      <c r="AN625" s="57">
        <f>IF(AND(AJ625="no match", AK625="", AL625="", K625&gt;26), "CUSM, CHU SJ, HGJ, CHUQ, CHUS, HMR", "")</f>
      </c>
    </row>
    <row x14ac:dyDescent="0.25" r="626" customHeight="1" ht="17.25">
      <c r="A626" s="41" t="s">
        <v>3890</v>
      </c>
      <c r="B626" s="28">
        <v>2</v>
      </c>
      <c r="C626" s="28">
        <v>825</v>
      </c>
      <c r="D626" s="29" t="s">
        <v>77</v>
      </c>
      <c r="E626" s="30" t="s">
        <v>54</v>
      </c>
      <c r="F626" s="31">
        <v>45249</v>
      </c>
      <c r="G626" s="32">
        <v>4.1625</v>
      </c>
      <c r="H626" s="31">
        <v>45248</v>
      </c>
      <c r="I626" s="32">
        <v>4.093055555555555</v>
      </c>
      <c r="J626" s="33">
        <f>F626-H626</f>
      </c>
      <c r="K626" s="28">
        <v>38</v>
      </c>
      <c r="L626" s="28">
        <v>3</v>
      </c>
      <c r="M626" s="28">
        <v>1</v>
      </c>
      <c r="N626" s="38"/>
      <c r="O626" s="34"/>
      <c r="P626" s="34"/>
      <c r="Q626" s="34"/>
      <c r="R626" s="34"/>
      <c r="S626" s="56"/>
      <c r="T626" s="34"/>
      <c r="U626" s="34"/>
      <c r="V626" s="34"/>
      <c r="W626" s="29"/>
      <c r="X626" s="28">
        <v>36</v>
      </c>
      <c r="Y626" s="28">
        <v>1</v>
      </c>
      <c r="Z626" s="28">
        <v>1</v>
      </c>
      <c r="AA626" s="28">
        <v>2</v>
      </c>
      <c r="AB626" s="28">
        <v>1</v>
      </c>
      <c r="AC626" s="28">
        <v>2</v>
      </c>
      <c r="AD626" s="28">
        <v>2</v>
      </c>
      <c r="AE626" s="28">
        <v>4</v>
      </c>
      <c r="AF626" s="28">
        <v>2</v>
      </c>
      <c r="AG626" s="28">
        <v>2</v>
      </c>
      <c r="AH626" s="29" t="s">
        <v>3891</v>
      </c>
      <c r="AI626" s="36">
        <f>IF(OR(AND(K626&lt;32, J626&lt;2), O626=1, P626=1, Q626=1, R626=1, S626=1, T626=1, U626=1, AND(W626&lt;&gt;"", W626&lt;&gt;"Oxygen", W626&lt;&gt;"LowFlow")), "Intensive", "Intermediate")</f>
      </c>
      <c r="AJ626" s="57">
        <f>IF(OR(LEFT(AH626, 1)="X", LEFT(AH626, 1)="Y", LEFT(AH626, 3)="J47M"), "CUSM", "No Match")</f>
      </c>
      <c r="AK626" s="57">
        <f>IF(AND(OR(O626=3, P626=1, Q626=1, T626=1), AJ626="no Match"), "CUSM, CHU SJ, CHUQ", "")</f>
      </c>
      <c r="AL626" s="57">
        <f>IF(AND(O626=2, ISBLANK(P626), ISBLANK(Q626), ISBLANK(R626), ISBLANK(S626), ISBLANK(T626)), "CUSM, CHU SJ, CHUS, CHUQ", "")</f>
      </c>
      <c r="AM626" s="57">
        <f>IF(AND(AJ626="no match", AK626="", AL626="", K626&lt;26), "CUSM, CHU SJ, HGJ, CHUQ, CHUS", "")</f>
      </c>
      <c r="AN626" s="57">
        <f>IF(AND(AJ626="no match", AK626="", AL626="", K626&gt;26), "CUSM, CHU SJ, HGJ, CHUQ, CHUS, HMR", "")</f>
      </c>
    </row>
    <row x14ac:dyDescent="0.25" r="627" customHeight="1" ht="17.25">
      <c r="A627" s="41" t="s">
        <v>3892</v>
      </c>
      <c r="B627" s="28">
        <v>2</v>
      </c>
      <c r="C627" s="35">
        <v>845</v>
      </c>
      <c r="D627" s="29" t="s">
        <v>381</v>
      </c>
      <c r="E627" s="30" t="s">
        <v>50</v>
      </c>
      <c r="F627" s="31">
        <v>45249</v>
      </c>
      <c r="G627" s="32">
        <v>4.166666666666666</v>
      </c>
      <c r="H627" s="31">
        <v>45243</v>
      </c>
      <c r="I627" s="32">
        <v>4.783333333333333</v>
      </c>
      <c r="J627" s="33">
        <f>F627-H627</f>
      </c>
      <c r="K627" s="28">
        <v>37</v>
      </c>
      <c r="L627" s="28">
        <v>2</v>
      </c>
      <c r="M627" s="28">
        <v>1</v>
      </c>
      <c r="N627" s="34"/>
      <c r="O627" s="34"/>
      <c r="P627" s="34"/>
      <c r="Q627" s="34"/>
      <c r="R627" s="34"/>
      <c r="S627" s="56"/>
      <c r="T627" s="34"/>
      <c r="U627" s="34"/>
      <c r="V627" s="34"/>
      <c r="W627" s="29" t="s">
        <v>142</v>
      </c>
      <c r="X627" s="28">
        <v>35</v>
      </c>
      <c r="Y627" s="28">
        <v>2</v>
      </c>
      <c r="Z627" s="28">
        <v>2</v>
      </c>
      <c r="AA627" s="28">
        <v>3</v>
      </c>
      <c r="AB627" s="28">
        <v>1</v>
      </c>
      <c r="AC627" s="28">
        <v>2</v>
      </c>
      <c r="AD627" s="28">
        <v>2</v>
      </c>
      <c r="AE627" s="28">
        <v>4</v>
      </c>
      <c r="AF627" s="28">
        <v>3</v>
      </c>
      <c r="AG627" s="28">
        <v>3</v>
      </c>
      <c r="AH627" s="29" t="s">
        <v>3893</v>
      </c>
      <c r="AI627" s="36">
        <f>IF(OR(AND(K627&lt;32, J627&lt;2), O627=1, P627=1, Q627=1, R627=1, S627=1, T627=1, U627=1, AND(W627&lt;&gt;"", W627&lt;&gt;"Oxygen", W627&lt;&gt;"LowFlow")), "Intensive", "Intermediate")</f>
      </c>
      <c r="AJ627" s="57">
        <f>IF(OR(LEFT(AH627, 1)="X", LEFT(AH627, 1)="Y", LEFT(AH627, 3)="J48M"), "CUSM", "No Match")</f>
      </c>
      <c r="AK627" s="57">
        <f>IF(AND(OR(O627=3, P627=1, Q627=1, T627=1), AJ627="no Match"), "CUSM, CHU SJ, CHUQ", "")</f>
      </c>
      <c r="AL627" s="57">
        <f>IF(AND(O627=2, ISBLANK(P627), ISBLANK(Q627), ISBLANK(R627), ISBLANK(S627), ISBLANK(T627)), "CUSM, CHU SJ, CHUS, CHUQ", "")</f>
      </c>
      <c r="AM627" s="57">
        <f>IF(AND(AJ627="no match", AK627="", AL627="", K627&lt;26), "CUSM, CHU SJ, HGJ, CHUQ, CHUS", "")</f>
      </c>
      <c r="AN627" s="57">
        <f>IF(AND(AJ627="no match", AK627="", AL627="", K627&gt;26), "CUSM, CHU SJ, HGJ, CHUQ, CHUS, HMR", "")</f>
      </c>
    </row>
    <row x14ac:dyDescent="0.25" r="628" customHeight="1" ht="17.25">
      <c r="A628" s="41" t="s">
        <v>3894</v>
      </c>
      <c r="B628" s="28">
        <v>2</v>
      </c>
      <c r="C628" s="28">
        <v>6</v>
      </c>
      <c r="D628" s="29" t="s">
        <v>131</v>
      </c>
      <c r="E628" s="30" t="s">
        <v>50</v>
      </c>
      <c r="F628" s="31">
        <v>45249</v>
      </c>
      <c r="G628" s="32">
        <v>4.836805555555555</v>
      </c>
      <c r="H628" s="31">
        <v>45209</v>
      </c>
      <c r="I628" s="32">
        <v>4.947916666666666</v>
      </c>
      <c r="J628" s="33">
        <f>F628-H628</f>
      </c>
      <c r="K628" s="28">
        <v>40</v>
      </c>
      <c r="L628" s="28">
        <v>2</v>
      </c>
      <c r="M628" s="28">
        <v>1</v>
      </c>
      <c r="N628" s="34"/>
      <c r="O628" s="34"/>
      <c r="P628" s="34"/>
      <c r="Q628" s="34"/>
      <c r="R628" s="34"/>
      <c r="S628" s="56"/>
      <c r="T628" s="34"/>
      <c r="U628" s="34"/>
      <c r="V628" s="34"/>
      <c r="W628" s="29" t="s">
        <v>58</v>
      </c>
      <c r="X628" s="28">
        <v>40</v>
      </c>
      <c r="Y628" s="28">
        <v>1</v>
      </c>
      <c r="Z628" s="28">
        <v>1</v>
      </c>
      <c r="AA628" s="28">
        <v>3</v>
      </c>
      <c r="AB628" s="28">
        <v>4</v>
      </c>
      <c r="AC628" s="28">
        <v>3</v>
      </c>
      <c r="AD628" s="28">
        <v>3</v>
      </c>
      <c r="AE628" s="28">
        <v>4</v>
      </c>
      <c r="AF628" s="28">
        <v>3</v>
      </c>
      <c r="AG628" s="28">
        <v>3</v>
      </c>
      <c r="AH628" s="29" t="s">
        <v>3895</v>
      </c>
      <c r="AI628" s="36">
        <f>IF(OR(AND(K628&lt;32, J628&lt;2), O628=1, P628=1, Q628=1, R628=1, S628=1, T628=1, U628=1, AND(W628&lt;&gt;"", W628&lt;&gt;"Oxygen", W628&lt;&gt;"LowFlow")), "Intensive", "Intermediate")</f>
      </c>
      <c r="AJ628" s="57">
        <f>IF(OR(LEFT(AH628, 1)="X", LEFT(AH628, 1)="Y", LEFT(AH628, 3)="J49M"), "CUSM", "No Match")</f>
      </c>
      <c r="AK628" s="57">
        <f>IF(AND(OR(O628=3, P628=1, Q628=1, T628=1), AJ628="no Match"), "CUSM, CHU SJ, CHUQ", "")</f>
      </c>
      <c r="AL628" s="57">
        <f>IF(AND(O628=2, ISBLANK(P628), ISBLANK(Q628), ISBLANK(R628), ISBLANK(S628), ISBLANK(T628)), "CUSM, CHU SJ, CHUS, CHUQ", "")</f>
      </c>
      <c r="AM628" s="57">
        <f>IF(AND(AJ628="no match", AK628="", AL628="", K628&lt;26), "CUSM, CHU SJ, HGJ, CHUQ, CHUS", "")</f>
      </c>
      <c r="AN628" s="57">
        <f>IF(AND(AJ628="no match", AK628="", AL628="", K628&gt;26), "CUSM, CHU SJ, HGJ, CHUQ, CHUS, HMR", "")</f>
      </c>
    </row>
    <row x14ac:dyDescent="0.25" r="629" customHeight="1" ht="17.25">
      <c r="A629" s="41" t="s">
        <v>3896</v>
      </c>
      <c r="B629" s="28">
        <v>2</v>
      </c>
      <c r="C629" s="35">
        <v>839</v>
      </c>
      <c r="D629" s="29" t="s">
        <v>53</v>
      </c>
      <c r="E629" s="30" t="s">
        <v>54</v>
      </c>
      <c r="F629" s="31">
        <v>45251</v>
      </c>
      <c r="G629" s="32">
        <v>4.739583333333334</v>
      </c>
      <c r="H629" s="31">
        <v>45251</v>
      </c>
      <c r="I629" s="32">
        <v>4.5152777777777775</v>
      </c>
      <c r="J629" s="33">
        <f>F629-H629</f>
      </c>
      <c r="K629" s="28">
        <v>38</v>
      </c>
      <c r="L629" s="28">
        <v>5</v>
      </c>
      <c r="M629" s="28">
        <v>1</v>
      </c>
      <c r="N629" s="34"/>
      <c r="O629" s="34"/>
      <c r="P629" s="34"/>
      <c r="Q629" s="34"/>
      <c r="R629" s="34"/>
      <c r="S629" s="56"/>
      <c r="T629" s="34"/>
      <c r="U629" s="34"/>
      <c r="V629" s="34"/>
      <c r="W629" s="29"/>
      <c r="X629" s="28">
        <v>42</v>
      </c>
      <c r="Y629" s="28">
        <v>1</v>
      </c>
      <c r="Z629" s="28">
        <v>2</v>
      </c>
      <c r="AA629" s="28">
        <v>2</v>
      </c>
      <c r="AB629" s="28">
        <v>1</v>
      </c>
      <c r="AC629" s="28">
        <v>2</v>
      </c>
      <c r="AD629" s="28">
        <v>2</v>
      </c>
      <c r="AE629" s="28">
        <v>4</v>
      </c>
      <c r="AF629" s="28">
        <v>2</v>
      </c>
      <c r="AG629" s="28">
        <v>2</v>
      </c>
      <c r="AH629" s="29" t="s">
        <v>156</v>
      </c>
      <c r="AI629" s="36">
        <f>IF(OR(AND(K629&lt;32, J629&lt;2), O629=1, P629=1, Q629=1, R629=1, S629=1, T629=1, U629=1, AND(W629&lt;&gt;"", W629&lt;&gt;"Oxygen", W629&lt;&gt;"LowFlow")), "Intensive", "Intermediate")</f>
      </c>
      <c r="AJ629" s="57">
        <f>IF(OR(LEFT(AH629, 1)="X", LEFT(AH629, 1)="Y", LEFT(AH629, 3)="J50M"), "CUSM", "No Match")</f>
      </c>
      <c r="AK629" s="57">
        <f>IF(AND(OR(O629=3, P629=1, Q629=1, T629=1), AJ629="no Match"), "CUSM, CHU SJ, CHUQ", "")</f>
      </c>
      <c r="AL629" s="57">
        <f>IF(AND(O629=2, ISBLANK(P629), ISBLANK(Q629), ISBLANK(R629), ISBLANK(S629), ISBLANK(T629)), "CUSM, CHU SJ, CHUS, CHUQ", "")</f>
      </c>
      <c r="AM629" s="57">
        <f>IF(AND(AJ629="no match", AK629="", AL629="", K629&lt;26), "CUSM, CHU SJ, HGJ, CHUQ, CHUS", "")</f>
      </c>
      <c r="AN629" s="57">
        <f>IF(AND(AJ629="no match", AK629="", AL629="", K629&gt;26), "CUSM, CHU SJ, HGJ, CHUQ, CHUS, HMR", "")</f>
      </c>
    </row>
    <row x14ac:dyDescent="0.25" r="630" customHeight="1" ht="17.25">
      <c r="A630" s="41" t="s">
        <v>3897</v>
      </c>
      <c r="B630" s="28">
        <v>2</v>
      </c>
      <c r="C630" s="35">
        <v>824</v>
      </c>
      <c r="D630" s="29" t="s">
        <v>57</v>
      </c>
      <c r="E630" s="30" t="s">
        <v>54</v>
      </c>
      <c r="F630" s="31">
        <v>45251</v>
      </c>
      <c r="G630" s="32">
        <v>4.878472222222222</v>
      </c>
      <c r="H630" s="31">
        <v>45251</v>
      </c>
      <c r="I630" s="32">
        <v>4.0625</v>
      </c>
      <c r="J630" s="33">
        <f>F630-H630</f>
      </c>
      <c r="K630" s="28">
        <v>38</v>
      </c>
      <c r="L630" s="28">
        <v>5</v>
      </c>
      <c r="M630" s="28">
        <v>2</v>
      </c>
      <c r="N630" s="38"/>
      <c r="O630" s="34"/>
      <c r="P630" s="34"/>
      <c r="Q630" s="34"/>
      <c r="R630" s="34"/>
      <c r="S630" s="56"/>
      <c r="T630" s="34"/>
      <c r="U630" s="34"/>
      <c r="V630" s="34"/>
      <c r="W630" s="29" t="s">
        <v>58</v>
      </c>
      <c r="X630" s="28">
        <v>26</v>
      </c>
      <c r="Y630" s="28">
        <v>1</v>
      </c>
      <c r="Z630" s="28">
        <v>1</v>
      </c>
      <c r="AA630" s="28">
        <v>2</v>
      </c>
      <c r="AB630" s="28">
        <v>1</v>
      </c>
      <c r="AC630" s="28">
        <v>2</v>
      </c>
      <c r="AD630" s="28">
        <v>1</v>
      </c>
      <c r="AE630" s="28">
        <v>4</v>
      </c>
      <c r="AF630" s="28">
        <v>2</v>
      </c>
      <c r="AG630" s="28">
        <v>2</v>
      </c>
      <c r="AH630" s="29" t="s">
        <v>3898</v>
      </c>
      <c r="AI630" s="36">
        <f>IF(OR(AND(K630&lt;32, J630&lt;2), O630=1, P630=1, Q630=1, R630=1, S630=1, T630=1, U630=1, AND(W630&lt;&gt;"", W630&lt;&gt;"Oxygen", W630&lt;&gt;"LowFlow")), "Intensive", "Intermediate")</f>
      </c>
      <c r="AJ630" s="57">
        <f>IF(OR(LEFT(AH630, 1)="X", LEFT(AH630, 1)="Y", LEFT(AH630, 3)="J51M"), "CUSM", "No Match")</f>
      </c>
      <c r="AK630" s="57">
        <f>IF(AND(OR(O630=3, P630=1, Q630=1, T630=1), AJ630="no Match"), "CUSM, CHU SJ, CHUQ", "")</f>
      </c>
      <c r="AL630" s="57">
        <f>IF(AND(O630=2, ISBLANK(P630), ISBLANK(Q630), ISBLANK(R630), ISBLANK(S630), ISBLANK(T630)), "CUSM, CHU SJ, CHUS, CHUQ", "")</f>
      </c>
      <c r="AM630" s="57">
        <f>IF(AND(AJ630="no match", AK630="", AL630="", K630&lt;26), "CUSM, CHU SJ, HGJ, CHUQ, CHUS", "")</f>
      </c>
      <c r="AN630" s="57">
        <f>IF(AND(AJ630="no match", AK630="", AL630="", K630&gt;26), "CUSM, CHU SJ, HGJ, CHUQ, CHUS, HMR", "")</f>
      </c>
    </row>
    <row x14ac:dyDescent="0.25" r="631" customHeight="1" ht="17.25">
      <c r="A631" s="41" t="s">
        <v>3899</v>
      </c>
      <c r="B631" s="28">
        <v>2</v>
      </c>
      <c r="C631" s="35">
        <v>564</v>
      </c>
      <c r="D631" s="29" t="s">
        <v>153</v>
      </c>
      <c r="E631" s="30" t="s">
        <v>54</v>
      </c>
      <c r="F631" s="31">
        <v>45251</v>
      </c>
      <c r="G631" s="32">
        <v>4.642361111111111</v>
      </c>
      <c r="H631" s="31">
        <v>45251</v>
      </c>
      <c r="I631" s="32">
        <v>4.351388888888889</v>
      </c>
      <c r="J631" s="33">
        <f>F631-H631</f>
      </c>
      <c r="K631" s="28">
        <v>39</v>
      </c>
      <c r="L631" s="28">
        <v>1</v>
      </c>
      <c r="M631" s="28">
        <v>2</v>
      </c>
      <c r="N631" s="35">
        <v>1</v>
      </c>
      <c r="O631" s="34"/>
      <c r="P631" s="35">
        <v>1</v>
      </c>
      <c r="Q631" s="34"/>
      <c r="R631" s="34"/>
      <c r="S631" s="56"/>
      <c r="T631" s="34"/>
      <c r="U631" s="34"/>
      <c r="V631" s="35">
        <v>1</v>
      </c>
      <c r="W631" s="29" t="s">
        <v>164</v>
      </c>
      <c r="X631" s="28">
        <v>28</v>
      </c>
      <c r="Y631" s="28">
        <v>1</v>
      </c>
      <c r="Z631" s="28">
        <v>2</v>
      </c>
      <c r="AA631" s="28">
        <v>2</v>
      </c>
      <c r="AB631" s="28">
        <v>1</v>
      </c>
      <c r="AC631" s="28">
        <v>2</v>
      </c>
      <c r="AD631" s="28">
        <v>2</v>
      </c>
      <c r="AE631" s="28">
        <v>4</v>
      </c>
      <c r="AF631" s="28">
        <v>2</v>
      </c>
      <c r="AG631" s="28">
        <v>2</v>
      </c>
      <c r="AH631" s="29" t="s">
        <v>3900</v>
      </c>
      <c r="AI631" s="36">
        <f>IF(OR(AND(K631&lt;32, J631&lt;2), O631=1, P631=1, Q631=1, R631=1, S631=1, T631=1, U631=1, AND(W631&lt;&gt;"", W631&lt;&gt;"Oxygen", W631&lt;&gt;"LowFlow")), "Intensive", "Intermediate")</f>
      </c>
      <c r="AJ631" s="57">
        <f>IF(OR(LEFT(AH631, 1)="X", LEFT(AH631, 1)="Y", LEFT(AH631, 3)="J52M"), "CUSM", "No Match")</f>
      </c>
      <c r="AK631" s="57">
        <f>IF(AND(OR(O631=3, P631=1, Q631=1, T631=1), AJ631="no Match"), "CUSM, CHU SJ, CHUQ", "")</f>
      </c>
      <c r="AL631" s="57">
        <f>IF(AND(O631=2, ISBLANK(P631), ISBLANK(Q631), ISBLANK(R631), ISBLANK(S631), ISBLANK(T631)), "CUSM, CHU SJ, CHUS, CHUQ", "")</f>
      </c>
      <c r="AM631" s="57">
        <f>IF(AND(AJ631="no match", AK631="", AL631="", K631&lt;26), "CUSM, CHU SJ, HGJ, CHUQ, CHUS", "")</f>
      </c>
      <c r="AN631" s="57">
        <f>IF(AND(AJ631="no match", AK631="", AL631="", K631&gt;26), "CUSM, CHU SJ, HGJ, CHUQ, CHUS, HMR", "")</f>
      </c>
    </row>
    <row x14ac:dyDescent="0.25" r="632" customHeight="1" ht="17.25">
      <c r="A632" s="41" t="s">
        <v>3901</v>
      </c>
      <c r="B632" s="28">
        <v>2</v>
      </c>
      <c r="C632" s="35">
        <v>730</v>
      </c>
      <c r="D632" s="29" t="s">
        <v>81</v>
      </c>
      <c r="E632" s="30" t="s">
        <v>78</v>
      </c>
      <c r="F632" s="31">
        <v>45251</v>
      </c>
      <c r="G632" s="32">
        <v>4.708333333333334</v>
      </c>
      <c r="H632" s="31">
        <v>45251</v>
      </c>
      <c r="I632" s="32">
        <v>4.207638888888889</v>
      </c>
      <c r="J632" s="33">
        <f>F632-H632</f>
      </c>
      <c r="K632" s="28">
        <v>39</v>
      </c>
      <c r="L632" s="28">
        <v>0</v>
      </c>
      <c r="M632" s="28">
        <v>1</v>
      </c>
      <c r="N632" s="38"/>
      <c r="O632" s="34"/>
      <c r="P632" s="34"/>
      <c r="Q632" s="34"/>
      <c r="R632" s="34"/>
      <c r="S632" s="56"/>
      <c r="T632" s="34"/>
      <c r="U632" s="34"/>
      <c r="V632" s="34"/>
      <c r="W632" s="29" t="s">
        <v>58</v>
      </c>
      <c r="X632" s="28">
        <v>27</v>
      </c>
      <c r="Y632" s="28">
        <v>1</v>
      </c>
      <c r="Z632" s="28">
        <v>1</v>
      </c>
      <c r="AA632" s="28">
        <v>2</v>
      </c>
      <c r="AB632" s="28">
        <v>1</v>
      </c>
      <c r="AC632" s="28">
        <v>2</v>
      </c>
      <c r="AD632" s="28">
        <v>2</v>
      </c>
      <c r="AE632" s="28">
        <v>4</v>
      </c>
      <c r="AF632" s="28">
        <v>2</v>
      </c>
      <c r="AG632" s="28">
        <v>2</v>
      </c>
      <c r="AH632" s="29" t="s">
        <v>3902</v>
      </c>
      <c r="AI632" s="36">
        <f>IF(OR(AND(K632&lt;32, J632&lt;2), O632=1, P632=1, Q632=1, R632=1, S632=1, T632=1, U632=1, AND(W632&lt;&gt;"", W632&lt;&gt;"Oxygen", W632&lt;&gt;"LowFlow")), "Intensive", "Intermediate")</f>
      </c>
      <c r="AJ632" s="57">
        <f>IF(OR(LEFT(AH632, 1)="X", LEFT(AH632, 1)="Y", LEFT(AH632, 3)="J53M"), "CUSM", "No Match")</f>
      </c>
      <c r="AK632" s="57">
        <f>IF(AND(OR(O632=3, P632=1, Q632=1, T632=1), AJ632="no Match"), "CUSM, CHU SJ, CHUQ", "")</f>
      </c>
      <c r="AL632" s="57">
        <f>IF(AND(O632=2, ISBLANK(P632), ISBLANK(Q632), ISBLANK(R632), ISBLANK(S632), ISBLANK(T632)), "CUSM, CHU SJ, CHUS, CHUQ", "")</f>
      </c>
      <c r="AM632" s="57">
        <f>IF(AND(AJ632="no match", AK632="", AL632="", K632&lt;26), "CUSM, CHU SJ, HGJ, CHUQ, CHUS", "")</f>
      </c>
      <c r="AN632" s="57">
        <f>IF(AND(AJ632="no match", AK632="", AL632="", K632&gt;26), "CUSM, CHU SJ, HGJ, CHUQ, CHUS, HMR", "")</f>
      </c>
    </row>
    <row x14ac:dyDescent="0.25" r="633" customHeight="1" ht="17.25">
      <c r="A633" s="41" t="s">
        <v>3903</v>
      </c>
      <c r="B633" s="28">
        <v>2</v>
      </c>
      <c r="C633" s="35">
        <v>831</v>
      </c>
      <c r="D633" s="29" t="s">
        <v>313</v>
      </c>
      <c r="E633" s="30" t="s">
        <v>54</v>
      </c>
      <c r="F633" s="31">
        <v>45253</v>
      </c>
      <c r="G633" s="32">
        <v>4.791666666666666</v>
      </c>
      <c r="H633" s="31">
        <v>45253</v>
      </c>
      <c r="I633" s="32">
        <v>4.497916666666667</v>
      </c>
      <c r="J633" s="33">
        <f>F633-H633</f>
      </c>
      <c r="K633" s="28">
        <v>36</v>
      </c>
      <c r="L633" s="28">
        <v>5</v>
      </c>
      <c r="M633" s="28">
        <v>2</v>
      </c>
      <c r="N633" s="34"/>
      <c r="O633" s="34"/>
      <c r="P633" s="34"/>
      <c r="Q633" s="34"/>
      <c r="R633" s="34"/>
      <c r="S633" s="56"/>
      <c r="T633" s="34"/>
      <c r="U633" s="34"/>
      <c r="V633" s="34"/>
      <c r="W633" s="29" t="s">
        <v>74</v>
      </c>
      <c r="X633" s="28">
        <v>26</v>
      </c>
      <c r="Y633" s="28">
        <v>2</v>
      </c>
      <c r="Z633" s="28">
        <v>2</v>
      </c>
      <c r="AA633" s="28">
        <v>3</v>
      </c>
      <c r="AB633" s="28">
        <v>4</v>
      </c>
      <c r="AC633" s="28">
        <v>2</v>
      </c>
      <c r="AD633" s="28">
        <v>2</v>
      </c>
      <c r="AE633" s="28">
        <v>4</v>
      </c>
      <c r="AF633" s="28">
        <v>2</v>
      </c>
      <c r="AG633" s="28">
        <v>2</v>
      </c>
      <c r="AH633" s="29" t="s">
        <v>3904</v>
      </c>
      <c r="AI633" s="36">
        <f>IF(OR(AND(K633&lt;32, J633&lt;2), O633=1, P633=1, Q633=1, R633=1, S633=1, T633=1, U633=1, AND(W633&lt;&gt;"", W633&lt;&gt;"Oxygen", W633&lt;&gt;"LowFlow")), "Intensive", "Intermediate")</f>
      </c>
      <c r="AJ633" s="57">
        <f>IF(OR(LEFT(AH633, 1)="X", LEFT(AH633, 1)="Y", LEFT(AH633, 3)="J54M"), "CUSM", "No Match")</f>
      </c>
      <c r="AK633" s="57">
        <f>IF(AND(OR(O633=3, P633=1, Q633=1, T633=1), AJ633="no Match"), "CUSM, CHU SJ, CHUQ", "")</f>
      </c>
      <c r="AL633" s="57">
        <f>IF(AND(O633=2, ISBLANK(P633), ISBLANK(Q633), ISBLANK(R633), ISBLANK(S633), ISBLANK(T633)), "CUSM, CHU SJ, CHUS, CHUQ", "")</f>
      </c>
      <c r="AM633" s="57">
        <f>IF(AND(AJ633="no match", AK633="", AL633="", K633&lt;26), "CUSM, CHU SJ, HGJ, CHUQ, CHUS", "")</f>
      </c>
      <c r="AN633" s="57">
        <f>IF(AND(AJ633="no match", AK633="", AL633="", K633&gt;26), "CUSM, CHU SJ, HGJ, CHUQ, CHUS, HMR", "")</f>
      </c>
    </row>
    <row x14ac:dyDescent="0.25" r="634" customHeight="1" ht="17.25">
      <c r="A634" s="41" t="s">
        <v>3905</v>
      </c>
      <c r="B634" s="28">
        <v>2</v>
      </c>
      <c r="C634" s="35">
        <v>796</v>
      </c>
      <c r="D634" s="29" t="s">
        <v>63</v>
      </c>
      <c r="E634" s="30" t="s">
        <v>50</v>
      </c>
      <c r="F634" s="31">
        <v>45253</v>
      </c>
      <c r="G634" s="32">
        <v>4.839583333333334</v>
      </c>
      <c r="H634" s="31">
        <v>45253</v>
      </c>
      <c r="I634" s="32">
        <v>4.586111111111111</v>
      </c>
      <c r="J634" s="33">
        <f>F634-H634</f>
      </c>
      <c r="K634" s="28">
        <v>41</v>
      </c>
      <c r="L634" s="28">
        <v>4</v>
      </c>
      <c r="M634" s="28">
        <v>1</v>
      </c>
      <c r="N634" s="34"/>
      <c r="O634" s="34"/>
      <c r="P634" s="34"/>
      <c r="Q634" s="34"/>
      <c r="R634" s="34"/>
      <c r="S634" s="56"/>
      <c r="T634" s="35">
        <v>1</v>
      </c>
      <c r="U634" s="34"/>
      <c r="V634" s="34"/>
      <c r="W634" s="29" t="s">
        <v>74</v>
      </c>
      <c r="X634" s="28">
        <v>31</v>
      </c>
      <c r="Y634" s="28">
        <v>1</v>
      </c>
      <c r="Z634" s="28">
        <v>2</v>
      </c>
      <c r="AA634" s="28">
        <v>2</v>
      </c>
      <c r="AB634" s="28">
        <v>1</v>
      </c>
      <c r="AC634" s="28">
        <v>2</v>
      </c>
      <c r="AD634" s="28">
        <v>2</v>
      </c>
      <c r="AE634" s="28">
        <v>2</v>
      </c>
      <c r="AF634" s="28">
        <v>2</v>
      </c>
      <c r="AG634" s="28">
        <v>2</v>
      </c>
      <c r="AH634" s="29" t="s">
        <v>2820</v>
      </c>
      <c r="AI634" s="36">
        <f>IF(OR(AND(K634&lt;32, J634&lt;2), O634=1, P634=1, Q634=1, R634=1, S634=1, T634=1, U634=1, AND(W634&lt;&gt;"", W634&lt;&gt;"Oxygen", W634&lt;&gt;"LowFlow")), "Intensive", "Intermediate")</f>
      </c>
      <c r="AJ634" s="57">
        <f>IF(OR(LEFT(AH634, 1)="X", LEFT(AH634, 1)="Y", LEFT(AH634, 3)="J55M"), "CUSM", "No Match")</f>
      </c>
      <c r="AK634" s="57">
        <f>IF(AND(OR(O634=3, P634=1, Q634=1, T634=1), AJ634="no Match"), "CUSM, CHU SJ, CHUQ", "")</f>
      </c>
      <c r="AL634" s="57">
        <f>IF(AND(O634=2, ISBLANK(P634), ISBLANK(Q634), ISBLANK(R634), ISBLANK(S634), ISBLANK(T634)), "CUSM, CHU SJ, CHUS, CHUQ", "")</f>
      </c>
      <c r="AM634" s="57">
        <f>IF(AND(AJ634="no match", AK634="", AL634="", K634&lt;26), "CUSM, CHU SJ, HGJ, CHUQ, CHUS", "")</f>
      </c>
      <c r="AN634" s="57">
        <f>IF(AND(AJ634="no match", AK634="", AL634="", K634&gt;26), "CUSM, CHU SJ, HGJ, CHUQ, CHUS, HMR", "")</f>
      </c>
    </row>
    <row x14ac:dyDescent="0.25" r="635" customHeight="1" ht="17.25">
      <c r="A635" s="41" t="s">
        <v>3906</v>
      </c>
      <c r="B635" s="28">
        <v>2</v>
      </c>
      <c r="C635" s="35">
        <v>780</v>
      </c>
      <c r="D635" s="29" t="s">
        <v>190</v>
      </c>
      <c r="E635" s="30" t="s">
        <v>54</v>
      </c>
      <c r="F635" s="31">
        <v>45254</v>
      </c>
      <c r="G635" s="32">
        <v>4.166666666666666</v>
      </c>
      <c r="H635" s="31">
        <v>45252</v>
      </c>
      <c r="I635" s="32">
        <v>4.90625</v>
      </c>
      <c r="J635" s="33">
        <f>F635-H635</f>
      </c>
      <c r="K635" s="28">
        <v>38</v>
      </c>
      <c r="L635" s="28">
        <v>3</v>
      </c>
      <c r="M635" s="28">
        <v>1</v>
      </c>
      <c r="N635" s="34"/>
      <c r="O635" s="34"/>
      <c r="P635" s="34"/>
      <c r="Q635" s="34"/>
      <c r="R635" s="34"/>
      <c r="S635" s="56"/>
      <c r="T635" s="34"/>
      <c r="U635" s="34"/>
      <c r="V635" s="34"/>
      <c r="W635" s="29"/>
      <c r="X635" s="28">
        <v>31</v>
      </c>
      <c r="Y635" s="28">
        <v>1</v>
      </c>
      <c r="Z635" s="28">
        <v>2</v>
      </c>
      <c r="AA635" s="28">
        <v>1</v>
      </c>
      <c r="AB635" s="28">
        <v>2</v>
      </c>
      <c r="AC635" s="28">
        <v>1</v>
      </c>
      <c r="AD635" s="28">
        <v>2</v>
      </c>
      <c r="AE635" s="28">
        <v>4</v>
      </c>
      <c r="AF635" s="28">
        <v>2</v>
      </c>
      <c r="AG635" s="28">
        <v>2</v>
      </c>
      <c r="AH635" s="29" t="s">
        <v>3907</v>
      </c>
      <c r="AI635" s="36">
        <f>IF(OR(AND(K635&lt;32, J635&lt;2), O635=1, P635=1, Q635=1, R635=1, S635=1, T635=1, U635=1, AND(W635&lt;&gt;"", W635&lt;&gt;"Oxygen", W635&lt;&gt;"LowFlow")), "Intensive", "Intermediate")</f>
      </c>
      <c r="AJ635" s="57">
        <f>IF(OR(LEFT(AH635, 1)="X", LEFT(AH635, 1)="Y", LEFT(AH635, 3)="J56M"), "CUSM", "No Match")</f>
      </c>
      <c r="AK635" s="57">
        <f>IF(AND(OR(O635=3, P635=1, Q635=1, T635=1), AJ635="no Match"), "CUSM, CHU SJ, CHUQ", "")</f>
      </c>
      <c r="AL635" s="57">
        <f>IF(AND(O635=2, ISBLANK(P635), ISBLANK(Q635), ISBLANK(R635), ISBLANK(S635), ISBLANK(T635)), "CUSM, CHU SJ, CHUS, CHUQ", "")</f>
      </c>
      <c r="AM635" s="57">
        <f>IF(AND(AJ635="no match", AK635="", AL635="", K635&lt;26), "CUSM, CHU SJ, HGJ, CHUQ, CHUS", "")</f>
      </c>
      <c r="AN635" s="57">
        <f>IF(AND(AJ635="no match", AK635="", AL635="", K635&gt;26), "CUSM, CHU SJ, HGJ, CHUQ, CHUS, HMR", "")</f>
      </c>
    </row>
    <row x14ac:dyDescent="0.25" r="636" customHeight="1" ht="17.25">
      <c r="A636" s="41" t="s">
        <v>3908</v>
      </c>
      <c r="B636" s="28">
        <v>2</v>
      </c>
      <c r="C636" s="35">
        <v>820</v>
      </c>
      <c r="D636" s="29" t="s">
        <v>69</v>
      </c>
      <c r="E636" s="30" t="s">
        <v>54</v>
      </c>
      <c r="F636" s="31">
        <v>45254</v>
      </c>
      <c r="G636" s="32">
        <v>4.96875</v>
      </c>
      <c r="H636" s="31">
        <v>45253</v>
      </c>
      <c r="I636" s="32">
        <v>4.488888888888889</v>
      </c>
      <c r="J636" s="33">
        <f>F636-H636</f>
      </c>
      <c r="K636" s="28">
        <v>39</v>
      </c>
      <c r="L636" s="28">
        <v>5</v>
      </c>
      <c r="M636" s="28">
        <v>1</v>
      </c>
      <c r="N636" s="34"/>
      <c r="O636" s="34"/>
      <c r="P636" s="34"/>
      <c r="Q636" s="34"/>
      <c r="R636" s="34"/>
      <c r="S636" s="56"/>
      <c r="T636" s="34"/>
      <c r="U636" s="34"/>
      <c r="V636" s="34"/>
      <c r="W636" s="29"/>
      <c r="X636" s="28">
        <v>31</v>
      </c>
      <c r="Y636" s="28">
        <v>1</v>
      </c>
      <c r="Z636" s="28">
        <v>1</v>
      </c>
      <c r="AA636" s="28">
        <v>2</v>
      </c>
      <c r="AB636" s="28">
        <v>1</v>
      </c>
      <c r="AC636" s="28">
        <v>2</v>
      </c>
      <c r="AD636" s="28">
        <v>1</v>
      </c>
      <c r="AE636" s="28">
        <v>4</v>
      </c>
      <c r="AF636" s="28">
        <v>2</v>
      </c>
      <c r="AG636" s="28">
        <v>2</v>
      </c>
      <c r="AH636" s="29" t="s">
        <v>1368</v>
      </c>
      <c r="AI636" s="36">
        <f>IF(OR(AND(K636&lt;32, J636&lt;2), O636=1, P636=1, Q636=1, R636=1, S636=1, T636=1, U636=1, AND(W636&lt;&gt;"", W636&lt;&gt;"Oxygen", W636&lt;&gt;"LowFlow")), "Intensive", "Intermediate")</f>
      </c>
      <c r="AJ636" s="57">
        <f>IF(OR(LEFT(AH636, 1)="X", LEFT(AH636, 1)="Y", LEFT(AH636, 3)="J57M"), "CUSM", "No Match")</f>
      </c>
      <c r="AK636" s="57">
        <f>IF(AND(OR(O636=3, P636=1, Q636=1, T636=1), AJ636="no Match"), "CUSM, CHU SJ, CHUQ", "")</f>
      </c>
      <c r="AL636" s="57">
        <f>IF(AND(O636=2, ISBLANK(P636), ISBLANK(Q636), ISBLANK(R636), ISBLANK(S636), ISBLANK(T636)), "CUSM, CHU SJ, CHUS, CHUQ", "")</f>
      </c>
      <c r="AM636" s="57">
        <f>IF(AND(AJ636="no match", AK636="", AL636="", K636&lt;26), "CUSM, CHU SJ, HGJ, CHUQ, CHUS", "")</f>
      </c>
      <c r="AN636" s="57">
        <f>IF(AND(AJ636="no match", AK636="", AL636="", K636&gt;26), "CUSM, CHU SJ, HGJ, CHUQ, CHUS, HMR", "")</f>
      </c>
    </row>
    <row x14ac:dyDescent="0.25" r="637" customHeight="1" ht="17.25">
      <c r="A637" s="41" t="s">
        <v>3909</v>
      </c>
      <c r="B637" s="28">
        <v>2</v>
      </c>
      <c r="C637" s="28">
        <v>839</v>
      </c>
      <c r="D637" s="29" t="s">
        <v>53</v>
      </c>
      <c r="E637" s="30" t="s">
        <v>50</v>
      </c>
      <c r="F637" s="31">
        <v>45254</v>
      </c>
      <c r="G637" s="32">
        <v>4.579861111111111</v>
      </c>
      <c r="H637" s="31">
        <v>45254</v>
      </c>
      <c r="I637" s="32">
        <v>4.3875</v>
      </c>
      <c r="J637" s="33">
        <f>F637-H637</f>
      </c>
      <c r="K637" s="28">
        <v>39</v>
      </c>
      <c r="L637" s="28">
        <v>3</v>
      </c>
      <c r="M637" s="28">
        <v>1</v>
      </c>
      <c r="N637" s="34"/>
      <c r="O637" s="34"/>
      <c r="P637" s="34"/>
      <c r="Q637" s="34"/>
      <c r="R637" s="34"/>
      <c r="S637" s="56"/>
      <c r="T637" s="28">
        <v>1</v>
      </c>
      <c r="U637" s="34"/>
      <c r="V637" s="34"/>
      <c r="W637" s="29" t="s">
        <v>58</v>
      </c>
      <c r="X637" s="28">
        <v>32</v>
      </c>
      <c r="Y637" s="28">
        <v>1</v>
      </c>
      <c r="Z637" s="28">
        <v>2</v>
      </c>
      <c r="AA637" s="28">
        <v>3</v>
      </c>
      <c r="AB637" s="28">
        <v>2</v>
      </c>
      <c r="AC637" s="28">
        <v>1</v>
      </c>
      <c r="AD637" s="28">
        <v>2</v>
      </c>
      <c r="AE637" s="28">
        <v>4</v>
      </c>
      <c r="AF637" s="28">
        <v>3</v>
      </c>
      <c r="AG637" s="28">
        <v>2</v>
      </c>
      <c r="AH637" s="29" t="s">
        <v>3910</v>
      </c>
      <c r="AI637" s="36">
        <f>IF(OR(AND(K637&lt;32, J637&lt;2), O637=1, P637=1, Q637=1, R637=1, S637=1, T637=1, U637=1, AND(W637&lt;&gt;"", W637&lt;&gt;"Oxygen", W637&lt;&gt;"LowFlow")), "Intensive", "Intermediate")</f>
      </c>
      <c r="AJ637" s="57">
        <f>IF(OR(LEFT(AH637, 1)="X", LEFT(AH637, 1)="Y", LEFT(AH637, 3)="J58M"), "CUSM", "No Match")</f>
      </c>
      <c r="AK637" s="57">
        <f>IF(AND(OR(O637=3, P637=1, Q637=1, T637=1), AJ637="no Match"), "CUSM, CHU SJ, CHUQ", "")</f>
      </c>
      <c r="AL637" s="57">
        <f>IF(AND(O637=2, ISBLANK(P637), ISBLANK(Q637), ISBLANK(R637), ISBLANK(S637), ISBLANK(T637)), "CUSM, CHU SJ, CHUS, CHUQ", "")</f>
      </c>
      <c r="AM637" s="57">
        <f>IF(AND(AJ637="no match", AK637="", AL637="", K637&lt;26), "CUSM, CHU SJ, HGJ, CHUQ, CHUS", "")</f>
      </c>
      <c r="AN637" s="57">
        <f>IF(AND(AJ637="no match", AK637="", AL637="", K637&gt;26), "CUSM, CHU SJ, HGJ, CHUQ, CHUS, HMR", "")</f>
      </c>
    </row>
    <row x14ac:dyDescent="0.25" r="638" customHeight="1" ht="17.25">
      <c r="A638" s="41" t="s">
        <v>3911</v>
      </c>
      <c r="B638" s="28">
        <v>2</v>
      </c>
      <c r="C638" s="28">
        <v>831</v>
      </c>
      <c r="D638" s="29" t="s">
        <v>313</v>
      </c>
      <c r="E638" s="30" t="s">
        <v>54</v>
      </c>
      <c r="F638" s="31">
        <v>45255</v>
      </c>
      <c r="G638" s="32">
        <v>4.204861111111111</v>
      </c>
      <c r="H638" s="31">
        <v>45254</v>
      </c>
      <c r="I638" s="32">
        <v>4.824305555555556</v>
      </c>
      <c r="J638" s="33">
        <f>F638-H638</f>
      </c>
      <c r="K638" s="28">
        <v>41</v>
      </c>
      <c r="L638" s="28">
        <v>3</v>
      </c>
      <c r="M638" s="28">
        <v>2</v>
      </c>
      <c r="N638" s="34"/>
      <c r="O638" s="34"/>
      <c r="P638" s="34"/>
      <c r="Q638" s="34"/>
      <c r="R638" s="34"/>
      <c r="S638" s="56"/>
      <c r="T638" s="34"/>
      <c r="U638" s="34"/>
      <c r="V638" s="34"/>
      <c r="W638" s="29"/>
      <c r="X638" s="28">
        <v>37</v>
      </c>
      <c r="Y638" s="28">
        <v>1</v>
      </c>
      <c r="Z638" s="28">
        <v>1</v>
      </c>
      <c r="AA638" s="28">
        <v>1</v>
      </c>
      <c r="AB638" s="28">
        <v>1</v>
      </c>
      <c r="AC638" s="28">
        <v>2</v>
      </c>
      <c r="AD638" s="28">
        <v>2</v>
      </c>
      <c r="AE638" s="28">
        <v>4</v>
      </c>
      <c r="AF638" s="28">
        <v>1</v>
      </c>
      <c r="AG638" s="28">
        <v>2</v>
      </c>
      <c r="AH638" s="29" t="s">
        <v>3912</v>
      </c>
      <c r="AI638" s="36">
        <f>IF(OR(AND(K638&lt;32, J638&lt;2), O638=1, P638=1, Q638=1, R638=1, S638=1, T638=1, U638=1, AND(W638&lt;&gt;"", W638&lt;&gt;"Oxygen", W638&lt;&gt;"LowFlow")), "Intensive", "Intermediate")</f>
      </c>
      <c r="AJ638" s="57">
        <f>IF(OR(LEFT(AH638, 1)="X", LEFT(AH638, 1)="Y", LEFT(AH638, 3)="J59M"), "CUSM", "No Match")</f>
      </c>
      <c r="AK638" s="57">
        <f>IF(AND(OR(O638=3, P638=1, Q638=1, T638=1), AJ638="no Match"), "CUSM, CHU SJ, CHUQ", "")</f>
      </c>
      <c r="AL638" s="57">
        <f>IF(AND(O638=2, ISBLANK(P638), ISBLANK(Q638), ISBLANK(R638), ISBLANK(S638), ISBLANK(T638)), "CUSM, CHU SJ, CHUS, CHUQ", "")</f>
      </c>
      <c r="AM638" s="57">
        <f>IF(AND(AJ638="no match", AK638="", AL638="", K638&lt;26), "CUSM, CHU SJ, HGJ, CHUQ, CHUS", "")</f>
      </c>
      <c r="AN638" s="57">
        <f>IF(AND(AJ638="no match", AK638="", AL638="", K638&gt;26), "CUSM, CHU SJ, HGJ, CHUQ, CHUS, HMR", "")</f>
      </c>
    </row>
    <row x14ac:dyDescent="0.25" r="639" customHeight="1" ht="17.25">
      <c r="A639" s="41" t="s">
        <v>3913</v>
      </c>
      <c r="B639" s="28">
        <v>2</v>
      </c>
      <c r="C639" s="28">
        <v>825</v>
      </c>
      <c r="D639" s="29" t="s">
        <v>77</v>
      </c>
      <c r="E639" s="30" t="s">
        <v>54</v>
      </c>
      <c r="F639" s="31">
        <v>45255</v>
      </c>
      <c r="G639" s="32">
        <v>4.881944444444445</v>
      </c>
      <c r="H639" s="31">
        <v>45252</v>
      </c>
      <c r="I639" s="32">
        <v>4.911111111111111</v>
      </c>
      <c r="J639" s="33">
        <f>F639-H639</f>
      </c>
      <c r="K639" s="28">
        <v>40</v>
      </c>
      <c r="L639" s="28">
        <v>3</v>
      </c>
      <c r="M639" s="28">
        <v>1</v>
      </c>
      <c r="N639" s="34"/>
      <c r="O639" s="34"/>
      <c r="P639" s="34"/>
      <c r="Q639" s="34"/>
      <c r="R639" s="34"/>
      <c r="S639" s="56"/>
      <c r="T639" s="34"/>
      <c r="U639" s="34"/>
      <c r="V639" s="34"/>
      <c r="W639" s="29"/>
      <c r="X639" s="28">
        <v>32</v>
      </c>
      <c r="Y639" s="28">
        <v>1</v>
      </c>
      <c r="Z639" s="28">
        <v>1</v>
      </c>
      <c r="AA639" s="28">
        <v>2</v>
      </c>
      <c r="AB639" s="28">
        <v>1</v>
      </c>
      <c r="AC639" s="28">
        <v>2</v>
      </c>
      <c r="AD639" s="28">
        <v>2</v>
      </c>
      <c r="AE639" s="28">
        <v>4</v>
      </c>
      <c r="AF639" s="28">
        <v>2</v>
      </c>
      <c r="AG639" s="28">
        <v>2</v>
      </c>
      <c r="AH639" s="29" t="s">
        <v>3914</v>
      </c>
      <c r="AI639" s="36">
        <f>IF(OR(AND(K639&lt;32, J639&lt;2), O639=1, P639=1, Q639=1, R639=1, S639=1, T639=1, U639=1, AND(W639&lt;&gt;"", W639&lt;&gt;"Oxygen", W639&lt;&gt;"LowFlow")), "Intensive", "Intermediate")</f>
      </c>
      <c r="AJ639" s="57">
        <f>IF(OR(LEFT(AH639, 1)="X", LEFT(AH639, 1)="Y", LEFT(AH639, 3)="J60M"), "CUSM", "No Match")</f>
      </c>
      <c r="AK639" s="57">
        <f>IF(AND(OR(O639=3, P639=1, Q639=1, T639=1), AJ639="no Match"), "CUSM, CHU SJ, CHUQ", "")</f>
      </c>
      <c r="AL639" s="57">
        <f>IF(AND(O639=2, ISBLANK(P639), ISBLANK(Q639), ISBLANK(R639), ISBLANK(S639), ISBLANK(T639)), "CUSM, CHU SJ, CHUS, CHUQ", "")</f>
      </c>
      <c r="AM639" s="57">
        <f>IF(AND(AJ639="no match", AK639="", AL639="", K639&lt;26), "CUSM, CHU SJ, HGJ, CHUQ, CHUS", "")</f>
      </c>
      <c r="AN639" s="57">
        <f>IF(AND(AJ639="no match", AK639="", AL639="", K639&gt;26), "CUSM, CHU SJ, HGJ, CHUQ, CHUS, HMR", "")</f>
      </c>
    </row>
    <row x14ac:dyDescent="0.25" r="640" customHeight="1" ht="17.25">
      <c r="A640" s="41" t="s">
        <v>3915</v>
      </c>
      <c r="B640" s="28">
        <v>2</v>
      </c>
      <c r="C640" s="35">
        <v>1019</v>
      </c>
      <c r="D640" s="29" t="s">
        <v>354</v>
      </c>
      <c r="E640" s="30" t="s">
        <v>54</v>
      </c>
      <c r="F640" s="31">
        <v>45256</v>
      </c>
      <c r="G640" s="32">
        <v>4.052083333333334</v>
      </c>
      <c r="H640" s="31">
        <v>45254</v>
      </c>
      <c r="I640" s="32">
        <v>4.3805555555555555</v>
      </c>
      <c r="J640" s="33">
        <f>F640-H640</f>
      </c>
      <c r="K640" s="28">
        <v>37</v>
      </c>
      <c r="L640" s="28">
        <v>5</v>
      </c>
      <c r="M640" s="28">
        <v>1</v>
      </c>
      <c r="N640" s="34"/>
      <c r="O640" s="34"/>
      <c r="P640" s="34"/>
      <c r="Q640" s="34"/>
      <c r="R640" s="34"/>
      <c r="S640" s="56"/>
      <c r="T640" s="34"/>
      <c r="U640" s="34"/>
      <c r="V640" s="34"/>
      <c r="W640" s="29"/>
      <c r="X640" s="28">
        <v>36</v>
      </c>
      <c r="Y640" s="28">
        <v>1</v>
      </c>
      <c r="Z640" s="28">
        <v>2</v>
      </c>
      <c r="AA640" s="28">
        <v>2</v>
      </c>
      <c r="AB640" s="28">
        <v>3</v>
      </c>
      <c r="AC640" s="28">
        <v>2</v>
      </c>
      <c r="AD640" s="28">
        <v>2</v>
      </c>
      <c r="AE640" s="28">
        <v>4</v>
      </c>
      <c r="AF640" s="28">
        <v>3</v>
      </c>
      <c r="AG640" s="28">
        <v>2</v>
      </c>
      <c r="AH640" s="29" t="s">
        <v>3916</v>
      </c>
      <c r="AI640" s="36">
        <f>IF(OR(AND(K640&lt;32, J640&lt;2), O640=1, P640=1, Q640=1, R640=1, S640=1, T640=1, U640=1, AND(W640&lt;&gt;"", W640&lt;&gt;"Oxygen", W640&lt;&gt;"LowFlow")), "Intensive", "Intermediate")</f>
      </c>
      <c r="AJ640" s="57">
        <f>IF(OR(LEFT(AH640, 1)="X", LEFT(AH640, 1)="Y", LEFT(AH640, 3)="J61M"), "CUSM", "No Match")</f>
      </c>
      <c r="AK640" s="57">
        <f>IF(AND(OR(O640=3, P640=1, Q640=1, T640=1), AJ640="no Match"), "CUSM, CHU SJ, CHUQ", "")</f>
      </c>
      <c r="AL640" s="57">
        <f>IF(AND(O640=2, ISBLANK(P640), ISBLANK(Q640), ISBLANK(R640), ISBLANK(S640), ISBLANK(T640)), "CUSM, CHU SJ, CHUS, CHUQ", "")</f>
      </c>
      <c r="AM640" s="57">
        <f>IF(AND(AJ640="no match", AK640="", AL640="", K640&lt;26), "CUSM, CHU SJ, HGJ, CHUQ, CHUS", "")</f>
      </c>
      <c r="AN640" s="57">
        <f>IF(AND(AJ640="no match", AK640="", AL640="", K640&gt;26), "CUSM, CHU SJ, HGJ, CHUQ, CHUS, HMR", "")</f>
      </c>
    </row>
    <row x14ac:dyDescent="0.25" r="641" customHeight="1" ht="17.25">
      <c r="A641" s="41" t="s">
        <v>3917</v>
      </c>
      <c r="B641" s="28">
        <v>2</v>
      </c>
      <c r="C641" s="35">
        <v>835</v>
      </c>
      <c r="D641" s="29" t="s">
        <v>170</v>
      </c>
      <c r="E641" s="30" t="s">
        <v>54</v>
      </c>
      <c r="F641" s="31">
        <v>45256</v>
      </c>
      <c r="G641" s="32">
        <v>4.217361111111111</v>
      </c>
      <c r="H641" s="31">
        <v>45256</v>
      </c>
      <c r="I641" s="32">
        <v>4.124305555555555</v>
      </c>
      <c r="J641" s="33">
        <f>F641-H641</f>
      </c>
      <c r="K641" s="28">
        <v>25</v>
      </c>
      <c r="L641" s="28">
        <v>1</v>
      </c>
      <c r="M641" s="28">
        <v>1</v>
      </c>
      <c r="N641" s="34"/>
      <c r="O641" s="34"/>
      <c r="P641" s="34"/>
      <c r="Q641" s="34"/>
      <c r="R641" s="34"/>
      <c r="S641" s="56"/>
      <c r="T641" s="34"/>
      <c r="U641" s="34"/>
      <c r="V641" s="35">
        <v>1</v>
      </c>
      <c r="W641" s="29" t="s">
        <v>74</v>
      </c>
      <c r="X641" s="28">
        <v>35</v>
      </c>
      <c r="Y641" s="28">
        <v>1</v>
      </c>
      <c r="Z641" s="28">
        <v>2</v>
      </c>
      <c r="AA641" s="28">
        <v>2</v>
      </c>
      <c r="AB641" s="28">
        <v>1</v>
      </c>
      <c r="AC641" s="28">
        <v>2</v>
      </c>
      <c r="AD641" s="28">
        <v>2</v>
      </c>
      <c r="AE641" s="28">
        <v>4</v>
      </c>
      <c r="AF641" s="28">
        <v>2</v>
      </c>
      <c r="AG641" s="28">
        <v>2</v>
      </c>
      <c r="AH641" s="29" t="s">
        <v>3918</v>
      </c>
      <c r="AI641" s="36">
        <f>IF(OR(AND(K641&lt;32, J641&lt;2), O641=1, P641=1, Q641=1, R641=1, S641=1, T641=1, U641=1, AND(W641&lt;&gt;"", W641&lt;&gt;"Oxygen", W641&lt;&gt;"LowFlow")), "Intensive", "Intermediate")</f>
      </c>
      <c r="AJ641" s="57">
        <f>IF(OR(LEFT(AH641, 1)="X", LEFT(AH641, 1)="Y", LEFT(AH641, 3)="J62M"), "CUSM", "No Match")</f>
      </c>
      <c r="AK641" s="57">
        <f>IF(AND(OR(O641=3, P641=1, Q641=1, T641=1), AJ641="no Match"), "CUSM, CHU SJ, CHUQ", "")</f>
      </c>
      <c r="AL641" s="57">
        <f>IF(AND(O641=2, ISBLANK(P641), ISBLANK(Q641), ISBLANK(R641), ISBLANK(S641), ISBLANK(T641)), "CUSM, CHU SJ, CHUS, CHUQ", "")</f>
      </c>
      <c r="AM641" s="57">
        <f>IF(AND(AJ641="no match", AK641="", AL641="", K641&lt;26), "CUSM, CHU SJ, HGJ, CHUQ, CHUS", "")</f>
      </c>
      <c r="AN641" s="57">
        <f>IF(AND(AJ641="no match", AK641="", AL641="", K641&gt;26), "CUSM, CHU SJ, HGJ, CHUQ, CHUS, HMR", "")</f>
      </c>
    </row>
    <row x14ac:dyDescent="0.25" r="642" customHeight="1" ht="17.25">
      <c r="A642" s="41" t="s">
        <v>3919</v>
      </c>
      <c r="B642" s="28">
        <v>2</v>
      </c>
      <c r="C642" s="35">
        <v>831</v>
      </c>
      <c r="D642" s="29" t="s">
        <v>313</v>
      </c>
      <c r="E642" s="30" t="s">
        <v>54</v>
      </c>
      <c r="F642" s="31">
        <v>45259</v>
      </c>
      <c r="G642" s="32">
        <v>4.527777777777778</v>
      </c>
      <c r="H642" s="31">
        <v>45251</v>
      </c>
      <c r="I642" s="32">
        <v>4.882638888888889</v>
      </c>
      <c r="J642" s="33">
        <f>F642-H642</f>
      </c>
      <c r="K642" s="28">
        <v>40</v>
      </c>
      <c r="L642" s="28">
        <v>6</v>
      </c>
      <c r="M642" s="28">
        <v>1</v>
      </c>
      <c r="N642" s="28">
        <v>1</v>
      </c>
      <c r="O642" s="34"/>
      <c r="P642" s="28">
        <v>1</v>
      </c>
      <c r="Q642" s="34"/>
      <c r="R642" s="34"/>
      <c r="S642" s="56"/>
      <c r="T642" s="34"/>
      <c r="U642" s="34"/>
      <c r="V642" s="34"/>
      <c r="W642" s="29"/>
      <c r="X642" s="28">
        <v>34</v>
      </c>
      <c r="Y642" s="28">
        <v>1</v>
      </c>
      <c r="Z642" s="28">
        <v>1</v>
      </c>
      <c r="AA642" s="28">
        <v>2</v>
      </c>
      <c r="AB642" s="28">
        <v>1</v>
      </c>
      <c r="AC642" s="28">
        <v>2</v>
      </c>
      <c r="AD642" s="28">
        <v>2</v>
      </c>
      <c r="AE642" s="28">
        <v>4</v>
      </c>
      <c r="AF642" s="28">
        <v>2</v>
      </c>
      <c r="AG642" s="28">
        <v>2</v>
      </c>
      <c r="AH642" s="29" t="s">
        <v>1569</v>
      </c>
      <c r="AI642" s="36">
        <f>IF(OR(AND(K642&lt;32, J642&lt;2), O642=1, P642=1, Q642=1, R642=1, S642=1, T642=1, U642=1, AND(W642&lt;&gt;"", W642&lt;&gt;"Oxygen", W642&lt;&gt;"LowFlow")), "Intensive", "Intermediate")</f>
      </c>
      <c r="AJ642" s="57">
        <f>IF(OR(LEFT(AH642, 1)="X", LEFT(AH642, 1)="Y", LEFT(AH642, 3)="J63M"), "CUSM", "No Match")</f>
      </c>
      <c r="AK642" s="57">
        <f>IF(AND(OR(O642=3, P642=1, Q642=1, T642=1), AJ642="no Match"), "CUSM, CHU SJ, CHUQ", "")</f>
      </c>
      <c r="AL642" s="57">
        <f>IF(AND(O642=2, ISBLANK(P642), ISBLANK(Q642), ISBLANK(R642), ISBLANK(S642), ISBLANK(T642)), "CUSM, CHU SJ, CHUS, CHUQ", "")</f>
      </c>
      <c r="AM642" s="57">
        <f>IF(AND(AJ642="no match", AK642="", AL642="", K642&lt;26), "CUSM, CHU SJ, HGJ, CHUQ, CHUS", "")</f>
      </c>
      <c r="AN642" s="57">
        <f>IF(AND(AJ642="no match", AK642="", AL642="", K642&gt;26), "CUSM, CHU SJ, HGJ, CHUQ, CHUS, HMR", "")</f>
      </c>
    </row>
    <row x14ac:dyDescent="0.25" r="643" customHeight="1" ht="17.25">
      <c r="A643" s="41" t="s">
        <v>3920</v>
      </c>
      <c r="B643" s="28">
        <v>2</v>
      </c>
      <c r="C643" s="35">
        <v>831</v>
      </c>
      <c r="D643" s="29" t="s">
        <v>313</v>
      </c>
      <c r="E643" s="30" t="s">
        <v>54</v>
      </c>
      <c r="F643" s="31">
        <v>45260</v>
      </c>
      <c r="G643" s="32">
        <v>4.09375</v>
      </c>
      <c r="H643" s="31">
        <v>45259</v>
      </c>
      <c r="I643" s="32">
        <v>4.8909722222222225</v>
      </c>
      <c r="J643" s="33">
        <f>F643-H643</f>
      </c>
      <c r="K643" s="28">
        <v>39</v>
      </c>
      <c r="L643" s="28">
        <v>0</v>
      </c>
      <c r="M643" s="28">
        <v>1</v>
      </c>
      <c r="N643" s="28">
        <v>1</v>
      </c>
      <c r="O643" s="35">
        <v>2</v>
      </c>
      <c r="P643" s="28">
        <v>1</v>
      </c>
      <c r="Q643" s="34"/>
      <c r="R643" s="34"/>
      <c r="S643" s="56"/>
      <c r="T643" s="34"/>
      <c r="U643" s="34"/>
      <c r="V643" s="34"/>
      <c r="W643" s="29"/>
      <c r="X643" s="28">
        <v>38</v>
      </c>
      <c r="Y643" s="28">
        <v>1</v>
      </c>
      <c r="Z643" s="28">
        <v>1</v>
      </c>
      <c r="AA643" s="28">
        <v>2</v>
      </c>
      <c r="AB643" s="28">
        <v>4</v>
      </c>
      <c r="AC643" s="28">
        <v>3</v>
      </c>
      <c r="AD643" s="28">
        <v>3</v>
      </c>
      <c r="AE643" s="28">
        <v>4</v>
      </c>
      <c r="AF643" s="35">
        <v>2</v>
      </c>
      <c r="AG643" s="28">
        <v>2</v>
      </c>
      <c r="AH643" s="29" t="s">
        <v>3921</v>
      </c>
      <c r="AI643" s="36">
        <f>IF(OR(AND(K643&lt;32, J643&lt;2), O643=1, P643=1, Q643=1, R643=1, S643=1, T643=1, U643=1, AND(W643&lt;&gt;"", W643&lt;&gt;"Oxygen", W643&lt;&gt;"LowFlow")), "Intensive", "Intermediate")</f>
      </c>
      <c r="AJ643" s="57">
        <f>IF(OR(LEFT(AH643, 1)="X", LEFT(AH643, 1)="Y", LEFT(AH643, 3)="J0M"), "CUSM", "No Match")</f>
      </c>
      <c r="AK643" s="57">
        <f>IF(AND(OR(O643=3, P643=1, Q643=1, T643=1), AJ643="no Match"), "CUSM, CHU SJ, CHUQ", "")</f>
      </c>
      <c r="AL643" s="57">
        <f>IF(AND(O643=2, ISBLANK(P643), ISBLANK(Q643), ISBLANK(R643), ISBLANK(S643), ISBLANK(T643)), "CUSM, CHU SJ, CHUS, CHUQ", "")</f>
      </c>
      <c r="AM643" s="57">
        <f>IF(AND(AJ643="no match", AK643="", AL643="", K643&lt;26), "CUSM, CHU SJ, HGJ, CHUQ, CHUS", "")</f>
      </c>
      <c r="AN643" s="57">
        <f>IF(AND(AJ643="no match", AK643="", AL643="", K643&gt;26), "CUSM, CHU SJ, HGJ, CHUQ, CHUS, HMR", "")</f>
      </c>
    </row>
    <row x14ac:dyDescent="0.25" r="644" customHeight="1" ht="17.25">
      <c r="A644" s="41" t="s">
        <v>3922</v>
      </c>
      <c r="B644" s="28">
        <v>2</v>
      </c>
      <c r="C644" s="35">
        <v>720</v>
      </c>
      <c r="D644" s="29" t="s">
        <v>626</v>
      </c>
      <c r="E644" s="30" t="s">
        <v>50</v>
      </c>
      <c r="F644" s="31">
        <v>45261</v>
      </c>
      <c r="G644" s="32">
        <v>4.635416666666666</v>
      </c>
      <c r="H644" s="31">
        <v>45260</v>
      </c>
      <c r="I644" s="32">
        <v>4.972222222222222</v>
      </c>
      <c r="J644" s="33">
        <f>F644-H644</f>
      </c>
      <c r="K644" s="28">
        <v>39</v>
      </c>
      <c r="L644" s="28">
        <v>5</v>
      </c>
      <c r="M644" s="28">
        <v>1</v>
      </c>
      <c r="N644" s="38"/>
      <c r="O644" s="34"/>
      <c r="P644" s="38"/>
      <c r="Q644" s="34"/>
      <c r="R644" s="34"/>
      <c r="S644" s="56"/>
      <c r="T644" s="35">
        <v>1</v>
      </c>
      <c r="U644" s="34"/>
      <c r="V644" s="34"/>
      <c r="W644" s="29"/>
      <c r="X644" s="28">
        <v>15</v>
      </c>
      <c r="Y644" s="28">
        <v>1</v>
      </c>
      <c r="Z644" s="28">
        <v>1</v>
      </c>
      <c r="AA644" s="28">
        <v>3</v>
      </c>
      <c r="AB644" s="28">
        <v>1</v>
      </c>
      <c r="AC644" s="28">
        <v>2</v>
      </c>
      <c r="AD644" s="28">
        <v>2</v>
      </c>
      <c r="AE644" s="28">
        <v>4</v>
      </c>
      <c r="AF644" s="35">
        <v>3</v>
      </c>
      <c r="AG644" s="28">
        <v>2</v>
      </c>
      <c r="AH644" s="29" t="s">
        <v>1332</v>
      </c>
      <c r="AI644" s="36">
        <f>IF(OR(AND(K644&lt;32, J644&lt;2), O644=1, P644=1, Q644=1, R644=1, S644=1, T644=1, U644=1, AND(W644&lt;&gt;"", W644&lt;&gt;"Oxygen", W644&lt;&gt;"LowFlow")), "Intensive", "Intermediate")</f>
      </c>
      <c r="AJ644" s="57">
        <f>IF(OR(LEFT(AH644, 1)="X", LEFT(AH644, 1)="Y", LEFT(AH644, 3)="J1M"), "CUSM", "No Match")</f>
      </c>
      <c r="AK644" s="57">
        <f>IF(AND(OR(O644=3, P644=1, Q644=1, T644=1), AJ644="no Match"), "CUSM, CHU SJ, CHUQ", "")</f>
      </c>
      <c r="AL644" s="57">
        <f>IF(AND(O644=2, ISBLANK(P644), ISBLANK(Q644), ISBLANK(R644), ISBLANK(S644), ISBLANK(T644)), "CUSM, CHU SJ, CHUS, CHUQ", "")</f>
      </c>
      <c r="AM644" s="57">
        <f>IF(AND(AJ644="no match", AK644="", AL644="", K644&lt;26), "CUSM, CHU SJ, HGJ, CHUQ, CHUS", "")</f>
      </c>
      <c r="AN644" s="57">
        <f>IF(AND(AJ644="no match", AK644="", AL644="", K644&gt;26), "CUSM, CHU SJ, HGJ, CHUQ, CHUS, HMR", "")</f>
      </c>
    </row>
    <row x14ac:dyDescent="0.25" r="645" customHeight="1" ht="17.25">
      <c r="A645" s="41" t="s">
        <v>3923</v>
      </c>
      <c r="B645" s="28">
        <v>2</v>
      </c>
      <c r="C645" s="28">
        <v>839</v>
      </c>
      <c r="D645" s="29" t="s">
        <v>53</v>
      </c>
      <c r="E645" s="30" t="s">
        <v>50</v>
      </c>
      <c r="F645" s="31">
        <v>45262</v>
      </c>
      <c r="G645" s="32">
        <v>4.435416666666667</v>
      </c>
      <c r="H645" s="31">
        <v>45262</v>
      </c>
      <c r="I645" s="32">
        <v>4.272222222222222</v>
      </c>
      <c r="J645" s="33">
        <f>F645-H645</f>
      </c>
      <c r="K645" s="28">
        <v>39</v>
      </c>
      <c r="L645" s="28">
        <v>0</v>
      </c>
      <c r="M645" s="28">
        <v>1</v>
      </c>
      <c r="N645" s="28">
        <v>1</v>
      </c>
      <c r="O645" s="34"/>
      <c r="P645" s="38"/>
      <c r="Q645" s="34"/>
      <c r="R645" s="34"/>
      <c r="S645" s="56"/>
      <c r="T645" s="34"/>
      <c r="U645" s="34"/>
      <c r="V645" s="34"/>
      <c r="W645" s="29" t="s">
        <v>74</v>
      </c>
      <c r="X645" s="28">
        <v>24</v>
      </c>
      <c r="Y645" s="28">
        <v>1</v>
      </c>
      <c r="Z645" s="28">
        <v>1</v>
      </c>
      <c r="AA645" s="28">
        <v>2</v>
      </c>
      <c r="AB645" s="28">
        <v>1</v>
      </c>
      <c r="AC645" s="28">
        <v>1</v>
      </c>
      <c r="AD645" s="28">
        <v>2</v>
      </c>
      <c r="AE645" s="28">
        <v>4</v>
      </c>
      <c r="AF645" s="35">
        <v>2</v>
      </c>
      <c r="AG645" s="28">
        <v>2</v>
      </c>
      <c r="AH645" s="29" t="s">
        <v>3924</v>
      </c>
      <c r="AI645" s="36">
        <f>IF(OR(AND(K645&lt;32, J645&lt;2), O645=1, P645=1, Q645=1, R645=1, S645=1, T645=1, U645=1, AND(W645&lt;&gt;"", W645&lt;&gt;"Oxygen", W645&lt;&gt;"LowFlow")), "Intensive", "Intermediate")</f>
      </c>
      <c r="AJ645" s="57">
        <f>IF(OR(LEFT(AH645, 1)="X", LEFT(AH645, 1)="Y", LEFT(AH645, 3)="J2M"), "CUSM", "No Match")</f>
      </c>
      <c r="AK645" s="57">
        <f>IF(AND(OR(O645=3, P645=1, Q645=1, T645=1), AJ645="no Match"), "CUSM, CHU SJ, CHUQ", "")</f>
      </c>
      <c r="AL645" s="57">
        <f>IF(AND(O645=2, ISBLANK(P645), ISBLANK(Q645), ISBLANK(R645), ISBLANK(S645), ISBLANK(T645)), "CUSM, CHU SJ, CHUS, CHUQ", "")</f>
      </c>
      <c r="AM645" s="57">
        <f>IF(AND(AJ645="no match", AK645="", AL645="", K645&lt;26), "CUSM, CHU SJ, HGJ, CHUQ, CHUS", "")</f>
      </c>
      <c r="AN645" s="57">
        <f>IF(AND(AJ645="no match", AK645="", AL645="", K645&gt;26), "CUSM, CHU SJ, HGJ, CHUQ, CHUS, HMR", "")</f>
      </c>
    </row>
    <row x14ac:dyDescent="0.25" r="646" customHeight="1" ht="17.25">
      <c r="A646" s="41" t="s">
        <v>3925</v>
      </c>
      <c r="B646" s="28">
        <v>2</v>
      </c>
      <c r="C646" s="28">
        <v>820</v>
      </c>
      <c r="D646" s="29" t="s">
        <v>69</v>
      </c>
      <c r="E646" s="30" t="s">
        <v>220</v>
      </c>
      <c r="F646" s="31">
        <v>45262</v>
      </c>
      <c r="G646" s="32">
        <v>4.090277777777778</v>
      </c>
      <c r="H646" s="31">
        <v>45261</v>
      </c>
      <c r="I646" s="32">
        <v>4.988194444444444</v>
      </c>
      <c r="J646" s="33">
        <f>F646-H646</f>
      </c>
      <c r="K646" s="28">
        <v>28</v>
      </c>
      <c r="L646" s="28">
        <v>4</v>
      </c>
      <c r="M646" s="28">
        <v>1</v>
      </c>
      <c r="N646" s="34"/>
      <c r="O646" s="34"/>
      <c r="P646" s="34"/>
      <c r="Q646" s="34"/>
      <c r="R646" s="34"/>
      <c r="S646" s="56"/>
      <c r="T646" s="34"/>
      <c r="U646" s="34"/>
      <c r="V646" s="34"/>
      <c r="W646" s="29" t="s">
        <v>74</v>
      </c>
      <c r="X646" s="28">
        <v>34</v>
      </c>
      <c r="Y646" s="28">
        <v>1</v>
      </c>
      <c r="Z646" s="28">
        <v>2</v>
      </c>
      <c r="AA646" s="28">
        <v>2</v>
      </c>
      <c r="AB646" s="28">
        <v>1</v>
      </c>
      <c r="AC646" s="28">
        <v>2</v>
      </c>
      <c r="AD646" s="28">
        <v>2</v>
      </c>
      <c r="AE646" s="28">
        <v>4</v>
      </c>
      <c r="AF646" s="28">
        <v>2</v>
      </c>
      <c r="AG646" s="28">
        <v>2</v>
      </c>
      <c r="AH646" s="29" t="s">
        <v>3926</v>
      </c>
      <c r="AI646" s="36">
        <f>IF(OR(AND(K646&lt;32, J646&lt;2), O646=1, P646=1, Q646=1, R646=1, S646=1, T646=1, U646=1, AND(W646&lt;&gt;"", W646&lt;&gt;"Oxygen", W646&lt;&gt;"LowFlow")), "Intensive", "Intermediate")</f>
      </c>
      <c r="AJ646" s="57">
        <f>IF(OR(LEFT(AH646, 1)="X", LEFT(AH646, 1)="Y", LEFT(AH646, 3)="J3M"), "CUSM", "No Match")</f>
      </c>
      <c r="AK646" s="57">
        <f>IF(AND(OR(O646=3, P646=1, Q646=1, T646=1), AJ646="no Match"), "CUSM, CHU SJ, CHUQ", "")</f>
      </c>
      <c r="AL646" s="57">
        <f>IF(AND(O646=2, ISBLANK(P646), ISBLANK(Q646), ISBLANK(R646), ISBLANK(S646), ISBLANK(T646)), "CUSM, CHU SJ, CHUS, CHUQ", "")</f>
      </c>
      <c r="AM646" s="57">
        <f>IF(AND(AJ646="no match", AK646="", AL646="", K646&lt;26), "CUSM, CHU SJ, HGJ, CHUQ, CHUS", "")</f>
      </c>
      <c r="AN646" s="57">
        <f>IF(AND(AJ646="no match", AK646="", AL646="", K646&gt;26), "CUSM, CHU SJ, HGJ, CHUQ, CHUS, HMR", "")</f>
      </c>
    </row>
    <row x14ac:dyDescent="0.25" r="647" customHeight="1" ht="17.25">
      <c r="A647" s="41" t="s">
        <v>3927</v>
      </c>
      <c r="B647" s="28">
        <v>2</v>
      </c>
      <c r="C647" s="35">
        <v>806</v>
      </c>
      <c r="D647" s="29" t="s">
        <v>438</v>
      </c>
      <c r="E647" s="30" t="s">
        <v>54</v>
      </c>
      <c r="F647" s="31">
        <v>45263</v>
      </c>
      <c r="G647" s="32">
        <v>4.888888888888889</v>
      </c>
      <c r="H647" s="31">
        <v>45263</v>
      </c>
      <c r="I647" s="32">
        <v>4.461805555555555</v>
      </c>
      <c r="J647" s="33">
        <f>F647-H647</f>
      </c>
      <c r="K647" s="28">
        <v>41</v>
      </c>
      <c r="L647" s="28">
        <v>2</v>
      </c>
      <c r="M647" s="28">
        <v>1</v>
      </c>
      <c r="N647" s="35">
        <v>1</v>
      </c>
      <c r="O647" s="34"/>
      <c r="P647" s="35">
        <v>1</v>
      </c>
      <c r="Q647" s="34"/>
      <c r="R647" s="34"/>
      <c r="S647" s="56"/>
      <c r="T647" s="34"/>
      <c r="U647" s="34"/>
      <c r="V647" s="34"/>
      <c r="W647" s="29" t="s">
        <v>58</v>
      </c>
      <c r="X647" s="28">
        <v>31</v>
      </c>
      <c r="Y647" s="28">
        <v>1</v>
      </c>
      <c r="Z647" s="28">
        <v>1</v>
      </c>
      <c r="AA647" s="28">
        <v>2</v>
      </c>
      <c r="AB647" s="28">
        <v>1</v>
      </c>
      <c r="AC647" s="28">
        <v>2</v>
      </c>
      <c r="AD647" s="28">
        <v>2</v>
      </c>
      <c r="AE647" s="28">
        <v>4</v>
      </c>
      <c r="AF647" s="28">
        <v>2</v>
      </c>
      <c r="AG647" s="28">
        <v>2</v>
      </c>
      <c r="AH647" s="29" t="s">
        <v>3928</v>
      </c>
      <c r="AI647" s="36">
        <f>IF(OR(AND(K647&lt;32, J647&lt;2), O647=1, P647=1, Q647=1, R647=1, S647=1, T647=1, U647=1, AND(W647&lt;&gt;"", W647&lt;&gt;"Oxygen", W647&lt;&gt;"LowFlow")), "Intensive", "Intermediate")</f>
      </c>
      <c r="AJ647" s="57">
        <f>IF(OR(LEFT(AH647, 1)="X", LEFT(AH647, 1)="Y", LEFT(AH647, 3)="J4M"), "CUSM", "No Match")</f>
      </c>
      <c r="AK647" s="57">
        <f>IF(AND(OR(O647=3, P647=1, Q647=1, T647=1), AJ647="no Match"), "CUSM, CHU SJ, CHUQ", "")</f>
      </c>
      <c r="AL647" s="57">
        <f>IF(AND(O647=2, ISBLANK(P647), ISBLANK(Q647), ISBLANK(R647), ISBLANK(S647), ISBLANK(T647)), "CUSM, CHU SJ, CHUS, CHUQ", "")</f>
      </c>
      <c r="AM647" s="57">
        <f>IF(AND(AJ647="no match", AK647="", AL647="", K647&lt;26), "CUSM, CHU SJ, HGJ, CHUQ, CHUS", "")</f>
      </c>
      <c r="AN647" s="57">
        <f>IF(AND(AJ647="no match", AK647="", AL647="", K647&gt;26), "CUSM, CHU SJ, HGJ, CHUQ, CHUS, HMR", "")</f>
      </c>
    </row>
    <row x14ac:dyDescent="0.25" r="648" customHeight="1" ht="17.25">
      <c r="A648" s="41" t="s">
        <v>3929</v>
      </c>
      <c r="B648" s="28">
        <v>2</v>
      </c>
      <c r="C648" s="35">
        <v>825</v>
      </c>
      <c r="D648" s="29" t="s">
        <v>77</v>
      </c>
      <c r="E648" s="30" t="s">
        <v>54</v>
      </c>
      <c r="F648" s="31">
        <v>45263</v>
      </c>
      <c r="G648" s="32">
        <v>4.666666666666666</v>
      </c>
      <c r="H648" s="31">
        <v>45261</v>
      </c>
      <c r="I648" s="32">
        <v>4.511111111111111</v>
      </c>
      <c r="J648" s="33">
        <f>F648-H648</f>
      </c>
      <c r="K648" s="28">
        <v>38</v>
      </c>
      <c r="L648" s="28">
        <v>3</v>
      </c>
      <c r="M648" s="28">
        <v>1</v>
      </c>
      <c r="N648" s="38"/>
      <c r="O648" s="35">
        <v>2</v>
      </c>
      <c r="P648" s="34"/>
      <c r="Q648" s="34"/>
      <c r="R648" s="34"/>
      <c r="S648" s="56"/>
      <c r="T648" s="34"/>
      <c r="U648" s="34"/>
      <c r="V648" s="34"/>
      <c r="W648" s="29"/>
      <c r="X648" s="28">
        <v>34</v>
      </c>
      <c r="Y648" s="28">
        <v>2</v>
      </c>
      <c r="Z648" s="28">
        <v>2</v>
      </c>
      <c r="AA648" s="28">
        <v>2</v>
      </c>
      <c r="AB648" s="28">
        <v>1</v>
      </c>
      <c r="AC648" s="28">
        <v>2</v>
      </c>
      <c r="AD648" s="28">
        <v>1</v>
      </c>
      <c r="AE648" s="28">
        <v>4</v>
      </c>
      <c r="AF648" s="28">
        <v>2</v>
      </c>
      <c r="AG648" s="28">
        <v>2</v>
      </c>
      <c r="AH648" s="29" t="s">
        <v>566</v>
      </c>
      <c r="AI648" s="36">
        <f>IF(OR(AND(K648&lt;32, J648&lt;2), O648=1, P648=1, Q648=1, R648=1, S648=1, T648=1, U648=1, AND(W648&lt;&gt;"", W648&lt;&gt;"Oxygen", W648&lt;&gt;"LowFlow")), "Intensive", "Intermediate")</f>
      </c>
      <c r="AJ648" s="57">
        <f>IF(OR(LEFT(AH648, 1)="X", LEFT(AH648, 1)="Y", LEFT(AH648, 3)="J5M"), "CUSM", "No Match")</f>
      </c>
      <c r="AK648" s="57">
        <f>IF(AND(OR(O648=3, P648=1, Q648=1, T648=1), AJ648="no Match"), "CUSM, CHU SJ, CHUQ", "")</f>
      </c>
      <c r="AL648" s="57">
        <f>IF(AND(O648=2, ISBLANK(P648), ISBLANK(Q648), ISBLANK(R648), ISBLANK(S648), ISBLANK(T648)), "CUSM, CHU SJ, CHUS, CHUQ", "")</f>
      </c>
      <c r="AM648" s="57">
        <f>IF(AND(AJ648="no match", AK648="", AL648="", K648&lt;26), "CUSM, CHU SJ, HGJ, CHUQ, CHUS", "")</f>
      </c>
      <c r="AN648" s="57">
        <f>IF(AND(AJ648="no match", AK648="", AL648="", K648&gt;26), "CUSM, CHU SJ, HGJ, CHUQ, CHUS, HMR", "")</f>
      </c>
    </row>
    <row x14ac:dyDescent="0.25" r="649" customHeight="1" ht="17.25">
      <c r="A649" s="41" t="s">
        <v>3930</v>
      </c>
      <c r="B649" s="28">
        <v>2</v>
      </c>
      <c r="C649" s="35">
        <v>6</v>
      </c>
      <c r="D649" s="29" t="s">
        <v>131</v>
      </c>
      <c r="E649" s="30" t="s">
        <v>78</v>
      </c>
      <c r="F649" s="31">
        <v>45265</v>
      </c>
      <c r="G649" s="32">
        <v>4.34375</v>
      </c>
      <c r="H649" s="31">
        <v>45265</v>
      </c>
      <c r="I649" s="32">
        <v>4.320833333333333</v>
      </c>
      <c r="J649" s="33">
        <f>F649-H649</f>
      </c>
      <c r="K649" s="28">
        <v>36</v>
      </c>
      <c r="L649" s="28">
        <v>0</v>
      </c>
      <c r="M649" s="28">
        <v>2</v>
      </c>
      <c r="N649" s="34"/>
      <c r="O649" s="38"/>
      <c r="P649" s="34"/>
      <c r="Q649" s="34"/>
      <c r="R649" s="34"/>
      <c r="S649" s="56"/>
      <c r="T649" s="34"/>
      <c r="U649" s="34"/>
      <c r="V649" s="34"/>
      <c r="W649" s="29" t="s">
        <v>58</v>
      </c>
      <c r="X649" s="28">
        <v>22</v>
      </c>
      <c r="Y649" s="28">
        <v>1</v>
      </c>
      <c r="Z649" s="28">
        <v>1</v>
      </c>
      <c r="AA649" s="28">
        <v>2</v>
      </c>
      <c r="AB649" s="28">
        <v>1</v>
      </c>
      <c r="AC649" s="28">
        <v>2</v>
      </c>
      <c r="AD649" s="28">
        <v>2</v>
      </c>
      <c r="AE649" s="28">
        <v>4</v>
      </c>
      <c r="AF649" s="28">
        <v>2</v>
      </c>
      <c r="AG649" s="28">
        <v>2</v>
      </c>
      <c r="AH649" s="29" t="s">
        <v>3931</v>
      </c>
      <c r="AI649" s="36">
        <f>IF(OR(AND(K649&lt;32, J649&lt;2), O649=1, P649=1, Q649=1, R649=1, S649=1, T649=1, U649=1, AND(W649&lt;&gt;"", W649&lt;&gt;"Oxygen", W649&lt;&gt;"LowFlow")), "Intensive", "Intermediate")</f>
      </c>
      <c r="AJ649" s="57">
        <f>IF(OR(LEFT(AH649, 1)="X", LEFT(AH649, 1)="Y", LEFT(AH649, 3)="J6M"), "CUSM", "No Match")</f>
      </c>
      <c r="AK649" s="57">
        <f>IF(AND(OR(O649=3, P649=1, Q649=1, T649=1), AJ649="no Match"), "CUSM, CHU SJ, CHUQ", "")</f>
      </c>
      <c r="AL649" s="57">
        <f>IF(AND(O649=2, ISBLANK(P649), ISBLANK(Q649), ISBLANK(R649), ISBLANK(S649), ISBLANK(T649)), "CUSM, CHU SJ, CHUS, CHUQ", "")</f>
      </c>
      <c r="AM649" s="57">
        <f>IF(AND(AJ649="no match", AK649="", AL649="", K649&lt;26), "CUSM, CHU SJ, HGJ, CHUQ, CHUS", "")</f>
      </c>
      <c r="AN649" s="57">
        <f>IF(AND(AJ649="no match", AK649="", AL649="", K649&gt;26), "CUSM, CHU SJ, HGJ, CHUQ, CHUS, HMR", "")</f>
      </c>
    </row>
    <row x14ac:dyDescent="0.25" r="650" customHeight="1" ht="17.25">
      <c r="A650" s="41" t="s">
        <v>3932</v>
      </c>
      <c r="B650" s="28">
        <v>2</v>
      </c>
      <c r="C650" s="35">
        <v>782</v>
      </c>
      <c r="D650" s="29" t="s">
        <v>95</v>
      </c>
      <c r="E650" s="30" t="s">
        <v>50</v>
      </c>
      <c r="F650" s="31">
        <v>45265</v>
      </c>
      <c r="G650" s="32">
        <v>4.902083333333334</v>
      </c>
      <c r="H650" s="31">
        <v>45264</v>
      </c>
      <c r="I650" s="32">
        <v>4.347916666666666</v>
      </c>
      <c r="J650" s="33">
        <f>F650-H650</f>
      </c>
      <c r="K650" s="28">
        <v>39</v>
      </c>
      <c r="L650" s="28">
        <v>1</v>
      </c>
      <c r="M650" s="28">
        <v>1</v>
      </c>
      <c r="N650" s="38"/>
      <c r="O650" s="34"/>
      <c r="P650" s="38"/>
      <c r="Q650" s="34"/>
      <c r="R650" s="34"/>
      <c r="S650" s="56"/>
      <c r="T650" s="34"/>
      <c r="U650" s="34"/>
      <c r="V650" s="34"/>
      <c r="W650" s="29"/>
      <c r="X650" s="28">
        <v>38</v>
      </c>
      <c r="Y650" s="28">
        <v>1</v>
      </c>
      <c r="Z650" s="28">
        <v>2</v>
      </c>
      <c r="AA650" s="28">
        <v>1</v>
      </c>
      <c r="AB650" s="28">
        <v>1</v>
      </c>
      <c r="AC650" s="28">
        <v>2</v>
      </c>
      <c r="AD650" s="28">
        <v>2</v>
      </c>
      <c r="AE650" s="28">
        <v>4</v>
      </c>
      <c r="AF650" s="28">
        <v>2</v>
      </c>
      <c r="AG650" s="28">
        <v>2</v>
      </c>
      <c r="AH650" s="29" t="s">
        <v>3933</v>
      </c>
      <c r="AI650" s="36">
        <f>IF(OR(AND(K650&lt;32, J650&lt;2), O650=1, P650=1, Q650=1, R650=1, S650=1, T650=1, U650=1, AND(W650&lt;&gt;"", W650&lt;&gt;"Oxygen", W650&lt;&gt;"LowFlow")), "Intensive", "Intermediate")</f>
      </c>
      <c r="AJ650" s="57">
        <f>IF(OR(LEFT(AH650, 1)="X", LEFT(AH650, 1)="Y", LEFT(AH650, 3)="J7M"), "CUSM", "No Match")</f>
      </c>
      <c r="AK650" s="57">
        <f>IF(AND(OR(O650=3, P650=1, Q650=1, T650=1), AJ650="no Match"), "CUSM, CHU SJ, CHUQ", "")</f>
      </c>
      <c r="AL650" s="57">
        <f>IF(AND(O650=2, ISBLANK(P650), ISBLANK(Q650), ISBLANK(R650), ISBLANK(S650), ISBLANK(T650)), "CUSM, CHU SJ, CHUS, CHUQ", "")</f>
      </c>
      <c r="AM650" s="57">
        <f>IF(AND(AJ650="no match", AK650="", AL650="", K650&lt;26), "CUSM, CHU SJ, HGJ, CHUQ, CHUS", "")</f>
      </c>
      <c r="AN650" s="57">
        <f>IF(AND(AJ650="no match", AK650="", AL650="", K650&gt;26), "CUSM, CHU SJ, HGJ, CHUQ, CHUS, HMR", "")</f>
      </c>
    </row>
    <row x14ac:dyDescent="0.25" r="651" customHeight="1" ht="17.25">
      <c r="A651" s="41" t="s">
        <v>3934</v>
      </c>
      <c r="B651" s="28">
        <v>2</v>
      </c>
      <c r="C651" s="35">
        <v>809</v>
      </c>
      <c r="D651" s="29" t="s">
        <v>117</v>
      </c>
      <c r="E651" s="30" t="s">
        <v>118</v>
      </c>
      <c r="F651" s="31">
        <v>45266</v>
      </c>
      <c r="G651" s="32">
        <v>4.409722222222222</v>
      </c>
      <c r="H651" s="31">
        <v>45266</v>
      </c>
      <c r="I651" s="32">
        <v>4.238888888888889</v>
      </c>
      <c r="J651" s="33">
        <f>F651-H651</f>
      </c>
      <c r="K651" s="28">
        <v>31</v>
      </c>
      <c r="L651" s="28">
        <v>3</v>
      </c>
      <c r="M651" s="28">
        <v>2</v>
      </c>
      <c r="N651" s="38"/>
      <c r="O651" s="38"/>
      <c r="P651" s="38"/>
      <c r="Q651" s="34"/>
      <c r="R651" s="34"/>
      <c r="S651" s="56"/>
      <c r="T651" s="34"/>
      <c r="U651" s="34"/>
      <c r="V651" s="34"/>
      <c r="W651" s="29" t="s">
        <v>58</v>
      </c>
      <c r="X651" s="28">
        <v>27</v>
      </c>
      <c r="Y651" s="28">
        <v>1</v>
      </c>
      <c r="Z651" s="28">
        <v>2</v>
      </c>
      <c r="AA651" s="28">
        <v>2</v>
      </c>
      <c r="AB651" s="28">
        <v>3</v>
      </c>
      <c r="AC651" s="28">
        <v>2</v>
      </c>
      <c r="AD651" s="28">
        <v>2</v>
      </c>
      <c r="AE651" s="28">
        <v>4</v>
      </c>
      <c r="AF651" s="28">
        <v>2</v>
      </c>
      <c r="AG651" s="28">
        <v>2</v>
      </c>
      <c r="AH651" s="29" t="s">
        <v>3935</v>
      </c>
      <c r="AI651" s="36">
        <f>IF(OR(AND(K651&lt;32, J651&lt;2), O651=1, P651=1, Q651=1, R651=1, S651=1, T651=1, U651=1, AND(W651&lt;&gt;"", W651&lt;&gt;"Oxygen", W651&lt;&gt;"LowFlow")), "Intensive", "Intermediate")</f>
      </c>
      <c r="AJ651" s="57">
        <f>IF(OR(LEFT(AH651, 1)="X", LEFT(AH651, 1)="Y", LEFT(AH651, 3)="J8M"), "CUSM", "No Match")</f>
      </c>
      <c r="AK651" s="57">
        <f>IF(AND(OR(O651=3, P651=1, Q651=1, T651=1), AJ651="no Match"), "CUSM, CHU SJ, CHUQ", "")</f>
      </c>
      <c r="AL651" s="57">
        <f>IF(AND(O651=2, ISBLANK(P651), ISBLANK(Q651), ISBLANK(R651), ISBLANK(S651), ISBLANK(T651)), "CUSM, CHU SJ, CHUS, CHUQ", "")</f>
      </c>
      <c r="AM651" s="57">
        <f>IF(AND(AJ651="no match", AK651="", AL651="", K651&lt;26), "CUSM, CHU SJ, HGJ, CHUQ, CHUS", "")</f>
      </c>
      <c r="AN651" s="57">
        <f>IF(AND(AJ651="no match", AK651="", AL651="", K651&gt;26), "CUSM, CHU SJ, HGJ, CHUQ, CHUS, HMR", "")</f>
      </c>
    </row>
    <row x14ac:dyDescent="0.25" r="652" customHeight="1" ht="17.25">
      <c r="A652" s="41" t="s">
        <v>3936</v>
      </c>
      <c r="B652" s="28">
        <v>2</v>
      </c>
      <c r="C652" s="35">
        <v>831</v>
      </c>
      <c r="D652" s="29" t="s">
        <v>313</v>
      </c>
      <c r="E652" s="30" t="s">
        <v>54</v>
      </c>
      <c r="F652" s="31">
        <v>45266</v>
      </c>
      <c r="G652" s="32">
        <v>4.034722222222222</v>
      </c>
      <c r="H652" s="31">
        <v>45265</v>
      </c>
      <c r="I652" s="32">
        <v>4.920833333333333</v>
      </c>
      <c r="J652" s="33">
        <f>F652-H652</f>
      </c>
      <c r="K652" s="28">
        <v>30</v>
      </c>
      <c r="L652" s="28">
        <v>5</v>
      </c>
      <c r="M652" s="28">
        <v>1</v>
      </c>
      <c r="N652" s="38"/>
      <c r="O652" s="38"/>
      <c r="P652" s="38"/>
      <c r="Q652" s="34"/>
      <c r="R652" s="34"/>
      <c r="S652" s="56"/>
      <c r="T652" s="34"/>
      <c r="U652" s="34"/>
      <c r="V652" s="34"/>
      <c r="W652" s="29" t="s">
        <v>164</v>
      </c>
      <c r="X652" s="28">
        <v>35</v>
      </c>
      <c r="Y652" s="28">
        <v>1</v>
      </c>
      <c r="Z652" s="28">
        <v>2</v>
      </c>
      <c r="AA652" s="28">
        <v>1</v>
      </c>
      <c r="AB652" s="28">
        <v>1</v>
      </c>
      <c r="AC652" s="28">
        <v>2</v>
      </c>
      <c r="AD652" s="28">
        <v>2</v>
      </c>
      <c r="AE652" s="28">
        <v>4</v>
      </c>
      <c r="AF652" s="28">
        <v>2</v>
      </c>
      <c r="AG652" s="28">
        <v>2</v>
      </c>
      <c r="AH652" s="29" t="s">
        <v>3937</v>
      </c>
      <c r="AI652" s="36">
        <f>IF(OR(AND(K652&lt;32, J652&lt;2), O652=1, P652=1, Q652=1, R652=1, S652=1, T652=1, U652=1, AND(W652&lt;&gt;"", W652&lt;&gt;"Oxygen", W652&lt;&gt;"LowFlow")), "Intensive", "Intermediate")</f>
      </c>
      <c r="AJ652" s="57">
        <f>IF(OR(LEFT(AH652, 1)="X", LEFT(AH652, 1)="Y", LEFT(AH652, 3)="J9M"), "CUSM", "No Match")</f>
      </c>
      <c r="AK652" s="57">
        <f>IF(AND(OR(O652=3, P652=1, Q652=1, T652=1), AJ652="no Match"), "CUSM, CHU SJ, CHUQ", "")</f>
      </c>
      <c r="AL652" s="57">
        <f>IF(AND(O652=2, ISBLANK(P652), ISBLANK(Q652), ISBLANK(R652), ISBLANK(S652), ISBLANK(T652)), "CUSM, CHU SJ, CHUS, CHUQ", "")</f>
      </c>
      <c r="AM652" s="57">
        <f>IF(AND(AJ652="no match", AK652="", AL652="", K652&lt;26), "CUSM, CHU SJ, HGJ, CHUQ, CHUS", "")</f>
      </c>
      <c r="AN652" s="57">
        <f>IF(AND(AJ652="no match", AK652="", AL652="", K652&gt;26), "CUSM, CHU SJ, HGJ, CHUQ, CHUS, HMR", "")</f>
      </c>
    </row>
    <row x14ac:dyDescent="0.25" r="653" customHeight="1" ht="17.25">
      <c r="A653" s="41" t="s">
        <v>3938</v>
      </c>
      <c r="B653" s="28">
        <v>2</v>
      </c>
      <c r="C653" s="35">
        <v>820</v>
      </c>
      <c r="D653" s="29" t="s">
        <v>69</v>
      </c>
      <c r="E653" s="30" t="s">
        <v>54</v>
      </c>
      <c r="F653" s="31">
        <v>45267</v>
      </c>
      <c r="G653" s="32">
        <v>4.6875</v>
      </c>
      <c r="H653" s="31">
        <v>45262</v>
      </c>
      <c r="I653" s="32">
        <v>4.151388888888889</v>
      </c>
      <c r="J653" s="33">
        <f>F653-H653</f>
      </c>
      <c r="K653" s="28">
        <v>38</v>
      </c>
      <c r="L653" s="28">
        <v>4</v>
      </c>
      <c r="M653" s="28">
        <v>2</v>
      </c>
      <c r="N653" s="35">
        <v>1</v>
      </c>
      <c r="O653" s="38"/>
      <c r="P653" s="28">
        <v>1</v>
      </c>
      <c r="Q653" s="34"/>
      <c r="R653" s="34"/>
      <c r="S653" s="56"/>
      <c r="T653" s="34"/>
      <c r="U653" s="34"/>
      <c r="V653" s="38"/>
      <c r="W653" s="29" t="s">
        <v>600</v>
      </c>
      <c r="X653" s="28">
        <v>26</v>
      </c>
      <c r="Y653" s="28">
        <v>1</v>
      </c>
      <c r="Z653" s="28">
        <v>3</v>
      </c>
      <c r="AA653" s="28">
        <v>3</v>
      </c>
      <c r="AB653" s="28">
        <v>4</v>
      </c>
      <c r="AC653" s="28">
        <v>2</v>
      </c>
      <c r="AD653" s="28">
        <v>1</v>
      </c>
      <c r="AE653" s="28">
        <v>4</v>
      </c>
      <c r="AF653" s="28">
        <v>3</v>
      </c>
      <c r="AG653" s="28">
        <v>2</v>
      </c>
      <c r="AH653" s="29" t="s">
        <v>3939</v>
      </c>
      <c r="AI653" s="36">
        <f>IF(OR(AND(K653&lt;32, J653&lt;2), O653=1, P653=1, Q653=1, R653=1, S653=1, T653=1, U653=1, AND(W653&lt;&gt;"", W653&lt;&gt;"Oxygen", W653&lt;&gt;"LowFlow")), "Intensive", "Intermediate")</f>
      </c>
      <c r="AJ653" s="57">
        <f>IF(OR(LEFT(AH653, 1)="X", LEFT(AH653, 1)="Y", LEFT(AH653, 3)="J10M"), "CUSM", "No Match")</f>
      </c>
      <c r="AK653" s="57">
        <f>IF(AND(OR(O653=3, P653=1, Q653=1, T653=1), AJ653="no Match"), "CUSM, CHU SJ, CHUQ", "")</f>
      </c>
      <c r="AL653" s="57">
        <f>IF(AND(O653=2, ISBLANK(P653), ISBLANK(Q653), ISBLANK(R653), ISBLANK(S653), ISBLANK(T653)), "CUSM, CHU SJ, CHUS, CHUQ", "")</f>
      </c>
      <c r="AM653" s="57">
        <f>IF(AND(AJ653="no match", AK653="", AL653="", K653&lt;26), "CUSM, CHU SJ, HGJ, CHUQ, CHUS", "")</f>
      </c>
      <c r="AN653" s="57">
        <f>IF(AND(AJ653="no match", AK653="", AL653="", K653&gt;26), "CUSM, CHU SJ, HGJ, CHUQ, CHUS, HMR", "")</f>
      </c>
    </row>
    <row x14ac:dyDescent="0.25" r="654" customHeight="1" ht="17.25">
      <c r="A654" s="41" t="s">
        <v>3940</v>
      </c>
      <c r="B654" s="28">
        <v>2</v>
      </c>
      <c r="C654" s="35">
        <v>779</v>
      </c>
      <c r="D654" s="29" t="s">
        <v>136</v>
      </c>
      <c r="E654" s="30" t="s">
        <v>54</v>
      </c>
      <c r="F654" s="31">
        <v>45267</v>
      </c>
      <c r="G654" s="32">
        <v>4.854166666666666</v>
      </c>
      <c r="H654" s="31">
        <v>45266</v>
      </c>
      <c r="I654" s="32">
        <v>4.097916666666666</v>
      </c>
      <c r="J654" s="33">
        <f>F654-H654</f>
      </c>
      <c r="K654" s="28">
        <v>36</v>
      </c>
      <c r="L654" s="28">
        <v>1</v>
      </c>
      <c r="M654" s="28">
        <v>1</v>
      </c>
      <c r="N654" s="28">
        <v>1</v>
      </c>
      <c r="O654" s="34"/>
      <c r="P654" s="38"/>
      <c r="Q654" s="34"/>
      <c r="R654" s="34"/>
      <c r="S654" s="56"/>
      <c r="T654" s="34"/>
      <c r="U654" s="34"/>
      <c r="V654" s="34"/>
      <c r="W654" s="29"/>
      <c r="X654" s="28">
        <v>36</v>
      </c>
      <c r="Y654" s="28">
        <v>1</v>
      </c>
      <c r="Z654" s="28">
        <v>1</v>
      </c>
      <c r="AA654" s="28">
        <v>1</v>
      </c>
      <c r="AB654" s="28">
        <v>1</v>
      </c>
      <c r="AC654" s="28">
        <v>1</v>
      </c>
      <c r="AD654" s="28">
        <v>2</v>
      </c>
      <c r="AE654" s="28">
        <v>4</v>
      </c>
      <c r="AF654" s="28">
        <v>2</v>
      </c>
      <c r="AG654" s="28">
        <v>2</v>
      </c>
      <c r="AH654" s="29" t="s">
        <v>3941</v>
      </c>
      <c r="AI654" s="36">
        <f>IF(OR(AND(K654&lt;32, J654&lt;2), O654=1, P654=1, Q654=1, R654=1, S654=1, T654=1, U654=1, AND(W654&lt;&gt;"", W654&lt;&gt;"Oxygen", W654&lt;&gt;"LowFlow")), "Intensive", "Intermediate")</f>
      </c>
      <c r="AJ654" s="57">
        <f>IF(OR(LEFT(AH654, 1)="X", LEFT(AH654, 1)="Y", LEFT(AH654, 3)="J11M"), "CUSM", "No Match")</f>
      </c>
      <c r="AK654" s="57">
        <f>IF(AND(OR(O654=3, P654=1, Q654=1, T654=1), AJ654="no Match"), "CUSM, CHU SJ, CHUQ", "")</f>
      </c>
      <c r="AL654" s="57">
        <f>IF(AND(O654=2, ISBLANK(P654), ISBLANK(Q654), ISBLANK(R654), ISBLANK(S654), ISBLANK(T654)), "CUSM, CHU SJ, CHUS, CHUQ", "")</f>
      </c>
      <c r="AM654" s="57">
        <f>IF(AND(AJ654="no match", AK654="", AL654="", K654&lt;26), "CUSM, CHU SJ, HGJ, CHUQ, CHUS", "")</f>
      </c>
      <c r="AN654" s="57">
        <f>IF(AND(AJ654="no match", AK654="", AL654="", K654&gt;26), "CUSM, CHU SJ, HGJ, CHUQ, CHUS, HMR", "")</f>
      </c>
    </row>
    <row x14ac:dyDescent="0.25" r="655" customHeight="1" ht="17.25">
      <c r="A655" s="41" t="s">
        <v>3942</v>
      </c>
      <c r="B655" s="28">
        <v>2</v>
      </c>
      <c r="C655" s="35">
        <v>734</v>
      </c>
      <c r="D655" s="29" t="s">
        <v>264</v>
      </c>
      <c r="E655" s="30" t="s">
        <v>50</v>
      </c>
      <c r="F655" s="31">
        <v>45267</v>
      </c>
      <c r="G655" s="32">
        <v>4.776388888888889</v>
      </c>
      <c r="H655" s="31">
        <v>45267</v>
      </c>
      <c r="I655" s="32">
        <v>4.5625</v>
      </c>
      <c r="J655" s="33">
        <f>F655-H655</f>
      </c>
      <c r="K655" s="28">
        <v>36</v>
      </c>
      <c r="L655" s="28">
        <v>3</v>
      </c>
      <c r="M655" s="28">
        <v>2</v>
      </c>
      <c r="N655" s="35">
        <v>1</v>
      </c>
      <c r="O655" s="34"/>
      <c r="P655" s="34"/>
      <c r="Q655" s="34"/>
      <c r="R655" s="34"/>
      <c r="S655" s="56"/>
      <c r="T655" s="34"/>
      <c r="U655" s="34"/>
      <c r="V655" s="34"/>
      <c r="W655" s="29"/>
      <c r="X655" s="28">
        <v>37</v>
      </c>
      <c r="Y655" s="28">
        <v>1</v>
      </c>
      <c r="Z655" s="28">
        <v>2</v>
      </c>
      <c r="AA655" s="28">
        <v>3</v>
      </c>
      <c r="AB655" s="28">
        <v>4</v>
      </c>
      <c r="AC655" s="28">
        <v>3</v>
      </c>
      <c r="AD655" s="28">
        <v>3</v>
      </c>
      <c r="AE655" s="28">
        <v>4</v>
      </c>
      <c r="AF655" s="28">
        <v>3</v>
      </c>
      <c r="AG655" s="28">
        <v>2</v>
      </c>
      <c r="AH655" s="29" t="s">
        <v>3943</v>
      </c>
      <c r="AI655" s="36">
        <f>IF(OR(AND(K655&lt;32, J655&lt;2), O655=1, P655=1, Q655=1, R655=1, S655=1, T655=1, U655=1, AND(W655&lt;&gt;"", W655&lt;&gt;"Oxygen", W655&lt;&gt;"LowFlow")), "Intensive", "Intermediate")</f>
      </c>
      <c r="AJ655" s="57">
        <f>IF(OR(LEFT(AH655, 1)="X", LEFT(AH655, 1)="Y", LEFT(AH655, 3)="J12M"), "CUSM", "No Match")</f>
      </c>
      <c r="AK655" s="57">
        <f>IF(AND(OR(O655=3, P655=1, Q655=1, T655=1), AJ655="no Match"), "CUSM, CHU SJ, CHUQ", "")</f>
      </c>
      <c r="AL655" s="57">
        <f>IF(AND(O655=2, ISBLANK(P655), ISBLANK(Q655), ISBLANK(R655), ISBLANK(S655), ISBLANK(T655)), "CUSM, CHU SJ, CHUS, CHUQ", "")</f>
      </c>
      <c r="AM655" s="57">
        <f>IF(AND(AJ655="no match", AK655="", AL655="", K655&lt;26), "CUSM, CHU SJ, HGJ, CHUQ, CHUS", "")</f>
      </c>
      <c r="AN655" s="57">
        <f>IF(AND(AJ655="no match", AK655="", AL655="", K655&gt;26), "CUSM, CHU SJ, HGJ, CHUQ, CHUS, HMR", "")</f>
      </c>
    </row>
    <row x14ac:dyDescent="0.25" r="656" customHeight="1" ht="17.25">
      <c r="A656" s="41" t="s">
        <v>3944</v>
      </c>
      <c r="B656" s="28">
        <v>2</v>
      </c>
      <c r="C656" s="35">
        <v>822</v>
      </c>
      <c r="D656" s="29" t="s">
        <v>167</v>
      </c>
      <c r="E656" s="30" t="s">
        <v>50</v>
      </c>
      <c r="F656" s="31">
        <v>45267</v>
      </c>
      <c r="G656" s="32">
        <v>4.722222222222222</v>
      </c>
      <c r="H656" s="31">
        <v>45267</v>
      </c>
      <c r="I656" s="32">
        <v>4.552083333333334</v>
      </c>
      <c r="J656" s="33">
        <f>F656-H656</f>
      </c>
      <c r="K656" s="28">
        <v>35</v>
      </c>
      <c r="L656" s="28">
        <v>6</v>
      </c>
      <c r="M656" s="28">
        <v>2</v>
      </c>
      <c r="N656" s="34"/>
      <c r="O656" s="34"/>
      <c r="P656" s="34"/>
      <c r="Q656" s="34"/>
      <c r="R656" s="34"/>
      <c r="S656" s="56"/>
      <c r="T656" s="34"/>
      <c r="U656" s="34"/>
      <c r="V656" s="34"/>
      <c r="W656" s="29" t="s">
        <v>58</v>
      </c>
      <c r="X656" s="28">
        <v>19</v>
      </c>
      <c r="Y656" s="28">
        <v>1</v>
      </c>
      <c r="Z656" s="28">
        <v>1</v>
      </c>
      <c r="AA656" s="28">
        <v>1</v>
      </c>
      <c r="AB656" s="28">
        <v>1</v>
      </c>
      <c r="AC656" s="28">
        <v>2</v>
      </c>
      <c r="AD656" s="28">
        <v>2</v>
      </c>
      <c r="AE656" s="28">
        <v>2</v>
      </c>
      <c r="AF656" s="28">
        <v>3</v>
      </c>
      <c r="AG656" s="28">
        <v>2</v>
      </c>
      <c r="AH656" s="29" t="s">
        <v>3945</v>
      </c>
      <c r="AI656" s="36">
        <f>IF(OR(AND(K656&lt;32, J656&lt;2), O656=1, P656=1, Q656=1, R656=1, S656=1, T656=1, U656=1, AND(W656&lt;&gt;"", W656&lt;&gt;"Oxygen", W656&lt;&gt;"LowFlow")), "Intensive", "Intermediate")</f>
      </c>
      <c r="AJ656" s="57">
        <f>IF(OR(LEFT(AH656, 1)="X", LEFT(AH656, 1)="Y", LEFT(AH656, 3)="J13M"), "CUSM", "No Match")</f>
      </c>
      <c r="AK656" s="57">
        <f>IF(AND(OR(O656=3, P656=1, Q656=1, T656=1), AJ656="no Match"), "CUSM, CHU SJ, CHUQ", "")</f>
      </c>
      <c r="AL656" s="57">
        <f>IF(AND(O656=2, ISBLANK(P656), ISBLANK(Q656), ISBLANK(R656), ISBLANK(S656), ISBLANK(T656)), "CUSM, CHU SJ, CHUS, CHUQ", "")</f>
      </c>
      <c r="AM656" s="57">
        <f>IF(AND(AJ656="no match", AK656="", AL656="", K656&lt;26), "CUSM, CHU SJ, HGJ, CHUQ, CHUS", "")</f>
      </c>
      <c r="AN656" s="57">
        <f>IF(AND(AJ656="no match", AK656="", AL656="", K656&gt;26), "CUSM, CHU SJ, HGJ, CHUQ, CHUS, HMR", "")</f>
      </c>
    </row>
    <row x14ac:dyDescent="0.25" r="657" customHeight="1" ht="17.25">
      <c r="A657" s="41" t="s">
        <v>3946</v>
      </c>
      <c r="B657" s="28">
        <v>2</v>
      </c>
      <c r="C657" s="28">
        <v>824</v>
      </c>
      <c r="D657" s="29" t="s">
        <v>57</v>
      </c>
      <c r="E657" s="30" t="s">
        <v>54</v>
      </c>
      <c r="F657" s="31">
        <v>45270</v>
      </c>
      <c r="G657" s="32">
        <v>4.40625</v>
      </c>
      <c r="H657" s="31">
        <v>45268</v>
      </c>
      <c r="I657" s="32">
        <v>4.8381944444444445</v>
      </c>
      <c r="J657" s="33">
        <f>F657-H657</f>
      </c>
      <c r="K657" s="28">
        <v>39</v>
      </c>
      <c r="L657" s="28">
        <v>6</v>
      </c>
      <c r="M657" s="28">
        <v>2</v>
      </c>
      <c r="N657" s="38"/>
      <c r="O657" s="34"/>
      <c r="P657" s="38"/>
      <c r="Q657" s="34"/>
      <c r="R657" s="34"/>
      <c r="S657" s="56"/>
      <c r="T657" s="38"/>
      <c r="U657" s="34"/>
      <c r="V657" s="34"/>
      <c r="W657" s="29" t="s">
        <v>106</v>
      </c>
      <c r="X657" s="28">
        <v>28</v>
      </c>
      <c r="Y657" s="28">
        <v>1</v>
      </c>
      <c r="Z657" s="28">
        <v>1</v>
      </c>
      <c r="AA657" s="28">
        <v>2</v>
      </c>
      <c r="AB657" s="28">
        <v>1</v>
      </c>
      <c r="AC657" s="28">
        <v>2</v>
      </c>
      <c r="AD657" s="28">
        <v>2</v>
      </c>
      <c r="AE657" s="28">
        <v>4</v>
      </c>
      <c r="AF657" s="28">
        <v>2</v>
      </c>
      <c r="AG657" s="28">
        <v>2</v>
      </c>
      <c r="AH657" s="29" t="s">
        <v>3947</v>
      </c>
      <c r="AI657" s="36">
        <f>IF(OR(AND(K657&lt;32, J657&lt;2), O657=1, P657=1, Q657=1, R657=1, S657=1, T657=1, U657=1, AND(W657&lt;&gt;"", W657&lt;&gt;"Oxygen", W657&lt;&gt;"LowFlow")), "Intensive", "Intermediate")</f>
      </c>
      <c r="AJ657" s="57">
        <f>IF(OR(LEFT(AH657, 1)="X", LEFT(AH657, 1)="Y", LEFT(AH657, 3)="J14M"), "CUSM", "No Match")</f>
      </c>
      <c r="AK657" s="57">
        <f>IF(AND(OR(O657=3, P657=1, Q657=1, T657=1), AJ657="no Match"), "CUSM, CHU SJ, CHUQ", "")</f>
      </c>
      <c r="AL657" s="57">
        <f>IF(AND(O657=2, ISBLANK(P657), ISBLANK(Q657), ISBLANK(R657), ISBLANK(S657), ISBLANK(T657)), "CUSM, CHU SJ, CHUS, CHUQ", "")</f>
      </c>
      <c r="AM657" s="57">
        <f>IF(AND(AJ657="no match", AK657="", AL657="", K657&lt;26), "CUSM, CHU SJ, HGJ, CHUQ, CHUS", "")</f>
      </c>
      <c r="AN657" s="57">
        <f>IF(AND(AJ657="no match", AK657="", AL657="", K657&gt;26), "CUSM, CHU SJ, HGJ, CHUQ, CHUS, HMR", "")</f>
      </c>
    </row>
    <row x14ac:dyDescent="0.25" r="658" customHeight="1" ht="17.25">
      <c r="A658" s="41" t="s">
        <v>3948</v>
      </c>
      <c r="B658" s="28">
        <v>2</v>
      </c>
      <c r="C658" s="35">
        <v>820</v>
      </c>
      <c r="D658" s="29" t="s">
        <v>69</v>
      </c>
      <c r="E658" s="30" t="s">
        <v>54</v>
      </c>
      <c r="F658" s="31">
        <v>45270</v>
      </c>
      <c r="G658" s="32">
        <v>4.673611111111111</v>
      </c>
      <c r="H658" s="31">
        <v>45270</v>
      </c>
      <c r="I658" s="32">
        <v>4.486805555555556</v>
      </c>
      <c r="J658" s="33">
        <f>F658-H658</f>
      </c>
      <c r="K658" s="28">
        <v>35</v>
      </c>
      <c r="L658" s="28">
        <v>0</v>
      </c>
      <c r="M658" s="28">
        <v>1</v>
      </c>
      <c r="N658" s="35">
        <v>1</v>
      </c>
      <c r="O658" s="34"/>
      <c r="P658" s="35">
        <v>1</v>
      </c>
      <c r="Q658" s="34"/>
      <c r="R658" s="34"/>
      <c r="S658" s="56"/>
      <c r="T658" s="34"/>
      <c r="U658" s="34"/>
      <c r="V658" s="34"/>
      <c r="W658" s="29" t="s">
        <v>74</v>
      </c>
      <c r="X658" s="28">
        <v>36</v>
      </c>
      <c r="Y658" s="28">
        <v>2</v>
      </c>
      <c r="Z658" s="28">
        <v>2</v>
      </c>
      <c r="AA658" s="28">
        <v>2</v>
      </c>
      <c r="AB658" s="28">
        <v>4</v>
      </c>
      <c r="AC658" s="28">
        <v>3</v>
      </c>
      <c r="AD658" s="28">
        <v>3</v>
      </c>
      <c r="AE658" s="28">
        <v>4</v>
      </c>
      <c r="AF658" s="28">
        <v>3</v>
      </c>
      <c r="AG658" s="28">
        <v>1</v>
      </c>
      <c r="AH658" s="29" t="s">
        <v>3949</v>
      </c>
      <c r="AI658" s="36">
        <f>IF(OR(AND(K658&lt;32, J658&lt;2), O658=1, P658=1, Q658=1, R658=1, S658=1, T658=1, U658=1, AND(W658&lt;&gt;"", W658&lt;&gt;"Oxygen", W658&lt;&gt;"LowFlow")), "Intensive", "Intermediate")</f>
      </c>
      <c r="AJ658" s="57">
        <f>IF(OR(LEFT(AH658, 1)="X", LEFT(AH658, 1)="Y", LEFT(AH658, 3)="J15M"), "CUSM", "No Match")</f>
      </c>
      <c r="AK658" s="57">
        <f>IF(AND(OR(O658=3, P658=1, Q658=1, T658=1), AJ658="no Match"), "CUSM, CHU SJ, CHUQ", "")</f>
      </c>
      <c r="AL658" s="57">
        <f>IF(AND(O658=2, ISBLANK(P658), ISBLANK(Q658), ISBLANK(R658), ISBLANK(S658), ISBLANK(T658)), "CUSM, CHU SJ, CHUS, CHUQ", "")</f>
      </c>
      <c r="AM658" s="57">
        <f>IF(AND(AJ658="no match", AK658="", AL658="", K658&lt;26), "CUSM, CHU SJ, HGJ, CHUQ, CHUS", "")</f>
      </c>
      <c r="AN658" s="57">
        <f>IF(AND(AJ658="no match", AK658="", AL658="", K658&gt;26), "CUSM, CHU SJ, HGJ, CHUQ, CHUS, HMR", "")</f>
      </c>
    </row>
    <row x14ac:dyDescent="0.25" r="659" customHeight="1" ht="17.25">
      <c r="A659" s="41" t="s">
        <v>3950</v>
      </c>
      <c r="B659" s="28">
        <v>2</v>
      </c>
      <c r="C659" s="28">
        <v>822</v>
      </c>
      <c r="D659" s="29" t="s">
        <v>167</v>
      </c>
      <c r="E659" s="30" t="s">
        <v>50</v>
      </c>
      <c r="F659" s="31">
        <v>45270</v>
      </c>
      <c r="G659" s="32">
        <v>4.670138888888889</v>
      </c>
      <c r="H659" s="31">
        <v>45270</v>
      </c>
      <c r="I659" s="32">
        <v>4.170138888888889</v>
      </c>
      <c r="J659" s="33">
        <f>F659-H659</f>
      </c>
      <c r="K659" s="28">
        <v>38</v>
      </c>
      <c r="L659" s="28">
        <v>4</v>
      </c>
      <c r="M659" s="28">
        <v>2</v>
      </c>
      <c r="N659" s="34"/>
      <c r="O659" s="34"/>
      <c r="P659" s="34"/>
      <c r="Q659" s="34"/>
      <c r="R659" s="34"/>
      <c r="S659" s="56"/>
      <c r="T659" s="38"/>
      <c r="U659" s="34"/>
      <c r="V659" s="34"/>
      <c r="W659" s="29" t="s">
        <v>74</v>
      </c>
      <c r="X659" s="28">
        <v>38</v>
      </c>
      <c r="Y659" s="28">
        <v>1</v>
      </c>
      <c r="Z659" s="28">
        <v>2</v>
      </c>
      <c r="AA659" s="28">
        <v>1</v>
      </c>
      <c r="AB659" s="28">
        <v>4</v>
      </c>
      <c r="AC659" s="28">
        <v>2</v>
      </c>
      <c r="AD659" s="28">
        <v>1</v>
      </c>
      <c r="AE659" s="28">
        <v>2</v>
      </c>
      <c r="AF659" s="28">
        <v>2</v>
      </c>
      <c r="AG659" s="28">
        <v>2</v>
      </c>
      <c r="AH659" s="29" t="s">
        <v>134</v>
      </c>
      <c r="AI659" s="36">
        <f>IF(OR(AND(K659&lt;32, J659&lt;2), O659=1, P659=1, Q659=1, R659=1, S659=1, T659=1, U659=1, AND(W659&lt;&gt;"", W659&lt;&gt;"Oxygen", W659&lt;&gt;"LowFlow")), "Intensive", "Intermediate")</f>
      </c>
      <c r="AJ659" s="57">
        <f>IF(OR(LEFT(AH659, 1)="X", LEFT(AH659, 1)="Y", LEFT(AH659, 3)="J16M"), "CUSM", "No Match")</f>
      </c>
      <c r="AK659" s="57">
        <f>IF(AND(OR(O659=3, P659=1, Q659=1, T659=1), AJ659="no Match"), "CUSM, CHU SJ, CHUQ", "")</f>
      </c>
      <c r="AL659" s="57">
        <f>IF(AND(O659=2, ISBLANK(P659), ISBLANK(Q659), ISBLANK(R659), ISBLANK(S659), ISBLANK(T659)), "CUSM, CHU SJ, CHUS, CHUQ", "")</f>
      </c>
      <c r="AM659" s="57">
        <f>IF(AND(AJ659="no match", AK659="", AL659="", K659&lt;26), "CUSM, CHU SJ, HGJ, CHUQ, CHUS", "")</f>
      </c>
      <c r="AN659" s="57">
        <f>IF(AND(AJ659="no match", AK659="", AL659="", K659&gt;26), "CUSM, CHU SJ, HGJ, CHUQ, CHUS, HMR", "")</f>
      </c>
    </row>
    <row x14ac:dyDescent="0.25" r="660" customHeight="1" ht="17.25">
      <c r="A660" s="41" t="s">
        <v>3951</v>
      </c>
      <c r="B660" s="28">
        <v>2</v>
      </c>
      <c r="C660" s="35">
        <v>796</v>
      </c>
      <c r="D660" s="29" t="s">
        <v>63</v>
      </c>
      <c r="E660" s="30" t="s">
        <v>54</v>
      </c>
      <c r="F660" s="31">
        <v>45271</v>
      </c>
      <c r="G660" s="32">
        <v>4.684027777777778</v>
      </c>
      <c r="H660" s="31">
        <v>45268</v>
      </c>
      <c r="I660" s="32">
        <v>4.666666666666666</v>
      </c>
      <c r="J660" s="33">
        <f>F660-H660</f>
      </c>
      <c r="K660" s="28">
        <v>40</v>
      </c>
      <c r="L660" s="28">
        <v>5</v>
      </c>
      <c r="M660" s="28">
        <v>2</v>
      </c>
      <c r="N660" s="34"/>
      <c r="O660" s="34"/>
      <c r="P660" s="34"/>
      <c r="Q660" s="34"/>
      <c r="R660" s="34"/>
      <c r="S660" s="56"/>
      <c r="T660" s="34"/>
      <c r="U660" s="34"/>
      <c r="V660" s="34"/>
      <c r="W660" s="29" t="s">
        <v>58</v>
      </c>
      <c r="X660" s="28">
        <v>30</v>
      </c>
      <c r="Y660" s="28">
        <v>1</v>
      </c>
      <c r="Z660" s="28">
        <v>1</v>
      </c>
      <c r="AA660" s="35">
        <v>2</v>
      </c>
      <c r="AB660" s="28">
        <v>1</v>
      </c>
      <c r="AC660" s="28">
        <v>2</v>
      </c>
      <c r="AD660" s="28">
        <v>2</v>
      </c>
      <c r="AE660" s="28">
        <v>4</v>
      </c>
      <c r="AF660" s="28">
        <v>2</v>
      </c>
      <c r="AG660" s="28">
        <v>2</v>
      </c>
      <c r="AH660" s="29" t="s">
        <v>3868</v>
      </c>
      <c r="AI660" s="36">
        <f>IF(OR(AND(K660&lt;32, J660&lt;2), O660=1, P660=1, Q660=1, R660=1, S660=1, T660=1, U660=1, AND(W660&lt;&gt;"", W660&lt;&gt;"Oxygen", W660&lt;&gt;"LowFlow")), "Intensive", "Intermediate")</f>
      </c>
      <c r="AJ660" s="57">
        <f>IF(OR(LEFT(AH660, 1)="X", LEFT(AH660, 1)="Y", LEFT(AH660, 3)="J17M"), "CUSM", "No Match")</f>
      </c>
      <c r="AK660" s="57">
        <f>IF(AND(OR(O660=3, P660=1, Q660=1, T660=1), AJ660="no Match"), "CUSM, CHU SJ, CHUQ", "")</f>
      </c>
      <c r="AL660" s="57">
        <f>IF(AND(O660=2, ISBLANK(P660), ISBLANK(Q660), ISBLANK(R660), ISBLANK(S660), ISBLANK(T660)), "CUSM, CHU SJ, CHUS, CHUQ", "")</f>
      </c>
      <c r="AM660" s="57">
        <f>IF(AND(AJ660="no match", AK660="", AL660="", K660&lt;26), "CUSM, CHU SJ, HGJ, CHUQ, CHUS", "")</f>
      </c>
      <c r="AN660" s="57">
        <f>IF(AND(AJ660="no match", AK660="", AL660="", K660&gt;26), "CUSM, CHU SJ, HGJ, CHUQ, CHUS, HMR", "")</f>
      </c>
    </row>
    <row x14ac:dyDescent="0.25" r="661" customHeight="1" ht="17.25">
      <c r="A661" s="41" t="s">
        <v>3952</v>
      </c>
      <c r="B661" s="28">
        <v>2</v>
      </c>
      <c r="C661" s="35">
        <v>831</v>
      </c>
      <c r="D661" s="29" t="s">
        <v>313</v>
      </c>
      <c r="E661" s="30" t="s">
        <v>54</v>
      </c>
      <c r="F661" s="31">
        <v>45272</v>
      </c>
      <c r="G661" s="32">
        <v>4.590277777777778</v>
      </c>
      <c r="H661" s="31">
        <v>45269</v>
      </c>
      <c r="I661" s="32">
        <v>4.4631944444444445</v>
      </c>
      <c r="J661" s="33">
        <f>F661-H661</f>
      </c>
      <c r="K661" s="28">
        <v>39</v>
      </c>
      <c r="L661" s="28">
        <v>3</v>
      </c>
      <c r="M661" s="28">
        <v>1</v>
      </c>
      <c r="N661" s="34"/>
      <c r="O661" s="34"/>
      <c r="P661" s="34"/>
      <c r="Q661" s="34"/>
      <c r="R661" s="34"/>
      <c r="S661" s="56"/>
      <c r="T661" s="34"/>
      <c r="U661" s="34"/>
      <c r="V661" s="34"/>
      <c r="W661" s="29"/>
      <c r="X661" s="28">
        <v>20</v>
      </c>
      <c r="Y661" s="28">
        <v>1</v>
      </c>
      <c r="Z661" s="28">
        <v>2</v>
      </c>
      <c r="AA661" s="28">
        <v>2</v>
      </c>
      <c r="AB661" s="28">
        <v>1</v>
      </c>
      <c r="AC661" s="28">
        <v>2</v>
      </c>
      <c r="AD661" s="28">
        <v>2</v>
      </c>
      <c r="AE661" s="28">
        <v>4</v>
      </c>
      <c r="AF661" s="28">
        <v>2</v>
      </c>
      <c r="AG661" s="28">
        <v>2</v>
      </c>
      <c r="AH661" s="29" t="s">
        <v>3953</v>
      </c>
      <c r="AI661" s="36">
        <f>IF(OR(AND(K661&lt;32, J661&lt;2), O661=1, P661=1, Q661=1, R661=1, S661=1, T661=1, U661=1, AND(W661&lt;&gt;"", W661&lt;&gt;"Oxygen", W661&lt;&gt;"LowFlow")), "Intensive", "Intermediate")</f>
      </c>
      <c r="AJ661" s="57">
        <f>IF(OR(LEFT(AH661, 1)="X", LEFT(AH661, 1)="Y", LEFT(AH661, 3)="J18M"), "CUSM", "No Match")</f>
      </c>
      <c r="AK661" s="57">
        <f>IF(AND(OR(O661=3, P661=1, Q661=1, T661=1), AJ661="no Match"), "CUSM, CHU SJ, CHUQ", "")</f>
      </c>
      <c r="AL661" s="57">
        <f>IF(AND(O661=2, ISBLANK(P661), ISBLANK(Q661), ISBLANK(R661), ISBLANK(S661), ISBLANK(T661)), "CUSM, CHU SJ, CHUS, CHUQ", "")</f>
      </c>
      <c r="AM661" s="57">
        <f>IF(AND(AJ661="no match", AK661="", AL661="", K661&lt;26), "CUSM, CHU SJ, HGJ, CHUQ, CHUS", "")</f>
      </c>
      <c r="AN661" s="57">
        <f>IF(AND(AJ661="no match", AK661="", AL661="", K661&gt;26), "CUSM, CHU SJ, HGJ, CHUQ, CHUS, HMR", "")</f>
      </c>
    </row>
    <row x14ac:dyDescent="0.25" r="662" customHeight="1" ht="17.25">
      <c r="A662" s="41" t="s">
        <v>3954</v>
      </c>
      <c r="B662" s="28">
        <v>2</v>
      </c>
      <c r="C662" s="35">
        <v>817</v>
      </c>
      <c r="D662" s="29" t="s">
        <v>163</v>
      </c>
      <c r="E662" s="30" t="s">
        <v>54</v>
      </c>
      <c r="F662" s="31">
        <v>45272</v>
      </c>
      <c r="G662" s="32">
        <v>4.982638888888889</v>
      </c>
      <c r="H662" s="31">
        <v>45270</v>
      </c>
      <c r="I662" s="32">
        <v>4.1819444444444445</v>
      </c>
      <c r="J662" s="33">
        <f>F662-H662</f>
      </c>
      <c r="K662" s="28">
        <v>39</v>
      </c>
      <c r="L662" s="28">
        <v>6</v>
      </c>
      <c r="M662" s="28">
        <v>2</v>
      </c>
      <c r="N662" s="34"/>
      <c r="O662" s="34"/>
      <c r="P662" s="34"/>
      <c r="Q662" s="34"/>
      <c r="R662" s="34"/>
      <c r="S662" s="56"/>
      <c r="T662" s="34"/>
      <c r="U662" s="34"/>
      <c r="V662" s="34"/>
      <c r="W662" s="29" t="s">
        <v>74</v>
      </c>
      <c r="X662" s="28">
        <v>25</v>
      </c>
      <c r="Y662" s="28">
        <v>1</v>
      </c>
      <c r="Z662" s="28">
        <v>1</v>
      </c>
      <c r="AA662" s="28">
        <v>2</v>
      </c>
      <c r="AB662" s="28">
        <v>1</v>
      </c>
      <c r="AC662" s="28">
        <v>2</v>
      </c>
      <c r="AD662" s="28">
        <v>2</v>
      </c>
      <c r="AE662" s="28">
        <v>4</v>
      </c>
      <c r="AF662" s="35">
        <v>2</v>
      </c>
      <c r="AG662" s="28">
        <v>2</v>
      </c>
      <c r="AH662" s="29" t="s">
        <v>1899</v>
      </c>
      <c r="AI662" s="36">
        <f>IF(OR(AND(K662&lt;32, J662&lt;2), O662=1, P662=1, Q662=1, R662=1, S662=1, T662=1, U662=1, AND(W662&lt;&gt;"", W662&lt;&gt;"Oxygen", W662&lt;&gt;"LowFlow")), "Intensive", "Intermediate")</f>
      </c>
      <c r="AJ662" s="57">
        <f>IF(OR(LEFT(AH662, 1)="X", LEFT(AH662, 1)="Y", LEFT(AH662, 3)="J19M"), "CUSM", "No Match")</f>
      </c>
      <c r="AK662" s="57">
        <f>IF(AND(OR(O662=3, P662=1, Q662=1, T662=1), AJ662="no Match"), "CUSM, CHU SJ, CHUQ", "")</f>
      </c>
      <c r="AL662" s="57">
        <f>IF(AND(O662=2, ISBLANK(P662), ISBLANK(Q662), ISBLANK(R662), ISBLANK(S662), ISBLANK(T662)), "CUSM, CHU SJ, CHUS, CHUQ", "")</f>
      </c>
      <c r="AM662" s="57">
        <f>IF(AND(AJ662="no match", AK662="", AL662="", K662&lt;26), "CUSM, CHU SJ, HGJ, CHUQ, CHUS", "")</f>
      </c>
      <c r="AN662" s="57">
        <f>IF(AND(AJ662="no match", AK662="", AL662="", K662&gt;26), "CUSM, CHU SJ, HGJ, CHUQ, CHUS, HMR", "")</f>
      </c>
    </row>
    <row x14ac:dyDescent="0.25" r="663" customHeight="1" ht="17.25">
      <c r="A663" s="41" t="s">
        <v>3955</v>
      </c>
      <c r="B663" s="28">
        <v>2</v>
      </c>
      <c r="C663" s="35">
        <v>824</v>
      </c>
      <c r="D663" s="29" t="s">
        <v>57</v>
      </c>
      <c r="E663" s="30" t="s">
        <v>50</v>
      </c>
      <c r="F663" s="31">
        <v>45272</v>
      </c>
      <c r="G663" s="32">
        <v>4.600694444444445</v>
      </c>
      <c r="H663" s="31">
        <v>45270</v>
      </c>
      <c r="I663" s="32">
        <v>4.822916666666666</v>
      </c>
      <c r="J663" s="33">
        <f>F663-H663</f>
      </c>
      <c r="K663" s="28">
        <v>36</v>
      </c>
      <c r="L663" s="28">
        <v>2</v>
      </c>
      <c r="M663" s="28">
        <v>1</v>
      </c>
      <c r="N663" s="35">
        <v>1</v>
      </c>
      <c r="O663" s="34"/>
      <c r="P663" s="34"/>
      <c r="Q663" s="34"/>
      <c r="R663" s="34"/>
      <c r="S663" s="56"/>
      <c r="T663" s="34"/>
      <c r="U663" s="34"/>
      <c r="V663" s="34"/>
      <c r="W663" s="29"/>
      <c r="X663" s="28">
        <v>39</v>
      </c>
      <c r="Y663" s="28">
        <v>1</v>
      </c>
      <c r="Z663" s="28">
        <v>2</v>
      </c>
      <c r="AA663" s="28">
        <v>3</v>
      </c>
      <c r="AB663" s="28">
        <v>4</v>
      </c>
      <c r="AC663" s="28">
        <v>1</v>
      </c>
      <c r="AD663" s="28">
        <v>2</v>
      </c>
      <c r="AE663" s="28">
        <v>4</v>
      </c>
      <c r="AF663" s="28">
        <v>3</v>
      </c>
      <c r="AG663" s="28">
        <v>2</v>
      </c>
      <c r="AH663" s="29" t="s">
        <v>3898</v>
      </c>
      <c r="AI663" s="36">
        <f>IF(OR(AND(K663&lt;32, J663&lt;2), O663=1, P663=1, Q663=1, R663=1, S663=1, T663=1, U663=1, AND(W663&lt;&gt;"", W663&lt;&gt;"Oxygen", W663&lt;&gt;"LowFlow")), "Intensive", "Intermediate")</f>
      </c>
      <c r="AJ663" s="57">
        <f>IF(OR(LEFT(AH663, 1)="X", LEFT(AH663, 1)="Y", LEFT(AH663, 3)="J20M"), "CUSM", "No Match")</f>
      </c>
      <c r="AK663" s="57">
        <f>IF(AND(OR(O663=3, P663=1, Q663=1, T663=1), AJ663="no Match"), "CUSM, CHU SJ, CHUQ", "")</f>
      </c>
      <c r="AL663" s="57">
        <f>IF(AND(O663=2, ISBLANK(P663), ISBLANK(Q663), ISBLANK(R663), ISBLANK(S663), ISBLANK(T663)), "CUSM, CHU SJ, CHUS, CHUQ", "")</f>
      </c>
      <c r="AM663" s="57">
        <f>IF(AND(AJ663="no match", AK663="", AL663="", K663&lt;26), "CUSM, CHU SJ, HGJ, CHUQ, CHUS", "")</f>
      </c>
      <c r="AN663" s="57">
        <f>IF(AND(AJ663="no match", AK663="", AL663="", K663&gt;26), "CUSM, CHU SJ, HGJ, CHUQ, CHUS, HMR", "")</f>
      </c>
    </row>
    <row x14ac:dyDescent="0.25" r="664" customHeight="1" ht="17.25">
      <c r="A664" s="41" t="s">
        <v>3956</v>
      </c>
      <c r="B664" s="28">
        <v>2</v>
      </c>
      <c r="C664" s="35">
        <v>730</v>
      </c>
      <c r="D664" s="29" t="s">
        <v>81</v>
      </c>
      <c r="E664" s="30" t="s">
        <v>50</v>
      </c>
      <c r="F664" s="31">
        <v>45273</v>
      </c>
      <c r="G664" s="32">
        <v>4.620833333333334</v>
      </c>
      <c r="H664" s="31">
        <v>45272</v>
      </c>
      <c r="I664" s="32">
        <v>4.290277777777778</v>
      </c>
      <c r="J664" s="33">
        <f>F664-H664</f>
      </c>
      <c r="K664" s="28">
        <v>39</v>
      </c>
      <c r="L664" s="28">
        <v>0</v>
      </c>
      <c r="M664" s="28">
        <v>2</v>
      </c>
      <c r="N664" s="28">
        <v>1</v>
      </c>
      <c r="O664" s="34"/>
      <c r="P664" s="38"/>
      <c r="Q664" s="34"/>
      <c r="R664" s="34"/>
      <c r="S664" s="56"/>
      <c r="T664" s="34"/>
      <c r="U664" s="34"/>
      <c r="V664" s="34"/>
      <c r="W664" s="29"/>
      <c r="X664" s="28">
        <v>32</v>
      </c>
      <c r="Y664" s="28">
        <v>1</v>
      </c>
      <c r="Z664" s="28">
        <v>1</v>
      </c>
      <c r="AA664" s="28">
        <v>2</v>
      </c>
      <c r="AB664" s="28">
        <v>1</v>
      </c>
      <c r="AC664" s="28">
        <v>2</v>
      </c>
      <c r="AD664" s="28">
        <v>1</v>
      </c>
      <c r="AE664" s="28">
        <v>2</v>
      </c>
      <c r="AF664" s="35">
        <v>2</v>
      </c>
      <c r="AG664" s="28">
        <v>2</v>
      </c>
      <c r="AH664" s="29" t="s">
        <v>3957</v>
      </c>
      <c r="AI664" s="36">
        <f>IF(OR(AND(K664&lt;32, J664&lt;2), O664=1, P664=1, Q664=1, R664=1, S664=1, T664=1, U664=1, AND(W664&lt;&gt;"", W664&lt;&gt;"Oxygen", W664&lt;&gt;"LowFlow")), "Intensive", "Intermediate")</f>
      </c>
      <c r="AJ664" s="57">
        <f>IF(OR(LEFT(AH664, 1)="X", LEFT(AH664, 1)="Y", LEFT(AH664, 3)="J21M"), "CUSM", "No Match")</f>
      </c>
      <c r="AK664" s="57">
        <f>IF(AND(OR(O664=3, P664=1, Q664=1, T664=1), AJ664="no Match"), "CUSM, CHU SJ, CHUQ", "")</f>
      </c>
      <c r="AL664" s="57">
        <f>IF(AND(O664=2, ISBLANK(P664), ISBLANK(Q664), ISBLANK(R664), ISBLANK(S664), ISBLANK(T664)), "CUSM, CHU SJ, CHUS, CHUQ", "")</f>
      </c>
      <c r="AM664" s="57">
        <f>IF(AND(AJ664="no match", AK664="", AL664="", K664&lt;26), "CUSM, CHU SJ, HGJ, CHUQ, CHUS", "")</f>
      </c>
      <c r="AN664" s="57">
        <f>IF(AND(AJ664="no match", AK664="", AL664="", K664&gt;26), "CUSM, CHU SJ, HGJ, CHUQ, CHUS, HMR", "")</f>
      </c>
    </row>
    <row x14ac:dyDescent="0.25" r="665" customHeight="1" ht="17.25">
      <c r="A665" s="41" t="s">
        <v>3958</v>
      </c>
      <c r="B665" s="28">
        <v>2</v>
      </c>
      <c r="C665" s="35">
        <v>822</v>
      </c>
      <c r="D665" s="29" t="s">
        <v>167</v>
      </c>
      <c r="E665" s="30" t="s">
        <v>54</v>
      </c>
      <c r="F665" s="31">
        <v>45274</v>
      </c>
      <c r="G665" s="32">
        <v>4.011111111111111</v>
      </c>
      <c r="H665" s="31">
        <v>45270</v>
      </c>
      <c r="I665" s="32">
        <v>4.977083333333333</v>
      </c>
      <c r="J665" s="33">
        <f>F665-H665</f>
      </c>
      <c r="K665" s="28">
        <v>41</v>
      </c>
      <c r="L665" s="28">
        <v>1</v>
      </c>
      <c r="M665" s="28">
        <v>2</v>
      </c>
      <c r="N665" s="34"/>
      <c r="O665" s="34"/>
      <c r="P665" s="34"/>
      <c r="Q665" s="34"/>
      <c r="R665" s="34"/>
      <c r="S665" s="56"/>
      <c r="T665" s="34"/>
      <c r="U665" s="34"/>
      <c r="V665" s="34"/>
      <c r="W665" s="29"/>
      <c r="X665" s="28">
        <v>27</v>
      </c>
      <c r="Y665" s="28">
        <v>1</v>
      </c>
      <c r="Z665" s="28">
        <v>2</v>
      </c>
      <c r="AA665" s="28">
        <v>1</v>
      </c>
      <c r="AB665" s="28">
        <v>1</v>
      </c>
      <c r="AC665" s="28">
        <v>2</v>
      </c>
      <c r="AD665" s="28">
        <v>2</v>
      </c>
      <c r="AE665" s="28">
        <v>4</v>
      </c>
      <c r="AF665" s="28">
        <v>1</v>
      </c>
      <c r="AG665" s="28">
        <v>2</v>
      </c>
      <c r="AH665" s="29" t="s">
        <v>3959</v>
      </c>
      <c r="AI665" s="36">
        <f>IF(OR(AND(K665&lt;32, J665&lt;2), O665=1, P665=1, Q665=1, R665=1, S665=1, T665=1, U665=1, AND(W665&lt;&gt;"", W665&lt;&gt;"Oxygen", W665&lt;&gt;"LowFlow")), "Intensive", "Intermediate")</f>
      </c>
      <c r="AJ665" s="57">
        <f>IF(OR(LEFT(AH665, 1)="X", LEFT(AH665, 1)="Y", LEFT(AH665, 3)="J22M"), "CUSM", "No Match")</f>
      </c>
      <c r="AK665" s="57">
        <f>IF(AND(OR(O665=3, P665=1, Q665=1, T665=1), AJ665="no Match"), "CUSM, CHU SJ, CHUQ", "")</f>
      </c>
      <c r="AL665" s="57">
        <f>IF(AND(O665=2, ISBLANK(P665), ISBLANK(Q665), ISBLANK(R665), ISBLANK(S665), ISBLANK(T665)), "CUSM, CHU SJ, CHUS, CHUQ", "")</f>
      </c>
      <c r="AM665" s="57">
        <f>IF(AND(AJ665="no match", AK665="", AL665="", K665&lt;26), "CUSM, CHU SJ, HGJ, CHUQ, CHUS", "")</f>
      </c>
      <c r="AN665" s="57">
        <f>IF(AND(AJ665="no match", AK665="", AL665="", K665&gt;26), "CUSM, CHU SJ, HGJ, CHUQ, CHUS, HMR", "")</f>
      </c>
    </row>
    <row x14ac:dyDescent="0.25" r="666" customHeight="1" ht="17.25">
      <c r="A666" s="41" t="s">
        <v>3960</v>
      </c>
      <c r="B666" s="28">
        <v>2</v>
      </c>
      <c r="C666" s="35">
        <v>833</v>
      </c>
      <c r="D666" s="29" t="s">
        <v>376</v>
      </c>
      <c r="E666" s="30" t="s">
        <v>54</v>
      </c>
      <c r="F666" s="31">
        <v>45274</v>
      </c>
      <c r="G666" s="32">
        <v>4.572916666666666</v>
      </c>
      <c r="H666" s="31">
        <v>45273</v>
      </c>
      <c r="I666" s="32">
        <v>4.261111111111111</v>
      </c>
      <c r="J666" s="33">
        <f>F666-H666</f>
      </c>
      <c r="K666" s="28">
        <v>40</v>
      </c>
      <c r="L666" s="28">
        <v>0</v>
      </c>
      <c r="M666" s="28">
        <v>1</v>
      </c>
      <c r="N666" s="35">
        <v>1</v>
      </c>
      <c r="O666" s="35">
        <v>2</v>
      </c>
      <c r="P666" s="35">
        <v>1</v>
      </c>
      <c r="Q666" s="34"/>
      <c r="R666" s="34"/>
      <c r="S666" s="56"/>
      <c r="T666" s="34"/>
      <c r="U666" s="34"/>
      <c r="V666" s="34"/>
      <c r="W666" s="29"/>
      <c r="X666" s="28">
        <v>32</v>
      </c>
      <c r="Y666" s="28">
        <v>1</v>
      </c>
      <c r="Z666" s="28">
        <v>1</v>
      </c>
      <c r="AA666" s="28">
        <v>2</v>
      </c>
      <c r="AB666" s="28">
        <v>4</v>
      </c>
      <c r="AC666" s="28">
        <v>3</v>
      </c>
      <c r="AD666" s="28">
        <v>3</v>
      </c>
      <c r="AE666" s="28">
        <v>4</v>
      </c>
      <c r="AF666" s="28">
        <v>2</v>
      </c>
      <c r="AG666" s="28">
        <v>3</v>
      </c>
      <c r="AH666" s="29" t="s">
        <v>1030</v>
      </c>
      <c r="AI666" s="36">
        <f>IF(OR(AND(K666&lt;32, J666&lt;2), O666=1, P666=1, Q666=1, R666=1, S666=1, T666=1, U666=1, AND(W666&lt;&gt;"", W666&lt;&gt;"Oxygen", W666&lt;&gt;"LowFlow")), "Intensive", "Intermediate")</f>
      </c>
      <c r="AJ666" s="57">
        <f>IF(OR(LEFT(AH666, 1)="X", LEFT(AH666, 1)="Y", LEFT(AH666, 3)="J23M"), "CUSM", "No Match")</f>
      </c>
      <c r="AK666" s="57">
        <f>IF(AND(OR(O666=3, P666=1, Q666=1, T666=1), AJ666="no Match"), "CUSM, CHU SJ, CHUQ", "")</f>
      </c>
      <c r="AL666" s="57">
        <f>IF(AND(O666=2, ISBLANK(P666), ISBLANK(Q666), ISBLANK(R666), ISBLANK(S666), ISBLANK(T666)), "CUSM, CHU SJ, CHUS, CHUQ", "")</f>
      </c>
      <c r="AM666" s="57">
        <f>IF(AND(AJ666="no match", AK666="", AL666="", K666&lt;26), "CUSM, CHU SJ, HGJ, CHUQ, CHUS", "")</f>
      </c>
      <c r="AN666" s="57">
        <f>IF(AND(AJ666="no match", AK666="", AL666="", K666&gt;26), "CUSM, CHU SJ, HGJ, CHUQ, CHUS, HMR", "")</f>
      </c>
    </row>
    <row x14ac:dyDescent="0.25" r="667" customHeight="1" ht="17.25">
      <c r="A667" s="41" t="s">
        <v>3961</v>
      </c>
      <c r="B667" s="28">
        <v>2</v>
      </c>
      <c r="C667" s="28">
        <v>1019</v>
      </c>
      <c r="D667" s="29" t="s">
        <v>354</v>
      </c>
      <c r="E667" s="30" t="s">
        <v>50</v>
      </c>
      <c r="F667" s="31">
        <v>45274</v>
      </c>
      <c r="G667" s="32">
        <v>4.888888888888889</v>
      </c>
      <c r="H667" s="31">
        <v>45267</v>
      </c>
      <c r="I667" s="32">
        <v>4.381944444444445</v>
      </c>
      <c r="J667" s="33">
        <f>F667-H667</f>
      </c>
      <c r="K667" s="28">
        <v>38</v>
      </c>
      <c r="L667" s="28">
        <v>1</v>
      </c>
      <c r="M667" s="28">
        <v>2</v>
      </c>
      <c r="N667" s="34"/>
      <c r="O667" s="34"/>
      <c r="P667" s="34"/>
      <c r="Q667" s="34"/>
      <c r="R667" s="34"/>
      <c r="S667" s="56"/>
      <c r="T667" s="34"/>
      <c r="U667" s="34"/>
      <c r="V667" s="34"/>
      <c r="W667" s="29" t="s">
        <v>58</v>
      </c>
      <c r="X667" s="28">
        <v>28</v>
      </c>
      <c r="Y667" s="28">
        <v>1</v>
      </c>
      <c r="Z667" s="28">
        <v>2</v>
      </c>
      <c r="AA667" s="28">
        <v>3</v>
      </c>
      <c r="AB667" s="28">
        <v>4</v>
      </c>
      <c r="AC667" s="28">
        <v>2</v>
      </c>
      <c r="AD667" s="28">
        <v>2</v>
      </c>
      <c r="AE667" s="28">
        <v>4</v>
      </c>
      <c r="AF667" s="28">
        <v>3</v>
      </c>
      <c r="AG667" s="28">
        <v>2</v>
      </c>
      <c r="AH667" s="29" t="s">
        <v>3962</v>
      </c>
      <c r="AI667" s="36">
        <f>IF(OR(AND(K667&lt;32, J667&lt;2), O667=1, P667=1, Q667=1, R667=1, S667=1, T667=1, U667=1, AND(W667&lt;&gt;"", W667&lt;&gt;"Oxygen", W667&lt;&gt;"LowFlow")), "Intensive", "Intermediate")</f>
      </c>
      <c r="AJ667" s="57">
        <f>IF(OR(LEFT(AH667, 1)="X", LEFT(AH667, 1)="Y", LEFT(AH667, 3)="J24M"), "CUSM", "No Match")</f>
      </c>
      <c r="AK667" s="57">
        <f>IF(AND(OR(O667=3, P667=1, Q667=1, T667=1), AJ667="no Match"), "CUSM, CHU SJ, CHUQ", "")</f>
      </c>
      <c r="AL667" s="57">
        <f>IF(AND(O667=2, ISBLANK(P667), ISBLANK(Q667), ISBLANK(R667), ISBLANK(S667), ISBLANK(T667)), "CUSM, CHU SJ, CHUS, CHUQ", "")</f>
      </c>
      <c r="AM667" s="57">
        <f>IF(AND(AJ667="no match", AK667="", AL667="", K667&lt;26), "CUSM, CHU SJ, HGJ, CHUQ, CHUS", "")</f>
      </c>
      <c r="AN667" s="57">
        <f>IF(AND(AJ667="no match", AK667="", AL667="", K667&gt;26), "CUSM, CHU SJ, HGJ, CHUQ, CHUS, HMR", "")</f>
      </c>
    </row>
    <row x14ac:dyDescent="0.25" r="668" customHeight="1" ht="17.25">
      <c r="A668" s="41" t="s">
        <v>3963</v>
      </c>
      <c r="B668" s="28">
        <v>2</v>
      </c>
      <c r="C668" s="35">
        <v>820</v>
      </c>
      <c r="D668" s="29" t="s">
        <v>69</v>
      </c>
      <c r="E668" s="30" t="s">
        <v>50</v>
      </c>
      <c r="F668" s="31">
        <v>45274</v>
      </c>
      <c r="G668" s="32">
        <v>4.71875</v>
      </c>
      <c r="H668" s="31">
        <v>45265</v>
      </c>
      <c r="I668" s="32">
        <v>4.522916666666667</v>
      </c>
      <c r="J668" s="33">
        <f>F668-H668</f>
      </c>
      <c r="K668" s="28">
        <v>39</v>
      </c>
      <c r="L668" s="28">
        <v>1</v>
      </c>
      <c r="M668" s="28">
        <v>2</v>
      </c>
      <c r="N668" s="38"/>
      <c r="O668" s="34"/>
      <c r="P668" s="34"/>
      <c r="Q668" s="34"/>
      <c r="R668" s="34"/>
      <c r="S668" s="56"/>
      <c r="T668" s="34"/>
      <c r="U668" s="34"/>
      <c r="V668" s="34"/>
      <c r="W668" s="29"/>
      <c r="X668" s="28">
        <v>29</v>
      </c>
      <c r="Y668" s="28">
        <v>1</v>
      </c>
      <c r="Z668" s="28">
        <v>2</v>
      </c>
      <c r="AA668" s="28">
        <v>3</v>
      </c>
      <c r="AB668" s="28">
        <v>2</v>
      </c>
      <c r="AC668" s="28">
        <v>2</v>
      </c>
      <c r="AD668" s="28">
        <v>1</v>
      </c>
      <c r="AE668" s="28">
        <v>4</v>
      </c>
      <c r="AF668" s="28">
        <v>3</v>
      </c>
      <c r="AG668" s="28">
        <v>2</v>
      </c>
      <c r="AH668" s="29" t="s">
        <v>3964</v>
      </c>
      <c r="AI668" s="36">
        <f>IF(OR(AND(K668&lt;32, J668&lt;2), O668=1, P668=1, Q668=1, R668=1, S668=1, T668=1, U668=1, AND(W668&lt;&gt;"", W668&lt;&gt;"Oxygen", W668&lt;&gt;"LowFlow")), "Intensive", "Intermediate")</f>
      </c>
      <c r="AJ668" s="57">
        <f>IF(OR(LEFT(AH668, 1)="X", LEFT(AH668, 1)="Y", LEFT(AH668, 3)="J25M"), "CUSM", "No Match")</f>
      </c>
      <c r="AK668" s="57">
        <f>IF(AND(OR(O668=3, P668=1, Q668=1, T668=1), AJ668="no Match"), "CUSM, CHU SJ, CHUQ", "")</f>
      </c>
      <c r="AL668" s="57">
        <f>IF(AND(O668=2, ISBLANK(P668), ISBLANK(Q668), ISBLANK(R668), ISBLANK(S668), ISBLANK(T668)), "CUSM, CHU SJ, CHUS, CHUQ", "")</f>
      </c>
      <c r="AM668" s="57">
        <f>IF(AND(AJ668="no match", AK668="", AL668="", K668&lt;26), "CUSM, CHU SJ, HGJ, CHUQ, CHUS", "")</f>
      </c>
      <c r="AN668" s="57">
        <f>IF(AND(AJ668="no match", AK668="", AL668="", K668&gt;26), "CUSM, CHU SJ, HGJ, CHUQ, CHUS, HMR", "")</f>
      </c>
    </row>
    <row x14ac:dyDescent="0.25" r="669" customHeight="1" ht="17.25">
      <c r="A669" s="41" t="s">
        <v>3965</v>
      </c>
      <c r="B669" s="28">
        <v>2</v>
      </c>
      <c r="C669" s="35">
        <v>839</v>
      </c>
      <c r="D669" s="29" t="s">
        <v>53</v>
      </c>
      <c r="E669" s="30" t="s">
        <v>54</v>
      </c>
      <c r="F669" s="31">
        <v>45275</v>
      </c>
      <c r="G669" s="40">
        <v>4.989583333333334</v>
      </c>
      <c r="H669" s="31">
        <v>45274</v>
      </c>
      <c r="I669" s="32">
        <v>4.164583333333333</v>
      </c>
      <c r="J669" s="33">
        <f>F669-H669</f>
      </c>
      <c r="K669" s="28">
        <v>41</v>
      </c>
      <c r="L669" s="28">
        <v>0</v>
      </c>
      <c r="M669" s="28">
        <v>1</v>
      </c>
      <c r="N669" s="34"/>
      <c r="O669" s="35">
        <v>2</v>
      </c>
      <c r="P669" s="34"/>
      <c r="Q669" s="34"/>
      <c r="R669" s="34"/>
      <c r="S669" s="56"/>
      <c r="T669" s="34"/>
      <c r="U669" s="34"/>
      <c r="V669" s="34"/>
      <c r="W669" s="29"/>
      <c r="X669" s="28">
        <v>26</v>
      </c>
      <c r="Y669" s="28">
        <v>1</v>
      </c>
      <c r="Z669" s="28">
        <v>1</v>
      </c>
      <c r="AA669" s="28">
        <v>2</v>
      </c>
      <c r="AB669" s="28">
        <v>1</v>
      </c>
      <c r="AC669" s="28">
        <v>2</v>
      </c>
      <c r="AD669" s="28">
        <v>2</v>
      </c>
      <c r="AE669" s="28">
        <v>4</v>
      </c>
      <c r="AF669" s="28">
        <v>2</v>
      </c>
      <c r="AG669" s="28">
        <v>2</v>
      </c>
      <c r="AH669" s="29" t="s">
        <v>3966</v>
      </c>
      <c r="AI669" s="36">
        <f>IF(OR(AND(K669&lt;32, J669&lt;2), O669=1, P669=1, Q669=1, R669=1, S669=1, T669=1, U669=1, AND(W669&lt;&gt;"", W669&lt;&gt;"Oxygen", W669&lt;&gt;"LowFlow")), "Intensive", "Intermediate")</f>
      </c>
      <c r="AJ669" s="57">
        <f>IF(OR(LEFT(AH669, 1)="X", LEFT(AH669, 1)="Y", LEFT(AH669, 3)="J26M"), "CUSM", "No Match")</f>
      </c>
      <c r="AK669" s="57">
        <f>IF(AND(OR(O669=3, P669=1, Q669=1, T669=1), AJ669="no Match"), "CUSM, CHU SJ, CHUQ", "")</f>
      </c>
      <c r="AL669" s="57">
        <f>IF(AND(O669=2, ISBLANK(P669), ISBLANK(Q669), ISBLANK(R669), ISBLANK(S669), ISBLANK(T669)), "CUSM, CHU SJ, CHUS, CHUQ", "")</f>
      </c>
      <c r="AM669" s="57">
        <f>IF(AND(AJ669="no match", AK669="", AL669="", K669&lt;26), "CUSM, CHU SJ, HGJ, CHUQ, CHUS", "")</f>
      </c>
      <c r="AN669" s="57">
        <f>IF(AND(AJ669="no match", AK669="", AL669="", K669&gt;26), "CUSM, CHU SJ, HGJ, CHUQ, CHUS, HMR", "")</f>
      </c>
    </row>
    <row x14ac:dyDescent="0.25" r="670" customHeight="1" ht="17.25">
      <c r="A670" s="41" t="s">
        <v>3967</v>
      </c>
      <c r="B670" s="28">
        <v>2</v>
      </c>
      <c r="C670" s="35">
        <v>727</v>
      </c>
      <c r="D670" s="29" t="s">
        <v>992</v>
      </c>
      <c r="E670" s="30" t="s">
        <v>50</v>
      </c>
      <c r="F670" s="31">
        <v>45276</v>
      </c>
      <c r="G670" s="32">
        <v>4.65625</v>
      </c>
      <c r="H670" s="31">
        <v>45271</v>
      </c>
      <c r="I670" s="39"/>
      <c r="J670" s="33">
        <f>F670-H670</f>
      </c>
      <c r="K670" s="28">
        <v>40</v>
      </c>
      <c r="L670" s="28">
        <v>0</v>
      </c>
      <c r="M670" s="28">
        <v>1</v>
      </c>
      <c r="N670" s="38"/>
      <c r="O670" s="38"/>
      <c r="P670" s="38"/>
      <c r="Q670" s="34"/>
      <c r="R670" s="34"/>
      <c r="S670" s="56"/>
      <c r="T670" s="34"/>
      <c r="U670" s="34"/>
      <c r="V670" s="34"/>
      <c r="W670" s="29"/>
      <c r="X670" s="28">
        <v>31</v>
      </c>
      <c r="Y670" s="28">
        <v>1</v>
      </c>
      <c r="Z670" s="28">
        <v>3</v>
      </c>
      <c r="AA670" s="28">
        <v>3</v>
      </c>
      <c r="AB670" s="28">
        <v>4</v>
      </c>
      <c r="AC670" s="28">
        <v>2</v>
      </c>
      <c r="AD670" s="28">
        <v>2</v>
      </c>
      <c r="AE670" s="28">
        <v>4</v>
      </c>
      <c r="AF670" s="28">
        <v>3</v>
      </c>
      <c r="AG670" s="28">
        <v>2</v>
      </c>
      <c r="AH670" s="29" t="s">
        <v>3968</v>
      </c>
      <c r="AI670" s="36">
        <f>IF(OR(AND(K670&lt;32, J670&lt;2), O670=1, P670=1, Q670=1, R670=1, S670=1, T670=1, U670=1, AND(W670&lt;&gt;"", W670&lt;&gt;"Oxygen", W670&lt;&gt;"LowFlow")), "Intensive", "Intermediate")</f>
      </c>
      <c r="AJ670" s="57">
        <f>IF(OR(LEFT(AH670, 1)="X", LEFT(AH670, 1)="Y", LEFT(AH670, 3)="J27M"), "CUSM", "No Match")</f>
      </c>
      <c r="AK670" s="57">
        <f>IF(AND(OR(O670=3, P670=1, Q670=1, T670=1), AJ670="no Match"), "CUSM, CHU SJ, CHUQ", "")</f>
      </c>
      <c r="AL670" s="57">
        <f>IF(AND(O670=2, ISBLANK(P670), ISBLANK(Q670), ISBLANK(R670), ISBLANK(S670), ISBLANK(T670)), "CUSM, CHU SJ, CHUS, CHUQ", "")</f>
      </c>
      <c r="AM670" s="57">
        <f>IF(AND(AJ670="no match", AK670="", AL670="", K670&lt;26), "CUSM, CHU SJ, HGJ, CHUQ, CHUS", "")</f>
      </c>
      <c r="AN670" s="57">
        <f>IF(AND(AJ670="no match", AK670="", AL670="", K670&gt;26), "CUSM, CHU SJ, HGJ, CHUQ, CHUS, HMR", "")</f>
      </c>
    </row>
    <row x14ac:dyDescent="0.25" r="671" customHeight="1" ht="17.25">
      <c r="A671" s="41" t="s">
        <v>3969</v>
      </c>
      <c r="B671" s="28">
        <v>2</v>
      </c>
      <c r="C671" s="35">
        <v>825</v>
      </c>
      <c r="D671" s="29" t="s">
        <v>77</v>
      </c>
      <c r="E671" s="30" t="s">
        <v>54</v>
      </c>
      <c r="F671" s="31">
        <v>45278</v>
      </c>
      <c r="G671" s="32">
        <v>4.479166666666666</v>
      </c>
      <c r="H671" s="31">
        <v>45275</v>
      </c>
      <c r="I671" s="32">
        <v>4.729166666666666</v>
      </c>
      <c r="J671" s="33">
        <f>F671-H671</f>
      </c>
      <c r="K671" s="28">
        <v>39</v>
      </c>
      <c r="L671" s="28">
        <v>2</v>
      </c>
      <c r="M671" s="28">
        <v>1</v>
      </c>
      <c r="N671" s="38"/>
      <c r="O671" s="38"/>
      <c r="P671" s="38"/>
      <c r="Q671" s="34"/>
      <c r="R671" s="34"/>
      <c r="S671" s="56"/>
      <c r="T671" s="34"/>
      <c r="U671" s="38"/>
      <c r="V671" s="38"/>
      <c r="W671" s="29"/>
      <c r="X671" s="28">
        <v>38</v>
      </c>
      <c r="Y671" s="28">
        <v>1</v>
      </c>
      <c r="Z671" s="28">
        <v>2</v>
      </c>
      <c r="AA671" s="28">
        <v>1</v>
      </c>
      <c r="AB671" s="28">
        <v>4</v>
      </c>
      <c r="AC671" s="28">
        <v>2</v>
      </c>
      <c r="AD671" s="28">
        <v>2</v>
      </c>
      <c r="AE671" s="28">
        <v>4</v>
      </c>
      <c r="AF671" s="28">
        <v>1</v>
      </c>
      <c r="AG671" s="28">
        <v>2</v>
      </c>
      <c r="AH671" s="29" t="s">
        <v>3970</v>
      </c>
      <c r="AI671" s="36">
        <f>IF(OR(AND(K671&lt;32, J671&lt;2), O671=1, P671=1, Q671=1, R671=1, S671=1, T671=1, U671=1, AND(W671&lt;&gt;"", W671&lt;&gt;"Oxygen", W671&lt;&gt;"LowFlow")), "Intensive", "Intermediate")</f>
      </c>
      <c r="AJ671" s="57">
        <f>IF(OR(LEFT(AH671, 1)="X", LEFT(AH671, 1)="Y", LEFT(AH671, 3)="J28M"), "CUSM", "No Match")</f>
      </c>
      <c r="AK671" s="57">
        <f>IF(AND(OR(O671=3, P671=1, Q671=1, T671=1), AJ671="no Match"), "CUSM, CHU SJ, CHUQ", "")</f>
      </c>
      <c r="AL671" s="57">
        <f>IF(AND(O671=2, ISBLANK(P671), ISBLANK(Q671), ISBLANK(R671), ISBLANK(S671), ISBLANK(T671)), "CUSM, CHU SJ, CHUS, CHUQ", "")</f>
      </c>
      <c r="AM671" s="57">
        <f>IF(AND(AJ671="no match", AK671="", AL671="", K671&lt;26), "CUSM, CHU SJ, HGJ, CHUQ, CHUS", "")</f>
      </c>
      <c r="AN671" s="57">
        <f>IF(AND(AJ671="no match", AK671="", AL671="", K671&gt;26), "CUSM, CHU SJ, HGJ, CHUQ, CHUS, HMR", "")</f>
      </c>
    </row>
    <row x14ac:dyDescent="0.25" r="672" customHeight="1" ht="17.25">
      <c r="A672" s="41" t="s">
        <v>3971</v>
      </c>
      <c r="B672" s="28">
        <v>2</v>
      </c>
      <c r="C672" s="28">
        <v>831</v>
      </c>
      <c r="D672" s="29" t="s">
        <v>313</v>
      </c>
      <c r="E672" s="30" t="s">
        <v>50</v>
      </c>
      <c r="F672" s="31">
        <v>45278</v>
      </c>
      <c r="G672" s="32">
        <v>4.777777777777778</v>
      </c>
      <c r="H672" s="31">
        <v>45278</v>
      </c>
      <c r="I672" s="32">
        <v>4.322222222222223</v>
      </c>
      <c r="J672" s="33">
        <f>F672-H672</f>
      </c>
      <c r="K672" s="28">
        <v>39</v>
      </c>
      <c r="L672" s="28">
        <v>5</v>
      </c>
      <c r="M672" s="28">
        <v>1</v>
      </c>
      <c r="N672" s="28">
        <v>1</v>
      </c>
      <c r="O672" s="34"/>
      <c r="P672" s="38"/>
      <c r="Q672" s="34"/>
      <c r="R672" s="34"/>
      <c r="S672" s="56"/>
      <c r="T672" s="34"/>
      <c r="U672" s="34"/>
      <c r="V672" s="34"/>
      <c r="W672" s="29"/>
      <c r="X672" s="28">
        <v>30</v>
      </c>
      <c r="Y672" s="28">
        <v>1</v>
      </c>
      <c r="Z672" s="28">
        <v>1</v>
      </c>
      <c r="AA672" s="28">
        <v>2</v>
      </c>
      <c r="AB672" s="28">
        <v>1</v>
      </c>
      <c r="AC672" s="28">
        <v>2</v>
      </c>
      <c r="AD672" s="28">
        <v>2</v>
      </c>
      <c r="AE672" s="28">
        <v>4</v>
      </c>
      <c r="AF672" s="28">
        <v>2</v>
      </c>
      <c r="AG672" s="28">
        <v>2</v>
      </c>
      <c r="AH672" s="29" t="s">
        <v>1774</v>
      </c>
      <c r="AI672" s="36">
        <f>IF(OR(AND(K672&lt;32, J672&lt;2), O672=1, P672=1, Q672=1, R672=1, S672=1, T672=1, U672=1, AND(W672&lt;&gt;"", W672&lt;&gt;"Oxygen", W672&lt;&gt;"LowFlow")), "Intensive", "Intermediate")</f>
      </c>
      <c r="AJ672" s="57">
        <f>IF(OR(LEFT(AH672, 1)="X", LEFT(AH672, 1)="Y", LEFT(AH672, 3)="J29M"), "CUSM", "No Match")</f>
      </c>
      <c r="AK672" s="57">
        <f>IF(AND(OR(O672=3, P672=1, Q672=1, T672=1), AJ672="no Match"), "CUSM, CHU SJ, CHUQ", "")</f>
      </c>
      <c r="AL672" s="57">
        <f>IF(AND(O672=2, ISBLANK(P672), ISBLANK(Q672), ISBLANK(R672), ISBLANK(S672), ISBLANK(T672)), "CUSM, CHU SJ, CHUS, CHUQ", "")</f>
      </c>
      <c r="AM672" s="57">
        <f>IF(AND(AJ672="no match", AK672="", AL672="", K672&lt;26), "CUSM, CHU SJ, HGJ, CHUQ, CHUS", "")</f>
      </c>
      <c r="AN672" s="57">
        <f>IF(AND(AJ672="no match", AK672="", AL672="", K672&gt;26), "CUSM, CHU SJ, HGJ, CHUQ, CHUS, HMR", "")</f>
      </c>
    </row>
    <row x14ac:dyDescent="0.25" r="673" customHeight="1" ht="17.25">
      <c r="A673" s="41" t="s">
        <v>3972</v>
      </c>
      <c r="B673" s="28">
        <v>2</v>
      </c>
      <c r="C673" s="35">
        <v>808</v>
      </c>
      <c r="D673" s="29" t="s">
        <v>764</v>
      </c>
      <c r="E673" s="30" t="s">
        <v>149</v>
      </c>
      <c r="F673" s="31">
        <v>45279</v>
      </c>
      <c r="G673" s="32">
        <v>4.35</v>
      </c>
      <c r="H673" s="31">
        <v>45279</v>
      </c>
      <c r="I673" s="32">
        <v>4.108333333333333</v>
      </c>
      <c r="J673" s="33">
        <f>F673-H673</f>
      </c>
      <c r="K673" s="28">
        <v>32</v>
      </c>
      <c r="L673" s="28">
        <v>0</v>
      </c>
      <c r="M673" s="28">
        <v>1</v>
      </c>
      <c r="N673" s="34"/>
      <c r="O673" s="34"/>
      <c r="P673" s="34"/>
      <c r="Q673" s="34"/>
      <c r="R673" s="34"/>
      <c r="S673" s="56"/>
      <c r="T673" s="35">
        <v>1</v>
      </c>
      <c r="U673" s="34"/>
      <c r="V673" s="34"/>
      <c r="W673" s="29" t="s">
        <v>74</v>
      </c>
      <c r="X673" s="28">
        <v>24</v>
      </c>
      <c r="Y673" s="28">
        <v>1</v>
      </c>
      <c r="Z673" s="28">
        <v>2</v>
      </c>
      <c r="AA673" s="28">
        <v>3</v>
      </c>
      <c r="AB673" s="28">
        <v>4</v>
      </c>
      <c r="AC673" s="28">
        <v>2</v>
      </c>
      <c r="AD673" s="28">
        <v>2</v>
      </c>
      <c r="AE673" s="28">
        <v>4</v>
      </c>
      <c r="AF673" s="28">
        <v>3</v>
      </c>
      <c r="AG673" s="28">
        <v>2</v>
      </c>
      <c r="AH673" s="29" t="s">
        <v>3973</v>
      </c>
      <c r="AI673" s="36">
        <f>IF(OR(AND(K673&lt;32, J673&lt;2), O673=1, P673=1, Q673=1, R673=1, S673=1, T673=1, U673=1, AND(W673&lt;&gt;"", W673&lt;&gt;"Oxygen", W673&lt;&gt;"LowFlow")), "Intensive", "Intermediate")</f>
      </c>
      <c r="AJ673" s="57">
        <f>IF(OR(LEFT(AH673, 1)="X", LEFT(AH673, 1)="Y", LEFT(AH673, 3)="J30M"), "CUSM", "No Match")</f>
      </c>
      <c r="AK673" s="57">
        <f>IF(AND(OR(O673=3, P673=1, Q673=1, T673=1), AJ673="no Match"), "CUSM, CHU SJ, CHUQ", "")</f>
      </c>
      <c r="AL673" s="57">
        <f>IF(AND(O673=2, ISBLANK(P673), ISBLANK(Q673), ISBLANK(R673), ISBLANK(S673), ISBLANK(T673)), "CUSM, CHU SJ, CHUS, CHUQ", "")</f>
      </c>
      <c r="AM673" s="57">
        <f>IF(AND(AJ673="no match", AK673="", AL673="", K673&lt;26), "CUSM, CHU SJ, HGJ, CHUQ, CHUS", "")</f>
      </c>
      <c r="AN673" s="57">
        <f>IF(AND(AJ673="no match", AK673="", AL673="", K673&gt;26), "CUSM, CHU SJ, HGJ, CHUQ, CHUS, HMR", "")</f>
      </c>
    </row>
    <row x14ac:dyDescent="0.25" r="674" customHeight="1" ht="17.25">
      <c r="A674" s="41" t="s">
        <v>3974</v>
      </c>
      <c r="B674" s="28">
        <v>2</v>
      </c>
      <c r="C674" s="28">
        <v>730</v>
      </c>
      <c r="D674" s="29" t="s">
        <v>81</v>
      </c>
      <c r="E674" s="30" t="s">
        <v>50</v>
      </c>
      <c r="F674" s="31">
        <v>45279</v>
      </c>
      <c r="G674" s="32">
        <v>4.645833333333334</v>
      </c>
      <c r="H674" s="31">
        <v>45279</v>
      </c>
      <c r="I674" s="32">
        <v>4.464583333333334</v>
      </c>
      <c r="J674" s="33">
        <f>F674-H674</f>
      </c>
      <c r="K674" s="28">
        <v>38</v>
      </c>
      <c r="L674" s="28">
        <v>0</v>
      </c>
      <c r="M674" s="28">
        <v>1</v>
      </c>
      <c r="N674" s="35">
        <v>1</v>
      </c>
      <c r="O674" s="34"/>
      <c r="P674" s="35">
        <v>1</v>
      </c>
      <c r="Q674" s="34"/>
      <c r="R674" s="34"/>
      <c r="S674" s="56"/>
      <c r="T674" s="35">
        <v>1</v>
      </c>
      <c r="U674" s="34"/>
      <c r="V674" s="35">
        <v>1</v>
      </c>
      <c r="W674" s="29" t="s">
        <v>74</v>
      </c>
      <c r="X674" s="28">
        <v>29</v>
      </c>
      <c r="Y674" s="28">
        <v>1</v>
      </c>
      <c r="Z674" s="28">
        <v>2</v>
      </c>
      <c r="AA674" s="28">
        <v>1</v>
      </c>
      <c r="AB674" s="28">
        <v>1</v>
      </c>
      <c r="AC674" s="28">
        <v>2</v>
      </c>
      <c r="AD674" s="28">
        <v>1</v>
      </c>
      <c r="AE674" s="28">
        <v>4</v>
      </c>
      <c r="AF674" s="28">
        <v>3</v>
      </c>
      <c r="AG674" s="28">
        <v>2</v>
      </c>
      <c r="AH674" s="29" t="s">
        <v>3975</v>
      </c>
      <c r="AI674" s="36">
        <f>IF(OR(AND(K674&lt;32, J674&lt;2), O674=1, P674=1, Q674=1, R674=1, S674=1, T674=1, U674=1, AND(W674&lt;&gt;"", W674&lt;&gt;"Oxygen", W674&lt;&gt;"LowFlow")), "Intensive", "Intermediate")</f>
      </c>
      <c r="AJ674" s="57">
        <f>IF(OR(LEFT(AH674, 1)="X", LEFT(AH674, 1)="Y", LEFT(AH674, 3)="J31M"), "CUSM", "No Match")</f>
      </c>
      <c r="AK674" s="57">
        <f>IF(AND(OR(O674=3, P674=1, Q674=1, T674=1), AJ674="no Match"), "CUSM, CHU SJ, CHUQ", "")</f>
      </c>
      <c r="AL674" s="57">
        <f>IF(AND(O674=2, ISBLANK(P674), ISBLANK(Q674), ISBLANK(R674), ISBLANK(S674), ISBLANK(T674)), "CUSM, CHU SJ, CHUS, CHUQ", "")</f>
      </c>
      <c r="AM674" s="57">
        <f>IF(AND(AJ674="no match", AK674="", AL674="", K674&lt;26), "CUSM, CHU SJ, HGJ, CHUQ, CHUS", "")</f>
      </c>
      <c r="AN674" s="57">
        <f>IF(AND(AJ674="no match", AK674="", AL674="", K674&gt;26), "CUSM, CHU SJ, HGJ, CHUQ, CHUS, HMR", "")</f>
      </c>
    </row>
    <row x14ac:dyDescent="0.25" r="675" customHeight="1" ht="17.25">
      <c r="A675" s="41" t="s">
        <v>3976</v>
      </c>
      <c r="B675" s="28">
        <v>2</v>
      </c>
      <c r="C675" s="35">
        <v>831</v>
      </c>
      <c r="D675" s="29" t="s">
        <v>313</v>
      </c>
      <c r="E675" s="30" t="s">
        <v>54</v>
      </c>
      <c r="F675" s="31">
        <v>45280</v>
      </c>
      <c r="G675" s="32">
        <v>4.708333333333334</v>
      </c>
      <c r="H675" s="31">
        <v>45276</v>
      </c>
      <c r="I675" s="32">
        <v>4.0680555555555555</v>
      </c>
      <c r="J675" s="33">
        <f>F675-H675</f>
      </c>
      <c r="K675" s="28">
        <v>39</v>
      </c>
      <c r="L675" s="28">
        <v>3</v>
      </c>
      <c r="M675" s="28">
        <v>2</v>
      </c>
      <c r="N675" s="35">
        <v>1</v>
      </c>
      <c r="O675" s="34"/>
      <c r="P675" s="35">
        <v>1</v>
      </c>
      <c r="Q675" s="34"/>
      <c r="R675" s="34"/>
      <c r="S675" s="56"/>
      <c r="T675" s="34"/>
      <c r="U675" s="34"/>
      <c r="V675" s="34"/>
      <c r="W675" s="29"/>
      <c r="X675" s="28">
        <v>25</v>
      </c>
      <c r="Y675" s="28">
        <v>1</v>
      </c>
      <c r="Z675" s="28">
        <v>1</v>
      </c>
      <c r="AA675" s="28">
        <v>2</v>
      </c>
      <c r="AB675" s="28">
        <v>1</v>
      </c>
      <c r="AC675" s="28">
        <v>2</v>
      </c>
      <c r="AD675" s="28">
        <v>1</v>
      </c>
      <c r="AE675" s="28">
        <v>4</v>
      </c>
      <c r="AF675" s="28">
        <v>2</v>
      </c>
      <c r="AG675" s="28">
        <v>2</v>
      </c>
      <c r="AH675" s="29" t="s">
        <v>3977</v>
      </c>
      <c r="AI675" s="36">
        <f>IF(OR(AND(K675&lt;32, J675&lt;2), O675=1, P675=1, Q675=1, R675=1, S675=1, T675=1, U675=1, AND(W675&lt;&gt;"", W675&lt;&gt;"Oxygen", W675&lt;&gt;"LowFlow")), "Intensive", "Intermediate")</f>
      </c>
      <c r="AJ675" s="57">
        <f>IF(OR(LEFT(AH675, 1)="X", LEFT(AH675, 1)="Y", LEFT(AH675, 3)="J32M"), "CUSM", "No Match")</f>
      </c>
      <c r="AK675" s="57">
        <f>IF(AND(OR(O675=3, P675=1, Q675=1, T675=1), AJ675="no Match"), "CUSM, CHU SJ, CHUQ", "")</f>
      </c>
      <c r="AL675" s="57">
        <f>IF(AND(O675=2, ISBLANK(P675), ISBLANK(Q675), ISBLANK(R675), ISBLANK(S675), ISBLANK(T675)), "CUSM, CHU SJ, CHUS, CHUQ", "")</f>
      </c>
      <c r="AM675" s="57">
        <f>IF(AND(AJ675="no match", AK675="", AL675="", K675&lt;26), "CUSM, CHU SJ, HGJ, CHUQ, CHUS", "")</f>
      </c>
      <c r="AN675" s="57">
        <f>IF(AND(AJ675="no match", AK675="", AL675="", K675&gt;26), "CUSM, CHU SJ, HGJ, CHUQ, CHUS, HMR", "")</f>
      </c>
    </row>
    <row x14ac:dyDescent="0.25" r="676" customHeight="1" ht="17.25">
      <c r="A676" s="41" t="s">
        <v>3978</v>
      </c>
      <c r="B676" s="28">
        <v>2</v>
      </c>
      <c r="C676" s="35">
        <v>754</v>
      </c>
      <c r="D676" s="29" t="s">
        <v>504</v>
      </c>
      <c r="E676" s="30" t="s">
        <v>149</v>
      </c>
      <c r="F676" s="31">
        <v>45281</v>
      </c>
      <c r="G676" s="32">
        <v>4.708333333333334</v>
      </c>
      <c r="H676" s="31">
        <v>45280</v>
      </c>
      <c r="I676" s="32">
        <v>4.545138888888889</v>
      </c>
      <c r="J676" s="33">
        <f>F676-H676</f>
      </c>
      <c r="K676" s="28">
        <v>32</v>
      </c>
      <c r="L676" s="28">
        <v>0</v>
      </c>
      <c r="M676" s="28">
        <v>2</v>
      </c>
      <c r="N676" s="38"/>
      <c r="O676" s="38"/>
      <c r="P676" s="34"/>
      <c r="Q676" s="38"/>
      <c r="R676" s="34"/>
      <c r="S676" s="56"/>
      <c r="T676" s="34"/>
      <c r="U676" s="35">
        <v>1</v>
      </c>
      <c r="V676" s="35">
        <v>1</v>
      </c>
      <c r="W676" s="29" t="s">
        <v>70</v>
      </c>
      <c r="X676" s="28">
        <v>38</v>
      </c>
      <c r="Y676" s="28">
        <v>1</v>
      </c>
      <c r="Z676" s="28">
        <v>2</v>
      </c>
      <c r="AA676" s="28">
        <v>3</v>
      </c>
      <c r="AB676" s="28">
        <v>4</v>
      </c>
      <c r="AC676" s="28">
        <v>1</v>
      </c>
      <c r="AD676" s="28">
        <v>3</v>
      </c>
      <c r="AE676" s="28">
        <v>4</v>
      </c>
      <c r="AF676" s="28">
        <v>3</v>
      </c>
      <c r="AG676" s="28">
        <v>2</v>
      </c>
      <c r="AH676" s="29" t="s">
        <v>3979</v>
      </c>
      <c r="AI676" s="36">
        <f>IF(OR(AND(K676&lt;32, J676&lt;2), O676=1, P676=1, Q676=1, R676=1, S676=1, T676=1, U676=1, AND(W676&lt;&gt;"", W676&lt;&gt;"Oxygen", W676&lt;&gt;"LowFlow")), "Intensive", "Intermediate")</f>
      </c>
      <c r="AJ676" s="57">
        <f>IF(OR(LEFT(AH676, 1)="X", LEFT(AH676, 1)="Y", LEFT(AH676, 3)="J33M"), "CUSM", "No Match")</f>
      </c>
      <c r="AK676" s="57">
        <f>IF(AND(OR(O676=3, P676=1, Q676=1, T676=1), AJ676="no Match"), "CUSM, CHU SJ, CHUQ", "")</f>
      </c>
      <c r="AL676" s="57">
        <f>IF(AND(O676=2, ISBLANK(P676), ISBLANK(Q676), ISBLANK(R676), ISBLANK(S676), ISBLANK(T676)), "CUSM, CHU SJ, CHUS, CHUQ", "")</f>
      </c>
      <c r="AM676" s="57">
        <f>IF(AND(AJ676="no match", AK676="", AL676="", K676&lt;26), "CUSM, CHU SJ, HGJ, CHUQ, CHUS", "")</f>
      </c>
      <c r="AN676" s="57">
        <f>IF(AND(AJ676="no match", AK676="", AL676="", K676&gt;26), "CUSM, CHU SJ, HGJ, CHUQ, CHUS, HMR", "")</f>
      </c>
    </row>
    <row x14ac:dyDescent="0.25" r="677" customHeight="1" ht="17.25">
      <c r="A677" s="41" t="s">
        <v>3980</v>
      </c>
      <c r="B677" s="28">
        <v>2</v>
      </c>
      <c r="C677" s="28">
        <v>809</v>
      </c>
      <c r="D677" s="29" t="s">
        <v>117</v>
      </c>
      <c r="E677" s="30" t="s">
        <v>118</v>
      </c>
      <c r="F677" s="31">
        <v>45282</v>
      </c>
      <c r="G677" s="32">
        <v>4.53125</v>
      </c>
      <c r="H677" s="31">
        <v>45282</v>
      </c>
      <c r="I677" s="32">
        <v>4.311805555555555</v>
      </c>
      <c r="J677" s="33">
        <f>F677-H677</f>
      </c>
      <c r="K677" s="28">
        <v>32</v>
      </c>
      <c r="L677" s="28">
        <v>1</v>
      </c>
      <c r="M677" s="28">
        <v>2</v>
      </c>
      <c r="N677" s="28">
        <v>1</v>
      </c>
      <c r="O677" s="38"/>
      <c r="P677" s="38"/>
      <c r="Q677" s="35">
        <v>1</v>
      </c>
      <c r="R677" s="34"/>
      <c r="S677" s="56"/>
      <c r="T677" s="34"/>
      <c r="U677" s="34"/>
      <c r="V677" s="34"/>
      <c r="W677" s="29" t="s">
        <v>58</v>
      </c>
      <c r="X677" s="28">
        <v>19</v>
      </c>
      <c r="Y677" s="28">
        <v>1</v>
      </c>
      <c r="Z677" s="28">
        <v>1</v>
      </c>
      <c r="AA677" s="28">
        <v>2</v>
      </c>
      <c r="AB677" s="28">
        <v>1</v>
      </c>
      <c r="AC677" s="28">
        <v>2</v>
      </c>
      <c r="AD677" s="28">
        <v>2</v>
      </c>
      <c r="AE677" s="28">
        <v>4</v>
      </c>
      <c r="AF677" s="28">
        <v>2</v>
      </c>
      <c r="AG677" s="28">
        <v>2</v>
      </c>
      <c r="AH677" s="29" t="s">
        <v>3981</v>
      </c>
      <c r="AI677" s="36">
        <f>IF(OR(AND(K677&lt;32, J677&lt;2), O677=1, P677=1, Q677=1, R677=1, S677=1, T677=1, U677=1, AND(W677&lt;&gt;"", W677&lt;&gt;"Oxygen", W677&lt;&gt;"LowFlow")), "Intensive", "Intermediate")</f>
      </c>
      <c r="AJ677" s="57">
        <f>IF(OR(LEFT(AH677, 1)="X", LEFT(AH677, 1)="Y", LEFT(AH677, 3)="J34M"), "CUSM", "No Match")</f>
      </c>
      <c r="AK677" s="57">
        <f>IF(AND(OR(O677=3, P677=1, Q677=1, T677=1), AJ677="no Match"), "CUSM, CHU SJ, CHUQ", "")</f>
      </c>
      <c r="AL677" s="57">
        <f>IF(AND(O677=2, ISBLANK(P677), ISBLANK(Q677), ISBLANK(R677), ISBLANK(S677), ISBLANK(T677)), "CUSM, CHU SJ, CHUS, CHUQ", "")</f>
      </c>
      <c r="AM677" s="57">
        <f>IF(AND(AJ677="no match", AK677="", AL677="", K677&lt;26), "CUSM, CHU SJ, HGJ, CHUQ, CHUS", "")</f>
      </c>
      <c r="AN677" s="57">
        <f>IF(AND(AJ677="no match", AK677="", AL677="", K677&gt;26), "CUSM, CHU SJ, HGJ, CHUQ, CHUS, HMR", "")</f>
      </c>
    </row>
    <row x14ac:dyDescent="0.25" r="678" customHeight="1" ht="17.25">
      <c r="A678" s="41" t="s">
        <v>3982</v>
      </c>
      <c r="B678" s="28">
        <v>2</v>
      </c>
      <c r="C678" s="28">
        <v>734</v>
      </c>
      <c r="D678" s="29" t="s">
        <v>264</v>
      </c>
      <c r="E678" s="30" t="s">
        <v>54</v>
      </c>
      <c r="F678" s="31">
        <v>45282</v>
      </c>
      <c r="G678" s="32">
        <v>4.673611111111111</v>
      </c>
      <c r="H678" s="31">
        <v>45282</v>
      </c>
      <c r="I678" s="32">
        <v>4.561111111111111</v>
      </c>
      <c r="J678" s="33">
        <f>F678-H678</f>
      </c>
      <c r="K678" s="28">
        <v>39</v>
      </c>
      <c r="L678" s="28">
        <v>4</v>
      </c>
      <c r="M678" s="28">
        <v>1</v>
      </c>
      <c r="N678" s="28">
        <v>1</v>
      </c>
      <c r="O678" s="38"/>
      <c r="P678" s="28">
        <v>1</v>
      </c>
      <c r="Q678" s="34"/>
      <c r="R678" s="38"/>
      <c r="S678" s="56"/>
      <c r="T678" s="34"/>
      <c r="U678" s="34"/>
      <c r="V678" s="34"/>
      <c r="W678" s="29"/>
      <c r="X678" s="28">
        <v>38</v>
      </c>
      <c r="Y678" s="28">
        <v>1</v>
      </c>
      <c r="Z678" s="28">
        <v>2</v>
      </c>
      <c r="AA678" s="28">
        <v>3</v>
      </c>
      <c r="AB678" s="28">
        <v>2</v>
      </c>
      <c r="AC678" s="28">
        <v>2</v>
      </c>
      <c r="AD678" s="28">
        <v>2</v>
      </c>
      <c r="AE678" s="28">
        <v>4</v>
      </c>
      <c r="AF678" s="28">
        <v>3</v>
      </c>
      <c r="AG678" s="28">
        <v>2</v>
      </c>
      <c r="AH678" s="29" t="s">
        <v>3983</v>
      </c>
      <c r="AI678" s="36">
        <f>IF(OR(AND(K678&lt;32, J678&lt;2), O678=1, P678=1, Q678=1, R678=1, S678=1, T678=1, U678=1, AND(W678&lt;&gt;"", W678&lt;&gt;"Oxygen", W678&lt;&gt;"LowFlow")), "Intensive", "Intermediate")</f>
      </c>
      <c r="AJ678" s="57">
        <f>IF(OR(LEFT(AH678, 1)="X", LEFT(AH678, 1)="Y", LEFT(AH678, 3)="J35M"), "CUSM", "No Match")</f>
      </c>
      <c r="AK678" s="57">
        <f>IF(AND(OR(O678=3, P678=1, Q678=1, T678=1), AJ678="no Match"), "CUSM, CHU SJ, CHUQ", "")</f>
      </c>
      <c r="AL678" s="57">
        <f>IF(AND(O678=2, ISBLANK(P678), ISBLANK(Q678), ISBLANK(R678), ISBLANK(S678), ISBLANK(T678)), "CUSM, CHU SJ, CHUS, CHUQ", "")</f>
      </c>
      <c r="AM678" s="57">
        <f>IF(AND(AJ678="no match", AK678="", AL678="", K678&lt;26), "CUSM, CHU SJ, HGJ, CHUQ, CHUS", "")</f>
      </c>
      <c r="AN678" s="57">
        <f>IF(AND(AJ678="no match", AK678="", AL678="", K678&gt;26), "CUSM, CHU SJ, HGJ, CHUQ, CHUS, HMR", "")</f>
      </c>
    </row>
    <row x14ac:dyDescent="0.25" r="679" customHeight="1" ht="17.25">
      <c r="A679" s="41" t="s">
        <v>3984</v>
      </c>
      <c r="B679" s="28">
        <v>2</v>
      </c>
      <c r="C679" s="28">
        <v>779</v>
      </c>
      <c r="D679" s="29" t="s">
        <v>136</v>
      </c>
      <c r="E679" s="30" t="s">
        <v>54</v>
      </c>
      <c r="F679" s="31">
        <v>45283</v>
      </c>
      <c r="G679" s="32">
        <v>4.46875</v>
      </c>
      <c r="H679" s="31">
        <v>45282</v>
      </c>
      <c r="I679" s="32">
        <v>4.422916666666667</v>
      </c>
      <c r="J679" s="33">
        <f>F679-H679</f>
      </c>
      <c r="K679" s="28">
        <v>38</v>
      </c>
      <c r="L679" s="28">
        <v>2</v>
      </c>
      <c r="M679" s="28">
        <v>1</v>
      </c>
      <c r="N679" s="34"/>
      <c r="O679" s="34"/>
      <c r="P679" s="34"/>
      <c r="Q679" s="34"/>
      <c r="R679" s="34"/>
      <c r="S679" s="56"/>
      <c r="T679" s="34"/>
      <c r="U679" s="34"/>
      <c r="V679" s="34"/>
      <c r="W679" s="29" t="s">
        <v>74</v>
      </c>
      <c r="X679" s="28">
        <v>31</v>
      </c>
      <c r="Y679" s="28">
        <v>1</v>
      </c>
      <c r="Z679" s="28">
        <v>2</v>
      </c>
      <c r="AA679" s="28">
        <v>2</v>
      </c>
      <c r="AB679" s="28">
        <v>1</v>
      </c>
      <c r="AC679" s="28">
        <v>2</v>
      </c>
      <c r="AD679" s="28">
        <v>2</v>
      </c>
      <c r="AE679" s="28">
        <v>4</v>
      </c>
      <c r="AF679" s="28">
        <v>2</v>
      </c>
      <c r="AG679" s="28">
        <v>2</v>
      </c>
      <c r="AH679" s="29" t="s">
        <v>3985</v>
      </c>
      <c r="AI679" s="36">
        <f>IF(OR(AND(K679&lt;32, J679&lt;2), O679=1, P679=1, Q679=1, R679=1, S679=1, T679=1, U679=1, AND(W679&lt;&gt;"", W679&lt;&gt;"Oxygen", W679&lt;&gt;"LowFlow")), "Intensive", "Intermediate")</f>
      </c>
      <c r="AJ679" s="57">
        <f>IF(OR(LEFT(AH679, 1)="X", LEFT(AH679, 1)="Y", LEFT(AH679, 3)="J36M"), "CUSM", "No Match")</f>
      </c>
      <c r="AK679" s="57">
        <f>IF(AND(OR(O679=3, P679=1, Q679=1, T679=1), AJ679="no Match"), "CUSM, CHU SJ, CHUQ", "")</f>
      </c>
      <c r="AL679" s="57">
        <f>IF(AND(O679=2, ISBLANK(P679), ISBLANK(Q679), ISBLANK(R679), ISBLANK(S679), ISBLANK(T679)), "CUSM, CHU SJ, CHUS, CHUQ", "")</f>
      </c>
      <c r="AM679" s="57">
        <f>IF(AND(AJ679="no match", AK679="", AL679="", K679&lt;26), "CUSM, CHU SJ, HGJ, CHUQ, CHUS", "")</f>
      </c>
      <c r="AN679" s="57">
        <f>IF(AND(AJ679="no match", AK679="", AL679="", K679&gt;26), "CUSM, CHU SJ, HGJ, CHUQ, CHUS, HMR", "")</f>
      </c>
    </row>
    <row x14ac:dyDescent="0.25" r="680" customHeight="1" ht="17.25">
      <c r="A680" s="41" t="s">
        <v>3986</v>
      </c>
      <c r="B680" s="28">
        <v>2</v>
      </c>
      <c r="C680" s="28">
        <v>820</v>
      </c>
      <c r="D680" s="29" t="s">
        <v>69</v>
      </c>
      <c r="E680" s="30" t="s">
        <v>54</v>
      </c>
      <c r="F680" s="31">
        <v>45283</v>
      </c>
      <c r="G680" s="32">
        <v>4.0625</v>
      </c>
      <c r="H680" s="31">
        <v>45282</v>
      </c>
      <c r="I680" s="32">
        <v>4.457638888888889</v>
      </c>
      <c r="J680" s="33">
        <f>F680-H680</f>
      </c>
      <c r="K680" s="28">
        <v>39</v>
      </c>
      <c r="L680" s="28">
        <v>4</v>
      </c>
      <c r="M680" s="28">
        <v>1</v>
      </c>
      <c r="N680" s="34"/>
      <c r="O680" s="34"/>
      <c r="P680" s="34"/>
      <c r="Q680" s="34"/>
      <c r="R680" s="34"/>
      <c r="S680" s="56"/>
      <c r="T680" s="34"/>
      <c r="U680" s="34"/>
      <c r="V680" s="34"/>
      <c r="W680" s="29"/>
      <c r="X680" s="28">
        <v>34</v>
      </c>
      <c r="Y680" s="28">
        <v>1</v>
      </c>
      <c r="Z680" s="28">
        <v>1</v>
      </c>
      <c r="AA680" s="28">
        <v>2</v>
      </c>
      <c r="AB680" s="28">
        <v>1</v>
      </c>
      <c r="AC680" s="28">
        <v>2</v>
      </c>
      <c r="AD680" s="28">
        <v>2</v>
      </c>
      <c r="AE680" s="28">
        <v>4</v>
      </c>
      <c r="AF680" s="28">
        <v>2</v>
      </c>
      <c r="AG680" s="28">
        <v>2</v>
      </c>
      <c r="AH680" s="29" t="s">
        <v>3987</v>
      </c>
      <c r="AI680" s="36">
        <f>IF(OR(AND(K680&lt;32, J680&lt;2), O680=1, P680=1, Q680=1, R680=1, S680=1, T680=1, U680=1, AND(W680&lt;&gt;"", W680&lt;&gt;"Oxygen", W680&lt;&gt;"LowFlow")), "Intensive", "Intermediate")</f>
      </c>
      <c r="AJ680" s="57">
        <f>IF(OR(LEFT(AH680, 1)="X", LEFT(AH680, 1)="Y", LEFT(AH680, 3)="J37M"), "CUSM", "No Match")</f>
      </c>
      <c r="AK680" s="57">
        <f>IF(AND(OR(O680=3, P680=1, Q680=1, T680=1), AJ680="no Match"), "CUSM, CHU SJ, CHUQ", "")</f>
      </c>
      <c r="AL680" s="57">
        <f>IF(AND(O680=2, ISBLANK(P680), ISBLANK(Q680), ISBLANK(R680), ISBLANK(S680), ISBLANK(T680)), "CUSM, CHU SJ, CHUS, CHUQ", "")</f>
      </c>
      <c r="AM680" s="57">
        <f>IF(AND(AJ680="no match", AK680="", AL680="", K680&lt;26), "CUSM, CHU SJ, HGJ, CHUQ, CHUS", "")</f>
      </c>
      <c r="AN680" s="57">
        <f>IF(AND(AJ680="no match", AK680="", AL680="", K680&gt;26), "CUSM, CHU SJ, HGJ, CHUQ, CHUS, HMR", "")</f>
      </c>
    </row>
    <row x14ac:dyDescent="0.25" r="681" customHeight="1" ht="17.25">
      <c r="A681" s="41" t="s">
        <v>3988</v>
      </c>
      <c r="B681" s="28">
        <v>2</v>
      </c>
      <c r="C681" s="35">
        <v>730</v>
      </c>
      <c r="D681" s="29" t="s">
        <v>81</v>
      </c>
      <c r="E681" s="30" t="s">
        <v>54</v>
      </c>
      <c r="F681" s="31">
        <v>45287</v>
      </c>
      <c r="G681" s="32">
        <v>4.548611111111111</v>
      </c>
      <c r="H681" s="31">
        <v>45283</v>
      </c>
      <c r="I681" s="32">
        <v>4.908333333333333</v>
      </c>
      <c r="J681" s="33">
        <f>F681-H681</f>
      </c>
      <c r="K681" s="28">
        <v>41</v>
      </c>
      <c r="L681" s="28">
        <v>5</v>
      </c>
      <c r="M681" s="28">
        <v>2</v>
      </c>
      <c r="N681" s="38"/>
      <c r="O681" s="34"/>
      <c r="P681" s="38"/>
      <c r="Q681" s="34"/>
      <c r="R681" s="34"/>
      <c r="S681" s="56"/>
      <c r="T681" s="34"/>
      <c r="U681" s="34"/>
      <c r="V681" s="34"/>
      <c r="W681" s="29"/>
      <c r="X681" s="28">
        <v>35</v>
      </c>
      <c r="Y681" s="28">
        <v>1</v>
      </c>
      <c r="Z681" s="28">
        <v>2</v>
      </c>
      <c r="AA681" s="28">
        <v>3</v>
      </c>
      <c r="AB681" s="28">
        <v>1</v>
      </c>
      <c r="AC681" s="28">
        <v>2</v>
      </c>
      <c r="AD681" s="28">
        <v>2</v>
      </c>
      <c r="AE681" s="28">
        <v>4</v>
      </c>
      <c r="AF681" s="28">
        <v>3</v>
      </c>
      <c r="AG681" s="28">
        <v>2</v>
      </c>
      <c r="AH681" s="29" t="s">
        <v>3989</v>
      </c>
      <c r="AI681" s="36">
        <f>IF(OR(AND(K681&lt;32, J681&lt;2), O681=1, P681=1, Q681=1, R681=1, S681=1, T681=1, U681=1, AND(W681&lt;&gt;"", W681&lt;&gt;"Oxygen", W681&lt;&gt;"LowFlow")), "Intensive", "Intermediate")</f>
      </c>
      <c r="AJ681" s="57">
        <f>IF(OR(LEFT(AH681, 1)="X", LEFT(AH681, 1)="Y", LEFT(AH681, 3)="J38M"), "CUSM", "No Match")</f>
      </c>
      <c r="AK681" s="57">
        <f>IF(AND(OR(O681=3, P681=1, Q681=1, T681=1), AJ681="no Match"), "CUSM, CHU SJ, CHUQ", "")</f>
      </c>
      <c r="AL681" s="57">
        <f>IF(AND(O681=2, ISBLANK(P681), ISBLANK(Q681), ISBLANK(R681), ISBLANK(S681), ISBLANK(T681)), "CUSM, CHU SJ, CHUS, CHUQ", "")</f>
      </c>
      <c r="AM681" s="57">
        <f>IF(AND(AJ681="no match", AK681="", AL681="", K681&lt;26), "CUSM, CHU SJ, HGJ, CHUQ, CHUS", "")</f>
      </c>
      <c r="AN681" s="57">
        <f>IF(AND(AJ681="no match", AK681="", AL681="", K681&gt;26), "CUSM, CHU SJ, HGJ, CHUQ, CHUS, HMR", "")</f>
      </c>
    </row>
    <row x14ac:dyDescent="0.25" r="682" customHeight="1" ht="17.25">
      <c r="A682" s="41" t="s">
        <v>3990</v>
      </c>
      <c r="B682" s="28">
        <v>2</v>
      </c>
      <c r="C682" s="35">
        <v>817</v>
      </c>
      <c r="D682" s="29" t="s">
        <v>163</v>
      </c>
      <c r="E682" s="30" t="s">
        <v>54</v>
      </c>
      <c r="F682" s="31">
        <v>45288</v>
      </c>
      <c r="G682" s="32">
        <v>4.020833333333334</v>
      </c>
      <c r="H682" s="31">
        <v>45286</v>
      </c>
      <c r="I682" s="32">
        <v>4.946527777777778</v>
      </c>
      <c r="J682" s="33">
        <f>F682-H682</f>
      </c>
      <c r="K682" s="28">
        <v>39</v>
      </c>
      <c r="L682" s="28">
        <v>1</v>
      </c>
      <c r="M682" s="28">
        <v>2</v>
      </c>
      <c r="N682" s="28">
        <v>1</v>
      </c>
      <c r="O682" s="34"/>
      <c r="P682" s="28">
        <v>1</v>
      </c>
      <c r="Q682" s="34"/>
      <c r="R682" s="34"/>
      <c r="S682" s="56"/>
      <c r="T682" s="34"/>
      <c r="U682" s="34"/>
      <c r="V682" s="34"/>
      <c r="W682" s="29"/>
      <c r="X682" s="28">
        <v>29</v>
      </c>
      <c r="Y682" s="28">
        <v>1</v>
      </c>
      <c r="Z682" s="28">
        <v>2</v>
      </c>
      <c r="AA682" s="28">
        <v>3</v>
      </c>
      <c r="AB682" s="28">
        <v>1</v>
      </c>
      <c r="AC682" s="28">
        <v>2</v>
      </c>
      <c r="AD682" s="28">
        <v>2</v>
      </c>
      <c r="AE682" s="28">
        <v>4</v>
      </c>
      <c r="AF682" s="28">
        <v>1</v>
      </c>
      <c r="AG682" s="28">
        <v>3</v>
      </c>
      <c r="AH682" s="29" t="s">
        <v>1901</v>
      </c>
      <c r="AI682" s="36">
        <f>IF(OR(AND(K682&lt;32, J682&lt;2), O682=1, P682=1, Q682=1, R682=1, S682=1, T682=1, U682=1, AND(W682&lt;&gt;"", W682&lt;&gt;"Oxygen", W682&lt;&gt;"LowFlow")), "Intensive", "Intermediate")</f>
      </c>
      <c r="AJ682" s="57">
        <f>IF(OR(LEFT(AH682, 1)="X", LEFT(AH682, 1)="Y", LEFT(AH682, 3)="J39M"), "CUSM", "No Match")</f>
      </c>
      <c r="AK682" s="57">
        <f>IF(AND(OR(O682=3, P682=1, Q682=1, T682=1), AJ682="no Match"), "CUSM, CHU SJ, CHUQ", "")</f>
      </c>
      <c r="AL682" s="57">
        <f>IF(AND(O682=2, ISBLANK(P682), ISBLANK(Q682), ISBLANK(R682), ISBLANK(S682), ISBLANK(T682)), "CUSM, CHU SJ, CHUS, CHUQ", "")</f>
      </c>
      <c r="AM682" s="57">
        <f>IF(AND(AJ682="no match", AK682="", AL682="", K682&lt;26), "CUSM, CHU SJ, HGJ, CHUQ, CHUS", "")</f>
      </c>
      <c r="AN682" s="57">
        <f>IF(AND(AJ682="no match", AK682="", AL682="", K682&gt;26), "CUSM, CHU SJ, HGJ, CHUQ, CHUS, HMR", "")</f>
      </c>
    </row>
    <row x14ac:dyDescent="0.25" r="683" customHeight="1" ht="17.25">
      <c r="A683" s="41" t="s">
        <v>3991</v>
      </c>
      <c r="B683" s="28">
        <v>2</v>
      </c>
      <c r="C683" s="35">
        <v>831</v>
      </c>
      <c r="D683" s="29" t="s">
        <v>313</v>
      </c>
      <c r="E683" s="30" t="s">
        <v>54</v>
      </c>
      <c r="F683" s="31">
        <v>45288</v>
      </c>
      <c r="G683" s="32">
        <v>4.739583333333334</v>
      </c>
      <c r="H683" s="31">
        <v>45288</v>
      </c>
      <c r="I683" s="32">
        <v>4.554166666666667</v>
      </c>
      <c r="J683" s="33">
        <f>F683-H683</f>
      </c>
      <c r="K683" s="28">
        <v>34</v>
      </c>
      <c r="L683" s="28">
        <v>3</v>
      </c>
      <c r="M683" s="28">
        <v>1</v>
      </c>
      <c r="N683" s="34"/>
      <c r="O683" s="34"/>
      <c r="P683" s="34"/>
      <c r="Q683" s="34"/>
      <c r="R683" s="34"/>
      <c r="S683" s="56"/>
      <c r="T683" s="34"/>
      <c r="U683" s="34"/>
      <c r="V683" s="34"/>
      <c r="W683" s="29" t="s">
        <v>74</v>
      </c>
      <c r="X683" s="28">
        <v>34</v>
      </c>
      <c r="Y683" s="28">
        <v>1</v>
      </c>
      <c r="Z683" s="28">
        <v>2</v>
      </c>
      <c r="AA683" s="28">
        <v>3</v>
      </c>
      <c r="AB683" s="28">
        <v>4</v>
      </c>
      <c r="AC683" s="28">
        <v>1</v>
      </c>
      <c r="AD683" s="28">
        <v>2</v>
      </c>
      <c r="AE683" s="28">
        <v>4</v>
      </c>
      <c r="AF683" s="28">
        <v>3</v>
      </c>
      <c r="AG683" s="28">
        <v>2</v>
      </c>
      <c r="AH683" s="29" t="s">
        <v>3992</v>
      </c>
      <c r="AI683" s="36">
        <f>IF(OR(AND(K683&lt;32, J683&lt;2), O683=1, P683=1, Q683=1, R683=1, S683=1, T683=1, U683=1, AND(W683&lt;&gt;"", W683&lt;&gt;"Oxygen", W683&lt;&gt;"LowFlow")), "Intensive", "Intermediate")</f>
      </c>
      <c r="AJ683" s="57">
        <f>IF(OR(LEFT(AH683, 1)="X", LEFT(AH683, 1)="Y", LEFT(AH683, 3)="J40M"), "CUSM", "No Match")</f>
      </c>
      <c r="AK683" s="57">
        <f>IF(AND(OR(O683=3, P683=1, Q683=1, T683=1), AJ683="no Match"), "CUSM, CHU SJ, CHUQ", "")</f>
      </c>
      <c r="AL683" s="57">
        <f>IF(AND(O683=2, ISBLANK(P683), ISBLANK(Q683), ISBLANK(R683), ISBLANK(S683), ISBLANK(T683)), "CUSM, CHU SJ, CHUS, CHUQ", "")</f>
      </c>
      <c r="AM683" s="57">
        <f>IF(AND(AJ683="no match", AK683="", AL683="", K683&lt;26), "CUSM, CHU SJ, HGJ, CHUQ, CHUS", "")</f>
      </c>
      <c r="AN683" s="57">
        <f>IF(AND(AJ683="no match", AK683="", AL683="", K683&gt;26), "CUSM, CHU SJ, HGJ, CHUQ, CHUS, HMR", "")</f>
      </c>
    </row>
    <row x14ac:dyDescent="0.25" r="684" customHeight="1" ht="17.25">
      <c r="A684" s="41" t="s">
        <v>3993</v>
      </c>
      <c r="B684" s="28">
        <v>2</v>
      </c>
      <c r="C684" s="35">
        <v>831</v>
      </c>
      <c r="D684" s="29" t="s">
        <v>313</v>
      </c>
      <c r="E684" s="30" t="s">
        <v>54</v>
      </c>
      <c r="F684" s="31">
        <v>45289</v>
      </c>
      <c r="G684" s="32">
        <v>4.649305555555555</v>
      </c>
      <c r="H684" s="31">
        <v>45287</v>
      </c>
      <c r="I684" s="32">
        <v>4.477083333333333</v>
      </c>
      <c r="J684" s="33">
        <f>F684-H684</f>
      </c>
      <c r="K684" s="28">
        <v>39</v>
      </c>
      <c r="L684" s="28">
        <v>5</v>
      </c>
      <c r="M684" s="28">
        <v>1</v>
      </c>
      <c r="N684" s="34"/>
      <c r="O684" s="34"/>
      <c r="P684" s="34"/>
      <c r="Q684" s="34"/>
      <c r="R684" s="34"/>
      <c r="S684" s="56"/>
      <c r="T684" s="34"/>
      <c r="U684" s="34"/>
      <c r="V684" s="34"/>
      <c r="W684" s="29"/>
      <c r="X684" s="28">
        <v>39</v>
      </c>
      <c r="Y684" s="28">
        <v>1</v>
      </c>
      <c r="Z684" s="28">
        <v>2</v>
      </c>
      <c r="AA684" s="28">
        <v>2</v>
      </c>
      <c r="AB684" s="28">
        <v>1</v>
      </c>
      <c r="AC684" s="28">
        <v>2</v>
      </c>
      <c r="AD684" s="28">
        <v>2</v>
      </c>
      <c r="AE684" s="28">
        <v>4</v>
      </c>
      <c r="AF684" s="28">
        <v>2</v>
      </c>
      <c r="AG684" s="28">
        <v>2</v>
      </c>
      <c r="AH684" s="29" t="s">
        <v>3994</v>
      </c>
      <c r="AI684" s="36">
        <f>IF(OR(AND(K684&lt;32, J684&lt;2), O684=1, P684=1, Q684=1, R684=1, S684=1, T684=1, U684=1, AND(W684&lt;&gt;"", W684&lt;&gt;"Oxygen", W684&lt;&gt;"LowFlow")), "Intensive", "Intermediate")</f>
      </c>
      <c r="AJ684" s="57">
        <f>IF(OR(LEFT(AH684, 1)="X", LEFT(AH684, 1)="Y", LEFT(AH684, 3)="J41M"), "CUSM", "No Match")</f>
      </c>
      <c r="AK684" s="57">
        <f>IF(AND(OR(O684=3, P684=1, Q684=1, T684=1), AJ684="no Match"), "CUSM, CHU SJ, CHUQ", "")</f>
      </c>
      <c r="AL684" s="57">
        <f>IF(AND(O684=2, ISBLANK(P684), ISBLANK(Q684), ISBLANK(R684), ISBLANK(S684), ISBLANK(T684)), "CUSM, CHU SJ, CHUS, CHUQ", "")</f>
      </c>
      <c r="AM684" s="57">
        <f>IF(AND(AJ684="no match", AK684="", AL684="", K684&lt;26), "CUSM, CHU SJ, HGJ, CHUQ, CHUS", "")</f>
      </c>
      <c r="AN684" s="57">
        <f>IF(AND(AJ684="no match", AK684="", AL684="", K684&gt;26), "CUSM, CHU SJ, HGJ, CHUQ, CHUS, HMR", "")</f>
      </c>
    </row>
    <row x14ac:dyDescent="0.25" r="685" customHeight="1" ht="17.25">
      <c r="A685" s="41" t="s">
        <v>3995</v>
      </c>
      <c r="B685" s="28">
        <v>2</v>
      </c>
      <c r="C685" s="28">
        <v>730</v>
      </c>
      <c r="D685" s="29" t="s">
        <v>81</v>
      </c>
      <c r="E685" s="30" t="s">
        <v>50</v>
      </c>
      <c r="F685" s="31">
        <v>45289</v>
      </c>
      <c r="G685" s="32">
        <v>4.697916666666666</v>
      </c>
      <c r="H685" s="31">
        <v>45287</v>
      </c>
      <c r="I685" s="32">
        <v>4.731944444444444</v>
      </c>
      <c r="J685" s="33">
        <f>F685-H685</f>
      </c>
      <c r="K685" s="28">
        <v>38</v>
      </c>
      <c r="L685" s="28">
        <v>3</v>
      </c>
      <c r="M685" s="28">
        <v>2</v>
      </c>
      <c r="N685" s="34"/>
      <c r="O685" s="34"/>
      <c r="P685" s="34"/>
      <c r="Q685" s="34"/>
      <c r="R685" s="34"/>
      <c r="S685" s="56"/>
      <c r="T685" s="34"/>
      <c r="U685" s="34"/>
      <c r="V685" s="34"/>
      <c r="W685" s="29"/>
      <c r="X685" s="28">
        <v>40</v>
      </c>
      <c r="Y685" s="28">
        <v>1</v>
      </c>
      <c r="Z685" s="28">
        <v>1</v>
      </c>
      <c r="AA685" s="28">
        <v>2</v>
      </c>
      <c r="AB685" s="28">
        <v>1</v>
      </c>
      <c r="AC685" s="28">
        <v>2</v>
      </c>
      <c r="AD685" s="28">
        <v>2</v>
      </c>
      <c r="AE685" s="28">
        <v>4</v>
      </c>
      <c r="AF685" s="28">
        <v>2</v>
      </c>
      <c r="AG685" s="28">
        <v>2</v>
      </c>
      <c r="AH685" s="29" t="s">
        <v>3996</v>
      </c>
      <c r="AI685" s="36">
        <f>IF(OR(AND(K685&lt;32, J685&lt;2), O685=1, P685=1, Q685=1, R685=1, S685=1, T685=1, U685=1, AND(W685&lt;&gt;"", W685&lt;&gt;"Oxygen", W685&lt;&gt;"LowFlow")), "Intensive", "Intermediate")</f>
      </c>
      <c r="AJ685" s="57">
        <f>IF(OR(LEFT(AH685, 1)="X", LEFT(AH685, 1)="Y", LEFT(AH685, 3)="J42M"), "CUSM", "No Match")</f>
      </c>
      <c r="AK685" s="57">
        <f>IF(AND(OR(O685=3, P685=1, Q685=1, T685=1), AJ685="no Match"), "CUSM, CHU SJ, CHUQ", "")</f>
      </c>
      <c r="AL685" s="57">
        <f>IF(AND(O685=2, ISBLANK(P685), ISBLANK(Q685), ISBLANK(R685), ISBLANK(S685), ISBLANK(T685)), "CUSM, CHU SJ, CHUS, CHUQ", "")</f>
      </c>
      <c r="AM685" s="57">
        <f>IF(AND(AJ685="no match", AK685="", AL685="", K685&lt;26), "CUSM, CHU SJ, HGJ, CHUQ, CHUS", "")</f>
      </c>
      <c r="AN685" s="57">
        <f>IF(AND(AJ685="no match", AK685="", AL685="", K685&gt;26), "CUSM, CHU SJ, HGJ, CHUQ, CHUS, HMR", "")</f>
      </c>
    </row>
    <row x14ac:dyDescent="0.25" r="686" customHeight="1" ht="17.25">
      <c r="A686" s="41" t="s">
        <v>3997</v>
      </c>
      <c r="B686" s="28">
        <v>2</v>
      </c>
      <c r="C686" s="35">
        <v>831</v>
      </c>
      <c r="D686" s="29" t="s">
        <v>313</v>
      </c>
      <c r="E686" s="30" t="s">
        <v>54</v>
      </c>
      <c r="F686" s="31">
        <v>45290</v>
      </c>
      <c r="G686" s="32">
        <v>4.496527777777778</v>
      </c>
      <c r="H686" s="31">
        <v>45281</v>
      </c>
      <c r="I686" s="32">
        <v>4.222222222222222</v>
      </c>
      <c r="J686" s="33">
        <f>F686-H686</f>
      </c>
      <c r="K686" s="28">
        <v>38</v>
      </c>
      <c r="L686" s="28">
        <v>5</v>
      </c>
      <c r="M686" s="28">
        <v>1</v>
      </c>
      <c r="N686" s="34"/>
      <c r="O686" s="34"/>
      <c r="P686" s="34"/>
      <c r="Q686" s="34"/>
      <c r="R686" s="34"/>
      <c r="S686" s="56"/>
      <c r="T686" s="34"/>
      <c r="U686" s="34"/>
      <c r="V686" s="38"/>
      <c r="W686" s="29"/>
      <c r="X686" s="28">
        <v>31</v>
      </c>
      <c r="Y686" s="28">
        <v>1</v>
      </c>
      <c r="Z686" s="28">
        <v>1</v>
      </c>
      <c r="AA686" s="28">
        <v>2</v>
      </c>
      <c r="AB686" s="28">
        <v>1</v>
      </c>
      <c r="AC686" s="28">
        <v>2</v>
      </c>
      <c r="AD686" s="28">
        <v>2</v>
      </c>
      <c r="AE686" s="28">
        <v>4</v>
      </c>
      <c r="AF686" s="28">
        <v>2</v>
      </c>
      <c r="AG686" s="28">
        <v>2</v>
      </c>
      <c r="AH686" s="29" t="s">
        <v>3998</v>
      </c>
      <c r="AI686" s="36">
        <f>IF(OR(AND(K686&lt;32, J686&lt;2), O686=1, P686=1, Q686=1, R686=1, S686=1, T686=1, U686=1, AND(W686&lt;&gt;"", W686&lt;&gt;"Oxygen", W686&lt;&gt;"LowFlow")), "Intensive", "Intermediate")</f>
      </c>
      <c r="AJ686" s="57">
        <f>IF(OR(LEFT(AH686, 1)="X", LEFT(AH686, 1)="Y", LEFT(AH686, 3)="J43M"), "CUSM", "No Match")</f>
      </c>
      <c r="AK686" s="57">
        <f>IF(AND(OR(O686=3, P686=1, Q686=1, T686=1), AJ686="no Match"), "CUSM, CHU SJ, CHUQ", "")</f>
      </c>
      <c r="AL686" s="57">
        <f>IF(AND(O686=2, ISBLANK(P686), ISBLANK(Q686), ISBLANK(R686), ISBLANK(S686), ISBLANK(T686)), "CUSM, CHU SJ, CHUS, CHUQ", "")</f>
      </c>
      <c r="AM686" s="57">
        <f>IF(AND(AJ686="no match", AK686="", AL686="", K686&lt;26), "CUSM, CHU SJ, HGJ, CHUQ, CHUS", "")</f>
      </c>
      <c r="AN686" s="57">
        <f>IF(AND(AJ686="no match", AK686="", AL686="", K686&gt;26), "CUSM, CHU SJ, HGJ, CHUQ, CHUS, HMR", "")</f>
      </c>
    </row>
    <row x14ac:dyDescent="0.25" r="687" customHeight="1" ht="17.25">
      <c r="A687" s="41" t="s">
        <v>3999</v>
      </c>
      <c r="B687" s="28">
        <v>2</v>
      </c>
      <c r="C687" s="35">
        <v>839</v>
      </c>
      <c r="D687" s="29" t="s">
        <v>53</v>
      </c>
      <c r="E687" s="30" t="s">
        <v>50</v>
      </c>
      <c r="F687" s="31">
        <v>45290</v>
      </c>
      <c r="G687" s="32">
        <v>4.638888888888889</v>
      </c>
      <c r="H687" s="31">
        <v>45287</v>
      </c>
      <c r="I687" s="32">
        <v>4.915972222222223</v>
      </c>
      <c r="J687" s="33">
        <f>F687-H687</f>
      </c>
      <c r="K687" s="28">
        <v>42</v>
      </c>
      <c r="L687" s="28">
        <v>2</v>
      </c>
      <c r="M687" s="28">
        <v>2</v>
      </c>
      <c r="N687" s="35">
        <v>1</v>
      </c>
      <c r="O687" s="34"/>
      <c r="P687" s="35">
        <v>1</v>
      </c>
      <c r="Q687" s="34"/>
      <c r="R687" s="34"/>
      <c r="S687" s="56"/>
      <c r="T687" s="34"/>
      <c r="U687" s="34"/>
      <c r="V687" s="34"/>
      <c r="W687" s="29"/>
      <c r="X687" s="28">
        <v>35</v>
      </c>
      <c r="Y687" s="28">
        <v>1</v>
      </c>
      <c r="Z687" s="28">
        <v>1</v>
      </c>
      <c r="AA687" s="28">
        <v>2</v>
      </c>
      <c r="AB687" s="28">
        <v>1</v>
      </c>
      <c r="AC687" s="28">
        <v>2</v>
      </c>
      <c r="AD687" s="28">
        <v>2</v>
      </c>
      <c r="AE687" s="28">
        <v>4</v>
      </c>
      <c r="AF687" s="28">
        <v>2</v>
      </c>
      <c r="AG687" s="28">
        <v>2</v>
      </c>
      <c r="AH687" s="29" t="s">
        <v>4000</v>
      </c>
      <c r="AI687" s="36">
        <f>IF(OR(AND(K687&lt;32, J687&lt;2), O687=1, P687=1, Q687=1, R687=1, S687=1, T687=1, U687=1, AND(W687&lt;&gt;"", W687&lt;&gt;"Oxygen", W687&lt;&gt;"LowFlow")), "Intensive", "Intermediate")</f>
      </c>
      <c r="AJ687" s="57">
        <f>IF(OR(LEFT(AH687, 1)="X", LEFT(AH687, 1)="Y", LEFT(AH687, 3)="J44M"), "CUSM", "No Match")</f>
      </c>
      <c r="AK687" s="57">
        <f>IF(AND(OR(O687=3, P687=1, Q687=1, T687=1), AJ687="no Match"), "CUSM, CHU SJ, CHUQ", "")</f>
      </c>
      <c r="AL687" s="57">
        <f>IF(AND(O687=2, ISBLANK(P687), ISBLANK(Q687), ISBLANK(R687), ISBLANK(S687), ISBLANK(T687)), "CUSM, CHU SJ, CHUS, CHUQ", "")</f>
      </c>
      <c r="AM687" s="57">
        <f>IF(AND(AJ687="no match", AK687="", AL687="", K687&lt;26), "CUSM, CHU SJ, HGJ, CHUQ, CHUS", "")</f>
      </c>
      <c r="AN687" s="57">
        <f>IF(AND(AJ687="no match", AK687="", AL687="", K687&gt;26), "CUSM, CHU SJ, HGJ, CHUQ, CHUS, HMR", "")</f>
      </c>
    </row>
    <row x14ac:dyDescent="0.25" r="688" customHeight="1" ht="17.25">
      <c r="A688" s="41" t="s">
        <v>4001</v>
      </c>
      <c r="B688" s="28">
        <v>2</v>
      </c>
      <c r="C688" s="35">
        <v>734</v>
      </c>
      <c r="D688" s="29" t="s">
        <v>264</v>
      </c>
      <c r="E688" s="30" t="s">
        <v>50</v>
      </c>
      <c r="F688" s="31">
        <v>45290</v>
      </c>
      <c r="G688" s="32">
        <v>4.579861111111111</v>
      </c>
      <c r="H688" s="31">
        <v>45289</v>
      </c>
      <c r="I688" s="32">
        <v>4.477083333333333</v>
      </c>
      <c r="J688" s="33">
        <f>F688-H688</f>
      </c>
      <c r="K688" s="28">
        <v>36</v>
      </c>
      <c r="L688" s="28">
        <v>5</v>
      </c>
      <c r="M688" s="28">
        <v>2</v>
      </c>
      <c r="N688" s="38"/>
      <c r="O688" s="34"/>
      <c r="P688" s="38"/>
      <c r="Q688" s="34"/>
      <c r="R688" s="34"/>
      <c r="S688" s="56"/>
      <c r="T688" s="38"/>
      <c r="U688" s="38"/>
      <c r="V688" s="38"/>
      <c r="W688" s="29" t="s">
        <v>58</v>
      </c>
      <c r="X688" s="28">
        <v>37</v>
      </c>
      <c r="Y688" s="28">
        <v>1</v>
      </c>
      <c r="Z688" s="28">
        <v>2</v>
      </c>
      <c r="AA688" s="28">
        <v>1</v>
      </c>
      <c r="AB688" s="28">
        <v>1</v>
      </c>
      <c r="AC688" s="28">
        <v>1</v>
      </c>
      <c r="AD688" s="28">
        <v>1</v>
      </c>
      <c r="AE688" s="28">
        <v>2</v>
      </c>
      <c r="AF688" s="28">
        <v>3</v>
      </c>
      <c r="AG688" s="28">
        <v>2</v>
      </c>
      <c r="AH688" s="29" t="s">
        <v>4002</v>
      </c>
      <c r="AI688" s="36">
        <f>IF(OR(AND(K688&lt;32, J688&lt;2), O688=1, P688=1, Q688=1, R688=1, S688=1, T688=1, U688=1, AND(W688&lt;&gt;"", W688&lt;&gt;"Oxygen", W688&lt;&gt;"LowFlow")), "Intensive", "Intermediate")</f>
      </c>
      <c r="AJ688" s="57">
        <f>IF(OR(LEFT(AH688, 1)="X", LEFT(AH688, 1)="Y", LEFT(AH688, 3)="J45M"), "CUSM", "No Match")</f>
      </c>
      <c r="AK688" s="57">
        <f>IF(AND(OR(O688=3, P688=1, Q688=1, T688=1), AJ688="no Match"), "CUSM, CHU SJ, CHUQ", "")</f>
      </c>
      <c r="AL688" s="57">
        <f>IF(AND(O688=2, ISBLANK(P688), ISBLANK(Q688), ISBLANK(R688), ISBLANK(S688), ISBLANK(T688)), "CUSM, CHU SJ, CHUS, CHUQ", "")</f>
      </c>
      <c r="AM688" s="57">
        <f>IF(AND(AJ688="no match", AK688="", AL688="", K688&lt;26), "CUSM, CHU SJ, HGJ, CHUQ, CHUS", "")</f>
      </c>
      <c r="AN688" s="57">
        <f>IF(AND(AJ688="no match", AK688="", AL688="", K688&gt;26), "CUSM, CHU SJ, HGJ, CHUQ, CHUS, HMR", "")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N702"/>
  <sheetViews>
    <sheetView workbookViewId="0" tabSelected="1">
      <pane state="frozen" activePane="bottomLeft" topLeftCell="A3" ySplit="2" xSplit="0"/>
    </sheetView>
  </sheetViews>
  <sheetFormatPr defaultRowHeight="15" x14ac:dyDescent="0.25"/>
  <cols>
    <col min="1" max="1" style="54" width="8.862142857142858" customWidth="1" bestFit="1"/>
    <col min="2" max="2" style="44" width="12.43357142857143" customWidth="1" bestFit="1"/>
    <col min="3" max="3" style="44" width="14.719285714285713" customWidth="1" bestFit="1"/>
    <col min="4" max="4" style="45" width="34.86214285714286" customWidth="1" bestFit="1"/>
    <col min="5" max="5" style="46" width="14.147857142857141" customWidth="1" bestFit="1"/>
    <col min="6" max="6" style="47" width="17.862142857142857" customWidth="1" bestFit="1"/>
    <col min="7" max="7" style="48" width="15.005" customWidth="1" bestFit="1"/>
    <col min="8" max="8" style="47" width="13.862142857142858" customWidth="1" bestFit="1"/>
    <col min="9" max="9" style="48" width="11.005" customWidth="1" bestFit="1"/>
    <col min="10" max="10" style="49" width="11.005" customWidth="1" bestFit="1"/>
    <col min="11" max="11" style="44" width="15.719285714285713" customWidth="1" bestFit="1"/>
    <col min="12" max="12" style="44" width="12.862142857142858" customWidth="1" bestFit="1"/>
    <col min="13" max="13" style="44" width="12.43357142857143" customWidth="1" bestFit="1"/>
    <col min="14" max="14" style="50" width="16.14785714285714" customWidth="1" bestFit="1"/>
    <col min="15" max="15" style="50" width="16.005" customWidth="1" bestFit="1"/>
    <col min="16" max="16" style="50" width="18.14785714285714" customWidth="1" bestFit="1"/>
    <col min="17" max="17" style="50" width="16.719285714285714" customWidth="1" bestFit="1"/>
    <col min="18" max="18" style="50" width="5.2907142857142855" customWidth="1" bestFit="1"/>
    <col min="19" max="19" style="50" width="11.147857142857141" customWidth="1" bestFit="1"/>
    <col min="20" max="20" style="50" width="5.2907142857142855" customWidth="1" bestFit="1"/>
    <col min="21" max="21" style="50" width="15.147857142857141" customWidth="1" bestFit="1"/>
    <col min="22" max="22" style="50" width="13.005" customWidth="1" bestFit="1"/>
    <col min="23" max="23" style="45" width="23.14785714285714" customWidth="1" bestFit="1"/>
    <col min="24" max="24" style="44" width="12.43357142857143" customWidth="1" bestFit="1"/>
    <col min="25" max="25" style="44" width="12.43357142857143" customWidth="1" bestFit="1"/>
    <col min="26" max="26" style="44" width="10.576428571428572" customWidth="1" bestFit="1"/>
    <col min="27" max="27" style="44" width="14.005" customWidth="1" bestFit="1"/>
    <col min="28" max="28" style="44" width="12.43357142857143" customWidth="1" bestFit="1"/>
    <col min="29" max="29" style="44" width="11.862142857142858" customWidth="1" bestFit="1"/>
    <col min="30" max="30" style="44" width="12.43357142857143" customWidth="1" bestFit="1"/>
    <col min="31" max="31" style="44" width="12.43357142857143" customWidth="1" bestFit="1"/>
    <col min="32" max="32" style="44" width="10.719285714285713" customWidth="1" bestFit="1"/>
    <col min="33" max="33" style="44" width="10.576428571428572" customWidth="1" bestFit="1"/>
    <col min="34" max="34" style="45" width="40.14785714285715" customWidth="1" bestFit="1"/>
    <col min="35" max="35" style="45" width="14.576428571428572" customWidth="1" bestFit="1"/>
    <col min="36" max="36" style="51" width="14.576428571428572" customWidth="1" bestFit="1"/>
    <col min="37" max="37" style="51" width="20.005" customWidth="1" bestFit="1"/>
    <col min="38" max="38" style="51" width="24.862142857142857" customWidth="1" bestFit="1"/>
    <col min="39" max="39" style="51" width="29.14785714285714" customWidth="1" bestFit="1"/>
    <col min="40" max="40" style="51" width="35.14785714285715" customWidth="1" bestFit="1"/>
  </cols>
  <sheetData>
    <row x14ac:dyDescent="0.25" r="1" customHeight="1" ht="17.25">
      <c r="A1" s="2"/>
      <c r="B1" s="2"/>
      <c r="C1" s="2"/>
      <c r="D1" s="3"/>
      <c r="E1" s="4"/>
      <c r="F1" s="5"/>
      <c r="G1" s="6"/>
      <c r="H1" s="5"/>
      <c r="I1" s="6"/>
      <c r="J1" s="7"/>
      <c r="K1" s="2"/>
      <c r="L1" s="2"/>
      <c r="M1" s="2"/>
      <c r="N1" s="8" t="s">
        <v>0</v>
      </c>
      <c r="O1" s="8" t="s">
        <v>1</v>
      </c>
      <c r="P1" s="9" t="s">
        <v>0</v>
      </c>
      <c r="Q1" s="9" t="s">
        <v>0</v>
      </c>
      <c r="R1" s="8" t="s">
        <v>0</v>
      </c>
      <c r="S1" s="8" t="s">
        <v>0</v>
      </c>
      <c r="T1" s="8" t="s">
        <v>0</v>
      </c>
      <c r="U1" s="8" t="s">
        <v>0</v>
      </c>
      <c r="V1" s="8" t="s">
        <v>0</v>
      </c>
      <c r="W1" s="10"/>
      <c r="X1" s="8"/>
      <c r="Y1" s="8"/>
      <c r="Z1" s="8"/>
      <c r="AA1" s="8"/>
      <c r="AB1" s="8"/>
      <c r="AC1" s="8"/>
      <c r="AD1" s="8"/>
      <c r="AE1" s="2"/>
      <c r="AF1" s="2"/>
      <c r="AG1" s="2"/>
      <c r="AH1" s="3"/>
      <c r="AI1" s="11" t="s">
        <v>2</v>
      </c>
      <c r="AJ1" s="12" t="s">
        <v>3</v>
      </c>
      <c r="AK1" s="12" t="s">
        <v>4</v>
      </c>
      <c r="AL1" s="12" t="s">
        <v>5</v>
      </c>
      <c r="AM1" s="12" t="s">
        <v>6</v>
      </c>
      <c r="AN1" s="12" t="s">
        <v>7</v>
      </c>
    </row>
    <row x14ac:dyDescent="0.25" r="2" customHeight="1" ht="17.25" customFormat="1" s="13">
      <c r="A2" s="52" t="s">
        <v>8</v>
      </c>
      <c r="B2" s="15" t="s">
        <v>9</v>
      </c>
      <c r="C2" s="15" t="s">
        <v>10</v>
      </c>
      <c r="D2" s="16" t="s">
        <v>11</v>
      </c>
      <c r="E2" s="17" t="s">
        <v>12</v>
      </c>
      <c r="F2" s="18" t="s">
        <v>13</v>
      </c>
      <c r="G2" s="19" t="s">
        <v>14</v>
      </c>
      <c r="H2" s="18" t="s">
        <v>15</v>
      </c>
      <c r="I2" s="19" t="s">
        <v>16</v>
      </c>
      <c r="J2" s="20" t="s">
        <v>17</v>
      </c>
      <c r="K2" s="15" t="s">
        <v>18</v>
      </c>
      <c r="L2" s="15" t="s">
        <v>19</v>
      </c>
      <c r="M2" s="15" t="s">
        <v>20</v>
      </c>
      <c r="N2" s="21" t="s">
        <v>21</v>
      </c>
      <c r="O2" s="21" t="s">
        <v>22</v>
      </c>
      <c r="P2" s="21" t="s">
        <v>23</v>
      </c>
      <c r="Q2" s="21" t="s">
        <v>24</v>
      </c>
      <c r="R2" s="21" t="s">
        <v>25</v>
      </c>
      <c r="S2" s="21" t="s">
        <v>26</v>
      </c>
      <c r="T2" s="21" t="s">
        <v>27</v>
      </c>
      <c r="U2" s="21" t="s">
        <v>28</v>
      </c>
      <c r="V2" s="21" t="s">
        <v>29</v>
      </c>
      <c r="W2" s="22" t="s">
        <v>30</v>
      </c>
      <c r="X2" s="23" t="s">
        <v>31</v>
      </c>
      <c r="Y2" s="23" t="s">
        <v>32</v>
      </c>
      <c r="Z2" s="23" t="s">
        <v>33</v>
      </c>
      <c r="AA2" s="23" t="s">
        <v>34</v>
      </c>
      <c r="AB2" s="23" t="s">
        <v>35</v>
      </c>
      <c r="AC2" s="23" t="s">
        <v>1433</v>
      </c>
      <c r="AD2" s="23" t="s">
        <v>37</v>
      </c>
      <c r="AE2" s="23" t="s">
        <v>38</v>
      </c>
      <c r="AF2" s="23" t="s">
        <v>39</v>
      </c>
      <c r="AG2" s="23" t="s">
        <v>40</v>
      </c>
      <c r="AH2" s="24" t="s">
        <v>41</v>
      </c>
      <c r="AI2" s="25" t="s">
        <v>42</v>
      </c>
      <c r="AJ2" s="12" t="s">
        <v>43</v>
      </c>
      <c r="AK2" s="53" t="s">
        <v>1434</v>
      </c>
      <c r="AL2" s="26" t="s">
        <v>45</v>
      </c>
      <c r="AM2" s="26" t="s">
        <v>1435</v>
      </c>
      <c r="AN2" s="53" t="s">
        <v>1436</v>
      </c>
    </row>
    <row x14ac:dyDescent="0.25" r="3" customHeight="1" ht="17.25">
      <c r="A3" s="27" t="s">
        <v>1437</v>
      </c>
      <c r="B3" s="28">
        <v>2</v>
      </c>
      <c r="C3" s="28">
        <v>831</v>
      </c>
      <c r="D3" s="29" t="s">
        <v>313</v>
      </c>
      <c r="E3" s="30" t="s">
        <v>54</v>
      </c>
      <c r="F3" s="31">
        <v>44207</v>
      </c>
      <c r="G3" s="32">
        <v>4.736111111111111</v>
      </c>
      <c r="H3" s="31">
        <v>44205</v>
      </c>
      <c r="I3" s="32">
        <v>4.881944444444445</v>
      </c>
      <c r="J3" s="33">
        <f>F3-H3</f>
      </c>
      <c r="K3" s="28">
        <v>40</v>
      </c>
      <c r="L3" s="28">
        <v>0</v>
      </c>
      <c r="M3" s="28">
        <v>1</v>
      </c>
      <c r="N3" s="34"/>
      <c r="O3" s="28">
        <v>2</v>
      </c>
      <c r="P3" s="34"/>
      <c r="Q3" s="34"/>
      <c r="R3" s="34"/>
      <c r="S3" s="34"/>
      <c r="T3" s="34"/>
      <c r="U3" s="34"/>
      <c r="V3" s="34"/>
      <c r="W3" s="29"/>
      <c r="X3" s="28">
        <v>38</v>
      </c>
      <c r="Y3" s="28">
        <v>1</v>
      </c>
      <c r="Z3" s="28">
        <v>1</v>
      </c>
      <c r="AA3" s="28">
        <v>2</v>
      </c>
      <c r="AB3" s="28">
        <v>1</v>
      </c>
      <c r="AC3" s="28">
        <v>2</v>
      </c>
      <c r="AD3" s="28">
        <v>2</v>
      </c>
      <c r="AE3" s="28">
        <v>4</v>
      </c>
      <c r="AF3" s="28">
        <v>2</v>
      </c>
      <c r="AG3" s="28">
        <v>2</v>
      </c>
      <c r="AH3" s="29" t="s">
        <v>1438</v>
      </c>
      <c r="AI3" s="36">
        <f>IF(OR(AND(K3&lt;32, J3&lt;2), O3=1, P3=1, Q3=1, R3=1, S3=1, T3=1, U3=1, AND(W3&lt;&gt;"", W3&lt;&gt;"Oxygen", W3&lt;&gt;"LowFlow")), "Intensive", "Intermediate")</f>
      </c>
      <c r="AJ3" s="37">
        <f>IF(OR(LEFT(AH3, 1)="X", LEFT(AH3, 1)="Y", LEFT(AH3, 3)="J0M"), "CUSM", "No Match")</f>
      </c>
      <c r="AK3" s="37">
        <f>IF(AND(OR(O3=3, P3=1, Q3=1, T3=1), AJ3="no Match"), "CUSM, CHU SJ, CHUQ", "")</f>
      </c>
      <c r="AL3" s="37">
        <f>IF(AND(O3=2, ISBLANK(P3), ISBLANK(Q3), ISBLANK(R3), ISBLANK(S3), ISBLANK(T3)), "CUSM, CHU SJ, CHUS, CHUQ", "")</f>
      </c>
      <c r="AM3" s="37">
        <f>IF(AND(AJ3="no match", AK3="", AL3="", K3&lt;26), "CUSM, CHU SJ, HGJ, CHUQ, CHUS", "")</f>
      </c>
      <c r="AN3" s="37">
        <f>IF(AND(AJ3="no match", AK3="", AL3="", K3&gt;26), "CUSM, CHU SJ, HGJ, CHUQ, CHUS, HMR", "")</f>
      </c>
    </row>
    <row x14ac:dyDescent="0.25" r="4" customHeight="1" ht="17.25">
      <c r="A4" s="27" t="s">
        <v>1439</v>
      </c>
      <c r="B4" s="28">
        <v>2</v>
      </c>
      <c r="C4" s="28">
        <v>787</v>
      </c>
      <c r="D4" s="29" t="s">
        <v>1440</v>
      </c>
      <c r="E4" s="30" t="s">
        <v>149</v>
      </c>
      <c r="F4" s="31">
        <v>44208</v>
      </c>
      <c r="G4" s="32">
        <v>4.067361111111111</v>
      </c>
      <c r="H4" s="31">
        <v>44207</v>
      </c>
      <c r="I4" s="32">
        <v>4.88125</v>
      </c>
      <c r="J4" s="33">
        <f>F4-H4</f>
      </c>
      <c r="K4" s="28">
        <v>36</v>
      </c>
      <c r="L4" s="28">
        <v>0</v>
      </c>
      <c r="M4" s="28">
        <v>1</v>
      </c>
      <c r="N4" s="38"/>
      <c r="O4" s="34"/>
      <c r="P4" s="38"/>
      <c r="Q4" s="34"/>
      <c r="R4" s="34"/>
      <c r="S4" s="34"/>
      <c r="T4" s="34"/>
      <c r="U4" s="38"/>
      <c r="V4" s="38"/>
      <c r="W4" s="29" t="s">
        <v>74</v>
      </c>
      <c r="X4" s="28">
        <v>20</v>
      </c>
      <c r="Y4" s="28">
        <v>1</v>
      </c>
      <c r="Z4" s="28">
        <v>1</v>
      </c>
      <c r="AA4" s="28">
        <v>1</v>
      </c>
      <c r="AB4" s="28">
        <v>1</v>
      </c>
      <c r="AC4" s="28">
        <v>3</v>
      </c>
      <c r="AD4" s="28">
        <v>3</v>
      </c>
      <c r="AE4" s="28">
        <v>4</v>
      </c>
      <c r="AF4" s="28">
        <v>3</v>
      </c>
      <c r="AG4" s="28">
        <v>3</v>
      </c>
      <c r="AH4" s="29" t="s">
        <v>1441</v>
      </c>
      <c r="AI4" s="36">
        <f>IF(OR(AND(K4&lt;32, J4&lt;2), O4=1, P4=1, Q4=1, R4=1, S4=1, T4=1, U4=1, AND(W4&lt;&gt;"", W4&lt;&gt;"Oxygen", W4&lt;&gt;"LowFlow")), "Intensive", "Intermediate")</f>
      </c>
      <c r="AJ4" s="37">
        <f>IF(OR(LEFT(AH4, 1)="X", LEFT(AH4, 1)="Y", LEFT(AH4, 3)="J1M"), "CUSM", "No Match")</f>
      </c>
      <c r="AK4" s="37">
        <f>IF(AND(OR(O4=3, P4=1, Q4=1, T4=1), AJ4="no Match"), "CUSM, CHU SJ, CHUQ", "")</f>
      </c>
      <c r="AL4" s="37">
        <f>IF(AND(O4=2, ISBLANK(P4), ISBLANK(Q4), ISBLANK(R4), ISBLANK(S4), ISBLANK(T4)), "CUSM, CHU SJ, CHUS, CHUQ", "")</f>
      </c>
      <c r="AM4" s="37">
        <f>IF(AND(AJ4="no match", AK4="", AL4="", K4&lt;26), "CUSM, CHU SJ, HGJ, CHUQ, CHUS", "")</f>
      </c>
      <c r="AN4" s="37">
        <f>IF(AND(AJ4="no match", AK4="", AL4="", K4&gt;26), "CUSM, CHU SJ, HGJ, CHUQ, CHUS, HMR", "")</f>
      </c>
    </row>
    <row x14ac:dyDescent="0.25" r="5" customHeight="1" ht="17.25">
      <c r="A5" s="27" t="s">
        <v>1442</v>
      </c>
      <c r="B5" s="28">
        <v>2</v>
      </c>
      <c r="C5" s="28">
        <v>779</v>
      </c>
      <c r="D5" s="29" t="s">
        <v>136</v>
      </c>
      <c r="E5" s="30" t="s">
        <v>54</v>
      </c>
      <c r="F5" s="31">
        <v>44208</v>
      </c>
      <c r="G5" s="32">
        <v>4.763888888888889</v>
      </c>
      <c r="H5" s="31">
        <v>44207</v>
      </c>
      <c r="I5" s="32">
        <v>4.525</v>
      </c>
      <c r="J5" s="33">
        <f>F5-H5</f>
      </c>
      <c r="K5" s="28">
        <v>39</v>
      </c>
      <c r="L5" s="28">
        <v>0</v>
      </c>
      <c r="M5" s="28">
        <v>2</v>
      </c>
      <c r="N5" s="35">
        <v>1</v>
      </c>
      <c r="O5" s="34"/>
      <c r="P5" s="35">
        <v>1</v>
      </c>
      <c r="Q5" s="34"/>
      <c r="R5" s="34"/>
      <c r="S5" s="34"/>
      <c r="T5" s="34"/>
      <c r="U5" s="34"/>
      <c r="V5" s="34"/>
      <c r="W5" s="29" t="s">
        <v>106</v>
      </c>
      <c r="X5" s="28">
        <v>27</v>
      </c>
      <c r="Y5" s="28">
        <v>1</v>
      </c>
      <c r="Z5" s="28">
        <v>2</v>
      </c>
      <c r="AA5" s="28">
        <v>2</v>
      </c>
      <c r="AB5" s="28">
        <v>1</v>
      </c>
      <c r="AC5" s="28">
        <v>2</v>
      </c>
      <c r="AD5" s="28">
        <v>2</v>
      </c>
      <c r="AE5" s="28">
        <v>4</v>
      </c>
      <c r="AF5" s="28">
        <v>2</v>
      </c>
      <c r="AG5" s="28">
        <v>2</v>
      </c>
      <c r="AH5" s="29" t="s">
        <v>1443</v>
      </c>
      <c r="AI5" s="36">
        <f>IF(OR(AND(K5&lt;32, J5&lt;2), O5=1, P5=1, Q5=1, R5=1, S5=1, T5=1, U5=1, AND(W5&lt;&gt;"", W5&lt;&gt;"Oxygen", W5&lt;&gt;"LowFlow")), "Intensive", "Intermediate")</f>
      </c>
      <c r="AJ5" s="37">
        <f>IF(OR(LEFT(AH5, 1)="X", LEFT(AH5, 1)="Y", LEFT(AH5, 3)="J2M"), "CUSM", "No Match")</f>
      </c>
      <c r="AK5" s="37">
        <f>IF(AND(OR(O5=3, P5=1, Q5=1, T5=1), AJ5="no Match"), "CUSM, CHU SJ, CHUQ", "")</f>
      </c>
      <c r="AL5" s="37">
        <f>IF(AND(O5=2, ISBLANK(P5), ISBLANK(Q5), ISBLANK(R5), ISBLANK(S5), ISBLANK(T5)), "CUSM, CHU SJ, CHUS, CHUQ", "")</f>
      </c>
      <c r="AM5" s="37">
        <f>IF(AND(AJ5="no match", AK5="", AL5="", K5&lt;26), "CUSM, CHU SJ, HGJ, CHUQ, CHUS", "")</f>
      </c>
      <c r="AN5" s="37">
        <f>IF(AND(AJ5="no match", AK5="", AL5="", K5&gt;26), "CUSM, CHU SJ, HGJ, CHUQ, CHUS, HMR", "")</f>
      </c>
    </row>
    <row x14ac:dyDescent="0.25" r="6" customHeight="1" ht="17.25">
      <c r="A6" s="27" t="s">
        <v>1444</v>
      </c>
      <c r="B6" s="28">
        <v>2</v>
      </c>
      <c r="C6" s="35">
        <v>796</v>
      </c>
      <c r="D6" s="29" t="s">
        <v>63</v>
      </c>
      <c r="E6" s="30" t="s">
        <v>50</v>
      </c>
      <c r="F6" s="31">
        <v>44208</v>
      </c>
      <c r="G6" s="32">
        <v>4.770833333333334</v>
      </c>
      <c r="H6" s="31">
        <v>44203</v>
      </c>
      <c r="I6" s="32">
        <v>4.38125</v>
      </c>
      <c r="J6" s="33">
        <f>F6-H6</f>
      </c>
      <c r="K6" s="28">
        <v>40</v>
      </c>
      <c r="L6" s="28">
        <v>0</v>
      </c>
      <c r="M6" s="28">
        <v>1</v>
      </c>
      <c r="N6" s="38"/>
      <c r="O6" s="38"/>
      <c r="P6" s="38"/>
      <c r="Q6" s="34"/>
      <c r="R6" s="38"/>
      <c r="S6" s="34"/>
      <c r="T6" s="34"/>
      <c r="U6" s="38"/>
      <c r="V6" s="38"/>
      <c r="W6" s="29" t="s">
        <v>58</v>
      </c>
      <c r="X6" s="28">
        <v>30</v>
      </c>
      <c r="Y6" s="28">
        <v>1</v>
      </c>
      <c r="Z6" s="28">
        <v>1</v>
      </c>
      <c r="AA6" s="28">
        <v>2</v>
      </c>
      <c r="AB6" s="28">
        <v>4</v>
      </c>
      <c r="AC6" s="28">
        <v>2</v>
      </c>
      <c r="AD6" s="28">
        <v>2</v>
      </c>
      <c r="AE6" s="28">
        <v>4</v>
      </c>
      <c r="AF6" s="28">
        <v>3</v>
      </c>
      <c r="AG6" s="28">
        <v>3</v>
      </c>
      <c r="AH6" s="29" t="s">
        <v>1445</v>
      </c>
      <c r="AI6" s="36">
        <f>IF(OR(AND(K6&lt;32, J6&lt;2), O6=1, P6=1, Q6=1, R6=1, S6=1, T6=1, U6=1, AND(W6&lt;&gt;"", W6&lt;&gt;"Oxygen", W6&lt;&gt;"LowFlow")), "Intensive", "Intermediate")</f>
      </c>
      <c r="AJ6" s="37">
        <f>IF(OR(LEFT(AH6, 1)="X", LEFT(AH6, 1)="Y", LEFT(AH6, 3)="J3M"), "CUSM", "No Match")</f>
      </c>
      <c r="AK6" s="37">
        <f>IF(AND(OR(O6=3, P6=1, Q6=1, T6=1), AJ6="no Match"), "CUSM, CHU SJ, CHUQ", "")</f>
      </c>
      <c r="AL6" s="37">
        <f>IF(AND(O6=2, ISBLANK(P6), ISBLANK(Q6), ISBLANK(R6), ISBLANK(S6), ISBLANK(T6)), "CUSM, CHU SJ, CHUS, CHUQ", "")</f>
      </c>
      <c r="AM6" s="37">
        <f>IF(AND(AJ6="no match", AK6="", AL6="", K6&lt;26), "CUSM, CHU SJ, HGJ, CHUQ, CHUS", "")</f>
      </c>
      <c r="AN6" s="37">
        <f>IF(AND(AJ6="no match", AK6="", AL6="", K6&gt;26), "CUSM, CHU SJ, HGJ, CHUQ, CHUS, HMR", "")</f>
      </c>
    </row>
    <row x14ac:dyDescent="0.25" r="7" customHeight="1" ht="17.25">
      <c r="A7" s="27" t="s">
        <v>1446</v>
      </c>
      <c r="B7" s="28">
        <v>2</v>
      </c>
      <c r="C7" s="35">
        <v>779</v>
      </c>
      <c r="D7" s="29" t="s">
        <v>136</v>
      </c>
      <c r="E7" s="30" t="s">
        <v>50</v>
      </c>
      <c r="F7" s="31">
        <v>44210</v>
      </c>
      <c r="G7" s="32">
        <v>4.541666666666666</v>
      </c>
      <c r="H7" s="31">
        <v>44210</v>
      </c>
      <c r="I7" s="32">
        <v>4.395138888888889</v>
      </c>
      <c r="J7" s="33">
        <f>F7-H7</f>
      </c>
      <c r="K7" s="28">
        <v>37</v>
      </c>
      <c r="L7" s="28">
        <v>1</v>
      </c>
      <c r="M7" s="28">
        <v>1</v>
      </c>
      <c r="N7" s="35">
        <v>1</v>
      </c>
      <c r="O7" s="35">
        <v>2</v>
      </c>
      <c r="P7" s="34"/>
      <c r="Q7" s="34"/>
      <c r="R7" s="34"/>
      <c r="S7" s="34"/>
      <c r="T7" s="35">
        <v>1</v>
      </c>
      <c r="U7" s="34"/>
      <c r="V7" s="34"/>
      <c r="W7" s="29" t="s">
        <v>74</v>
      </c>
      <c r="X7" s="28">
        <v>40</v>
      </c>
      <c r="Y7" s="28">
        <v>1</v>
      </c>
      <c r="Z7" s="28">
        <v>2</v>
      </c>
      <c r="AA7" s="28">
        <v>1</v>
      </c>
      <c r="AB7" s="28">
        <v>1</v>
      </c>
      <c r="AC7" s="28">
        <v>2</v>
      </c>
      <c r="AD7" s="28">
        <v>2</v>
      </c>
      <c r="AE7" s="28">
        <v>4</v>
      </c>
      <c r="AF7" s="28">
        <v>2</v>
      </c>
      <c r="AG7" s="28">
        <v>2</v>
      </c>
      <c r="AH7" s="29" t="s">
        <v>1447</v>
      </c>
      <c r="AI7" s="36">
        <f>IF(OR(AND(K7&lt;32, J7&lt;2), O7=1, P7=1, Q7=1, R7=1, S7=1, T7=1, U7=1, AND(W7&lt;&gt;"", W7&lt;&gt;"Oxygen", W7&lt;&gt;"LowFlow")), "Intensive", "Intermediate")</f>
      </c>
      <c r="AJ7" s="37">
        <f>IF(OR(LEFT(AH7, 1)="X", LEFT(AH7, 1)="Y", LEFT(AH7, 3)="J4M"), "CUSM", "No Match")</f>
      </c>
      <c r="AK7" s="37">
        <f>IF(AND(OR(O7=3, P7=1, Q7=1, T7=1), AJ7="no Match"), "CUSM, CHU SJ, CHUQ", "")</f>
      </c>
      <c r="AL7" s="37">
        <f>IF(AND(O7=2, ISBLANK(P7), ISBLANK(Q7), ISBLANK(R7), ISBLANK(S7), ISBLANK(T7)), "CUSM, CHU SJ, CHUS, CHUQ", "")</f>
      </c>
      <c r="AM7" s="37">
        <f>IF(AND(AJ7="no match", AK7="", AL7="", K7&lt;26), "CUSM, CHU SJ, HGJ, CHUQ, CHUS", "")</f>
      </c>
      <c r="AN7" s="37">
        <f>IF(AND(AJ7="no match", AK7="", AL7="", K7&gt;26), "CUSM, CHU SJ, HGJ, CHUQ, CHUS, HMR", "")</f>
      </c>
    </row>
    <row x14ac:dyDescent="0.25" r="8" customHeight="1" ht="17.25">
      <c r="A8" s="27" t="s">
        <v>1448</v>
      </c>
      <c r="B8" s="28">
        <v>2</v>
      </c>
      <c r="C8" s="35">
        <v>835</v>
      </c>
      <c r="D8" s="29" t="s">
        <v>170</v>
      </c>
      <c r="E8" s="30" t="s">
        <v>50</v>
      </c>
      <c r="F8" s="31">
        <v>44211</v>
      </c>
      <c r="G8" s="32">
        <v>4.516666666666667</v>
      </c>
      <c r="H8" s="31">
        <v>44211</v>
      </c>
      <c r="I8" s="32">
        <v>4.410416666666666</v>
      </c>
      <c r="J8" s="33">
        <f>F8-H8</f>
      </c>
      <c r="K8" s="28">
        <v>30</v>
      </c>
      <c r="L8" s="28">
        <v>5</v>
      </c>
      <c r="M8" s="28">
        <v>1</v>
      </c>
      <c r="N8" s="34"/>
      <c r="O8" s="34"/>
      <c r="P8" s="34"/>
      <c r="Q8" s="34"/>
      <c r="R8" s="34"/>
      <c r="S8" s="34"/>
      <c r="T8" s="34"/>
      <c r="U8" s="34"/>
      <c r="V8" s="34"/>
      <c r="W8" s="29" t="s">
        <v>58</v>
      </c>
      <c r="X8" s="28">
        <v>24</v>
      </c>
      <c r="Y8" s="28">
        <v>1</v>
      </c>
      <c r="Z8" s="28">
        <v>1</v>
      </c>
      <c r="AA8" s="28">
        <v>1</v>
      </c>
      <c r="AB8" s="28">
        <v>1</v>
      </c>
      <c r="AC8" s="28">
        <v>2</v>
      </c>
      <c r="AD8" s="28">
        <v>2</v>
      </c>
      <c r="AE8" s="28">
        <v>2</v>
      </c>
      <c r="AF8" s="28">
        <v>2</v>
      </c>
      <c r="AG8" s="28">
        <v>2</v>
      </c>
      <c r="AH8" s="29" t="s">
        <v>1449</v>
      </c>
      <c r="AI8" s="36">
        <f>IF(OR(AND(K8&lt;32, J8&lt;2), O8=1, P8=1, Q8=1, R8=1, S8=1, T8=1, U8=1, AND(W8&lt;&gt;"", W8&lt;&gt;"Oxygen", W8&lt;&gt;"LowFlow")), "Intensive", "Intermediate")</f>
      </c>
      <c r="AJ8" s="37">
        <f>IF(OR(LEFT(AH8, 1)="X", LEFT(AH8, 1)="Y", LEFT(AH8, 3)="J5M"), "CUSM", "No Match")</f>
      </c>
      <c r="AK8" s="37">
        <f>IF(AND(OR(O8=3, P8=1, Q8=1, T8=1), AJ8="no Match"), "CUSM, CHU SJ, CHUQ", "")</f>
      </c>
      <c r="AL8" s="37">
        <f>IF(AND(O8=2, ISBLANK(P8), ISBLANK(Q8), ISBLANK(R8), ISBLANK(S8), ISBLANK(T8)), "CUSM, CHU SJ, CHUS, CHUQ", "")</f>
      </c>
      <c r="AM8" s="37">
        <f>IF(AND(AJ8="no match", AK8="", AL8="", K8&lt;26), "CUSM, CHU SJ, HGJ, CHUQ, CHUS", "")</f>
      </c>
      <c r="AN8" s="37">
        <f>IF(AND(AJ8="no match", AK8="", AL8="", K8&gt;26), "CUSM, CHU SJ, HGJ, CHUQ, CHUS, HMR", "")</f>
      </c>
    </row>
    <row x14ac:dyDescent="0.25" r="9" customHeight="1" ht="17.25">
      <c r="A9" s="27" t="s">
        <v>1450</v>
      </c>
      <c r="B9" s="28">
        <v>2</v>
      </c>
      <c r="C9" s="35">
        <v>806</v>
      </c>
      <c r="D9" s="29" t="s">
        <v>438</v>
      </c>
      <c r="E9" s="30" t="s">
        <v>54</v>
      </c>
      <c r="F9" s="31">
        <v>44212</v>
      </c>
      <c r="G9" s="32">
        <v>4.710416666666667</v>
      </c>
      <c r="H9" s="31">
        <v>44210</v>
      </c>
      <c r="I9" s="32">
        <v>4.356944444444444</v>
      </c>
      <c r="J9" s="33">
        <f>F9-H9</f>
      </c>
      <c r="K9" s="28">
        <v>39</v>
      </c>
      <c r="L9" s="28">
        <v>3</v>
      </c>
      <c r="M9" s="28">
        <v>2</v>
      </c>
      <c r="N9" s="35">
        <v>1</v>
      </c>
      <c r="O9" s="34"/>
      <c r="P9" s="34"/>
      <c r="Q9" s="34"/>
      <c r="R9" s="34"/>
      <c r="S9" s="34"/>
      <c r="T9" s="38"/>
      <c r="U9" s="34"/>
      <c r="V9" s="34"/>
      <c r="W9" s="29"/>
      <c r="X9" s="28">
        <v>32</v>
      </c>
      <c r="Y9" s="28">
        <v>1</v>
      </c>
      <c r="Z9" s="28">
        <v>2</v>
      </c>
      <c r="AA9" s="28">
        <v>2</v>
      </c>
      <c r="AB9" s="28">
        <v>1</v>
      </c>
      <c r="AC9" s="28">
        <v>2</v>
      </c>
      <c r="AD9" s="28">
        <v>2</v>
      </c>
      <c r="AE9" s="28">
        <v>4</v>
      </c>
      <c r="AF9" s="28">
        <v>2</v>
      </c>
      <c r="AG9" s="28">
        <v>2</v>
      </c>
      <c r="AH9" s="29" t="s">
        <v>1451</v>
      </c>
      <c r="AI9" s="36">
        <f>IF(OR(AND(K9&lt;32, J9&lt;2), O9=1, P9=1, Q9=1, R9=1, S9=1, T9=1, U9=1, AND(W9&lt;&gt;"", W9&lt;&gt;"Oxygen", W9&lt;&gt;"LowFlow")), "Intensive", "Intermediate")</f>
      </c>
      <c r="AJ9" s="37">
        <f>IF(OR(LEFT(AH9, 1)="X", LEFT(AH9, 1)="Y", LEFT(AH9, 3)="J6M"), "CUSM", "No Match")</f>
      </c>
      <c r="AK9" s="37">
        <f>IF(AND(OR(O9=3, P9=1, Q9=1, T9=1), AJ9="no Match"), "CUSM, CHU SJ, CHUQ", "")</f>
      </c>
      <c r="AL9" s="37">
        <f>IF(AND(O9=2, ISBLANK(P9), ISBLANK(Q9), ISBLANK(R9), ISBLANK(S9), ISBLANK(T9)), "CUSM, CHU SJ, CHUS, CHUQ", "")</f>
      </c>
      <c r="AM9" s="37">
        <f>IF(AND(AJ9="no match", AK9="", AL9="", K9&lt;26), "CUSM, CHU SJ, HGJ, CHUQ, CHUS", "")</f>
      </c>
      <c r="AN9" s="37">
        <f>IF(AND(AJ9="no match", AK9="", AL9="", K9&gt;26), "CUSM, CHU SJ, HGJ, CHUQ, CHUS, HMR", "")</f>
      </c>
    </row>
    <row x14ac:dyDescent="0.25" r="10" customHeight="1" ht="17.25">
      <c r="A10" s="27" t="s">
        <v>1452</v>
      </c>
      <c r="B10" s="28">
        <v>2</v>
      </c>
      <c r="C10" s="35">
        <v>815</v>
      </c>
      <c r="D10" s="29" t="s">
        <v>100</v>
      </c>
      <c r="E10" s="30" t="s">
        <v>50</v>
      </c>
      <c r="F10" s="31">
        <v>44212</v>
      </c>
      <c r="G10" s="32">
        <v>4.631944444444445</v>
      </c>
      <c r="H10" s="31">
        <v>44212</v>
      </c>
      <c r="I10" s="32">
        <v>4.006944444444445</v>
      </c>
      <c r="J10" s="33">
        <f>F10-H10</f>
      </c>
      <c r="K10" s="28">
        <v>39</v>
      </c>
      <c r="L10" s="28">
        <v>5</v>
      </c>
      <c r="M10" s="28">
        <v>2</v>
      </c>
      <c r="N10" s="34"/>
      <c r="O10" s="34"/>
      <c r="P10" s="34"/>
      <c r="Q10" s="34"/>
      <c r="R10" s="34"/>
      <c r="S10" s="34"/>
      <c r="T10" s="34"/>
      <c r="U10" s="34"/>
      <c r="V10" s="34"/>
      <c r="W10" s="29"/>
      <c r="X10" s="28">
        <v>27</v>
      </c>
      <c r="Y10" s="28">
        <v>1</v>
      </c>
      <c r="Z10" s="28">
        <v>1</v>
      </c>
      <c r="AA10" s="28">
        <v>2</v>
      </c>
      <c r="AB10" s="28">
        <v>1</v>
      </c>
      <c r="AC10" s="28">
        <v>2</v>
      </c>
      <c r="AD10" s="28">
        <v>2</v>
      </c>
      <c r="AE10" s="28">
        <v>1</v>
      </c>
      <c r="AF10" s="34"/>
      <c r="AG10" s="28">
        <v>2</v>
      </c>
      <c r="AH10" s="29" t="s">
        <v>1453</v>
      </c>
      <c r="AI10" s="36">
        <f>IF(OR(AND(K10&lt;32, J10&lt;2), O10=1, P10=1, Q10=1, R10=1, S10=1, T10=1, U10=1, AND(W10&lt;&gt;"", W10&lt;&gt;"Oxygen", W10&lt;&gt;"LowFlow")), "Intensive", "Intermediate")</f>
      </c>
      <c r="AJ10" s="37">
        <f>IF(OR(LEFT(AH10, 1)="X", LEFT(AH10, 1)="Y", LEFT(AH10, 3)="J7M"), "CUSM", "No Match")</f>
      </c>
      <c r="AK10" s="37">
        <f>IF(AND(OR(O10=3, P10=1, Q10=1, T10=1), AJ10="no Match"), "CUSM, CHU SJ, CHUQ", "")</f>
      </c>
      <c r="AL10" s="37">
        <f>IF(AND(O10=2, ISBLANK(P10), ISBLANK(Q10), ISBLANK(R10), ISBLANK(S10), ISBLANK(T10)), "CUSM, CHU SJ, CHUS, CHUQ", "")</f>
      </c>
      <c r="AM10" s="37">
        <f>IF(AND(AJ10="no match", AK10="", AL10="", K10&lt;26), "CUSM, CHU SJ, HGJ, CHUQ, CHUS", "")</f>
      </c>
      <c r="AN10" s="37">
        <f>IF(AND(AJ10="no match", AK10="", AL10="", K10&gt;26), "CUSM, CHU SJ, HGJ, CHUQ, CHUS, HMR", "")</f>
      </c>
    </row>
    <row x14ac:dyDescent="0.25" r="11" customHeight="1" ht="17.25">
      <c r="A11" s="27" t="s">
        <v>1454</v>
      </c>
      <c r="B11" s="28">
        <v>2</v>
      </c>
      <c r="C11" s="35">
        <v>734</v>
      </c>
      <c r="D11" s="29" t="s">
        <v>264</v>
      </c>
      <c r="E11" s="30" t="s">
        <v>50</v>
      </c>
      <c r="F11" s="31">
        <v>44213</v>
      </c>
      <c r="G11" s="32">
        <v>4.929166666666667</v>
      </c>
      <c r="H11" s="31">
        <v>44213</v>
      </c>
      <c r="I11" s="32">
        <v>4.732638888888889</v>
      </c>
      <c r="J11" s="33">
        <f>F11-H11</f>
      </c>
      <c r="K11" s="28">
        <v>40</v>
      </c>
      <c r="L11" s="28">
        <v>2</v>
      </c>
      <c r="M11" s="28">
        <v>1</v>
      </c>
      <c r="N11" s="38"/>
      <c r="O11" s="34"/>
      <c r="P11" s="38"/>
      <c r="Q11" s="34"/>
      <c r="R11" s="34"/>
      <c r="S11" s="34"/>
      <c r="T11" s="28">
        <v>1</v>
      </c>
      <c r="U11" s="34"/>
      <c r="V11" s="34"/>
      <c r="W11" s="29" t="s">
        <v>74</v>
      </c>
      <c r="X11" s="28">
        <v>32</v>
      </c>
      <c r="Y11" s="28">
        <v>1</v>
      </c>
      <c r="Z11" s="28">
        <v>2</v>
      </c>
      <c r="AA11" s="28">
        <v>2</v>
      </c>
      <c r="AB11" s="28">
        <v>1</v>
      </c>
      <c r="AC11" s="28">
        <v>2</v>
      </c>
      <c r="AD11" s="28">
        <v>1</v>
      </c>
      <c r="AE11" s="28">
        <v>4</v>
      </c>
      <c r="AF11" s="28">
        <v>3</v>
      </c>
      <c r="AG11" s="28">
        <v>2</v>
      </c>
      <c r="AH11" s="29" t="s">
        <v>1455</v>
      </c>
      <c r="AI11" s="36">
        <f>IF(OR(AND(K11&lt;32, J11&lt;2), O11=1, P11=1, Q11=1, R11=1, S11=1, T11=1, U11=1, AND(W11&lt;&gt;"", W11&lt;&gt;"Oxygen", W11&lt;&gt;"LowFlow")), "Intensive", "Intermediate")</f>
      </c>
      <c r="AJ11" s="37">
        <f>IF(OR(LEFT(AH11, 1)="X", LEFT(AH11, 1)="Y", LEFT(AH11, 3)="J8M"), "CUSM", "No Match")</f>
      </c>
      <c r="AK11" s="37">
        <f>IF(AND(OR(O11=3, P11=1, Q11=1, T11=1), AJ11="no Match"), "CUSM, CHU SJ, CHUQ", "")</f>
      </c>
      <c r="AL11" s="37">
        <f>IF(AND(O11=2, ISBLANK(P11), ISBLANK(Q11), ISBLANK(R11), ISBLANK(S11), ISBLANK(T11)), "CUSM, CHU SJ, CHUS, CHUQ", "")</f>
      </c>
      <c r="AM11" s="37">
        <f>IF(AND(AJ11="no match", AK11="", AL11="", K11&lt;26), "CUSM, CHU SJ, HGJ, CHUQ, CHUS", "")</f>
      </c>
      <c r="AN11" s="37">
        <f>IF(AND(AJ11="no match", AK11="", AL11="", K11&gt;26), "CUSM, CHU SJ, HGJ, CHUQ, CHUS, HMR", "")</f>
      </c>
    </row>
    <row x14ac:dyDescent="0.25" r="12" customHeight="1" ht="17.25">
      <c r="A12" s="27" t="s">
        <v>1456</v>
      </c>
      <c r="B12" s="28">
        <v>2</v>
      </c>
      <c r="C12" s="28">
        <v>756</v>
      </c>
      <c r="D12" s="29" t="s">
        <v>66</v>
      </c>
      <c r="E12" s="30" t="s">
        <v>50</v>
      </c>
      <c r="F12" s="31">
        <v>44213</v>
      </c>
      <c r="G12" s="32">
        <v>4.635416666666666</v>
      </c>
      <c r="H12" s="31">
        <v>44205</v>
      </c>
      <c r="I12" s="32">
        <v>4.561805555555555</v>
      </c>
      <c r="J12" s="33">
        <f>F12-H12</f>
      </c>
      <c r="K12" s="28">
        <v>36</v>
      </c>
      <c r="L12" s="28">
        <v>6</v>
      </c>
      <c r="M12" s="28">
        <v>2</v>
      </c>
      <c r="N12" s="35">
        <v>1</v>
      </c>
      <c r="O12" s="35">
        <v>2</v>
      </c>
      <c r="P12" s="35">
        <v>1</v>
      </c>
      <c r="Q12" s="34"/>
      <c r="R12" s="34"/>
      <c r="S12" s="34"/>
      <c r="T12" s="34"/>
      <c r="U12" s="34"/>
      <c r="V12" s="34"/>
      <c r="W12" s="29"/>
      <c r="X12" s="28">
        <v>35</v>
      </c>
      <c r="Y12" s="28">
        <v>1</v>
      </c>
      <c r="Z12" s="28">
        <v>1</v>
      </c>
      <c r="AA12" s="28">
        <v>1</v>
      </c>
      <c r="AB12" s="28">
        <v>1</v>
      </c>
      <c r="AC12" s="28">
        <v>2</v>
      </c>
      <c r="AD12" s="28">
        <v>1</v>
      </c>
      <c r="AE12" s="28">
        <v>4</v>
      </c>
      <c r="AF12" s="28">
        <v>3</v>
      </c>
      <c r="AG12" s="28">
        <v>2</v>
      </c>
      <c r="AH12" s="29" t="s">
        <v>1457</v>
      </c>
      <c r="AI12" s="36">
        <f>IF(OR(AND(K12&lt;32, J12&lt;2), O12=1, P12=1, Q12=1, R12=1, S12=1, T12=1, U12=1, AND(W12&lt;&gt;"", W12&lt;&gt;"Oxygen", W12&lt;&gt;"LowFlow")), "Intensive", "Intermediate")</f>
      </c>
      <c r="AJ12" s="37">
        <f>IF(OR(LEFT(AH12, 1)="X", LEFT(AH12, 1)="Y", LEFT(AH12, 3)="J9M"), "CUSM", "No Match")</f>
      </c>
      <c r="AK12" s="37">
        <f>IF(AND(OR(O12=3, P12=1, Q12=1, T12=1), AJ12="no Match"), "CUSM, CHU SJ, CHUQ", "")</f>
      </c>
      <c r="AL12" s="37">
        <f>IF(AND(O12=2, ISBLANK(P12), ISBLANK(Q12), ISBLANK(R12), ISBLANK(S12), ISBLANK(T12)), "CUSM, CHU SJ, CHUS, CHUQ", "")</f>
      </c>
      <c r="AM12" s="37">
        <f>IF(AND(AJ12="no match", AK12="", AL12="", K12&lt;26), "CUSM, CHU SJ, HGJ, CHUQ, CHUS", "")</f>
      </c>
      <c r="AN12" s="37">
        <f>IF(AND(AJ12="no match", AK12="", AL12="", K12&gt;26), "CUSM, CHU SJ, HGJ, CHUQ, CHUS, HMR", "")</f>
      </c>
    </row>
    <row x14ac:dyDescent="0.25" r="13" customHeight="1" ht="17.25">
      <c r="A13" s="27" t="s">
        <v>1458</v>
      </c>
      <c r="B13" s="28">
        <v>2</v>
      </c>
      <c r="C13" s="28">
        <v>734</v>
      </c>
      <c r="D13" s="29" t="s">
        <v>264</v>
      </c>
      <c r="E13" s="30" t="s">
        <v>50</v>
      </c>
      <c r="F13" s="31">
        <v>44214</v>
      </c>
      <c r="G13" s="32">
        <v>4.989583333333334</v>
      </c>
      <c r="H13" s="31">
        <v>44213</v>
      </c>
      <c r="I13" s="32">
        <v>4.7875</v>
      </c>
      <c r="J13" s="33">
        <f>F13-H13</f>
      </c>
      <c r="K13" s="28">
        <v>41</v>
      </c>
      <c r="L13" s="28">
        <v>0</v>
      </c>
      <c r="M13" s="28">
        <v>1</v>
      </c>
      <c r="N13" s="38"/>
      <c r="O13" s="38"/>
      <c r="P13" s="38"/>
      <c r="Q13" s="34"/>
      <c r="R13" s="34"/>
      <c r="S13" s="34"/>
      <c r="T13" s="34"/>
      <c r="U13" s="35">
        <v>1</v>
      </c>
      <c r="V13" s="35">
        <v>1</v>
      </c>
      <c r="W13" s="29" t="s">
        <v>74</v>
      </c>
      <c r="X13" s="28">
        <v>36</v>
      </c>
      <c r="Y13" s="28">
        <v>1</v>
      </c>
      <c r="Z13" s="28">
        <v>1</v>
      </c>
      <c r="AA13" s="28">
        <v>2</v>
      </c>
      <c r="AB13" s="28">
        <v>1</v>
      </c>
      <c r="AC13" s="28">
        <v>2</v>
      </c>
      <c r="AD13" s="28">
        <v>2</v>
      </c>
      <c r="AE13" s="28">
        <v>4</v>
      </c>
      <c r="AF13" s="28">
        <v>3</v>
      </c>
      <c r="AG13" s="28">
        <v>2</v>
      </c>
      <c r="AH13" s="29" t="s">
        <v>1459</v>
      </c>
      <c r="AI13" s="36">
        <f>IF(OR(AND(K13&lt;32, J13&lt;2), O13=1, P13=1, Q13=1, R13=1, S13=1, T13=1, U13=1, AND(W13&lt;&gt;"", W13&lt;&gt;"Oxygen", W13&lt;&gt;"LowFlow")), "Intensive", "Intermediate")</f>
      </c>
      <c r="AJ13" s="37">
        <f>IF(OR(LEFT(AH13, 1)="X", LEFT(AH13, 1)="Y", LEFT(AH13, 3)="J10M"), "CUSM", "No Match")</f>
      </c>
      <c r="AK13" s="37">
        <f>IF(AND(OR(O13=3, P13=1, Q13=1, T13=1), AJ13="no Match"), "CUSM, CHU SJ, CHUQ", "")</f>
      </c>
      <c r="AL13" s="37">
        <f>IF(AND(O13=2, ISBLANK(P13), ISBLANK(Q13), ISBLANK(R13), ISBLANK(S13), ISBLANK(T13)), "CUSM, CHU SJ, CHUS, CHUQ", "")</f>
      </c>
      <c r="AM13" s="37">
        <f>IF(AND(AJ13="no match", AK13="", AL13="", K13&lt;26), "CUSM, CHU SJ, HGJ, CHUQ, CHUS", "")</f>
      </c>
      <c r="AN13" s="37">
        <f>IF(AND(AJ13="no match", AK13="", AL13="", K13&gt;26), "CUSM, CHU SJ, HGJ, CHUQ, CHUS, HMR", "")</f>
      </c>
    </row>
    <row x14ac:dyDescent="0.25" r="14" customHeight="1" ht="17.25">
      <c r="A14" s="27" t="s">
        <v>1460</v>
      </c>
      <c r="B14" s="28">
        <v>2</v>
      </c>
      <c r="C14" s="28">
        <v>831</v>
      </c>
      <c r="D14" s="29" t="s">
        <v>313</v>
      </c>
      <c r="E14" s="30" t="s">
        <v>50</v>
      </c>
      <c r="F14" s="31">
        <v>44215</v>
      </c>
      <c r="G14" s="32">
        <v>4.947916666666666</v>
      </c>
      <c r="H14" s="31">
        <v>44215</v>
      </c>
      <c r="I14" s="32">
        <v>4.594444444444445</v>
      </c>
      <c r="J14" s="33">
        <f>F14-H14</f>
      </c>
      <c r="K14" s="28">
        <v>38</v>
      </c>
      <c r="L14" s="28">
        <v>3</v>
      </c>
      <c r="M14" s="28">
        <v>2</v>
      </c>
      <c r="N14" s="38"/>
      <c r="O14" s="34"/>
      <c r="P14" s="38"/>
      <c r="Q14" s="34"/>
      <c r="R14" s="34"/>
      <c r="S14" s="34"/>
      <c r="T14" s="34"/>
      <c r="U14" s="34"/>
      <c r="V14" s="34"/>
      <c r="W14" s="29"/>
      <c r="X14" s="28">
        <v>34</v>
      </c>
      <c r="Y14" s="28">
        <v>1</v>
      </c>
      <c r="Z14" s="28">
        <v>2</v>
      </c>
      <c r="AA14" s="28">
        <v>2</v>
      </c>
      <c r="AB14" s="28">
        <v>1</v>
      </c>
      <c r="AC14" s="28">
        <v>2</v>
      </c>
      <c r="AD14" s="28">
        <v>2</v>
      </c>
      <c r="AE14" s="28">
        <v>4</v>
      </c>
      <c r="AF14" s="28">
        <v>2</v>
      </c>
      <c r="AG14" s="28">
        <v>2</v>
      </c>
      <c r="AH14" s="29" t="s">
        <v>1461</v>
      </c>
      <c r="AI14" s="36">
        <f>IF(OR(AND(K14&lt;32, J14&lt;2), O14=1, P14=1, Q14=1, R14=1, S14=1, T14=1, U14=1, AND(W14&lt;&gt;"", W14&lt;&gt;"Oxygen", W14&lt;&gt;"LowFlow")), "Intensive", "Intermediate")</f>
      </c>
      <c r="AJ14" s="37">
        <f>IF(OR(LEFT(AH14, 1)="X", LEFT(AH14, 1)="Y", LEFT(AH14, 3)="J11M"), "CUSM", "No Match")</f>
      </c>
      <c r="AK14" s="37">
        <f>IF(AND(OR(O14=3, P14=1, Q14=1, T14=1), AJ14="no Match"), "CUSM, CHU SJ, CHUQ", "")</f>
      </c>
      <c r="AL14" s="37">
        <f>IF(AND(O14=2, ISBLANK(P14), ISBLANK(Q14), ISBLANK(R14), ISBLANK(S14), ISBLANK(T14)), "CUSM, CHU SJ, CHUS, CHUQ", "")</f>
      </c>
      <c r="AM14" s="37">
        <f>IF(AND(AJ14="no match", AK14="", AL14="", K14&lt;26), "CUSM, CHU SJ, HGJ, CHUQ, CHUS", "")</f>
      </c>
      <c r="AN14" s="37">
        <f>IF(AND(AJ14="no match", AK14="", AL14="", K14&gt;26), "CUSM, CHU SJ, HGJ, CHUQ, CHUS, HMR", "")</f>
      </c>
    </row>
    <row x14ac:dyDescent="0.25" r="15" customHeight="1" ht="17.25">
      <c r="A15" s="27" t="s">
        <v>1462</v>
      </c>
      <c r="B15" s="28">
        <v>2</v>
      </c>
      <c r="C15" s="28">
        <v>730</v>
      </c>
      <c r="D15" s="29" t="s">
        <v>81</v>
      </c>
      <c r="E15" s="30" t="s">
        <v>78</v>
      </c>
      <c r="F15" s="31">
        <v>44216</v>
      </c>
      <c r="G15" s="32">
        <v>4.5</v>
      </c>
      <c r="H15" s="31">
        <v>44216</v>
      </c>
      <c r="I15" s="32">
        <v>4.4222222222222225</v>
      </c>
      <c r="J15" s="33">
        <f>F15-H15</f>
      </c>
      <c r="K15" s="28">
        <v>35</v>
      </c>
      <c r="L15" s="28">
        <v>2</v>
      </c>
      <c r="M15" s="28">
        <v>2</v>
      </c>
      <c r="N15" s="34"/>
      <c r="O15" s="34"/>
      <c r="P15" s="34"/>
      <c r="Q15" s="34"/>
      <c r="R15" s="34"/>
      <c r="S15" s="34"/>
      <c r="T15" s="34"/>
      <c r="U15" s="34"/>
      <c r="V15" s="38"/>
      <c r="W15" s="29" t="s">
        <v>58</v>
      </c>
      <c r="X15" s="28">
        <v>35</v>
      </c>
      <c r="Y15" s="28">
        <v>1</v>
      </c>
      <c r="Z15" s="28">
        <v>1</v>
      </c>
      <c r="AA15" s="28">
        <v>2</v>
      </c>
      <c r="AB15" s="28">
        <v>1</v>
      </c>
      <c r="AC15" s="28">
        <v>2</v>
      </c>
      <c r="AD15" s="28">
        <v>2</v>
      </c>
      <c r="AE15" s="28">
        <v>2</v>
      </c>
      <c r="AF15" s="28">
        <v>2</v>
      </c>
      <c r="AG15" s="28">
        <v>2</v>
      </c>
      <c r="AH15" s="29" t="s">
        <v>1463</v>
      </c>
      <c r="AI15" s="36">
        <f>IF(OR(AND(K15&lt;32, J15&lt;2), O15=1, P15=1, Q15=1, R15=1, S15=1, T15=1, U15=1, AND(W15&lt;&gt;"", W15&lt;&gt;"Oxygen", W15&lt;&gt;"LowFlow")), "Intensive", "Intermediate")</f>
      </c>
      <c r="AJ15" s="37">
        <f>IF(OR(LEFT(AH15, 1)="X", LEFT(AH15, 1)="Y", LEFT(AH15, 3)="J12M"), "CUSM", "No Match")</f>
      </c>
      <c r="AK15" s="37">
        <f>IF(AND(OR(O15=3, P15=1, Q15=1, T15=1), AJ15="no Match"), "CUSM, CHU SJ, CHUQ", "")</f>
      </c>
      <c r="AL15" s="37">
        <f>IF(AND(O15=2, ISBLANK(P15), ISBLANK(Q15), ISBLANK(R15), ISBLANK(S15), ISBLANK(T15)), "CUSM, CHU SJ, CHUS, CHUQ", "")</f>
      </c>
      <c r="AM15" s="37">
        <f>IF(AND(AJ15="no match", AK15="", AL15="", K15&lt;26), "CUSM, CHU SJ, HGJ, CHUQ, CHUS", "")</f>
      </c>
      <c r="AN15" s="37">
        <f>IF(AND(AJ15="no match", AK15="", AL15="", K15&gt;26), "CUSM, CHU SJ, HGJ, CHUQ, CHUS, HMR", "")</f>
      </c>
    </row>
    <row x14ac:dyDescent="0.25" r="16" customHeight="1" ht="17.25">
      <c r="A16" s="27" t="s">
        <v>1464</v>
      </c>
      <c r="B16" s="28">
        <v>2</v>
      </c>
      <c r="C16" s="35">
        <v>824</v>
      </c>
      <c r="D16" s="29" t="s">
        <v>57</v>
      </c>
      <c r="E16" s="30" t="s">
        <v>54</v>
      </c>
      <c r="F16" s="31">
        <v>44217</v>
      </c>
      <c r="G16" s="32">
        <v>4.770833333333334</v>
      </c>
      <c r="H16" s="31">
        <v>44216</v>
      </c>
      <c r="I16" s="32">
        <v>4.436111111111111</v>
      </c>
      <c r="J16" s="33">
        <f>F16-H16</f>
      </c>
      <c r="K16" s="28">
        <v>38</v>
      </c>
      <c r="L16" s="28">
        <v>6</v>
      </c>
      <c r="M16" s="28">
        <v>2</v>
      </c>
      <c r="N16" s="35">
        <v>1</v>
      </c>
      <c r="O16" s="38"/>
      <c r="P16" s="38"/>
      <c r="Q16" s="35">
        <v>1</v>
      </c>
      <c r="R16" s="34"/>
      <c r="S16" s="34"/>
      <c r="T16" s="34"/>
      <c r="U16" s="34"/>
      <c r="V16" s="34"/>
      <c r="W16" s="29"/>
      <c r="X16" s="28">
        <v>26</v>
      </c>
      <c r="Y16" s="28">
        <v>1</v>
      </c>
      <c r="Z16" s="28">
        <v>1</v>
      </c>
      <c r="AA16" s="28">
        <v>1</v>
      </c>
      <c r="AB16" s="28">
        <v>1</v>
      </c>
      <c r="AC16" s="28">
        <v>3</v>
      </c>
      <c r="AD16" s="28">
        <v>3</v>
      </c>
      <c r="AE16" s="28">
        <v>4</v>
      </c>
      <c r="AF16" s="28">
        <v>2</v>
      </c>
      <c r="AG16" s="28">
        <v>2</v>
      </c>
      <c r="AH16" s="29" t="s">
        <v>1465</v>
      </c>
      <c r="AI16" s="36">
        <f>IF(OR(AND(K16&lt;32, J16&lt;2), O16=1, P16=1, Q16=1, R16=1, S16=1, T16=1, U16=1, AND(W16&lt;&gt;"", W16&lt;&gt;"Oxygen", W16&lt;&gt;"LowFlow")), "Intensive", "Intermediate")</f>
      </c>
      <c r="AJ16" s="37">
        <f>IF(OR(LEFT(AH16, 1)="X", LEFT(AH16, 1)="Y", LEFT(AH16, 3)="J13M"), "CUSM", "No Match")</f>
      </c>
      <c r="AK16" s="37">
        <f>IF(AND(OR(O16=3, P16=1, Q16=1, T16=1), AJ16="no Match"), "CUSM, CHU SJ, CHUQ", "")</f>
      </c>
      <c r="AL16" s="37">
        <f>IF(AND(O16=2, ISBLANK(P16), ISBLANK(Q16), ISBLANK(R16), ISBLANK(S16), ISBLANK(T16)), "CUSM, CHU SJ, CHUS, CHUQ", "")</f>
      </c>
      <c r="AM16" s="37">
        <f>IF(AND(AJ16="no match", AK16="", AL16="", K16&lt;26), "CUSM, CHU SJ, HGJ, CHUQ, CHUS", "")</f>
      </c>
      <c r="AN16" s="37">
        <f>IF(AND(AJ16="no match", AK16="", AL16="", K16&gt;26), "CUSM, CHU SJ, HGJ, CHUQ, CHUS, HMR", "")</f>
      </c>
    </row>
    <row x14ac:dyDescent="0.25" r="17" customHeight="1" ht="17.25">
      <c r="A17" s="27" t="s">
        <v>1466</v>
      </c>
      <c r="B17" s="28">
        <v>2</v>
      </c>
      <c r="C17" s="35">
        <v>779</v>
      </c>
      <c r="D17" s="29" t="s">
        <v>136</v>
      </c>
      <c r="E17" s="30" t="s">
        <v>50</v>
      </c>
      <c r="F17" s="31">
        <v>44217</v>
      </c>
      <c r="G17" s="32">
        <v>4.909027777777778</v>
      </c>
      <c r="H17" s="31">
        <v>44217</v>
      </c>
      <c r="I17" s="32">
        <v>4.360416666666667</v>
      </c>
      <c r="J17" s="33">
        <f>F17-H17</f>
      </c>
      <c r="K17" s="28">
        <v>41</v>
      </c>
      <c r="L17" s="28">
        <v>2</v>
      </c>
      <c r="M17" s="28">
        <v>2</v>
      </c>
      <c r="N17" s="34"/>
      <c r="O17" s="34"/>
      <c r="P17" s="34"/>
      <c r="Q17" s="34"/>
      <c r="R17" s="34"/>
      <c r="S17" s="34"/>
      <c r="T17" s="34"/>
      <c r="U17" s="34"/>
      <c r="V17" s="34"/>
      <c r="W17" s="29"/>
      <c r="X17" s="28">
        <v>22</v>
      </c>
      <c r="Y17" s="28">
        <v>1</v>
      </c>
      <c r="Z17" s="28">
        <v>1</v>
      </c>
      <c r="AA17" s="28">
        <v>2</v>
      </c>
      <c r="AB17" s="28">
        <v>1</v>
      </c>
      <c r="AC17" s="28">
        <v>2</v>
      </c>
      <c r="AD17" s="28">
        <v>2</v>
      </c>
      <c r="AE17" s="28">
        <v>4</v>
      </c>
      <c r="AF17" s="28">
        <v>2</v>
      </c>
      <c r="AG17" s="28">
        <v>2</v>
      </c>
      <c r="AH17" s="29" t="s">
        <v>1467</v>
      </c>
      <c r="AI17" s="36">
        <f>IF(OR(AND(K17&lt;32, J17&lt;2), O17=1, P17=1, Q17=1, R17=1, S17=1, T17=1, U17=1, AND(W17&lt;&gt;"", W17&lt;&gt;"Oxygen", W17&lt;&gt;"LowFlow")), "Intensive", "Intermediate")</f>
      </c>
      <c r="AJ17" s="37">
        <f>IF(OR(LEFT(AH17, 1)="X", LEFT(AH17, 1)="Y", LEFT(AH17, 3)="J14M"), "CUSM", "No Match")</f>
      </c>
      <c r="AK17" s="37">
        <f>IF(AND(OR(O17=3, P17=1, Q17=1, T17=1), AJ17="no Match"), "CUSM, CHU SJ, CHUQ", "")</f>
      </c>
      <c r="AL17" s="37">
        <f>IF(AND(O17=2, ISBLANK(P17), ISBLANK(Q17), ISBLANK(R17), ISBLANK(S17), ISBLANK(T17)), "CUSM, CHU SJ, CHUS, CHUQ", "")</f>
      </c>
      <c r="AM17" s="37">
        <f>IF(AND(AJ17="no match", AK17="", AL17="", K17&lt;26), "CUSM, CHU SJ, HGJ, CHUQ, CHUS", "")</f>
      </c>
      <c r="AN17" s="37">
        <f>IF(AND(AJ17="no match", AK17="", AL17="", K17&gt;26), "CUSM, CHU SJ, HGJ, CHUQ, CHUS, HMR", "")</f>
      </c>
    </row>
    <row x14ac:dyDescent="0.25" r="18" customHeight="1" ht="17.25">
      <c r="A18" s="27" t="s">
        <v>1468</v>
      </c>
      <c r="B18" s="28">
        <v>2</v>
      </c>
      <c r="C18" s="28">
        <v>820</v>
      </c>
      <c r="D18" s="29" t="s">
        <v>69</v>
      </c>
      <c r="E18" s="30" t="s">
        <v>50</v>
      </c>
      <c r="F18" s="31">
        <v>44218</v>
      </c>
      <c r="G18" s="32">
        <v>4.010416666666666</v>
      </c>
      <c r="H18" s="31">
        <v>44217</v>
      </c>
      <c r="I18" s="32">
        <v>4.825</v>
      </c>
      <c r="J18" s="33">
        <f>F18-H18</f>
      </c>
      <c r="K18" s="28">
        <v>39</v>
      </c>
      <c r="L18" s="28">
        <v>1</v>
      </c>
      <c r="M18" s="28">
        <v>1</v>
      </c>
      <c r="N18" s="35">
        <v>1</v>
      </c>
      <c r="O18" s="34"/>
      <c r="P18" s="34"/>
      <c r="Q18" s="35">
        <v>1</v>
      </c>
      <c r="R18" s="34"/>
      <c r="S18" s="34"/>
      <c r="T18" s="35">
        <v>1</v>
      </c>
      <c r="U18" s="34"/>
      <c r="V18" s="34"/>
      <c r="W18" s="29" t="s">
        <v>74</v>
      </c>
      <c r="X18" s="28">
        <v>33</v>
      </c>
      <c r="Y18" s="28">
        <v>1</v>
      </c>
      <c r="Z18" s="28">
        <v>2</v>
      </c>
      <c r="AA18" s="28">
        <v>1</v>
      </c>
      <c r="AB18" s="28">
        <v>1</v>
      </c>
      <c r="AC18" s="28">
        <v>1</v>
      </c>
      <c r="AD18" s="28">
        <v>2</v>
      </c>
      <c r="AE18" s="28">
        <v>2</v>
      </c>
      <c r="AF18" s="28">
        <v>2</v>
      </c>
      <c r="AG18" s="28">
        <v>2</v>
      </c>
      <c r="AH18" s="29" t="s">
        <v>1469</v>
      </c>
      <c r="AI18" s="36">
        <f>IF(OR(AND(K18&lt;32, J18&lt;2), O18=1, P18=1, Q18=1, R18=1, S18=1, T18=1, U18=1, AND(W18&lt;&gt;"", W18&lt;&gt;"Oxygen", W18&lt;&gt;"LowFlow")), "Intensive", "Intermediate")</f>
      </c>
      <c r="AJ18" s="37">
        <f>IF(OR(LEFT(AH18, 1)="X", LEFT(AH18, 1)="Y", LEFT(AH18, 3)="J15M"), "CUSM", "No Match")</f>
      </c>
      <c r="AK18" s="37">
        <f>IF(AND(OR(O18=3, P18=1, Q18=1, T18=1), AJ18="no Match"), "CUSM, CHU SJ, CHUQ", "")</f>
      </c>
      <c r="AL18" s="37">
        <f>IF(AND(O18=2, ISBLANK(P18), ISBLANK(Q18), ISBLANK(R18), ISBLANK(S18), ISBLANK(T18)), "CUSM, CHU SJ, CHUS, CHUQ", "")</f>
      </c>
      <c r="AM18" s="37">
        <f>IF(AND(AJ18="no match", AK18="", AL18="", K18&lt;26), "CUSM, CHU SJ, HGJ, CHUQ, CHUS", "")</f>
      </c>
      <c r="AN18" s="37">
        <f>IF(AND(AJ18="no match", AK18="", AL18="", K18&gt;26), "CUSM, CHU SJ, HGJ, CHUQ, CHUS, HMR", "")</f>
      </c>
    </row>
    <row x14ac:dyDescent="0.25" r="19" customHeight="1" ht="17.25">
      <c r="A19" s="27" t="s">
        <v>1470</v>
      </c>
      <c r="B19" s="28">
        <v>2</v>
      </c>
      <c r="C19" s="35">
        <v>730</v>
      </c>
      <c r="D19" s="29" t="s">
        <v>81</v>
      </c>
      <c r="E19" s="30" t="s">
        <v>78</v>
      </c>
      <c r="F19" s="31">
        <v>44219</v>
      </c>
      <c r="G19" s="32">
        <v>4.190972222222222</v>
      </c>
      <c r="H19" s="31">
        <v>44218</v>
      </c>
      <c r="I19" s="32">
        <v>4.415972222222223</v>
      </c>
      <c r="J19" s="33">
        <f>F19-H19</f>
      </c>
      <c r="K19" s="28">
        <v>38</v>
      </c>
      <c r="L19" s="28">
        <v>0</v>
      </c>
      <c r="M19" s="28">
        <v>2</v>
      </c>
      <c r="N19" s="34"/>
      <c r="O19" s="34"/>
      <c r="P19" s="34"/>
      <c r="Q19" s="34"/>
      <c r="R19" s="34"/>
      <c r="S19" s="34"/>
      <c r="T19" s="34"/>
      <c r="U19" s="34"/>
      <c r="V19" s="34"/>
      <c r="W19" s="29" t="s">
        <v>58</v>
      </c>
      <c r="X19" s="28">
        <v>34</v>
      </c>
      <c r="Y19" s="28">
        <v>1</v>
      </c>
      <c r="Z19" s="28">
        <v>2</v>
      </c>
      <c r="AA19" s="28">
        <v>3</v>
      </c>
      <c r="AB19" s="28">
        <v>1</v>
      </c>
      <c r="AC19" s="28">
        <v>2</v>
      </c>
      <c r="AD19" s="28">
        <v>2</v>
      </c>
      <c r="AE19" s="28">
        <v>4</v>
      </c>
      <c r="AF19" s="28">
        <v>3</v>
      </c>
      <c r="AG19" s="28">
        <v>2</v>
      </c>
      <c r="AH19" s="29" t="s">
        <v>1471</v>
      </c>
      <c r="AI19" s="36">
        <f>IF(OR(AND(K19&lt;32, J19&lt;2), O19=1, P19=1, Q19=1, R19=1, S19=1, T19=1, U19=1, AND(W19&lt;&gt;"", W19&lt;&gt;"Oxygen", W19&lt;&gt;"LowFlow")), "Intensive", "Intermediate")</f>
      </c>
      <c r="AJ19" s="37">
        <f>IF(OR(LEFT(AH19, 1)="X", LEFT(AH19, 1)="Y", LEFT(AH19, 3)="J16M"), "CUSM", "No Match")</f>
      </c>
      <c r="AK19" s="37">
        <f>IF(AND(OR(O19=3, P19=1, Q19=1, T19=1), AJ19="no Match"), "CUSM, CHU SJ, CHUQ", "")</f>
      </c>
      <c r="AL19" s="37">
        <f>IF(AND(O19=2, ISBLANK(P19), ISBLANK(Q19), ISBLANK(R19), ISBLANK(S19), ISBLANK(T19)), "CUSM, CHU SJ, CHUS, CHUQ", "")</f>
      </c>
      <c r="AM19" s="37">
        <f>IF(AND(AJ19="no match", AK19="", AL19="", K19&lt;26), "CUSM, CHU SJ, HGJ, CHUQ, CHUS", "")</f>
      </c>
      <c r="AN19" s="37">
        <f>IF(AND(AJ19="no match", AK19="", AL19="", K19&gt;26), "CUSM, CHU SJ, HGJ, CHUQ, CHUS, HMR", "")</f>
      </c>
    </row>
    <row x14ac:dyDescent="0.25" r="20" customHeight="1" ht="17.25">
      <c r="A20" s="27" t="s">
        <v>1472</v>
      </c>
      <c r="B20" s="28">
        <v>2</v>
      </c>
      <c r="C20" s="35">
        <v>832</v>
      </c>
      <c r="D20" s="29" t="s">
        <v>308</v>
      </c>
      <c r="E20" s="30" t="s">
        <v>50</v>
      </c>
      <c r="F20" s="31">
        <v>44219</v>
      </c>
      <c r="G20" s="32">
        <v>4.368055555555555</v>
      </c>
      <c r="H20" s="31">
        <v>44219</v>
      </c>
      <c r="I20" s="32">
        <v>4.008333333333333</v>
      </c>
      <c r="J20" s="33">
        <f>F20-H20</f>
      </c>
      <c r="K20" s="28">
        <v>41</v>
      </c>
      <c r="L20" s="28">
        <v>1</v>
      </c>
      <c r="M20" s="28">
        <v>2</v>
      </c>
      <c r="N20" s="34"/>
      <c r="O20" s="34"/>
      <c r="P20" s="34"/>
      <c r="Q20" s="34"/>
      <c r="R20" s="34"/>
      <c r="S20" s="34"/>
      <c r="T20" s="34"/>
      <c r="U20" s="34"/>
      <c r="V20" s="34"/>
      <c r="W20" s="29" t="s">
        <v>58</v>
      </c>
      <c r="X20" s="28">
        <v>28</v>
      </c>
      <c r="Y20" s="28">
        <v>1</v>
      </c>
      <c r="Z20" s="28">
        <v>2</v>
      </c>
      <c r="AA20" s="28">
        <v>2</v>
      </c>
      <c r="AB20" s="28">
        <v>4</v>
      </c>
      <c r="AC20" s="28">
        <v>2</v>
      </c>
      <c r="AD20" s="28">
        <v>2</v>
      </c>
      <c r="AE20" s="28">
        <v>4</v>
      </c>
      <c r="AF20" s="35">
        <v>3</v>
      </c>
      <c r="AG20" s="28">
        <v>2</v>
      </c>
      <c r="AH20" s="29" t="s">
        <v>1473</v>
      </c>
      <c r="AI20" s="36">
        <f>IF(OR(AND(K20&lt;32, J20&lt;2), O20=1, P20=1, Q20=1, R20=1, S20=1, T20=1, U20=1, AND(W20&lt;&gt;"", W20&lt;&gt;"Oxygen", W20&lt;&gt;"LowFlow")), "Intensive", "Intermediate")</f>
      </c>
      <c r="AJ20" s="37">
        <f>IF(OR(LEFT(AH20, 1)="X", LEFT(AH20, 1)="Y", LEFT(AH20, 3)="J17M"), "CUSM", "No Match")</f>
      </c>
      <c r="AK20" s="37">
        <f>IF(AND(OR(O20=3, P20=1, Q20=1, T20=1), AJ20="no Match"), "CUSM, CHU SJ, CHUQ", "")</f>
      </c>
      <c r="AL20" s="37">
        <f>IF(AND(O20=2, ISBLANK(P20), ISBLANK(Q20), ISBLANK(R20), ISBLANK(S20), ISBLANK(T20)), "CUSM, CHU SJ, CHUS, CHUQ", "")</f>
      </c>
      <c r="AM20" s="37">
        <f>IF(AND(AJ20="no match", AK20="", AL20="", K20&lt;26), "CUSM, CHU SJ, HGJ, CHUQ, CHUS", "")</f>
      </c>
      <c r="AN20" s="37">
        <f>IF(AND(AJ20="no match", AK20="", AL20="", K20&gt;26), "CUSM, CHU SJ, HGJ, CHUQ, CHUS, HMR", "")</f>
      </c>
    </row>
    <row x14ac:dyDescent="0.25" r="21" customHeight="1" ht="17.25">
      <c r="A21" s="27" t="s">
        <v>1474</v>
      </c>
      <c r="B21" s="28">
        <v>2</v>
      </c>
      <c r="C21" s="35">
        <v>731</v>
      </c>
      <c r="D21" s="29" t="s">
        <v>103</v>
      </c>
      <c r="E21" s="30" t="s">
        <v>54</v>
      </c>
      <c r="F21" s="31">
        <v>44220</v>
      </c>
      <c r="G21" s="32">
        <v>4.083333333333334</v>
      </c>
      <c r="H21" s="31">
        <v>44217</v>
      </c>
      <c r="I21" s="32">
        <v>4.573611111111111</v>
      </c>
      <c r="J21" s="33">
        <f>F21-H21</f>
      </c>
      <c r="K21" s="28">
        <v>35</v>
      </c>
      <c r="L21" s="28">
        <v>1</v>
      </c>
      <c r="M21" s="28">
        <v>2</v>
      </c>
      <c r="N21" s="34"/>
      <c r="O21" s="34"/>
      <c r="P21" s="34"/>
      <c r="Q21" s="34"/>
      <c r="R21" s="34"/>
      <c r="S21" s="34"/>
      <c r="T21" s="34"/>
      <c r="U21" s="34"/>
      <c r="V21" s="34"/>
      <c r="W21" s="29"/>
      <c r="X21" s="28">
        <v>39</v>
      </c>
      <c r="Y21" s="28">
        <v>1</v>
      </c>
      <c r="Z21" s="28">
        <v>2</v>
      </c>
      <c r="AA21" s="28">
        <v>2</v>
      </c>
      <c r="AB21" s="28">
        <v>1</v>
      </c>
      <c r="AC21" s="28">
        <v>1</v>
      </c>
      <c r="AD21" s="28">
        <v>2</v>
      </c>
      <c r="AE21" s="28">
        <v>4</v>
      </c>
      <c r="AF21" s="28">
        <v>2</v>
      </c>
      <c r="AG21" s="28">
        <v>2</v>
      </c>
      <c r="AH21" s="29" t="s">
        <v>1475</v>
      </c>
      <c r="AI21" s="36">
        <f>IF(OR(AND(K21&lt;32, J21&lt;2), O21=1, P21=1, Q21=1, R21=1, S21=1, T21=1, U21=1, AND(W21&lt;&gt;"", W21&lt;&gt;"Oxygen", W21&lt;&gt;"LowFlow")), "Intensive", "Intermediate")</f>
      </c>
      <c r="AJ21" s="37">
        <f>IF(OR(LEFT(AH21, 1)="X", LEFT(AH21, 1)="Y", LEFT(AH21, 3)="J18M"), "CUSM", "No Match")</f>
      </c>
      <c r="AK21" s="37">
        <f>IF(AND(OR(O21=3, P21=1, Q21=1, T21=1), AJ21="no Match"), "CUSM, CHU SJ, CHUQ", "")</f>
      </c>
      <c r="AL21" s="37">
        <f>IF(AND(O21=2, ISBLANK(P21), ISBLANK(Q21), ISBLANK(R21), ISBLANK(S21), ISBLANK(T21)), "CUSM, CHU SJ, CHUS, CHUQ", "")</f>
      </c>
      <c r="AM21" s="37">
        <f>IF(AND(AJ21="no match", AK21="", AL21="", K21&lt;26), "CUSM, CHU SJ, HGJ, CHUQ, CHUS", "")</f>
      </c>
      <c r="AN21" s="37">
        <f>IF(AND(AJ21="no match", AK21="", AL21="", K21&gt;26), "CUSM, CHU SJ, HGJ, CHUQ, CHUS, HMR", "")</f>
      </c>
    </row>
    <row x14ac:dyDescent="0.25" r="22" customHeight="1" ht="17.25">
      <c r="A22" s="27" t="s">
        <v>1476</v>
      </c>
      <c r="B22" s="28">
        <v>2</v>
      </c>
      <c r="C22" s="35">
        <v>730</v>
      </c>
      <c r="D22" s="29" t="s">
        <v>81</v>
      </c>
      <c r="E22" s="30" t="s">
        <v>78</v>
      </c>
      <c r="F22" s="31">
        <v>44220</v>
      </c>
      <c r="G22" s="32">
        <v>4.0625</v>
      </c>
      <c r="H22" s="31">
        <v>44219</v>
      </c>
      <c r="I22" s="32">
        <v>4.705555555555556</v>
      </c>
      <c r="J22" s="33">
        <f>F22-H22</f>
      </c>
      <c r="K22" s="28">
        <v>37</v>
      </c>
      <c r="L22" s="28">
        <v>2</v>
      </c>
      <c r="M22" s="28">
        <v>1</v>
      </c>
      <c r="N22" s="34"/>
      <c r="O22" s="34"/>
      <c r="P22" s="34"/>
      <c r="Q22" s="34"/>
      <c r="R22" s="34"/>
      <c r="S22" s="34"/>
      <c r="T22" s="34"/>
      <c r="U22" s="34"/>
      <c r="V22" s="34"/>
      <c r="W22" s="29" t="s">
        <v>58</v>
      </c>
      <c r="X22" s="28">
        <v>27</v>
      </c>
      <c r="Y22" s="28">
        <v>1</v>
      </c>
      <c r="Z22" s="28">
        <v>2</v>
      </c>
      <c r="AA22" s="28">
        <v>2</v>
      </c>
      <c r="AB22" s="28">
        <v>1</v>
      </c>
      <c r="AC22" s="28">
        <v>2</v>
      </c>
      <c r="AD22" s="28">
        <v>2</v>
      </c>
      <c r="AE22" s="28">
        <v>4</v>
      </c>
      <c r="AF22" s="28">
        <v>2</v>
      </c>
      <c r="AG22" s="28">
        <v>2</v>
      </c>
      <c r="AH22" s="29" t="s">
        <v>1477</v>
      </c>
      <c r="AI22" s="36">
        <f>IF(OR(AND(K22&lt;32, J22&lt;2), O22=1, P22=1, Q22=1, R22=1, S22=1, T22=1, U22=1, AND(W22&lt;&gt;"", W22&lt;&gt;"Oxygen", W22&lt;&gt;"LowFlow")), "Intensive", "Intermediate")</f>
      </c>
      <c r="AJ22" s="37">
        <f>IF(OR(LEFT(AH22, 1)="X", LEFT(AH22, 1)="Y", LEFT(AH22, 3)="J19M"), "CUSM", "No Match")</f>
      </c>
      <c r="AK22" s="37">
        <f>IF(AND(OR(O22=3, P22=1, Q22=1, T22=1), AJ22="no Match"), "CUSM, CHU SJ, CHUQ", "")</f>
      </c>
      <c r="AL22" s="37">
        <f>IF(AND(O22=2, ISBLANK(P22), ISBLANK(Q22), ISBLANK(R22), ISBLANK(S22), ISBLANK(T22)), "CUSM, CHU SJ, CHUS, CHUQ", "")</f>
      </c>
      <c r="AM22" s="37">
        <f>IF(AND(AJ22="no match", AK22="", AL22="", K22&lt;26), "CUSM, CHU SJ, HGJ, CHUQ, CHUS", "")</f>
      </c>
      <c r="AN22" s="37">
        <f>IF(AND(AJ22="no match", AK22="", AL22="", K22&gt;26), "CUSM, CHU SJ, HGJ, CHUQ, CHUS, HMR", "")</f>
      </c>
    </row>
    <row x14ac:dyDescent="0.25" r="23" customHeight="1" ht="17.25">
      <c r="A23" s="27" t="s">
        <v>1478</v>
      </c>
      <c r="B23" s="28">
        <v>2</v>
      </c>
      <c r="C23" s="28">
        <v>730</v>
      </c>
      <c r="D23" s="29" t="s">
        <v>81</v>
      </c>
      <c r="E23" s="30" t="s">
        <v>50</v>
      </c>
      <c r="F23" s="31">
        <v>44220</v>
      </c>
      <c r="G23" s="32">
        <v>4.125</v>
      </c>
      <c r="H23" s="31">
        <v>44219</v>
      </c>
      <c r="I23" s="32">
        <v>4.970138888888889</v>
      </c>
      <c r="J23" s="33">
        <f>F23-H23</f>
      </c>
      <c r="K23" s="28">
        <v>36</v>
      </c>
      <c r="L23" s="28">
        <v>6</v>
      </c>
      <c r="M23" s="28">
        <v>1</v>
      </c>
      <c r="N23" s="35">
        <v>1</v>
      </c>
      <c r="O23" s="35">
        <v>2</v>
      </c>
      <c r="P23" s="35">
        <v>1</v>
      </c>
      <c r="Q23" s="34"/>
      <c r="R23" s="34"/>
      <c r="S23" s="34"/>
      <c r="T23" s="35">
        <v>1</v>
      </c>
      <c r="U23" s="34"/>
      <c r="V23" s="34"/>
      <c r="W23" s="29" t="s">
        <v>164</v>
      </c>
      <c r="X23" s="28">
        <v>35</v>
      </c>
      <c r="Y23" s="28">
        <v>1</v>
      </c>
      <c r="Z23" s="28">
        <v>1</v>
      </c>
      <c r="AA23" s="28">
        <v>1</v>
      </c>
      <c r="AB23" s="28">
        <v>1</v>
      </c>
      <c r="AC23" s="28">
        <v>2</v>
      </c>
      <c r="AD23" s="28">
        <v>2</v>
      </c>
      <c r="AE23" s="28">
        <v>4</v>
      </c>
      <c r="AF23" s="28">
        <v>3</v>
      </c>
      <c r="AG23" s="28">
        <v>2</v>
      </c>
      <c r="AH23" s="29" t="s">
        <v>1479</v>
      </c>
      <c r="AI23" s="36">
        <f>IF(OR(AND(K23&lt;32, J23&lt;2), O23=1, P23=1, Q23=1, R23=1, S23=1, T23=1, U23=1, AND(W23&lt;&gt;"", W23&lt;&gt;"Oxygen", W23&lt;&gt;"LowFlow")), "Intensive", "Intermediate")</f>
      </c>
      <c r="AJ23" s="37">
        <f>IF(OR(LEFT(AH23, 1)="X", LEFT(AH23, 1)="Y", LEFT(AH23, 3)="J20M"), "CUSM", "No Match")</f>
      </c>
      <c r="AK23" s="37">
        <f>IF(AND(OR(O23=3, P23=1, Q23=1, T23=1), AJ23="no Match"), "CUSM, CHU SJ, CHUQ", "")</f>
      </c>
      <c r="AL23" s="37">
        <f>IF(AND(O23=2, ISBLANK(P23), ISBLANK(Q23), ISBLANK(R23), ISBLANK(S23), ISBLANK(T23)), "CUSM, CHU SJ, CHUS, CHUQ", "")</f>
      </c>
      <c r="AM23" s="37">
        <f>IF(AND(AJ23="no match", AK23="", AL23="", K23&lt;26), "CUSM, CHU SJ, HGJ, CHUQ, CHUS", "")</f>
      </c>
      <c r="AN23" s="37">
        <f>IF(AND(AJ23="no match", AK23="", AL23="", K23&gt;26), "CUSM, CHU SJ, HGJ, CHUQ, CHUS, HMR", "")</f>
      </c>
    </row>
    <row x14ac:dyDescent="0.25" r="24" customHeight="1" ht="17.25">
      <c r="A24" s="27" t="s">
        <v>1480</v>
      </c>
      <c r="B24" s="28">
        <v>2</v>
      </c>
      <c r="C24" s="35">
        <v>851</v>
      </c>
      <c r="D24" s="29" t="s">
        <v>1085</v>
      </c>
      <c r="E24" s="30" t="s">
        <v>149</v>
      </c>
      <c r="F24" s="31">
        <v>44221</v>
      </c>
      <c r="G24" s="32">
        <v>4.355555555555556</v>
      </c>
      <c r="H24" s="31">
        <v>44221</v>
      </c>
      <c r="I24" s="32">
        <v>4.157638888888889</v>
      </c>
      <c r="J24" s="33">
        <f>F24-H24</f>
      </c>
      <c r="K24" s="28">
        <v>35</v>
      </c>
      <c r="L24" s="28">
        <v>0</v>
      </c>
      <c r="M24" s="28">
        <v>2</v>
      </c>
      <c r="N24" s="35">
        <v>1</v>
      </c>
      <c r="O24" s="34"/>
      <c r="P24" s="35">
        <v>1</v>
      </c>
      <c r="Q24" s="34"/>
      <c r="R24" s="34"/>
      <c r="S24" s="34"/>
      <c r="T24" s="34"/>
      <c r="U24" s="34"/>
      <c r="V24" s="34"/>
      <c r="W24" s="29"/>
      <c r="X24" s="28">
        <v>28</v>
      </c>
      <c r="Y24" s="28">
        <v>2</v>
      </c>
      <c r="Z24" s="28">
        <v>2</v>
      </c>
      <c r="AA24" s="28">
        <v>3</v>
      </c>
      <c r="AB24" s="28">
        <v>1</v>
      </c>
      <c r="AC24" s="28">
        <v>2</v>
      </c>
      <c r="AD24" s="28">
        <v>2</v>
      </c>
      <c r="AE24" s="28">
        <v>4</v>
      </c>
      <c r="AF24" s="28">
        <v>3</v>
      </c>
      <c r="AG24" s="28">
        <v>3</v>
      </c>
      <c r="AH24" s="29" t="s">
        <v>1481</v>
      </c>
      <c r="AI24" s="36">
        <f>IF(OR(AND(K24&lt;32, J24&lt;2), O24=1, P24=1, Q24=1, R24=1, S24=1, T24=1, U24=1, AND(W24&lt;&gt;"", W24&lt;&gt;"Oxygen", W24&lt;&gt;"LowFlow")), "Intensive", "Intermediate")</f>
      </c>
      <c r="AJ24" s="37">
        <f>IF(OR(LEFT(AH24, 1)="X", LEFT(AH24, 1)="Y", LEFT(AH24, 3)="J21M"), "CUSM", "No Match")</f>
      </c>
      <c r="AK24" s="37">
        <f>IF(AND(OR(O24=3, P24=1, Q24=1, T24=1), AJ24="no Match"), "CUSM, CHU SJ, CHUQ", "")</f>
      </c>
      <c r="AL24" s="37">
        <f>IF(AND(O24=2, ISBLANK(P24), ISBLANK(Q24), ISBLANK(R24), ISBLANK(S24), ISBLANK(T24)), "CUSM, CHU SJ, CHUS, CHUQ", "")</f>
      </c>
      <c r="AM24" s="37">
        <f>IF(AND(AJ24="no match", AK24="", AL24="", K24&lt;26), "CUSM, CHU SJ, HGJ, CHUQ, CHUS", "")</f>
      </c>
      <c r="AN24" s="37">
        <f>IF(AND(AJ24="no match", AK24="", AL24="", K24&gt;26), "CUSM, CHU SJ, HGJ, CHUQ, CHUS, HMR", "")</f>
      </c>
    </row>
    <row x14ac:dyDescent="0.25" r="25" customHeight="1" ht="17.25">
      <c r="A25" s="27" t="s">
        <v>1482</v>
      </c>
      <c r="B25" s="28">
        <v>2</v>
      </c>
      <c r="C25" s="35">
        <v>820</v>
      </c>
      <c r="D25" s="29" t="s">
        <v>69</v>
      </c>
      <c r="E25" s="30" t="s">
        <v>54</v>
      </c>
      <c r="F25" s="31">
        <v>44222</v>
      </c>
      <c r="G25" s="32">
        <v>4.677083333333334</v>
      </c>
      <c r="H25" s="31">
        <v>44220</v>
      </c>
      <c r="I25" s="32">
        <v>4.6375</v>
      </c>
      <c r="J25" s="33">
        <f>F25-H25</f>
      </c>
      <c r="K25" s="28">
        <v>38</v>
      </c>
      <c r="L25" s="28">
        <v>2</v>
      </c>
      <c r="M25" s="28">
        <v>2</v>
      </c>
      <c r="N25" s="34"/>
      <c r="O25" s="34"/>
      <c r="P25" s="34"/>
      <c r="Q25" s="34"/>
      <c r="R25" s="34"/>
      <c r="S25" s="34"/>
      <c r="T25" s="34"/>
      <c r="U25" s="34"/>
      <c r="V25" s="34"/>
      <c r="W25" s="29"/>
      <c r="X25" s="28">
        <v>29</v>
      </c>
      <c r="Y25" s="28">
        <v>1</v>
      </c>
      <c r="Z25" s="28">
        <v>1</v>
      </c>
      <c r="AA25" s="35">
        <v>2</v>
      </c>
      <c r="AB25" s="28">
        <v>1</v>
      </c>
      <c r="AC25" s="28">
        <v>2</v>
      </c>
      <c r="AD25" s="28">
        <v>1</v>
      </c>
      <c r="AE25" s="35">
        <v>4</v>
      </c>
      <c r="AF25" s="35">
        <v>2</v>
      </c>
      <c r="AG25" s="28">
        <v>2</v>
      </c>
      <c r="AH25" s="29" t="s">
        <v>1483</v>
      </c>
      <c r="AI25" s="36">
        <f>IF(OR(AND(K25&lt;32, J25&lt;2), O25=1, P25=1, Q25=1, R25=1, S25=1, T25=1, U25=1, AND(W25&lt;&gt;"", W25&lt;&gt;"Oxygen", W25&lt;&gt;"LowFlow")), "Intensive", "Intermediate")</f>
      </c>
      <c r="AJ25" s="37">
        <f>IF(OR(LEFT(AH25, 1)="X", LEFT(AH25, 1)="Y", LEFT(AH25, 3)="J22M"), "CUSM", "No Match")</f>
      </c>
      <c r="AK25" s="37">
        <f>IF(AND(OR(O25=3, P25=1, Q25=1, T25=1), AJ25="no Match"), "CUSM, CHU SJ, CHUQ", "")</f>
      </c>
      <c r="AL25" s="37">
        <f>IF(AND(O25=2, ISBLANK(P25), ISBLANK(Q25), ISBLANK(R25), ISBLANK(S25), ISBLANK(T25)), "CUSM, CHU SJ, CHUS, CHUQ", "")</f>
      </c>
      <c r="AM25" s="37">
        <f>IF(AND(AJ25="no match", AK25="", AL25="", K25&lt;26), "CUSM, CHU SJ, HGJ, CHUQ, CHUS", "")</f>
      </c>
      <c r="AN25" s="37">
        <f>IF(AND(AJ25="no match", AK25="", AL25="", K25&gt;26), "CUSM, CHU SJ, HGJ, CHUQ, CHUS, HMR", "")</f>
      </c>
    </row>
    <row x14ac:dyDescent="0.25" r="26" customHeight="1" ht="17.25">
      <c r="A26" s="27" t="s">
        <v>1484</v>
      </c>
      <c r="B26" s="28">
        <v>2</v>
      </c>
      <c r="C26" s="28">
        <v>731</v>
      </c>
      <c r="D26" s="29" t="s">
        <v>103</v>
      </c>
      <c r="E26" s="30" t="s">
        <v>54</v>
      </c>
      <c r="F26" s="31">
        <v>44222</v>
      </c>
      <c r="G26" s="32">
        <v>4.975694444444445</v>
      </c>
      <c r="H26" s="31">
        <v>44219</v>
      </c>
      <c r="I26" s="32">
        <v>4.603472222222223</v>
      </c>
      <c r="J26" s="33">
        <f>F26-H26</f>
      </c>
      <c r="K26" s="28">
        <v>40</v>
      </c>
      <c r="L26" s="28">
        <v>6</v>
      </c>
      <c r="M26" s="28">
        <v>2</v>
      </c>
      <c r="N26" s="34"/>
      <c r="O26" s="34"/>
      <c r="P26" s="34"/>
      <c r="Q26" s="34"/>
      <c r="R26" s="34"/>
      <c r="S26" s="34"/>
      <c r="T26" s="34"/>
      <c r="U26" s="34"/>
      <c r="V26" s="34"/>
      <c r="W26" s="29"/>
      <c r="X26" s="28">
        <v>22</v>
      </c>
      <c r="Y26" s="28">
        <v>1</v>
      </c>
      <c r="Z26" s="28">
        <v>1</v>
      </c>
      <c r="AA26" s="28">
        <v>2</v>
      </c>
      <c r="AB26" s="28">
        <v>1</v>
      </c>
      <c r="AC26" s="28">
        <v>2</v>
      </c>
      <c r="AD26" s="28">
        <v>2</v>
      </c>
      <c r="AE26" s="28">
        <v>4</v>
      </c>
      <c r="AF26" s="28">
        <v>2</v>
      </c>
      <c r="AG26" s="28">
        <v>2</v>
      </c>
      <c r="AH26" s="29" t="s">
        <v>1485</v>
      </c>
      <c r="AI26" s="36">
        <f>IF(OR(AND(K26&lt;32, J26&lt;2), O26=1, P26=1, Q26=1, R26=1, S26=1, T26=1, U26=1, AND(W26&lt;&gt;"", W26&lt;&gt;"Oxygen", W26&lt;&gt;"LowFlow")), "Intensive", "Intermediate")</f>
      </c>
      <c r="AJ26" s="37">
        <f>IF(OR(LEFT(AH26, 1)="X", LEFT(AH26, 1)="Y", LEFT(AH26, 3)="J23M"), "CUSM", "No Match")</f>
      </c>
      <c r="AK26" s="37">
        <f>IF(AND(OR(O26=3, P26=1, Q26=1, T26=1), AJ26="no Match"), "CUSM, CHU SJ, CHUQ", "")</f>
      </c>
      <c r="AL26" s="37">
        <f>IF(AND(O26=2, ISBLANK(P26), ISBLANK(Q26), ISBLANK(R26), ISBLANK(S26), ISBLANK(T26)), "CUSM, CHU SJ, CHUS, CHUQ", "")</f>
      </c>
      <c r="AM26" s="37">
        <f>IF(AND(AJ26="no match", AK26="", AL26="", K26&lt;26), "CUSM, CHU SJ, HGJ, CHUQ, CHUS", "")</f>
      </c>
      <c r="AN26" s="37">
        <f>IF(AND(AJ26="no match", AK26="", AL26="", K26&gt;26), "CUSM, CHU SJ, HGJ, CHUQ, CHUS, HMR", "")</f>
      </c>
    </row>
    <row x14ac:dyDescent="0.25" r="27" customHeight="1" ht="17.25">
      <c r="A27" s="27" t="s">
        <v>1486</v>
      </c>
      <c r="B27" s="28">
        <v>2</v>
      </c>
      <c r="C27" s="28">
        <v>839</v>
      </c>
      <c r="D27" s="29" t="s">
        <v>53</v>
      </c>
      <c r="E27" s="30" t="s">
        <v>78</v>
      </c>
      <c r="F27" s="31">
        <v>44222</v>
      </c>
      <c r="G27" s="32">
        <v>4.434027777777778</v>
      </c>
      <c r="H27" s="31">
        <v>44222</v>
      </c>
      <c r="I27" s="32">
        <v>4.284027777777778</v>
      </c>
      <c r="J27" s="33">
        <f>F27-H27</f>
      </c>
      <c r="K27" s="28">
        <v>32</v>
      </c>
      <c r="L27" s="28">
        <v>2</v>
      </c>
      <c r="M27" s="28">
        <v>1</v>
      </c>
      <c r="N27" s="38"/>
      <c r="O27" s="34"/>
      <c r="P27" s="34"/>
      <c r="Q27" s="34"/>
      <c r="R27" s="34"/>
      <c r="S27" s="34"/>
      <c r="T27" s="34"/>
      <c r="U27" s="34"/>
      <c r="V27" s="34"/>
      <c r="W27" s="29" t="s">
        <v>58</v>
      </c>
      <c r="X27" s="28">
        <v>32</v>
      </c>
      <c r="Y27" s="28">
        <v>2</v>
      </c>
      <c r="Z27" s="28">
        <v>1</v>
      </c>
      <c r="AA27" s="28">
        <v>1</v>
      </c>
      <c r="AB27" s="28">
        <v>4</v>
      </c>
      <c r="AC27" s="28">
        <v>2</v>
      </c>
      <c r="AD27" s="28">
        <v>1</v>
      </c>
      <c r="AE27" s="28">
        <v>2</v>
      </c>
      <c r="AF27" s="28">
        <v>2</v>
      </c>
      <c r="AG27" s="28">
        <v>2</v>
      </c>
      <c r="AH27" s="29" t="s">
        <v>1487</v>
      </c>
      <c r="AI27" s="36">
        <f>IF(OR(AND(K27&lt;32, J27&lt;2), O27=1, P27=1, Q27=1, R27=1, S27=1, T27=1, U27=1, AND(W27&lt;&gt;"", W27&lt;&gt;"Oxygen", W27&lt;&gt;"LowFlow")), "Intensive", "Intermediate")</f>
      </c>
      <c r="AJ27" s="37">
        <f>IF(OR(LEFT(AH27, 1)="X", LEFT(AH27, 1)="Y", LEFT(AH27, 3)="J24M"), "CUSM", "No Match")</f>
      </c>
      <c r="AK27" s="37">
        <f>IF(AND(OR(O27=3, P27=1, Q27=1, T27=1), AJ27="no Match"), "CUSM, CHU SJ, CHUQ", "")</f>
      </c>
      <c r="AL27" s="37">
        <f>IF(AND(O27=2, ISBLANK(P27), ISBLANK(Q27), ISBLANK(R27), ISBLANK(S27), ISBLANK(T27)), "CUSM, CHU SJ, CHUS, CHUQ", "")</f>
      </c>
      <c r="AM27" s="37">
        <f>IF(AND(AJ27="no match", AK27="", AL27="", K27&lt;26), "CUSM, CHU SJ, HGJ, CHUQ, CHUS", "")</f>
      </c>
      <c r="AN27" s="37">
        <f>IF(AND(AJ27="no match", AK27="", AL27="", K27&gt;26), "CUSM, CHU SJ, HGJ, CHUQ, CHUS, HMR", "")</f>
      </c>
    </row>
    <row x14ac:dyDescent="0.25" r="28" customHeight="1" ht="17.25">
      <c r="A28" s="27" t="s">
        <v>1488</v>
      </c>
      <c r="B28" s="28">
        <v>2</v>
      </c>
      <c r="C28" s="28">
        <v>839</v>
      </c>
      <c r="D28" s="29" t="s">
        <v>53</v>
      </c>
      <c r="E28" s="30" t="s">
        <v>78</v>
      </c>
      <c r="F28" s="31">
        <v>44222</v>
      </c>
      <c r="G28" s="32">
        <v>4.493055555555555</v>
      </c>
      <c r="H28" s="31">
        <v>44222</v>
      </c>
      <c r="I28" s="32">
        <v>4.289583333333333</v>
      </c>
      <c r="J28" s="33">
        <f>F28-H28</f>
      </c>
      <c r="K28" s="28">
        <v>32</v>
      </c>
      <c r="L28" s="28">
        <v>2</v>
      </c>
      <c r="M28" s="28">
        <v>1</v>
      </c>
      <c r="N28" s="38"/>
      <c r="O28" s="38"/>
      <c r="P28" s="34"/>
      <c r="Q28" s="34"/>
      <c r="R28" s="34"/>
      <c r="S28" s="34"/>
      <c r="T28" s="38"/>
      <c r="U28" s="34"/>
      <c r="V28" s="34"/>
      <c r="W28" s="29" t="s">
        <v>58</v>
      </c>
      <c r="X28" s="28">
        <v>32</v>
      </c>
      <c r="Y28" s="28">
        <v>2</v>
      </c>
      <c r="Z28" s="28">
        <v>1</v>
      </c>
      <c r="AA28" s="28">
        <v>1</v>
      </c>
      <c r="AB28" s="28">
        <v>4</v>
      </c>
      <c r="AC28" s="28">
        <v>2</v>
      </c>
      <c r="AD28" s="28">
        <v>1</v>
      </c>
      <c r="AE28" s="28">
        <v>2</v>
      </c>
      <c r="AF28" s="28">
        <v>2</v>
      </c>
      <c r="AG28" s="28">
        <v>2</v>
      </c>
      <c r="AH28" s="29" t="s">
        <v>1487</v>
      </c>
      <c r="AI28" s="36">
        <f>IF(OR(AND(K28&lt;32, J28&lt;2), O28=1, P28=1, Q28=1, R28=1, S28=1, T28=1, U28=1, AND(W28&lt;&gt;"", W28&lt;&gt;"Oxygen", W28&lt;&gt;"LowFlow")), "Intensive", "Intermediate")</f>
      </c>
      <c r="AJ28" s="37">
        <f>IF(OR(LEFT(AH28, 1)="X", LEFT(AH28, 1)="Y", LEFT(AH28, 3)="J25M"), "CUSM", "No Match")</f>
      </c>
      <c r="AK28" s="37">
        <f>IF(AND(OR(O28=3, P28=1, Q28=1, T28=1), AJ28="no Match"), "CUSM, CHU SJ, CHUQ", "")</f>
      </c>
      <c r="AL28" s="37">
        <f>IF(AND(O28=2, ISBLANK(P28), ISBLANK(Q28), ISBLANK(R28), ISBLANK(S28), ISBLANK(T28)), "CUSM, CHU SJ, CHUS, CHUQ", "")</f>
      </c>
      <c r="AM28" s="37">
        <f>IF(AND(AJ28="no match", AK28="", AL28="", K28&lt;26), "CUSM, CHU SJ, HGJ, CHUQ, CHUS", "")</f>
      </c>
      <c r="AN28" s="37">
        <f>IF(AND(AJ28="no match", AK28="", AL28="", K28&gt;26), "CUSM, CHU SJ, HGJ, CHUQ, CHUS, HMR", "")</f>
      </c>
    </row>
    <row x14ac:dyDescent="0.25" r="29" customHeight="1" ht="17.25">
      <c r="A29" s="27" t="s">
        <v>1489</v>
      </c>
      <c r="B29" s="28">
        <v>2</v>
      </c>
      <c r="C29" s="35">
        <v>817</v>
      </c>
      <c r="D29" s="29" t="s">
        <v>163</v>
      </c>
      <c r="E29" s="30" t="s">
        <v>50</v>
      </c>
      <c r="F29" s="31">
        <v>44222</v>
      </c>
      <c r="G29" s="32">
        <v>4.881944444444445</v>
      </c>
      <c r="H29" s="31">
        <v>44222</v>
      </c>
      <c r="I29" s="32">
        <v>4.695833333333333</v>
      </c>
      <c r="J29" s="33">
        <f>F29-H29</f>
      </c>
      <c r="K29" s="28">
        <v>30</v>
      </c>
      <c r="L29" s="28">
        <v>0</v>
      </c>
      <c r="M29" s="28">
        <v>2</v>
      </c>
      <c r="N29" s="35">
        <v>1</v>
      </c>
      <c r="O29" s="34"/>
      <c r="P29" s="34"/>
      <c r="Q29" s="34"/>
      <c r="R29" s="34"/>
      <c r="S29" s="34"/>
      <c r="T29" s="34"/>
      <c r="U29" s="34"/>
      <c r="V29" s="34"/>
      <c r="W29" s="29" t="s">
        <v>74</v>
      </c>
      <c r="X29" s="28">
        <v>20</v>
      </c>
      <c r="Y29" s="28">
        <v>1</v>
      </c>
      <c r="Z29" s="28">
        <v>1</v>
      </c>
      <c r="AA29" s="28">
        <v>2</v>
      </c>
      <c r="AB29" s="28">
        <v>4</v>
      </c>
      <c r="AC29" s="28">
        <v>3</v>
      </c>
      <c r="AD29" s="28">
        <v>3</v>
      </c>
      <c r="AE29" s="28">
        <v>4</v>
      </c>
      <c r="AF29" s="28">
        <v>3</v>
      </c>
      <c r="AG29" s="28">
        <v>1</v>
      </c>
      <c r="AH29" s="29" t="s">
        <v>1490</v>
      </c>
      <c r="AI29" s="36">
        <f>IF(OR(AND(K29&lt;32, J29&lt;2), O29=1, P29=1, Q29=1, R29=1, S29=1, T29=1, U29=1, AND(W29&lt;&gt;"", W29&lt;&gt;"Oxygen", W29&lt;&gt;"LowFlow")), "Intensive", "Intermediate")</f>
      </c>
      <c r="AJ29" s="37">
        <f>IF(OR(LEFT(AH29, 1)="X", LEFT(AH29, 1)="Y", LEFT(AH29, 3)="J26M"), "CUSM", "No Match")</f>
      </c>
      <c r="AK29" s="37">
        <f>IF(AND(OR(O29=3, P29=1, Q29=1, T29=1), AJ29="no Match"), "CUSM, CHU SJ, CHUQ", "")</f>
      </c>
      <c r="AL29" s="37">
        <f>IF(AND(O29=2, ISBLANK(P29), ISBLANK(Q29), ISBLANK(R29), ISBLANK(S29), ISBLANK(T29)), "CUSM, CHU SJ, CHUS, CHUQ", "")</f>
      </c>
      <c r="AM29" s="37">
        <f>IF(AND(AJ29="no match", AK29="", AL29="", K29&lt;26), "CUSM, CHU SJ, HGJ, CHUQ, CHUS", "")</f>
      </c>
      <c r="AN29" s="37">
        <f>IF(AND(AJ29="no match", AK29="", AL29="", K29&gt;26), "CUSM, CHU SJ, HGJ, CHUQ, CHUS, HMR", "")</f>
      </c>
    </row>
    <row x14ac:dyDescent="0.25" r="30" customHeight="1" ht="17.25">
      <c r="A30" s="27" t="s">
        <v>1491</v>
      </c>
      <c r="B30" s="28">
        <v>2</v>
      </c>
      <c r="C30" s="35">
        <v>776</v>
      </c>
      <c r="D30" s="29" t="s">
        <v>84</v>
      </c>
      <c r="E30" s="30" t="s">
        <v>54</v>
      </c>
      <c r="F30" s="31">
        <v>44223</v>
      </c>
      <c r="G30" s="32">
        <v>4.638888888888889</v>
      </c>
      <c r="H30" s="31">
        <v>44221</v>
      </c>
      <c r="I30" s="32">
        <v>4.819444444444445</v>
      </c>
      <c r="J30" s="33">
        <f>F30-H30</f>
      </c>
      <c r="K30" s="28">
        <v>38</v>
      </c>
      <c r="L30" s="28">
        <v>3</v>
      </c>
      <c r="M30" s="28">
        <v>2</v>
      </c>
      <c r="N30" s="34"/>
      <c r="O30" s="35">
        <v>2</v>
      </c>
      <c r="P30" s="34"/>
      <c r="Q30" s="34"/>
      <c r="R30" s="34"/>
      <c r="S30" s="34"/>
      <c r="T30" s="34"/>
      <c r="U30" s="34"/>
      <c r="V30" s="34"/>
      <c r="W30" s="29" t="s">
        <v>74</v>
      </c>
      <c r="X30" s="28">
        <v>22</v>
      </c>
      <c r="Y30" s="28">
        <v>1</v>
      </c>
      <c r="Z30" s="28">
        <v>1</v>
      </c>
      <c r="AA30" s="28">
        <v>2</v>
      </c>
      <c r="AB30" s="28">
        <v>1</v>
      </c>
      <c r="AC30" s="28">
        <v>2</v>
      </c>
      <c r="AD30" s="28">
        <v>2</v>
      </c>
      <c r="AE30" s="28">
        <v>3</v>
      </c>
      <c r="AF30" s="28">
        <v>2</v>
      </c>
      <c r="AG30" s="28">
        <v>2</v>
      </c>
      <c r="AH30" s="29" t="s">
        <v>776</v>
      </c>
      <c r="AI30" s="36">
        <f>IF(OR(AND(K30&lt;32, J30&lt;2), O30=1, P30=1, Q30=1, R30=1, S30=1, T30=1, U30=1, AND(W30&lt;&gt;"", W30&lt;&gt;"Oxygen", W30&lt;&gt;"LowFlow")), "Intensive", "Intermediate")</f>
      </c>
      <c r="AJ30" s="37">
        <f>IF(OR(LEFT(AH30, 1)="X", LEFT(AH30, 1)="Y", LEFT(AH30, 3)="J27M"), "CUSM", "No Match")</f>
      </c>
      <c r="AK30" s="37">
        <f>IF(AND(OR(O30=3, P30=1, Q30=1, T30=1), AJ30="no Match"), "CUSM, CHU SJ, CHUQ", "")</f>
      </c>
      <c r="AL30" s="37">
        <f>IF(AND(O30=2, ISBLANK(P30), ISBLANK(Q30), ISBLANK(R30), ISBLANK(S30), ISBLANK(T30)), "CUSM, CHU SJ, CHUS, CHUQ", "")</f>
      </c>
      <c r="AM30" s="37">
        <f>IF(AND(AJ30="no match", AK30="", AL30="", K30&lt;26), "CUSM, CHU SJ, HGJ, CHUQ, CHUS", "")</f>
      </c>
      <c r="AN30" s="37">
        <f>IF(AND(AJ30="no match", AK30="", AL30="", K30&gt;26), "CUSM, CHU SJ, HGJ, CHUQ, CHUS, HMR", "")</f>
      </c>
    </row>
    <row x14ac:dyDescent="0.25" r="31" customHeight="1" ht="17.25">
      <c r="A31" s="27" t="s">
        <v>1492</v>
      </c>
      <c r="B31" s="28">
        <v>2</v>
      </c>
      <c r="C31" s="28">
        <v>825</v>
      </c>
      <c r="D31" s="29" t="s">
        <v>77</v>
      </c>
      <c r="E31" s="30" t="s">
        <v>54</v>
      </c>
      <c r="F31" s="31">
        <v>44223</v>
      </c>
      <c r="G31" s="32">
        <v>4.746527777777778</v>
      </c>
      <c r="H31" s="31">
        <v>44223</v>
      </c>
      <c r="I31" s="32">
        <v>4.190277777777778</v>
      </c>
      <c r="J31" s="33">
        <f>F31-H31</f>
      </c>
      <c r="K31" s="28">
        <v>40</v>
      </c>
      <c r="L31" s="28">
        <v>0</v>
      </c>
      <c r="M31" s="28">
        <v>1</v>
      </c>
      <c r="N31" s="28">
        <v>1</v>
      </c>
      <c r="O31" s="38"/>
      <c r="P31" s="28">
        <v>1</v>
      </c>
      <c r="Q31" s="34"/>
      <c r="R31" s="34"/>
      <c r="S31" s="34"/>
      <c r="T31" s="34"/>
      <c r="U31" s="34"/>
      <c r="V31" s="34"/>
      <c r="W31" s="29" t="s">
        <v>58</v>
      </c>
      <c r="X31" s="28">
        <v>31</v>
      </c>
      <c r="Y31" s="28">
        <v>1</v>
      </c>
      <c r="Z31" s="28">
        <v>1</v>
      </c>
      <c r="AA31" s="28">
        <v>1</v>
      </c>
      <c r="AB31" s="28">
        <v>1</v>
      </c>
      <c r="AC31" s="28">
        <v>2</v>
      </c>
      <c r="AD31" s="28">
        <v>2</v>
      </c>
      <c r="AE31" s="28">
        <v>3</v>
      </c>
      <c r="AF31" s="28">
        <v>2</v>
      </c>
      <c r="AG31" s="28">
        <v>2</v>
      </c>
      <c r="AH31" s="29" t="s">
        <v>1493</v>
      </c>
      <c r="AI31" s="36">
        <f>IF(OR(AND(K31&lt;32, J31&lt;2), O31=1, P31=1, Q31=1, R31=1, S31=1, T31=1, U31=1, AND(W31&lt;&gt;"", W31&lt;&gt;"Oxygen", W31&lt;&gt;"LowFlow")), "Intensive", "Intermediate")</f>
      </c>
      <c r="AJ31" s="37">
        <f>IF(OR(LEFT(AH31, 1)="X", LEFT(AH31, 1)="Y", LEFT(AH31, 3)="J28M"), "CUSM", "No Match")</f>
      </c>
      <c r="AK31" s="37">
        <f>IF(AND(OR(O31=3, P31=1, Q31=1, T31=1), AJ31="no Match"), "CUSM, CHU SJ, CHUQ", "")</f>
      </c>
      <c r="AL31" s="37">
        <f>IF(AND(O31=2, ISBLANK(P31), ISBLANK(Q31), ISBLANK(R31), ISBLANK(S31), ISBLANK(T31)), "CUSM, CHU SJ, CHUS, CHUQ", "")</f>
      </c>
      <c r="AM31" s="37">
        <f>IF(AND(AJ31="no match", AK31="", AL31="", K31&lt;26), "CUSM, CHU SJ, HGJ, CHUQ, CHUS", "")</f>
      </c>
      <c r="AN31" s="37">
        <f>IF(AND(AJ31="no match", AK31="", AL31="", K31&gt;26), "CUSM, CHU SJ, HGJ, CHUQ, CHUS, HMR", "")</f>
      </c>
    </row>
    <row x14ac:dyDescent="0.25" r="32" customHeight="1" ht="17.25">
      <c r="A32" s="27" t="s">
        <v>1494</v>
      </c>
      <c r="B32" s="28">
        <v>2</v>
      </c>
      <c r="C32" s="28">
        <v>779</v>
      </c>
      <c r="D32" s="29" t="s">
        <v>136</v>
      </c>
      <c r="E32" s="30" t="s">
        <v>78</v>
      </c>
      <c r="F32" s="31">
        <v>44223</v>
      </c>
      <c r="G32" s="32">
        <v>4.013888888888889</v>
      </c>
      <c r="H32" s="31">
        <v>44222</v>
      </c>
      <c r="I32" s="32">
        <v>4.877777777777778</v>
      </c>
      <c r="J32" s="33">
        <f>F32-H32</f>
      </c>
      <c r="K32" s="28">
        <v>29</v>
      </c>
      <c r="L32" s="28">
        <v>5</v>
      </c>
      <c r="M32" s="28">
        <v>2</v>
      </c>
      <c r="N32" s="34"/>
      <c r="O32" s="34"/>
      <c r="P32" s="34"/>
      <c r="Q32" s="34"/>
      <c r="R32" s="34"/>
      <c r="S32" s="34"/>
      <c r="T32" s="34"/>
      <c r="U32" s="34"/>
      <c r="V32" s="34"/>
      <c r="W32" s="29" t="s">
        <v>74</v>
      </c>
      <c r="X32" s="28">
        <v>36</v>
      </c>
      <c r="Y32" s="28">
        <v>1</v>
      </c>
      <c r="Z32" s="28">
        <v>1</v>
      </c>
      <c r="AA32" s="28">
        <v>1</v>
      </c>
      <c r="AB32" s="28">
        <v>1</v>
      </c>
      <c r="AC32" s="28">
        <v>2</v>
      </c>
      <c r="AD32" s="28">
        <v>1</v>
      </c>
      <c r="AE32" s="28">
        <v>2</v>
      </c>
      <c r="AF32" s="28">
        <v>2</v>
      </c>
      <c r="AG32" s="28">
        <v>2</v>
      </c>
      <c r="AH32" s="29" t="s">
        <v>1495</v>
      </c>
      <c r="AI32" s="36">
        <f>IF(OR(AND(K32&lt;32, J32&lt;2), O32=1, P32=1, Q32=1, R32=1, S32=1, T32=1, U32=1, AND(W32&lt;&gt;"", W32&lt;&gt;"Oxygen", W32&lt;&gt;"LowFlow")), "Intensive", "Intermediate")</f>
      </c>
      <c r="AJ32" s="37">
        <f>IF(OR(LEFT(AH32, 1)="X", LEFT(AH32, 1)="Y", LEFT(AH32, 3)="J29M"), "CUSM", "No Match")</f>
      </c>
      <c r="AK32" s="37">
        <f>IF(AND(OR(O32=3, P32=1, Q32=1, T32=1), AJ32="no Match"), "CUSM, CHU SJ, CHUQ", "")</f>
      </c>
      <c r="AL32" s="37">
        <f>IF(AND(O32=2, ISBLANK(P32), ISBLANK(Q32), ISBLANK(R32), ISBLANK(S32), ISBLANK(T32)), "CUSM, CHU SJ, CHUS, CHUQ", "")</f>
      </c>
      <c r="AM32" s="37">
        <f>IF(AND(AJ32="no match", AK32="", AL32="", K32&lt;26), "CUSM, CHU SJ, HGJ, CHUQ, CHUS", "")</f>
      </c>
      <c r="AN32" s="37">
        <f>IF(AND(AJ32="no match", AK32="", AL32="", K32&gt;26), "CUSM, CHU SJ, HGJ, CHUQ, CHUS, HMR", "")</f>
      </c>
    </row>
    <row x14ac:dyDescent="0.25" r="33" customHeight="1" ht="17.25">
      <c r="A33" s="27" t="s">
        <v>1496</v>
      </c>
      <c r="B33" s="28">
        <v>2</v>
      </c>
      <c r="C33" s="28">
        <v>839</v>
      </c>
      <c r="D33" s="29" t="s">
        <v>53</v>
      </c>
      <c r="E33" s="30" t="s">
        <v>50</v>
      </c>
      <c r="F33" s="31">
        <v>44223</v>
      </c>
      <c r="G33" s="32">
        <v>4.836805555555555</v>
      </c>
      <c r="H33" s="31">
        <v>44223</v>
      </c>
      <c r="I33" s="32">
        <v>4.725</v>
      </c>
      <c r="J33" s="33">
        <f>F33-H33</f>
      </c>
      <c r="K33" s="28">
        <v>35</v>
      </c>
      <c r="L33" s="28">
        <v>1</v>
      </c>
      <c r="M33" s="28">
        <v>2</v>
      </c>
      <c r="N33" s="28">
        <v>1</v>
      </c>
      <c r="O33" s="34"/>
      <c r="P33" s="34"/>
      <c r="Q33" s="34"/>
      <c r="R33" s="34"/>
      <c r="S33" s="34"/>
      <c r="T33" s="34"/>
      <c r="U33" s="34"/>
      <c r="V33" s="34"/>
      <c r="W33" s="29"/>
      <c r="X33" s="28">
        <v>31</v>
      </c>
      <c r="Y33" s="28">
        <v>1</v>
      </c>
      <c r="Z33" s="28">
        <v>1</v>
      </c>
      <c r="AA33" s="28">
        <v>1</v>
      </c>
      <c r="AB33" s="28">
        <v>1</v>
      </c>
      <c r="AC33" s="28">
        <v>2</v>
      </c>
      <c r="AD33" s="28">
        <v>2</v>
      </c>
      <c r="AE33" s="28">
        <v>4</v>
      </c>
      <c r="AF33" s="35">
        <v>2</v>
      </c>
      <c r="AG33" s="28">
        <v>2</v>
      </c>
      <c r="AH33" s="29" t="s">
        <v>1497</v>
      </c>
      <c r="AI33" s="36">
        <f>IF(OR(AND(K33&lt;32, J33&lt;2), O33=1, P33=1, Q33=1, R33=1, S33=1, T33=1, U33=1, AND(W33&lt;&gt;"", W33&lt;&gt;"Oxygen", W33&lt;&gt;"LowFlow")), "Intensive", "Intermediate")</f>
      </c>
      <c r="AJ33" s="37">
        <f>IF(OR(LEFT(AH33, 1)="X", LEFT(AH33, 1)="Y", LEFT(AH33, 3)="J30M"), "CUSM", "No Match")</f>
      </c>
      <c r="AK33" s="37">
        <f>IF(AND(OR(O33=3, P33=1, Q33=1, T33=1), AJ33="no Match"), "CUSM, CHU SJ, CHUQ", "")</f>
      </c>
      <c r="AL33" s="37">
        <f>IF(AND(O33=2, ISBLANK(P33), ISBLANK(Q33), ISBLANK(R33), ISBLANK(S33), ISBLANK(T33)), "CUSM, CHU SJ, CHUS, CHUQ", "")</f>
      </c>
      <c r="AM33" s="37">
        <f>IF(AND(AJ33="no match", AK33="", AL33="", K33&lt;26), "CUSM, CHU SJ, HGJ, CHUQ, CHUS", "")</f>
      </c>
      <c r="AN33" s="37">
        <f>IF(AND(AJ33="no match", AK33="", AL33="", K33&gt;26), "CUSM, CHU SJ, HGJ, CHUQ, CHUS, HMR", "")</f>
      </c>
    </row>
    <row x14ac:dyDescent="0.25" r="34" customHeight="1" ht="17.25">
      <c r="A34" s="27" t="s">
        <v>1498</v>
      </c>
      <c r="B34" s="28">
        <v>2</v>
      </c>
      <c r="C34" s="35">
        <v>822</v>
      </c>
      <c r="D34" s="29" t="s">
        <v>167</v>
      </c>
      <c r="E34" s="30" t="s">
        <v>54</v>
      </c>
      <c r="F34" s="31">
        <v>44224</v>
      </c>
      <c r="G34" s="32">
        <v>4.951388888888889</v>
      </c>
      <c r="H34" s="31">
        <v>44224</v>
      </c>
      <c r="I34" s="32">
        <v>4.694444444444445</v>
      </c>
      <c r="J34" s="33">
        <f>F34-H34</f>
      </c>
      <c r="K34" s="28">
        <v>38</v>
      </c>
      <c r="L34" s="28">
        <v>2</v>
      </c>
      <c r="M34" s="28">
        <v>1</v>
      </c>
      <c r="N34" s="34"/>
      <c r="O34" s="34"/>
      <c r="P34" s="34"/>
      <c r="Q34" s="34"/>
      <c r="R34" s="34"/>
      <c r="S34" s="34"/>
      <c r="T34" s="35">
        <v>1</v>
      </c>
      <c r="U34" s="34"/>
      <c r="V34" s="34"/>
      <c r="W34" s="29" t="s">
        <v>58</v>
      </c>
      <c r="X34" s="28">
        <v>29</v>
      </c>
      <c r="Y34" s="28">
        <v>1</v>
      </c>
      <c r="Z34" s="28">
        <v>1</v>
      </c>
      <c r="AA34" s="28">
        <v>2</v>
      </c>
      <c r="AB34" s="28">
        <v>1</v>
      </c>
      <c r="AC34" s="28">
        <v>1</v>
      </c>
      <c r="AD34" s="28">
        <v>2</v>
      </c>
      <c r="AE34" s="28">
        <v>4</v>
      </c>
      <c r="AF34" s="28">
        <v>2</v>
      </c>
      <c r="AG34" s="28">
        <v>2</v>
      </c>
      <c r="AH34" s="29" t="s">
        <v>1499</v>
      </c>
      <c r="AI34" s="36">
        <f>IF(OR(AND(K34&lt;32, J34&lt;2), O34=1, P34=1, Q34=1, R34=1, S34=1, T34=1, U34=1, AND(W34&lt;&gt;"", W34&lt;&gt;"Oxygen", W34&lt;&gt;"LowFlow")), "Intensive", "Intermediate")</f>
      </c>
      <c r="AJ34" s="37">
        <f>IF(OR(LEFT(AH34, 1)="X", LEFT(AH34, 1)="Y", LEFT(AH34, 3)="J31M"), "CUSM", "No Match")</f>
      </c>
      <c r="AK34" s="37">
        <f>IF(AND(OR(O34=3, P34=1, Q34=1, T34=1), AJ34="no Match"), "CUSM, CHU SJ, CHUQ", "")</f>
      </c>
      <c r="AL34" s="37">
        <f>IF(AND(O34=2, ISBLANK(P34), ISBLANK(Q34), ISBLANK(R34), ISBLANK(S34), ISBLANK(T34)), "CUSM, CHU SJ, CHUS, CHUQ", "")</f>
      </c>
      <c r="AM34" s="37">
        <f>IF(AND(AJ34="no match", AK34="", AL34="", K34&lt;26), "CUSM, CHU SJ, HGJ, CHUQ, CHUS", "")</f>
      </c>
      <c r="AN34" s="37">
        <f>IF(AND(AJ34="no match", AK34="", AL34="", K34&gt;26), "CUSM, CHU SJ, HGJ, CHUQ, CHUS, HMR", "")</f>
      </c>
    </row>
    <row x14ac:dyDescent="0.25" r="35" customHeight="1" ht="17.25">
      <c r="A35" s="27" t="s">
        <v>1500</v>
      </c>
      <c r="B35" s="28">
        <v>2</v>
      </c>
      <c r="C35" s="28">
        <v>822</v>
      </c>
      <c r="D35" s="29" t="s">
        <v>167</v>
      </c>
      <c r="E35" s="30" t="s">
        <v>50</v>
      </c>
      <c r="F35" s="31">
        <v>44224</v>
      </c>
      <c r="G35" s="32">
        <v>4.201388888888889</v>
      </c>
      <c r="H35" s="31">
        <v>44224</v>
      </c>
      <c r="I35" s="32">
        <v>4.05625</v>
      </c>
      <c r="J35" s="33">
        <f>F35-H35</f>
      </c>
      <c r="K35" s="28">
        <v>26</v>
      </c>
      <c r="L35" s="28">
        <v>5</v>
      </c>
      <c r="M35" s="28">
        <v>2</v>
      </c>
      <c r="N35" s="35">
        <v>1</v>
      </c>
      <c r="O35" s="34"/>
      <c r="P35" s="35">
        <v>1</v>
      </c>
      <c r="Q35" s="34"/>
      <c r="R35" s="34"/>
      <c r="S35" s="34"/>
      <c r="T35" s="34"/>
      <c r="U35" s="34"/>
      <c r="V35" s="34"/>
      <c r="W35" s="29" t="s">
        <v>74</v>
      </c>
      <c r="X35" s="28">
        <v>31</v>
      </c>
      <c r="Y35" s="28">
        <v>2</v>
      </c>
      <c r="Z35" s="28">
        <v>2</v>
      </c>
      <c r="AA35" s="28">
        <v>2</v>
      </c>
      <c r="AB35" s="28">
        <v>1</v>
      </c>
      <c r="AC35" s="28">
        <v>2</v>
      </c>
      <c r="AD35" s="28">
        <v>2</v>
      </c>
      <c r="AE35" s="28">
        <v>4</v>
      </c>
      <c r="AF35" s="28">
        <v>3</v>
      </c>
      <c r="AG35" s="28">
        <v>2</v>
      </c>
      <c r="AH35" s="29" t="s">
        <v>1501</v>
      </c>
      <c r="AI35" s="36">
        <f>IF(OR(AND(K35&lt;32, J35&lt;2), O35=1, P35=1, Q35=1, R35=1, S35=1, T35=1, U35=1, AND(W35&lt;&gt;"", W35&lt;&gt;"Oxygen", W35&lt;&gt;"LowFlow")), "Intensive", "Intermediate")</f>
      </c>
      <c r="AJ35" s="37">
        <f>IF(OR(LEFT(AH35, 1)="X", LEFT(AH35, 1)="Y", LEFT(AH35, 3)="J32M"), "CUSM", "No Match")</f>
      </c>
      <c r="AK35" s="37">
        <f>IF(AND(OR(O35=3, P35=1, Q35=1, T35=1), AJ35="no Match"), "CUSM, CHU SJ, CHUQ", "")</f>
      </c>
      <c r="AL35" s="37">
        <f>IF(AND(O35=2, ISBLANK(P35), ISBLANK(Q35), ISBLANK(R35), ISBLANK(S35), ISBLANK(T35)), "CUSM, CHU SJ, CHUS, CHUQ", "")</f>
      </c>
      <c r="AM35" s="37">
        <f>IF(AND(AJ35="no match", AK35="", AL35="", K35&lt;26), "CUSM, CHU SJ, HGJ, CHUQ, CHUS", "")</f>
      </c>
      <c r="AN35" s="37">
        <f>IF(AND(AJ35="no match", AK35="", AL35="", K35&gt;26), "CUSM, CHU SJ, HGJ, CHUQ, CHUS, HMR", "")</f>
      </c>
    </row>
    <row x14ac:dyDescent="0.25" r="36" customHeight="1" ht="17.25">
      <c r="A36" s="27" t="s">
        <v>1502</v>
      </c>
      <c r="B36" s="28">
        <v>2</v>
      </c>
      <c r="C36" s="35">
        <v>746</v>
      </c>
      <c r="D36" s="29" t="s">
        <v>139</v>
      </c>
      <c r="E36" s="30" t="s">
        <v>50</v>
      </c>
      <c r="F36" s="31">
        <v>44224</v>
      </c>
      <c r="G36" s="32">
        <v>4.1194444444444445</v>
      </c>
      <c r="H36" s="31">
        <v>44223</v>
      </c>
      <c r="I36" s="32">
        <v>4.361805555555556</v>
      </c>
      <c r="J36" s="33">
        <f>F36-H36</f>
      </c>
      <c r="K36" s="28">
        <v>38</v>
      </c>
      <c r="L36" s="28">
        <v>4</v>
      </c>
      <c r="M36" s="28">
        <v>1</v>
      </c>
      <c r="N36" s="34"/>
      <c r="O36" s="34"/>
      <c r="P36" s="34"/>
      <c r="Q36" s="34"/>
      <c r="R36" s="34"/>
      <c r="S36" s="34"/>
      <c r="T36" s="34"/>
      <c r="U36" s="34"/>
      <c r="V36" s="34"/>
      <c r="W36" s="29"/>
      <c r="X36" s="28">
        <v>25</v>
      </c>
      <c r="Y36" s="28">
        <v>1</v>
      </c>
      <c r="Z36" s="28">
        <v>2</v>
      </c>
      <c r="AA36" s="28">
        <v>2</v>
      </c>
      <c r="AB36" s="28">
        <v>1</v>
      </c>
      <c r="AC36" s="28">
        <v>2</v>
      </c>
      <c r="AD36" s="28">
        <v>2</v>
      </c>
      <c r="AE36" s="28">
        <v>4</v>
      </c>
      <c r="AF36" s="28">
        <v>3</v>
      </c>
      <c r="AG36" s="28">
        <v>2</v>
      </c>
      <c r="AH36" s="29" t="s">
        <v>1503</v>
      </c>
      <c r="AI36" s="36">
        <f>IF(OR(AND(K36&lt;32, J36&lt;2), O36=1, P36=1, Q36=1, R36=1, S36=1, T36=1, U36=1, AND(W36&lt;&gt;"", W36&lt;&gt;"Oxygen", W36&lt;&gt;"LowFlow")), "Intensive", "Intermediate")</f>
      </c>
      <c r="AJ36" s="37">
        <f>IF(OR(LEFT(AH36, 1)="X", LEFT(AH36, 1)="Y", LEFT(AH36, 3)="J33M"), "CUSM", "No Match")</f>
      </c>
      <c r="AK36" s="37">
        <f>IF(AND(OR(O36=3, P36=1, Q36=1, T36=1), AJ36="no Match"), "CUSM, CHU SJ, CHUQ", "")</f>
      </c>
      <c r="AL36" s="37">
        <f>IF(AND(O36=2, ISBLANK(P36), ISBLANK(Q36), ISBLANK(R36), ISBLANK(S36), ISBLANK(T36)), "CUSM, CHU SJ, CHUS, CHUQ", "")</f>
      </c>
      <c r="AM36" s="37">
        <f>IF(AND(AJ36="no match", AK36="", AL36="", K36&lt;26), "CUSM, CHU SJ, HGJ, CHUQ, CHUS", "")</f>
      </c>
      <c r="AN36" s="37">
        <f>IF(AND(AJ36="no match", AK36="", AL36="", K36&gt;26), "CUSM, CHU SJ, HGJ, CHUQ, CHUS, HMR", "")</f>
      </c>
    </row>
    <row x14ac:dyDescent="0.25" r="37" customHeight="1" ht="17.25">
      <c r="A37" s="27" t="s">
        <v>1504</v>
      </c>
      <c r="B37" s="28">
        <v>2</v>
      </c>
      <c r="C37" s="35">
        <v>780</v>
      </c>
      <c r="D37" s="29" t="s">
        <v>190</v>
      </c>
      <c r="E37" s="30" t="s">
        <v>149</v>
      </c>
      <c r="F37" s="31">
        <v>44225</v>
      </c>
      <c r="G37" s="32">
        <v>4.678472222222222</v>
      </c>
      <c r="H37" s="31">
        <v>44211</v>
      </c>
      <c r="I37" s="32">
        <v>4.552083333333334</v>
      </c>
      <c r="J37" s="33">
        <f>F37-H37</f>
      </c>
      <c r="K37" s="28">
        <v>34</v>
      </c>
      <c r="L37" s="28">
        <v>0</v>
      </c>
      <c r="M37" s="28">
        <v>1</v>
      </c>
      <c r="N37" s="34"/>
      <c r="O37" s="35">
        <v>2</v>
      </c>
      <c r="P37" s="35">
        <v>1</v>
      </c>
      <c r="Q37" s="34"/>
      <c r="R37" s="34"/>
      <c r="S37" s="34"/>
      <c r="T37" s="34"/>
      <c r="U37" s="34"/>
      <c r="V37" s="34"/>
      <c r="W37" s="29"/>
      <c r="X37" s="28">
        <v>25</v>
      </c>
      <c r="Y37" s="28">
        <v>2</v>
      </c>
      <c r="Z37" s="28">
        <v>2</v>
      </c>
      <c r="AA37" s="28">
        <v>3</v>
      </c>
      <c r="AB37" s="28">
        <v>1</v>
      </c>
      <c r="AC37" s="28">
        <v>2</v>
      </c>
      <c r="AD37" s="28">
        <v>2</v>
      </c>
      <c r="AE37" s="28">
        <v>2</v>
      </c>
      <c r="AF37" s="28">
        <v>2</v>
      </c>
      <c r="AG37" s="28">
        <v>2</v>
      </c>
      <c r="AH37" s="29" t="s">
        <v>1505</v>
      </c>
      <c r="AI37" s="36">
        <f>IF(OR(AND(K37&lt;32, J37&lt;2), O37=1, P37=1, Q37=1, R37=1, S37=1, T37=1, U37=1, AND(W37&lt;&gt;"", W37&lt;&gt;"Oxygen", W37&lt;&gt;"LowFlow")), "Intensive", "Intermediate")</f>
      </c>
      <c r="AJ37" s="37">
        <f>IF(OR(LEFT(AH37, 1)="X", LEFT(AH37, 1)="Y", LEFT(AH37, 3)="J34M"), "CUSM", "No Match")</f>
      </c>
      <c r="AK37" s="37">
        <f>IF(AND(OR(O37=3, P37=1, Q37=1, T37=1), AJ37="no Match"), "CUSM, CHU SJ, CHUQ", "")</f>
      </c>
      <c r="AL37" s="37">
        <f>IF(AND(O37=2, ISBLANK(P37), ISBLANK(Q37), ISBLANK(R37), ISBLANK(S37), ISBLANK(T37)), "CUSM, CHU SJ, CHUS, CHUQ", "")</f>
      </c>
      <c r="AM37" s="37">
        <f>IF(AND(AJ37="no match", AK37="", AL37="", K37&lt;26), "CUSM, CHU SJ, HGJ, CHUQ, CHUS", "")</f>
      </c>
      <c r="AN37" s="37">
        <f>IF(AND(AJ37="no match", AK37="", AL37="", K37&gt;26), "CUSM, CHU SJ, HGJ, CHUQ, CHUS, HMR", "")</f>
      </c>
    </row>
    <row x14ac:dyDescent="0.25" r="38" customHeight="1" ht="17.25">
      <c r="A38" s="27" t="s">
        <v>1506</v>
      </c>
      <c r="B38" s="28">
        <v>2</v>
      </c>
      <c r="C38" s="28">
        <v>822</v>
      </c>
      <c r="D38" s="29" t="s">
        <v>167</v>
      </c>
      <c r="E38" s="30" t="s">
        <v>50</v>
      </c>
      <c r="F38" s="31">
        <v>44225</v>
      </c>
      <c r="G38" s="32">
        <v>4.638888888888889</v>
      </c>
      <c r="H38" s="31">
        <v>44225</v>
      </c>
      <c r="I38" s="32">
        <v>4.354861111111111</v>
      </c>
      <c r="J38" s="33">
        <f>F38-H38</f>
      </c>
      <c r="K38" s="28">
        <v>38</v>
      </c>
      <c r="L38" s="28">
        <v>5</v>
      </c>
      <c r="M38" s="28">
        <v>1</v>
      </c>
      <c r="N38" s="28">
        <v>1</v>
      </c>
      <c r="O38" s="34"/>
      <c r="P38" s="34"/>
      <c r="Q38" s="34"/>
      <c r="R38" s="34"/>
      <c r="S38" s="34"/>
      <c r="T38" s="34"/>
      <c r="U38" s="34"/>
      <c r="V38" s="34"/>
      <c r="W38" s="29" t="s">
        <v>58</v>
      </c>
      <c r="X38" s="28">
        <v>36</v>
      </c>
      <c r="Y38" s="28">
        <v>1</v>
      </c>
      <c r="Z38" s="28">
        <v>2</v>
      </c>
      <c r="AA38" s="28">
        <v>2</v>
      </c>
      <c r="AB38" s="28">
        <v>1</v>
      </c>
      <c r="AC38" s="28">
        <v>2</v>
      </c>
      <c r="AD38" s="28">
        <v>2</v>
      </c>
      <c r="AE38" s="28">
        <v>4</v>
      </c>
      <c r="AF38" s="28">
        <v>3</v>
      </c>
      <c r="AG38" s="28">
        <v>2</v>
      </c>
      <c r="AH38" s="29" t="s">
        <v>1507</v>
      </c>
      <c r="AI38" s="36">
        <f>IF(OR(AND(K38&lt;32, J38&lt;2), O38=1, P38=1, Q38=1, R38=1, S38=1, T38=1, U38=1, AND(W38&lt;&gt;"", W38&lt;&gt;"Oxygen", W38&lt;&gt;"LowFlow")), "Intensive", "Intermediate")</f>
      </c>
      <c r="AJ38" s="37">
        <f>IF(OR(LEFT(AH38, 1)="X", LEFT(AH38, 1)="Y", LEFT(AH38, 3)="J35M"), "CUSM", "No Match")</f>
      </c>
      <c r="AK38" s="37">
        <f>IF(AND(OR(O38=3, P38=1, Q38=1, T38=1), AJ38="no Match"), "CUSM, CHU SJ, CHUQ", "")</f>
      </c>
      <c r="AL38" s="37">
        <f>IF(AND(O38=2, ISBLANK(P38), ISBLANK(Q38), ISBLANK(R38), ISBLANK(S38), ISBLANK(T38)), "CUSM, CHU SJ, CHUS, CHUQ", "")</f>
      </c>
      <c r="AM38" s="37">
        <f>IF(AND(AJ38="no match", AK38="", AL38="", K38&lt;26), "CUSM, CHU SJ, HGJ, CHUQ, CHUS", "")</f>
      </c>
      <c r="AN38" s="37">
        <f>IF(AND(AJ38="no match", AK38="", AL38="", K38&gt;26), "CUSM, CHU SJ, HGJ, CHUQ, CHUS, HMR", "")</f>
      </c>
    </row>
    <row x14ac:dyDescent="0.25" r="39" customHeight="1" ht="17.25">
      <c r="A39" s="27" t="s">
        <v>1508</v>
      </c>
      <c r="B39" s="28">
        <v>2</v>
      </c>
      <c r="C39" s="35">
        <v>734</v>
      </c>
      <c r="D39" s="29" t="s">
        <v>264</v>
      </c>
      <c r="E39" s="30" t="s">
        <v>54</v>
      </c>
      <c r="F39" s="31">
        <v>44226</v>
      </c>
      <c r="G39" s="32">
        <v>4.572916666666666</v>
      </c>
      <c r="H39" s="31">
        <v>44224</v>
      </c>
      <c r="I39" s="32">
        <v>4.829166666666667</v>
      </c>
      <c r="J39" s="33">
        <f>F39-H39</f>
      </c>
      <c r="K39" s="28">
        <v>39</v>
      </c>
      <c r="L39" s="28">
        <v>1</v>
      </c>
      <c r="M39" s="28">
        <v>1</v>
      </c>
      <c r="N39" s="38"/>
      <c r="O39" s="38"/>
      <c r="P39" s="34"/>
      <c r="Q39" s="38"/>
      <c r="R39" s="38"/>
      <c r="S39" s="34"/>
      <c r="T39" s="34"/>
      <c r="U39" s="38"/>
      <c r="V39" s="38"/>
      <c r="W39" s="29"/>
      <c r="X39" s="28">
        <v>37</v>
      </c>
      <c r="Y39" s="28">
        <v>1</v>
      </c>
      <c r="Z39" s="28">
        <v>1</v>
      </c>
      <c r="AA39" s="28">
        <v>2</v>
      </c>
      <c r="AB39" s="28">
        <v>1</v>
      </c>
      <c r="AC39" s="28">
        <v>1</v>
      </c>
      <c r="AD39" s="28">
        <v>2</v>
      </c>
      <c r="AE39" s="28">
        <v>4</v>
      </c>
      <c r="AF39" s="28">
        <v>2</v>
      </c>
      <c r="AG39" s="28">
        <v>2</v>
      </c>
      <c r="AH39" s="29" t="s">
        <v>1509</v>
      </c>
      <c r="AI39" s="36">
        <f>IF(OR(AND(K39&lt;32, J39&lt;2), O39=1, P39=1, Q39=1, R39=1, S39=1, T39=1, U39=1, AND(W39&lt;&gt;"", W39&lt;&gt;"Oxygen", W39&lt;&gt;"LowFlow")), "Intensive", "Intermediate")</f>
      </c>
      <c r="AJ39" s="37">
        <f>IF(OR(LEFT(AH39, 1)="X", LEFT(AH39, 1)="Y", LEFT(AH39, 3)="J36M"), "CUSM", "No Match")</f>
      </c>
      <c r="AK39" s="37">
        <f>IF(AND(OR(O39=3, P39=1, Q39=1, T39=1), AJ39="no Match"), "CUSM, CHU SJ, CHUQ", "")</f>
      </c>
      <c r="AL39" s="37">
        <f>IF(AND(O39=2, ISBLANK(P39), ISBLANK(Q39), ISBLANK(R39), ISBLANK(S39), ISBLANK(T39)), "CUSM, CHU SJ, CHUS, CHUQ", "")</f>
      </c>
      <c r="AM39" s="37">
        <f>IF(AND(AJ39="no match", AK39="", AL39="", K39&lt;26), "CUSM, CHU SJ, HGJ, CHUQ, CHUS", "")</f>
      </c>
      <c r="AN39" s="37">
        <f>IF(AND(AJ39="no match", AK39="", AL39="", K39&gt;26), "CUSM, CHU SJ, HGJ, CHUQ, CHUS, HMR", "")</f>
      </c>
    </row>
    <row x14ac:dyDescent="0.25" r="40" customHeight="1" ht="17.25">
      <c r="A40" s="27" t="s">
        <v>1510</v>
      </c>
      <c r="B40" s="28">
        <v>2</v>
      </c>
      <c r="C40" s="35">
        <v>734</v>
      </c>
      <c r="D40" s="29" t="s">
        <v>264</v>
      </c>
      <c r="E40" s="30" t="s">
        <v>50</v>
      </c>
      <c r="F40" s="31">
        <v>44226</v>
      </c>
      <c r="G40" s="32">
        <v>4.770138888888889</v>
      </c>
      <c r="H40" s="31">
        <v>44226</v>
      </c>
      <c r="I40" s="32">
        <v>4.6722222222222225</v>
      </c>
      <c r="J40" s="33">
        <f>F40-H40</f>
      </c>
      <c r="K40" s="28">
        <v>26</v>
      </c>
      <c r="L40" s="28">
        <v>6</v>
      </c>
      <c r="M40" s="28">
        <v>2</v>
      </c>
      <c r="N40" s="35">
        <v>1</v>
      </c>
      <c r="O40" s="34"/>
      <c r="P40" s="35">
        <v>1</v>
      </c>
      <c r="Q40" s="34"/>
      <c r="R40" s="34"/>
      <c r="S40" s="34"/>
      <c r="T40" s="34"/>
      <c r="U40" s="34"/>
      <c r="V40" s="34"/>
      <c r="W40" s="29" t="s">
        <v>74</v>
      </c>
      <c r="X40" s="28">
        <v>32</v>
      </c>
      <c r="Y40" s="28">
        <v>1</v>
      </c>
      <c r="Z40" s="28">
        <v>2</v>
      </c>
      <c r="AA40" s="28">
        <v>1</v>
      </c>
      <c r="AB40" s="28">
        <v>1</v>
      </c>
      <c r="AC40" s="28">
        <v>2</v>
      </c>
      <c r="AD40" s="28">
        <v>2</v>
      </c>
      <c r="AE40" s="28">
        <v>1</v>
      </c>
      <c r="AF40" s="28">
        <v>2</v>
      </c>
      <c r="AG40" s="28">
        <v>2</v>
      </c>
      <c r="AH40" s="29" t="s">
        <v>1511</v>
      </c>
      <c r="AI40" s="36">
        <f>IF(OR(AND(K40&lt;32, J40&lt;2), O40=1, P40=1, Q40=1, R40=1, S40=1, T40=1, U40=1, AND(W40&lt;&gt;"", W40&lt;&gt;"Oxygen", W40&lt;&gt;"LowFlow")), "Intensive", "Intermediate")</f>
      </c>
      <c r="AJ40" s="37">
        <f>IF(OR(LEFT(AH40, 1)="X", LEFT(AH40, 1)="Y", LEFT(AH40, 3)="J37M"), "CUSM", "No Match")</f>
      </c>
      <c r="AK40" s="37">
        <f>IF(AND(OR(O40=3, P40=1, Q40=1, T40=1), AJ40="no Match"), "CUSM, CHU SJ, CHUQ", "")</f>
      </c>
      <c r="AL40" s="37">
        <f>IF(AND(O40=2, ISBLANK(P40), ISBLANK(Q40), ISBLANK(R40), ISBLANK(S40), ISBLANK(T40)), "CUSM, CHU SJ, CHUS, CHUQ", "")</f>
      </c>
      <c r="AM40" s="37">
        <f>IF(AND(AJ40="no match", AK40="", AL40="", K40&lt;26), "CUSM, CHU SJ, HGJ, CHUQ, CHUS", "")</f>
      </c>
      <c r="AN40" s="37">
        <f>IF(AND(AJ40="no match", AK40="", AL40="", K40&gt;26), "CUSM, CHU SJ, HGJ, CHUQ, CHUS, HMR", "")</f>
      </c>
    </row>
    <row x14ac:dyDescent="0.25" r="41" customHeight="1" ht="17.25">
      <c r="A41" s="27" t="s">
        <v>1512</v>
      </c>
      <c r="B41" s="28">
        <v>2</v>
      </c>
      <c r="C41" s="35">
        <v>824</v>
      </c>
      <c r="D41" s="29" t="s">
        <v>57</v>
      </c>
      <c r="E41" s="30" t="s">
        <v>50</v>
      </c>
      <c r="F41" s="31">
        <v>44226</v>
      </c>
      <c r="G41" s="32">
        <v>4.166666666666666</v>
      </c>
      <c r="H41" s="31">
        <v>44225</v>
      </c>
      <c r="I41" s="32">
        <v>4.981944444444444</v>
      </c>
      <c r="J41" s="33">
        <f>F41-H41</f>
      </c>
      <c r="K41" s="28">
        <v>40</v>
      </c>
      <c r="L41" s="28">
        <v>0</v>
      </c>
      <c r="M41" s="28">
        <v>1</v>
      </c>
      <c r="N41" s="34"/>
      <c r="O41" s="34"/>
      <c r="P41" s="34"/>
      <c r="Q41" s="34"/>
      <c r="R41" s="34"/>
      <c r="S41" s="34"/>
      <c r="T41" s="35">
        <v>1</v>
      </c>
      <c r="U41" s="34"/>
      <c r="V41" s="35">
        <v>1</v>
      </c>
      <c r="W41" s="29" t="s">
        <v>74</v>
      </c>
      <c r="X41" s="28">
        <v>18</v>
      </c>
      <c r="Y41" s="28">
        <v>1</v>
      </c>
      <c r="Z41" s="28">
        <v>2</v>
      </c>
      <c r="AA41" s="28">
        <v>2</v>
      </c>
      <c r="AB41" s="28">
        <v>1</v>
      </c>
      <c r="AC41" s="28">
        <v>2</v>
      </c>
      <c r="AD41" s="28">
        <v>2</v>
      </c>
      <c r="AE41" s="28">
        <v>1</v>
      </c>
      <c r="AF41" s="38"/>
      <c r="AG41" s="28">
        <v>3</v>
      </c>
      <c r="AH41" s="29" t="s">
        <v>1513</v>
      </c>
      <c r="AI41" s="36">
        <f>IF(OR(AND(K41&lt;32, J41&lt;2), O41=1, P41=1, Q41=1, R41=1, S41=1, T41=1, U41=1, AND(W41&lt;&gt;"", W41&lt;&gt;"Oxygen", W41&lt;&gt;"LowFlow")), "Intensive", "Intermediate")</f>
      </c>
      <c r="AJ41" s="37">
        <f>IF(OR(LEFT(AH41, 1)="X", LEFT(AH41, 1)="Y", LEFT(AH41, 3)="J38M"), "CUSM", "No Match")</f>
      </c>
      <c r="AK41" s="37">
        <f>IF(AND(OR(O41=3, P41=1, Q41=1, T41=1), AJ41="no Match"), "CUSM, CHU SJ, CHUQ", "")</f>
      </c>
      <c r="AL41" s="37">
        <f>IF(AND(O41=2, ISBLANK(P41), ISBLANK(Q41), ISBLANK(R41), ISBLANK(S41), ISBLANK(T41)), "CUSM, CHU SJ, CHUS, CHUQ", "")</f>
      </c>
      <c r="AM41" s="37">
        <f>IF(AND(AJ41="no match", AK41="", AL41="", K41&lt;26), "CUSM, CHU SJ, HGJ, CHUQ, CHUS", "")</f>
      </c>
      <c r="AN41" s="37">
        <f>IF(AND(AJ41="no match", AK41="", AL41="", K41&gt;26), "CUSM, CHU SJ, HGJ, CHUQ, CHUS, HMR", "")</f>
      </c>
    </row>
    <row x14ac:dyDescent="0.25" r="42" customHeight="1" ht="17.25">
      <c r="A42" s="27" t="s">
        <v>1514</v>
      </c>
      <c r="B42" s="28">
        <v>2</v>
      </c>
      <c r="C42" s="35">
        <v>796</v>
      </c>
      <c r="D42" s="29" t="s">
        <v>63</v>
      </c>
      <c r="E42" s="30" t="s">
        <v>78</v>
      </c>
      <c r="F42" s="31">
        <v>44227</v>
      </c>
      <c r="G42" s="32">
        <v>4.729166666666666</v>
      </c>
      <c r="H42" s="31">
        <v>44227</v>
      </c>
      <c r="I42" s="32">
        <v>4.269444444444444</v>
      </c>
      <c r="J42" s="33">
        <f>F42-H42</f>
      </c>
      <c r="K42" s="28">
        <v>36</v>
      </c>
      <c r="L42" s="28">
        <v>0</v>
      </c>
      <c r="M42" s="28">
        <v>1</v>
      </c>
      <c r="N42" s="34"/>
      <c r="O42" s="34"/>
      <c r="P42" s="34"/>
      <c r="Q42" s="34"/>
      <c r="R42" s="34"/>
      <c r="S42" s="34"/>
      <c r="T42" s="34"/>
      <c r="U42" s="34"/>
      <c r="V42" s="34"/>
      <c r="W42" s="29" t="s">
        <v>58</v>
      </c>
      <c r="X42" s="28">
        <v>29</v>
      </c>
      <c r="Y42" s="28">
        <v>1</v>
      </c>
      <c r="Z42" s="28">
        <v>2</v>
      </c>
      <c r="AA42" s="28">
        <v>2</v>
      </c>
      <c r="AB42" s="28">
        <v>1</v>
      </c>
      <c r="AC42" s="28">
        <v>1</v>
      </c>
      <c r="AD42" s="28">
        <v>2</v>
      </c>
      <c r="AE42" s="28">
        <v>2</v>
      </c>
      <c r="AF42" s="28">
        <v>1</v>
      </c>
      <c r="AG42" s="28">
        <v>2</v>
      </c>
      <c r="AH42" s="29" t="s">
        <v>1515</v>
      </c>
      <c r="AI42" s="36">
        <f>IF(OR(AND(K42&lt;32, J42&lt;2), O42=1, P42=1, Q42=1, R42=1, S42=1, T42=1, U42=1, AND(W42&lt;&gt;"", W42&lt;&gt;"Oxygen", W42&lt;&gt;"LowFlow")), "Intensive", "Intermediate")</f>
      </c>
      <c r="AJ42" s="37">
        <f>IF(OR(LEFT(AH42, 1)="X", LEFT(AH42, 1)="Y", LEFT(AH42, 3)="J39M"), "CUSM", "No Match")</f>
      </c>
      <c r="AK42" s="37">
        <f>IF(AND(OR(O42=3, P42=1, Q42=1, T42=1), AJ42="no Match"), "CUSM, CHU SJ, CHUQ", "")</f>
      </c>
      <c r="AL42" s="37">
        <f>IF(AND(O42=2, ISBLANK(P42), ISBLANK(Q42), ISBLANK(R42), ISBLANK(S42), ISBLANK(T42)), "CUSM, CHU SJ, CHUS, CHUQ", "")</f>
      </c>
      <c r="AM42" s="37">
        <f>IF(AND(AJ42="no match", AK42="", AL42="", K42&lt;26), "CUSM, CHU SJ, HGJ, CHUQ, CHUS", "")</f>
      </c>
      <c r="AN42" s="37">
        <f>IF(AND(AJ42="no match", AK42="", AL42="", K42&gt;26), "CUSM, CHU SJ, HGJ, CHUQ, CHUS, HMR", "")</f>
      </c>
    </row>
    <row x14ac:dyDescent="0.25" r="43" customHeight="1" ht="17.25">
      <c r="A43" s="27" t="s">
        <v>1516</v>
      </c>
      <c r="B43" s="28">
        <v>2</v>
      </c>
      <c r="C43" s="28">
        <v>779</v>
      </c>
      <c r="D43" s="29" t="s">
        <v>136</v>
      </c>
      <c r="E43" s="30" t="s">
        <v>54</v>
      </c>
      <c r="F43" s="31">
        <v>44228</v>
      </c>
      <c r="G43" s="32">
        <v>4.25</v>
      </c>
      <c r="H43" s="31">
        <v>44228</v>
      </c>
      <c r="I43" s="32">
        <v>4.036111111111111</v>
      </c>
      <c r="J43" s="33">
        <f>F43-H43</f>
      </c>
      <c r="K43" s="28">
        <v>36</v>
      </c>
      <c r="L43" s="28">
        <v>4</v>
      </c>
      <c r="M43" s="28">
        <v>1</v>
      </c>
      <c r="N43" s="34"/>
      <c r="O43" s="35">
        <v>2</v>
      </c>
      <c r="P43" s="34"/>
      <c r="Q43" s="34"/>
      <c r="R43" s="34"/>
      <c r="S43" s="34"/>
      <c r="T43" s="35">
        <v>1</v>
      </c>
      <c r="U43" s="35">
        <v>1</v>
      </c>
      <c r="V43" s="35">
        <v>1</v>
      </c>
      <c r="W43" s="29" t="s">
        <v>70</v>
      </c>
      <c r="X43" s="28">
        <v>37</v>
      </c>
      <c r="Y43" s="28">
        <v>1</v>
      </c>
      <c r="Z43" s="28">
        <v>2</v>
      </c>
      <c r="AA43" s="28">
        <v>2</v>
      </c>
      <c r="AB43" s="28">
        <v>4</v>
      </c>
      <c r="AC43" s="28">
        <v>2</v>
      </c>
      <c r="AD43" s="28">
        <v>1</v>
      </c>
      <c r="AE43" s="28">
        <v>4</v>
      </c>
      <c r="AF43" s="35">
        <v>2</v>
      </c>
      <c r="AG43" s="28">
        <v>2</v>
      </c>
      <c r="AH43" s="29" t="s">
        <v>1517</v>
      </c>
      <c r="AI43" s="36">
        <f>IF(OR(AND(K43&lt;32, J43&lt;2), O43=1, P43=1, Q43=1, R43=1, S43=1, T43=1, U43=1, AND(W43&lt;&gt;"", W43&lt;&gt;"Oxygen", W43&lt;&gt;"LowFlow")), "Intensive", "Intermediate")</f>
      </c>
      <c r="AJ43" s="37">
        <f>IF(OR(LEFT(AH43, 1)="X", LEFT(AH43, 1)="Y", LEFT(AH43, 3)="J40M"), "CUSM", "No Match")</f>
      </c>
      <c r="AK43" s="37">
        <f>IF(AND(OR(O43=3, P43=1, Q43=1, T43=1), AJ43="no Match"), "CUSM, CHU SJ, CHUQ", "")</f>
      </c>
      <c r="AL43" s="37">
        <f>IF(AND(O43=2, ISBLANK(P43), ISBLANK(Q43), ISBLANK(R43), ISBLANK(S43), ISBLANK(T43)), "CUSM, CHU SJ, CHUS, CHUQ", "")</f>
      </c>
      <c r="AM43" s="37">
        <f>IF(AND(AJ43="no match", AK43="", AL43="", K43&lt;26), "CUSM, CHU SJ, HGJ, CHUQ, CHUS", "")</f>
      </c>
      <c r="AN43" s="37">
        <f>IF(AND(AJ43="no match", AK43="", AL43="", K43&gt;26), "CUSM, CHU SJ, HGJ, CHUQ, CHUS, HMR", "")</f>
      </c>
    </row>
    <row x14ac:dyDescent="0.25" r="44" customHeight="1" ht="17.25">
      <c r="A44" s="27" t="s">
        <v>1518</v>
      </c>
      <c r="B44" s="28">
        <v>2</v>
      </c>
      <c r="C44" s="35">
        <v>768</v>
      </c>
      <c r="D44" s="29" t="s">
        <v>160</v>
      </c>
      <c r="E44" s="30" t="s">
        <v>118</v>
      </c>
      <c r="F44" s="31">
        <v>44229</v>
      </c>
      <c r="G44" s="32">
        <v>4.90625</v>
      </c>
      <c r="H44" s="31">
        <v>44229</v>
      </c>
      <c r="I44" s="32">
        <v>4.638888888888889</v>
      </c>
      <c r="J44" s="33">
        <f>F44-H44</f>
      </c>
      <c r="K44" s="28">
        <v>32</v>
      </c>
      <c r="L44" s="28">
        <v>3</v>
      </c>
      <c r="M44" s="28">
        <v>1</v>
      </c>
      <c r="N44" s="35">
        <v>1</v>
      </c>
      <c r="O44" s="38"/>
      <c r="P44" s="35">
        <v>1</v>
      </c>
      <c r="Q44" s="34"/>
      <c r="R44" s="34"/>
      <c r="S44" s="34"/>
      <c r="T44" s="35">
        <v>1</v>
      </c>
      <c r="U44" s="34"/>
      <c r="V44" s="34"/>
      <c r="W44" s="29" t="s">
        <v>74</v>
      </c>
      <c r="X44" s="28">
        <v>34</v>
      </c>
      <c r="Y44" s="28">
        <v>1</v>
      </c>
      <c r="Z44" s="28">
        <v>2</v>
      </c>
      <c r="AA44" s="28">
        <v>2</v>
      </c>
      <c r="AB44" s="28">
        <v>1</v>
      </c>
      <c r="AC44" s="28">
        <v>2</v>
      </c>
      <c r="AD44" s="28">
        <v>2</v>
      </c>
      <c r="AE44" s="28">
        <v>4</v>
      </c>
      <c r="AF44" s="28">
        <v>2</v>
      </c>
      <c r="AG44" s="28">
        <v>2</v>
      </c>
      <c r="AH44" s="29" t="s">
        <v>1519</v>
      </c>
      <c r="AI44" s="36">
        <f>IF(OR(AND(K44&lt;32, J44&lt;2), O44=1, P44=1, Q44=1, R44=1, S44=1, T44=1, U44=1, AND(W44&lt;&gt;"", W44&lt;&gt;"Oxygen", W44&lt;&gt;"LowFlow")), "Intensive", "Intermediate")</f>
      </c>
      <c r="AJ44" s="37">
        <f>IF(OR(LEFT(AH44, 1)="X", LEFT(AH44, 1)="Y", LEFT(AH44, 3)="J41M"), "CUSM", "No Match")</f>
      </c>
      <c r="AK44" s="37">
        <f>IF(AND(OR(O44=3, P44=1, Q44=1, T44=1), AJ44="no Match"), "CUSM, CHU SJ, CHUQ", "")</f>
      </c>
      <c r="AL44" s="37">
        <f>IF(AND(O44=2, ISBLANK(P44), ISBLANK(Q44), ISBLANK(R44), ISBLANK(S44), ISBLANK(T44)), "CUSM, CHU SJ, CHUS, CHUQ", "")</f>
      </c>
      <c r="AM44" s="37">
        <f>IF(AND(AJ44="no match", AK44="", AL44="", K44&lt;26), "CUSM, CHU SJ, HGJ, CHUQ, CHUS", "")</f>
      </c>
      <c r="AN44" s="37">
        <f>IF(AND(AJ44="no match", AK44="", AL44="", K44&gt;26), "CUSM, CHU SJ, HGJ, CHUQ, CHUS, HMR", "")</f>
      </c>
    </row>
    <row x14ac:dyDescent="0.25" r="45" customHeight="1" ht="17.25">
      <c r="A45" s="27" t="s">
        <v>1520</v>
      </c>
      <c r="B45" s="28">
        <v>2</v>
      </c>
      <c r="C45" s="28">
        <v>779</v>
      </c>
      <c r="D45" s="29" t="s">
        <v>136</v>
      </c>
      <c r="E45" s="30" t="s">
        <v>220</v>
      </c>
      <c r="F45" s="31">
        <v>44230</v>
      </c>
      <c r="G45" s="32">
        <v>4.479166666666666</v>
      </c>
      <c r="H45" s="31">
        <v>44223</v>
      </c>
      <c r="I45" s="32">
        <v>4.125694444444445</v>
      </c>
      <c r="J45" s="33">
        <f>F45-H45</f>
      </c>
      <c r="K45" s="28">
        <v>32</v>
      </c>
      <c r="L45" s="28">
        <v>0</v>
      </c>
      <c r="M45" s="28">
        <v>1</v>
      </c>
      <c r="N45" s="34"/>
      <c r="O45" s="34"/>
      <c r="P45" s="34"/>
      <c r="Q45" s="34"/>
      <c r="R45" s="34"/>
      <c r="S45" s="34"/>
      <c r="T45" s="38"/>
      <c r="U45" s="34"/>
      <c r="V45" s="34"/>
      <c r="W45" s="29"/>
      <c r="X45" s="28">
        <v>24</v>
      </c>
      <c r="Y45" s="28">
        <v>1</v>
      </c>
      <c r="Z45" s="28">
        <v>2</v>
      </c>
      <c r="AA45" s="28">
        <v>2</v>
      </c>
      <c r="AB45" s="28">
        <v>1</v>
      </c>
      <c r="AC45" s="28">
        <v>2</v>
      </c>
      <c r="AD45" s="28">
        <v>1</v>
      </c>
      <c r="AE45" s="28">
        <v>4</v>
      </c>
      <c r="AF45" s="28">
        <v>2</v>
      </c>
      <c r="AG45" s="28">
        <v>2</v>
      </c>
      <c r="AH45" s="29" t="s">
        <v>1521</v>
      </c>
      <c r="AI45" s="36">
        <f>IF(OR(AND(K45&lt;32, J45&lt;2), O45=1, P45=1, Q45=1, R45=1, S45=1, T45=1, U45=1, AND(W45&lt;&gt;"", W45&lt;&gt;"Oxygen", W45&lt;&gt;"LowFlow")), "Intensive", "Intermediate")</f>
      </c>
      <c r="AJ45" s="37">
        <f>IF(OR(LEFT(AH45, 1)="X", LEFT(AH45, 1)="Y", LEFT(AH45, 3)="J42M"), "CUSM", "No Match")</f>
      </c>
      <c r="AK45" s="37">
        <f>IF(AND(OR(O45=3, P45=1, Q45=1, T45=1), AJ45="no Match"), "CUSM, CHU SJ, CHUQ", "")</f>
      </c>
      <c r="AL45" s="37">
        <f>IF(AND(O45=2, ISBLANK(P45), ISBLANK(Q45), ISBLANK(R45), ISBLANK(S45), ISBLANK(T45)), "CUSM, CHU SJ, CHUS, CHUQ", "")</f>
      </c>
      <c r="AM45" s="37">
        <f>IF(AND(AJ45="no match", AK45="", AL45="", K45&lt;26), "CUSM, CHU SJ, HGJ, CHUQ, CHUS", "")</f>
      </c>
      <c r="AN45" s="37">
        <f>IF(AND(AJ45="no match", AK45="", AL45="", K45&gt;26), "CUSM, CHU SJ, HGJ, CHUQ, CHUS, HMR", "")</f>
      </c>
    </row>
    <row x14ac:dyDescent="0.25" r="46" customHeight="1" ht="17.25">
      <c r="A46" s="27" t="s">
        <v>1522</v>
      </c>
      <c r="B46" s="28">
        <v>2</v>
      </c>
      <c r="C46" s="35">
        <v>808</v>
      </c>
      <c r="D46" s="29" t="s">
        <v>764</v>
      </c>
      <c r="E46" s="30" t="s">
        <v>149</v>
      </c>
      <c r="F46" s="31">
        <v>44233</v>
      </c>
      <c r="G46" s="32">
        <v>4.954861111111111</v>
      </c>
      <c r="H46" s="31">
        <v>44233</v>
      </c>
      <c r="I46" s="32">
        <v>4.351388888888889</v>
      </c>
      <c r="J46" s="33">
        <f>F46-H46</f>
      </c>
      <c r="K46" s="28">
        <v>31</v>
      </c>
      <c r="L46" s="28">
        <v>0</v>
      </c>
      <c r="M46" s="28">
        <v>1</v>
      </c>
      <c r="N46" s="34"/>
      <c r="O46" s="34"/>
      <c r="P46" s="34"/>
      <c r="Q46" s="34"/>
      <c r="R46" s="34"/>
      <c r="S46" s="34"/>
      <c r="T46" s="34"/>
      <c r="U46" s="34"/>
      <c r="V46" s="34"/>
      <c r="W46" s="29"/>
      <c r="X46" s="28">
        <v>40</v>
      </c>
      <c r="Y46" s="28">
        <v>1</v>
      </c>
      <c r="Z46" s="28">
        <v>2</v>
      </c>
      <c r="AA46" s="28">
        <v>1</v>
      </c>
      <c r="AB46" s="28">
        <v>1</v>
      </c>
      <c r="AC46" s="28">
        <v>2</v>
      </c>
      <c r="AD46" s="28">
        <v>1</v>
      </c>
      <c r="AE46" s="28">
        <v>4</v>
      </c>
      <c r="AF46" s="35">
        <v>3</v>
      </c>
      <c r="AG46" s="28">
        <v>3</v>
      </c>
      <c r="AH46" s="29" t="s">
        <v>765</v>
      </c>
      <c r="AI46" s="36">
        <f>IF(OR(AND(K46&lt;32, J46&lt;2), O46=1, P46=1, Q46=1, R46=1, S46=1, T46=1, U46=1, AND(W46&lt;&gt;"", W46&lt;&gt;"Oxygen", W46&lt;&gt;"LowFlow")), "Intensive", "Intermediate")</f>
      </c>
      <c r="AJ46" s="37">
        <f>IF(OR(LEFT(AH46, 1)="X", LEFT(AH46, 1)="Y", LEFT(AH46, 3)="J43M"), "CUSM", "No Match")</f>
      </c>
      <c r="AK46" s="37">
        <f>IF(AND(OR(O46=3, P46=1, Q46=1, T46=1), AJ46="no Match"), "CUSM, CHU SJ, CHUQ", "")</f>
      </c>
      <c r="AL46" s="37">
        <f>IF(AND(O46=2, ISBLANK(P46), ISBLANK(Q46), ISBLANK(R46), ISBLANK(S46), ISBLANK(T46)), "CUSM, CHU SJ, CHUS, CHUQ", "")</f>
      </c>
      <c r="AM46" s="37">
        <f>IF(AND(AJ46="no match", AK46="", AL46="", K46&lt;26), "CUSM, CHU SJ, HGJ, CHUQ, CHUS", "")</f>
      </c>
      <c r="AN46" s="37">
        <f>IF(AND(AJ46="no match", AK46="", AL46="", K46&gt;26), "CUSM, CHU SJ, HGJ, CHUQ, CHUS, HMR", "")</f>
      </c>
    </row>
    <row x14ac:dyDescent="0.25" r="47" customHeight="1" ht="17.25">
      <c r="A47" s="27" t="s">
        <v>1523</v>
      </c>
      <c r="B47" s="28">
        <v>2</v>
      </c>
      <c r="C47" s="28">
        <v>820</v>
      </c>
      <c r="D47" s="29" t="s">
        <v>69</v>
      </c>
      <c r="E47" s="30" t="s">
        <v>54</v>
      </c>
      <c r="F47" s="31">
        <v>44233</v>
      </c>
      <c r="G47" s="32">
        <v>4.416666666666666</v>
      </c>
      <c r="H47" s="31">
        <v>44230</v>
      </c>
      <c r="I47" s="32">
        <v>4.972916666666666</v>
      </c>
      <c r="J47" s="33">
        <f>F47-H47</f>
      </c>
      <c r="K47" s="28">
        <v>38</v>
      </c>
      <c r="L47" s="28">
        <v>4</v>
      </c>
      <c r="M47" s="28">
        <v>1</v>
      </c>
      <c r="N47" s="38"/>
      <c r="O47" s="38"/>
      <c r="P47" s="38"/>
      <c r="Q47" s="34"/>
      <c r="R47" s="34"/>
      <c r="S47" s="34"/>
      <c r="T47" s="34"/>
      <c r="U47" s="34"/>
      <c r="V47" s="34"/>
      <c r="W47" s="29"/>
      <c r="X47" s="28">
        <v>28</v>
      </c>
      <c r="Y47" s="28">
        <v>1</v>
      </c>
      <c r="Z47" s="28">
        <v>2</v>
      </c>
      <c r="AA47" s="28">
        <v>1</v>
      </c>
      <c r="AB47" s="28">
        <v>1</v>
      </c>
      <c r="AC47" s="28">
        <v>2</v>
      </c>
      <c r="AD47" s="28">
        <v>2</v>
      </c>
      <c r="AE47" s="28">
        <v>4</v>
      </c>
      <c r="AF47" s="28">
        <v>2</v>
      </c>
      <c r="AG47" s="28">
        <v>2</v>
      </c>
      <c r="AH47" s="29" t="s">
        <v>1368</v>
      </c>
      <c r="AI47" s="36">
        <f>IF(OR(AND(K47&lt;32, J47&lt;2), O47=1, P47=1, Q47=1, R47=1, S47=1, T47=1, U47=1, AND(W47&lt;&gt;"", W47&lt;&gt;"Oxygen", W47&lt;&gt;"LowFlow")), "Intensive", "Intermediate")</f>
      </c>
      <c r="AJ47" s="37">
        <f>IF(OR(LEFT(AH47, 1)="X", LEFT(AH47, 1)="Y", LEFT(AH47, 3)="J44M"), "CUSM", "No Match")</f>
      </c>
      <c r="AK47" s="37">
        <f>IF(AND(OR(O47=3, P47=1, Q47=1, T47=1), AJ47="no Match"), "CUSM, CHU SJ, CHUQ", "")</f>
      </c>
      <c r="AL47" s="37">
        <f>IF(AND(O47=2, ISBLANK(P47), ISBLANK(Q47), ISBLANK(R47), ISBLANK(S47), ISBLANK(T47)), "CUSM, CHU SJ, CHUS, CHUQ", "")</f>
      </c>
      <c r="AM47" s="37">
        <f>IF(AND(AJ47="no match", AK47="", AL47="", K47&lt;26), "CUSM, CHU SJ, HGJ, CHUQ, CHUS", "")</f>
      </c>
      <c r="AN47" s="37">
        <f>IF(AND(AJ47="no match", AK47="", AL47="", K47&gt;26), "CUSM, CHU SJ, HGJ, CHUQ, CHUS, HMR", "")</f>
      </c>
    </row>
    <row x14ac:dyDescent="0.25" r="48" customHeight="1" ht="17.25">
      <c r="A48" s="27" t="s">
        <v>1524</v>
      </c>
      <c r="B48" s="28">
        <v>2</v>
      </c>
      <c r="C48" s="35">
        <v>782</v>
      </c>
      <c r="D48" s="29" t="s">
        <v>95</v>
      </c>
      <c r="E48" s="30" t="s">
        <v>50</v>
      </c>
      <c r="F48" s="31">
        <v>44233</v>
      </c>
      <c r="G48" s="32">
        <v>4.793055555555556</v>
      </c>
      <c r="H48" s="31">
        <v>44233</v>
      </c>
      <c r="I48" s="32">
        <v>4.549305555555556</v>
      </c>
      <c r="J48" s="33">
        <f>F48-H48</f>
      </c>
      <c r="K48" s="28">
        <v>39</v>
      </c>
      <c r="L48" s="28">
        <v>3</v>
      </c>
      <c r="M48" s="28">
        <v>1</v>
      </c>
      <c r="N48" s="34"/>
      <c r="O48" s="34"/>
      <c r="P48" s="34"/>
      <c r="Q48" s="34"/>
      <c r="R48" s="34"/>
      <c r="S48" s="34"/>
      <c r="T48" s="34"/>
      <c r="U48" s="34"/>
      <c r="V48" s="34"/>
      <c r="W48" s="29" t="s">
        <v>74</v>
      </c>
      <c r="X48" s="28">
        <v>38</v>
      </c>
      <c r="Y48" s="28">
        <v>1</v>
      </c>
      <c r="Z48" s="28">
        <v>1</v>
      </c>
      <c r="AA48" s="28">
        <v>2</v>
      </c>
      <c r="AB48" s="28">
        <v>1</v>
      </c>
      <c r="AC48" s="28">
        <v>2</v>
      </c>
      <c r="AD48" s="28">
        <v>1</v>
      </c>
      <c r="AE48" s="28">
        <v>4</v>
      </c>
      <c r="AF48" s="38"/>
      <c r="AG48" s="28">
        <v>2</v>
      </c>
      <c r="AH48" s="29" t="s">
        <v>1525</v>
      </c>
      <c r="AI48" s="36">
        <f>IF(OR(AND(K48&lt;32, J48&lt;2), O48=1, P48=1, Q48=1, R48=1, S48=1, T48=1, U48=1, AND(W48&lt;&gt;"", W48&lt;&gt;"Oxygen", W48&lt;&gt;"LowFlow")), "Intensive", "Intermediate")</f>
      </c>
      <c r="AJ48" s="37">
        <f>IF(OR(LEFT(AH48, 1)="X", LEFT(AH48, 1)="Y", LEFT(AH48, 3)="J45M"), "CUSM", "No Match")</f>
      </c>
      <c r="AK48" s="37">
        <f>IF(AND(OR(O48=3, P48=1, Q48=1, T48=1), AJ48="no Match"), "CUSM, CHU SJ, CHUQ", "")</f>
      </c>
      <c r="AL48" s="37">
        <f>IF(AND(O48=2, ISBLANK(P48), ISBLANK(Q48), ISBLANK(R48), ISBLANK(S48), ISBLANK(T48)), "CUSM, CHU SJ, CHUS, CHUQ", "")</f>
      </c>
      <c r="AM48" s="37">
        <f>IF(AND(AJ48="no match", AK48="", AL48="", K48&lt;26), "CUSM, CHU SJ, HGJ, CHUQ, CHUS", "")</f>
      </c>
      <c r="AN48" s="37">
        <f>IF(AND(AJ48="no match", AK48="", AL48="", K48&gt;26), "CUSM, CHU SJ, HGJ, CHUQ, CHUS, HMR", "")</f>
      </c>
    </row>
    <row x14ac:dyDescent="0.25" r="49" customHeight="1" ht="17.25">
      <c r="A49" s="27" t="s">
        <v>1526</v>
      </c>
      <c r="B49" s="28">
        <v>2</v>
      </c>
      <c r="C49" s="35">
        <v>754</v>
      </c>
      <c r="D49" s="29" t="s">
        <v>504</v>
      </c>
      <c r="E49" s="30" t="s">
        <v>149</v>
      </c>
      <c r="F49" s="31">
        <v>44234</v>
      </c>
      <c r="G49" s="32">
        <v>4.233333333333333</v>
      </c>
      <c r="H49" s="31">
        <v>44233</v>
      </c>
      <c r="I49" s="32">
        <v>4.8902777777777775</v>
      </c>
      <c r="J49" s="33">
        <f>F49-H49</f>
      </c>
      <c r="K49" s="28">
        <v>34</v>
      </c>
      <c r="L49" s="28">
        <v>1</v>
      </c>
      <c r="M49" s="28">
        <v>2</v>
      </c>
      <c r="N49" s="34"/>
      <c r="O49" s="34"/>
      <c r="P49" s="34"/>
      <c r="Q49" s="34"/>
      <c r="R49" s="34"/>
      <c r="S49" s="34"/>
      <c r="T49" s="34"/>
      <c r="U49" s="35">
        <v>1</v>
      </c>
      <c r="V49" s="35">
        <v>1</v>
      </c>
      <c r="W49" s="29" t="s">
        <v>74</v>
      </c>
      <c r="X49" s="28">
        <v>34</v>
      </c>
      <c r="Y49" s="28">
        <v>1</v>
      </c>
      <c r="Z49" s="28">
        <v>2</v>
      </c>
      <c r="AA49" s="28">
        <v>1</v>
      </c>
      <c r="AB49" s="28">
        <v>1</v>
      </c>
      <c r="AC49" s="28">
        <v>1</v>
      </c>
      <c r="AD49" s="28">
        <v>1</v>
      </c>
      <c r="AE49" s="28">
        <v>4</v>
      </c>
      <c r="AF49" s="28">
        <v>2</v>
      </c>
      <c r="AG49" s="28">
        <v>2</v>
      </c>
      <c r="AH49" s="29" t="s">
        <v>1527</v>
      </c>
      <c r="AI49" s="36">
        <f>IF(OR(AND(K49&lt;32, J49&lt;2), O49=1, P49=1, Q49=1, R49=1, S49=1, T49=1, U49=1, AND(W49&lt;&gt;"", W49&lt;&gt;"Oxygen", W49&lt;&gt;"LowFlow")), "Intensive", "Intermediate")</f>
      </c>
      <c r="AJ49" s="37">
        <f>IF(OR(LEFT(AH49, 1)="X", LEFT(AH49, 1)="Y", LEFT(AH49, 3)="J46M"), "CUSM", "No Match")</f>
      </c>
      <c r="AK49" s="37">
        <f>IF(AND(OR(O49=3, P49=1, Q49=1, T49=1), AJ49="no Match"), "CUSM, CHU SJ, CHUQ", "")</f>
      </c>
      <c r="AL49" s="37">
        <f>IF(AND(O49=2, ISBLANK(P49), ISBLANK(Q49), ISBLANK(R49), ISBLANK(S49), ISBLANK(T49)), "CUSM, CHU SJ, CHUS, CHUQ", "")</f>
      </c>
      <c r="AM49" s="37">
        <f>IF(AND(AJ49="no match", AK49="", AL49="", K49&lt;26), "CUSM, CHU SJ, HGJ, CHUQ, CHUS", "")</f>
      </c>
      <c r="AN49" s="37">
        <f>IF(AND(AJ49="no match", AK49="", AL49="", K49&gt;26), "CUSM, CHU SJ, HGJ, CHUQ, CHUS, HMR", "")</f>
      </c>
    </row>
    <row x14ac:dyDescent="0.25" r="50" customHeight="1" ht="17.25">
      <c r="A50" s="27" t="s">
        <v>1528</v>
      </c>
      <c r="B50" s="28">
        <v>2</v>
      </c>
      <c r="C50" s="28">
        <v>779</v>
      </c>
      <c r="D50" s="29" t="s">
        <v>136</v>
      </c>
      <c r="E50" s="30" t="s">
        <v>54</v>
      </c>
      <c r="F50" s="31">
        <v>44234</v>
      </c>
      <c r="G50" s="32">
        <v>4.0625</v>
      </c>
      <c r="H50" s="31">
        <v>44233</v>
      </c>
      <c r="I50" s="32">
        <v>4.779166666666667</v>
      </c>
      <c r="J50" s="33">
        <f>F50-H50</f>
      </c>
      <c r="K50" s="28">
        <v>40</v>
      </c>
      <c r="L50" s="28">
        <v>5</v>
      </c>
      <c r="M50" s="28">
        <v>1</v>
      </c>
      <c r="N50" s="34"/>
      <c r="O50" s="34"/>
      <c r="P50" s="34"/>
      <c r="Q50" s="34"/>
      <c r="R50" s="34"/>
      <c r="S50" s="34"/>
      <c r="T50" s="34"/>
      <c r="U50" s="34"/>
      <c r="V50" s="34"/>
      <c r="W50" s="29" t="s">
        <v>106</v>
      </c>
      <c r="X50" s="28">
        <v>26</v>
      </c>
      <c r="Y50" s="28">
        <v>1</v>
      </c>
      <c r="Z50" s="28">
        <v>1</v>
      </c>
      <c r="AA50" s="28">
        <v>1</v>
      </c>
      <c r="AB50" s="28">
        <v>1</v>
      </c>
      <c r="AC50" s="28">
        <v>2</v>
      </c>
      <c r="AD50" s="28">
        <v>2</v>
      </c>
      <c r="AE50" s="28">
        <v>4</v>
      </c>
      <c r="AF50" s="28">
        <v>1</v>
      </c>
      <c r="AG50" s="28">
        <v>2</v>
      </c>
      <c r="AH50" s="29" t="s">
        <v>1529</v>
      </c>
      <c r="AI50" s="36">
        <f>IF(OR(AND(K50&lt;32, J50&lt;2), O50=1, P50=1, Q50=1, R50=1, S50=1, T50=1, U50=1, AND(W50&lt;&gt;"", W50&lt;&gt;"Oxygen", W50&lt;&gt;"LowFlow")), "Intensive", "Intermediate")</f>
      </c>
      <c r="AJ50" s="37">
        <f>IF(OR(LEFT(AH50, 1)="X", LEFT(AH50, 1)="Y", LEFT(AH50, 3)="J47M"), "CUSM", "No Match")</f>
      </c>
      <c r="AK50" s="37">
        <f>IF(AND(OR(O50=3, P50=1, Q50=1, T50=1), AJ50="no Match"), "CUSM, CHU SJ, CHUQ", "")</f>
      </c>
      <c r="AL50" s="37">
        <f>IF(AND(O50=2, ISBLANK(P50), ISBLANK(Q50), ISBLANK(R50), ISBLANK(S50), ISBLANK(T50)), "CUSM, CHU SJ, CHUS, CHUQ", "")</f>
      </c>
      <c r="AM50" s="37">
        <f>IF(AND(AJ50="no match", AK50="", AL50="", K50&lt;26), "CUSM, CHU SJ, HGJ, CHUQ, CHUS", "")</f>
      </c>
      <c r="AN50" s="37">
        <f>IF(AND(AJ50="no match", AK50="", AL50="", K50&gt;26), "CUSM, CHU SJ, HGJ, CHUQ, CHUS, HMR", "")</f>
      </c>
    </row>
    <row x14ac:dyDescent="0.25" r="51" customHeight="1" ht="17.25">
      <c r="A51" s="27" t="s">
        <v>1530</v>
      </c>
      <c r="B51" s="28">
        <v>2</v>
      </c>
      <c r="C51" s="28">
        <v>856</v>
      </c>
      <c r="D51" s="29" t="s">
        <v>674</v>
      </c>
      <c r="E51" s="30" t="s">
        <v>50</v>
      </c>
      <c r="F51" s="31">
        <v>44234</v>
      </c>
      <c r="G51" s="32">
        <v>4.756944444444445</v>
      </c>
      <c r="H51" s="31">
        <v>44232</v>
      </c>
      <c r="I51" s="32">
        <v>4.364583333333334</v>
      </c>
      <c r="J51" s="33">
        <f>F51-H51</f>
      </c>
      <c r="K51" s="28">
        <v>38</v>
      </c>
      <c r="L51" s="28">
        <v>5</v>
      </c>
      <c r="M51" s="28">
        <v>2</v>
      </c>
      <c r="N51" s="34"/>
      <c r="O51" s="34"/>
      <c r="P51" s="34"/>
      <c r="Q51" s="34"/>
      <c r="R51" s="34"/>
      <c r="S51" s="34"/>
      <c r="T51" s="34"/>
      <c r="U51" s="34"/>
      <c r="V51" s="34"/>
      <c r="W51" s="29"/>
      <c r="X51" s="28">
        <v>37</v>
      </c>
      <c r="Y51" s="28">
        <v>1</v>
      </c>
      <c r="Z51" s="28">
        <v>2</v>
      </c>
      <c r="AA51" s="28">
        <v>3</v>
      </c>
      <c r="AB51" s="28">
        <v>1</v>
      </c>
      <c r="AC51" s="28">
        <v>2</v>
      </c>
      <c r="AD51" s="28">
        <v>2</v>
      </c>
      <c r="AE51" s="28">
        <v>4</v>
      </c>
      <c r="AF51" s="28">
        <v>2</v>
      </c>
      <c r="AG51" s="28">
        <v>2</v>
      </c>
      <c r="AH51" s="29" t="s">
        <v>1531</v>
      </c>
      <c r="AI51" s="36">
        <f>IF(OR(AND(K51&lt;32, J51&lt;2), O51=1, P51=1, Q51=1, R51=1, S51=1, T51=1, U51=1, AND(W51&lt;&gt;"", W51&lt;&gt;"Oxygen", W51&lt;&gt;"LowFlow")), "Intensive", "Intermediate")</f>
      </c>
      <c r="AJ51" s="37">
        <f>IF(OR(LEFT(AH51, 1)="X", LEFT(AH51, 1)="Y", LEFT(AH51, 3)="J48M"), "CUSM", "No Match")</f>
      </c>
      <c r="AK51" s="37">
        <f>IF(AND(OR(O51=3, P51=1, Q51=1, T51=1), AJ51="no Match"), "CUSM, CHU SJ, CHUQ", "")</f>
      </c>
      <c r="AL51" s="37">
        <f>IF(AND(O51=2, ISBLANK(P51), ISBLANK(Q51), ISBLANK(R51), ISBLANK(S51), ISBLANK(T51)), "CUSM, CHU SJ, CHUS, CHUQ", "")</f>
      </c>
      <c r="AM51" s="37">
        <f>IF(AND(AJ51="no match", AK51="", AL51="", K51&lt;26), "CUSM, CHU SJ, HGJ, CHUQ, CHUS", "")</f>
      </c>
      <c r="AN51" s="37">
        <f>IF(AND(AJ51="no match", AK51="", AL51="", K51&gt;26), "CUSM, CHU SJ, HGJ, CHUQ, CHUS, HMR", "")</f>
      </c>
    </row>
    <row x14ac:dyDescent="0.25" r="52" customHeight="1" ht="17.25">
      <c r="A52" s="27" t="s">
        <v>1532</v>
      </c>
      <c r="B52" s="28">
        <v>2</v>
      </c>
      <c r="C52" s="35">
        <v>746</v>
      </c>
      <c r="D52" s="29" t="s">
        <v>139</v>
      </c>
      <c r="E52" s="30" t="s">
        <v>54</v>
      </c>
      <c r="F52" s="31">
        <v>44235</v>
      </c>
      <c r="G52" s="32">
        <v>4.208333333333334</v>
      </c>
      <c r="H52" s="31">
        <v>44228</v>
      </c>
      <c r="I52" s="32">
        <v>4.759722222222223</v>
      </c>
      <c r="J52" s="33">
        <f>F52-H52</f>
      </c>
      <c r="K52" s="28">
        <v>38</v>
      </c>
      <c r="L52" s="28">
        <v>3</v>
      </c>
      <c r="M52" s="28">
        <v>1</v>
      </c>
      <c r="N52" s="34"/>
      <c r="O52" s="34"/>
      <c r="P52" s="34"/>
      <c r="Q52" s="34"/>
      <c r="R52" s="34"/>
      <c r="S52" s="34"/>
      <c r="T52" s="34"/>
      <c r="U52" s="34"/>
      <c r="V52" s="34"/>
      <c r="W52" s="29"/>
      <c r="X52" s="28">
        <v>34</v>
      </c>
      <c r="Y52" s="28">
        <v>1</v>
      </c>
      <c r="Z52" s="28">
        <v>2</v>
      </c>
      <c r="AA52" s="28">
        <v>2</v>
      </c>
      <c r="AB52" s="28">
        <v>2</v>
      </c>
      <c r="AC52" s="28">
        <v>2</v>
      </c>
      <c r="AD52" s="28">
        <v>2</v>
      </c>
      <c r="AE52" s="28">
        <v>4</v>
      </c>
      <c r="AF52" s="28">
        <v>2</v>
      </c>
      <c r="AG52" s="28">
        <v>2</v>
      </c>
      <c r="AH52" s="29" t="s">
        <v>1533</v>
      </c>
      <c r="AI52" s="36">
        <f>IF(OR(AND(K52&lt;32, J52&lt;2), O52=1, P52=1, Q52=1, R52=1, S52=1, T52=1, U52=1, AND(W52&lt;&gt;"", W52&lt;&gt;"Oxygen", W52&lt;&gt;"LowFlow")), "Intensive", "Intermediate")</f>
      </c>
      <c r="AJ52" s="37">
        <f>IF(OR(LEFT(AH52, 1)="X", LEFT(AH52, 1)="Y", LEFT(AH52, 3)="J49M"), "CUSM", "No Match")</f>
      </c>
      <c r="AK52" s="37">
        <f>IF(AND(OR(O52=3, P52=1, Q52=1, T52=1), AJ52="no Match"), "CUSM, CHU SJ, CHUQ", "")</f>
      </c>
      <c r="AL52" s="37">
        <f>IF(AND(O52=2, ISBLANK(P52), ISBLANK(Q52), ISBLANK(R52), ISBLANK(S52), ISBLANK(T52)), "CUSM, CHU SJ, CHUS, CHUQ", "")</f>
      </c>
      <c r="AM52" s="37">
        <f>IF(AND(AJ52="no match", AK52="", AL52="", K52&lt;26), "CUSM, CHU SJ, HGJ, CHUQ, CHUS", "")</f>
      </c>
      <c r="AN52" s="37">
        <f>IF(AND(AJ52="no match", AK52="", AL52="", K52&gt;26), "CUSM, CHU SJ, HGJ, CHUQ, CHUS, HMR", "")</f>
      </c>
    </row>
    <row x14ac:dyDescent="0.25" r="53" customHeight="1" ht="17.25">
      <c r="A53" s="27" t="s">
        <v>1534</v>
      </c>
      <c r="B53" s="28">
        <v>2</v>
      </c>
      <c r="C53" s="35">
        <v>824</v>
      </c>
      <c r="D53" s="29" t="s">
        <v>57</v>
      </c>
      <c r="E53" s="30" t="s">
        <v>54</v>
      </c>
      <c r="F53" s="31">
        <v>44235</v>
      </c>
      <c r="G53" s="32">
        <v>4.604166666666666</v>
      </c>
      <c r="H53" s="31">
        <v>44235</v>
      </c>
      <c r="I53" s="32">
        <v>4.355555555555556</v>
      </c>
      <c r="J53" s="33">
        <f>F53-H53</f>
      </c>
      <c r="K53" s="28">
        <v>39</v>
      </c>
      <c r="L53" s="28">
        <v>3</v>
      </c>
      <c r="M53" s="28">
        <v>1</v>
      </c>
      <c r="N53" s="35">
        <v>1</v>
      </c>
      <c r="O53" s="34"/>
      <c r="P53" s="35">
        <v>1</v>
      </c>
      <c r="Q53" s="34"/>
      <c r="R53" s="34"/>
      <c r="S53" s="34"/>
      <c r="T53" s="35">
        <v>1</v>
      </c>
      <c r="U53" s="34"/>
      <c r="V53" s="34"/>
      <c r="W53" s="29" t="s">
        <v>74</v>
      </c>
      <c r="X53" s="28">
        <v>27</v>
      </c>
      <c r="Y53" s="28">
        <v>1</v>
      </c>
      <c r="Z53" s="28">
        <v>2</v>
      </c>
      <c r="AA53" s="28">
        <v>2</v>
      </c>
      <c r="AB53" s="28">
        <v>1</v>
      </c>
      <c r="AC53" s="28">
        <v>1</v>
      </c>
      <c r="AD53" s="28">
        <v>1</v>
      </c>
      <c r="AE53" s="28">
        <v>4</v>
      </c>
      <c r="AF53" s="28">
        <v>2</v>
      </c>
      <c r="AG53" s="28">
        <v>2</v>
      </c>
      <c r="AH53" s="29" t="s">
        <v>1535</v>
      </c>
      <c r="AI53" s="36">
        <f>IF(OR(AND(K53&lt;32, J53&lt;2), O53=1, P53=1, Q53=1, R53=1, S53=1, T53=1, U53=1, AND(W53&lt;&gt;"", W53&lt;&gt;"Oxygen", W53&lt;&gt;"LowFlow")), "Intensive", "Intermediate")</f>
      </c>
      <c r="AJ53" s="37">
        <f>IF(OR(LEFT(AH53, 1)="X", LEFT(AH53, 1)="Y", LEFT(AH53, 3)="J50M"), "CUSM", "No Match")</f>
      </c>
      <c r="AK53" s="37">
        <f>IF(AND(OR(O53=3, P53=1, Q53=1, T53=1), AJ53="no Match"), "CUSM, CHU SJ, CHUQ", "")</f>
      </c>
      <c r="AL53" s="37">
        <f>IF(AND(O53=2, ISBLANK(P53), ISBLANK(Q53), ISBLANK(R53), ISBLANK(S53), ISBLANK(T53)), "CUSM, CHU SJ, CHUS, CHUQ", "")</f>
      </c>
      <c r="AM53" s="37">
        <f>IF(AND(AJ53="no match", AK53="", AL53="", K53&lt;26), "CUSM, CHU SJ, HGJ, CHUQ, CHUS", "")</f>
      </c>
      <c r="AN53" s="37">
        <f>IF(AND(AJ53="no match", AK53="", AL53="", K53&gt;26), "CUSM, CHU SJ, HGJ, CHUQ, CHUS, HMR", "")</f>
      </c>
    </row>
    <row x14ac:dyDescent="0.25" r="54" customHeight="1" ht="17.25">
      <c r="A54" s="27" t="s">
        <v>1536</v>
      </c>
      <c r="B54" s="28">
        <v>2</v>
      </c>
      <c r="C54" s="28">
        <v>735</v>
      </c>
      <c r="D54" s="29" t="s">
        <v>49</v>
      </c>
      <c r="E54" s="30" t="s">
        <v>50</v>
      </c>
      <c r="F54" s="31">
        <v>44235</v>
      </c>
      <c r="G54" s="32">
        <v>4.833333333333334</v>
      </c>
      <c r="H54" s="31">
        <v>44232</v>
      </c>
      <c r="I54" s="32">
        <v>4.364583333333334</v>
      </c>
      <c r="J54" s="33">
        <f>F54-H54</f>
      </c>
      <c r="K54" s="28">
        <v>38</v>
      </c>
      <c r="L54" s="28">
        <v>4</v>
      </c>
      <c r="M54" s="28">
        <v>1</v>
      </c>
      <c r="N54" s="35">
        <v>1</v>
      </c>
      <c r="O54" s="35">
        <v>2</v>
      </c>
      <c r="P54" s="35">
        <v>1</v>
      </c>
      <c r="Q54" s="34"/>
      <c r="R54" s="34"/>
      <c r="S54" s="34"/>
      <c r="T54" s="34"/>
      <c r="U54" s="38"/>
      <c r="V54" s="38"/>
      <c r="W54" s="29"/>
      <c r="X54" s="28">
        <v>33</v>
      </c>
      <c r="Y54" s="28">
        <v>1</v>
      </c>
      <c r="Z54" s="28">
        <v>2</v>
      </c>
      <c r="AA54" s="28">
        <v>2</v>
      </c>
      <c r="AB54" s="28">
        <v>1</v>
      </c>
      <c r="AC54" s="28">
        <v>2</v>
      </c>
      <c r="AD54" s="28">
        <v>1</v>
      </c>
      <c r="AE54" s="28">
        <v>4</v>
      </c>
      <c r="AF54" s="28">
        <v>3</v>
      </c>
      <c r="AG54" s="28">
        <v>2</v>
      </c>
      <c r="AH54" s="29" t="s">
        <v>1537</v>
      </c>
      <c r="AI54" s="36">
        <f>IF(OR(AND(K54&lt;32, J54&lt;2), O54=1, P54=1, Q54=1, R54=1, S54=1, T54=1, U54=1, AND(W54&lt;&gt;"", W54&lt;&gt;"Oxygen", W54&lt;&gt;"LowFlow")), "Intensive", "Intermediate")</f>
      </c>
      <c r="AJ54" s="37">
        <f>IF(OR(LEFT(AH54, 1)="X", LEFT(AH54, 1)="Y", LEFT(AH54, 3)="J51M"), "CUSM", "No Match")</f>
      </c>
      <c r="AK54" s="37">
        <f>IF(AND(OR(O54=3, P54=1, Q54=1, T54=1), AJ54="no Match"), "CUSM, CHU SJ, CHUQ", "")</f>
      </c>
      <c r="AL54" s="37">
        <f>IF(AND(O54=2, ISBLANK(P54), ISBLANK(Q54), ISBLANK(R54), ISBLANK(S54), ISBLANK(T54)), "CUSM, CHU SJ, CHUS, CHUQ", "")</f>
      </c>
      <c r="AM54" s="37">
        <f>IF(AND(AJ54="no match", AK54="", AL54="", K54&lt;26), "CUSM, CHU SJ, HGJ, CHUQ, CHUS", "")</f>
      </c>
      <c r="AN54" s="37">
        <f>IF(AND(AJ54="no match", AK54="", AL54="", K54&gt;26), "CUSM, CHU SJ, HGJ, CHUQ, CHUS, HMR", "")</f>
      </c>
    </row>
    <row x14ac:dyDescent="0.25" r="55" customHeight="1" ht="17.25">
      <c r="A55" s="27" t="s">
        <v>1538</v>
      </c>
      <c r="B55" s="28">
        <v>2</v>
      </c>
      <c r="C55" s="35">
        <v>760</v>
      </c>
      <c r="D55" s="29" t="s">
        <v>557</v>
      </c>
      <c r="E55" s="30" t="s">
        <v>149</v>
      </c>
      <c r="F55" s="31">
        <v>44238</v>
      </c>
      <c r="G55" s="32">
        <v>4.465277777777778</v>
      </c>
      <c r="H55" s="31">
        <v>44237</v>
      </c>
      <c r="I55" s="32">
        <v>4.434027777777778</v>
      </c>
      <c r="J55" s="33">
        <f>F55-H55</f>
      </c>
      <c r="K55" s="28">
        <v>35</v>
      </c>
      <c r="L55" s="28">
        <v>3</v>
      </c>
      <c r="M55" s="28">
        <v>1</v>
      </c>
      <c r="N55" s="34"/>
      <c r="O55" s="34"/>
      <c r="P55" s="34"/>
      <c r="Q55" s="34"/>
      <c r="R55" s="34"/>
      <c r="S55" s="34"/>
      <c r="T55" s="34"/>
      <c r="U55" s="34"/>
      <c r="V55" s="34"/>
      <c r="W55" s="29"/>
      <c r="X55" s="28">
        <v>26</v>
      </c>
      <c r="Y55" s="28">
        <v>1</v>
      </c>
      <c r="Z55" s="28">
        <v>1</v>
      </c>
      <c r="AA55" s="28">
        <v>1</v>
      </c>
      <c r="AB55" s="28">
        <v>4</v>
      </c>
      <c r="AC55" s="28">
        <v>2</v>
      </c>
      <c r="AD55" s="28">
        <v>2</v>
      </c>
      <c r="AE55" s="28">
        <v>4</v>
      </c>
      <c r="AF55" s="28">
        <v>2</v>
      </c>
      <c r="AG55" s="28">
        <v>2</v>
      </c>
      <c r="AH55" s="29" t="s">
        <v>1539</v>
      </c>
      <c r="AI55" s="36">
        <f>IF(OR(AND(K55&lt;32, J55&lt;2), O55=1, P55=1, Q55=1, R55=1, S55=1, T55=1, U55=1, AND(W55&lt;&gt;"", W55&lt;&gt;"Oxygen", W55&lt;&gt;"LowFlow")), "Intensive", "Intermediate")</f>
      </c>
      <c r="AJ55" s="37">
        <f>IF(OR(LEFT(AH55, 1)="X", LEFT(AH55, 1)="Y", LEFT(AH55, 3)="J52M"), "CUSM", "No Match")</f>
      </c>
      <c r="AK55" s="37">
        <f>IF(AND(OR(O55=3, P55=1, Q55=1, T55=1), AJ55="no Match"), "CUSM, CHU SJ, CHUQ", "")</f>
      </c>
      <c r="AL55" s="37">
        <f>IF(AND(O55=2, ISBLANK(P55), ISBLANK(Q55), ISBLANK(R55), ISBLANK(S55), ISBLANK(T55)), "CUSM, CHU SJ, CHUS, CHUQ", "")</f>
      </c>
      <c r="AM55" s="37">
        <f>IF(AND(AJ55="no match", AK55="", AL55="", K55&lt;26), "CUSM, CHU SJ, HGJ, CHUQ, CHUS", "")</f>
      </c>
      <c r="AN55" s="37">
        <f>IF(AND(AJ55="no match", AK55="", AL55="", K55&gt;26), "CUSM, CHU SJ, HGJ, CHUQ, CHUS, HMR", "")</f>
      </c>
    </row>
    <row x14ac:dyDescent="0.25" r="56" customHeight="1" ht="17.25">
      <c r="A56" s="27" t="s">
        <v>1540</v>
      </c>
      <c r="B56" s="28">
        <v>2</v>
      </c>
      <c r="C56" s="35">
        <v>825</v>
      </c>
      <c r="D56" s="29" t="s">
        <v>77</v>
      </c>
      <c r="E56" s="30" t="s">
        <v>78</v>
      </c>
      <c r="F56" s="31">
        <v>44238</v>
      </c>
      <c r="G56" s="32">
        <v>4.739583333333334</v>
      </c>
      <c r="H56" s="31">
        <v>44238</v>
      </c>
      <c r="I56" s="32">
        <v>4.490972222222222</v>
      </c>
      <c r="J56" s="33">
        <f>F56-H56</f>
      </c>
      <c r="K56" s="28">
        <v>37</v>
      </c>
      <c r="L56" s="28">
        <v>0</v>
      </c>
      <c r="M56" s="28">
        <v>1</v>
      </c>
      <c r="N56" s="34"/>
      <c r="O56" s="34"/>
      <c r="P56" s="34"/>
      <c r="Q56" s="34"/>
      <c r="R56" s="34"/>
      <c r="S56" s="34"/>
      <c r="T56" s="34"/>
      <c r="U56" s="34"/>
      <c r="V56" s="34"/>
      <c r="W56" s="29" t="s">
        <v>58</v>
      </c>
      <c r="X56" s="28">
        <v>34</v>
      </c>
      <c r="Y56" s="28">
        <v>2</v>
      </c>
      <c r="Z56" s="28">
        <v>1</v>
      </c>
      <c r="AA56" s="28">
        <v>1</v>
      </c>
      <c r="AB56" s="28">
        <v>1</v>
      </c>
      <c r="AC56" s="28">
        <v>2</v>
      </c>
      <c r="AD56" s="28">
        <v>1</v>
      </c>
      <c r="AE56" s="28">
        <v>4</v>
      </c>
      <c r="AF56" s="28">
        <v>2</v>
      </c>
      <c r="AG56" s="28">
        <v>2</v>
      </c>
      <c r="AH56" s="29" t="s">
        <v>1541</v>
      </c>
      <c r="AI56" s="36">
        <f>IF(OR(AND(K56&lt;32, J56&lt;2), O56=1, P56=1, Q56=1, R56=1, S56=1, T56=1, U56=1, AND(W56&lt;&gt;"", W56&lt;&gt;"Oxygen", W56&lt;&gt;"LowFlow")), "Intensive", "Intermediate")</f>
      </c>
      <c r="AJ56" s="37">
        <f>IF(OR(LEFT(AH56, 1)="X", LEFT(AH56, 1)="Y", LEFT(AH56, 3)="J53M"), "CUSM", "No Match")</f>
      </c>
      <c r="AK56" s="37">
        <f>IF(AND(OR(O56=3, P56=1, Q56=1, T56=1), AJ56="no Match"), "CUSM, CHU SJ, CHUQ", "")</f>
      </c>
      <c r="AL56" s="37">
        <f>IF(AND(O56=2, ISBLANK(P56), ISBLANK(Q56), ISBLANK(R56), ISBLANK(S56), ISBLANK(T56)), "CUSM, CHU SJ, CHUS, CHUQ", "")</f>
      </c>
      <c r="AM56" s="37">
        <f>IF(AND(AJ56="no match", AK56="", AL56="", K56&lt;26), "CUSM, CHU SJ, HGJ, CHUQ, CHUS", "")</f>
      </c>
      <c r="AN56" s="37">
        <f>IF(AND(AJ56="no match", AK56="", AL56="", K56&gt;26), "CUSM, CHU SJ, HGJ, CHUQ, CHUS, HMR", "")</f>
      </c>
    </row>
    <row x14ac:dyDescent="0.25" r="57" customHeight="1" ht="17.25">
      <c r="A57" s="27" t="s">
        <v>1542</v>
      </c>
      <c r="B57" s="28">
        <v>2</v>
      </c>
      <c r="C57" s="35">
        <v>2</v>
      </c>
      <c r="D57" s="29" t="s">
        <v>269</v>
      </c>
      <c r="E57" s="30" t="s">
        <v>78</v>
      </c>
      <c r="F57" s="31">
        <v>44238</v>
      </c>
      <c r="G57" s="32">
        <v>4.989583333333334</v>
      </c>
      <c r="H57" s="31">
        <v>44238</v>
      </c>
      <c r="I57" s="32">
        <v>4.8</v>
      </c>
      <c r="J57" s="33">
        <f>F57-H57</f>
      </c>
      <c r="K57" s="28">
        <v>39</v>
      </c>
      <c r="L57" s="28">
        <v>6</v>
      </c>
      <c r="M57" s="28">
        <v>2</v>
      </c>
      <c r="N57" s="34"/>
      <c r="O57" s="34"/>
      <c r="P57" s="34"/>
      <c r="Q57" s="34"/>
      <c r="R57" s="34"/>
      <c r="S57" s="34"/>
      <c r="T57" s="34"/>
      <c r="U57" s="34"/>
      <c r="V57" s="34"/>
      <c r="W57" s="29" t="s">
        <v>58</v>
      </c>
      <c r="X57" s="28">
        <v>33</v>
      </c>
      <c r="Y57" s="28">
        <v>1</v>
      </c>
      <c r="Z57" s="28">
        <v>1</v>
      </c>
      <c r="AA57" s="28">
        <v>2</v>
      </c>
      <c r="AB57" s="28">
        <v>1</v>
      </c>
      <c r="AC57" s="28">
        <v>2</v>
      </c>
      <c r="AD57" s="28">
        <v>2</v>
      </c>
      <c r="AE57" s="28">
        <v>2</v>
      </c>
      <c r="AF57" s="28">
        <v>2</v>
      </c>
      <c r="AG57" s="28">
        <v>2</v>
      </c>
      <c r="AH57" s="29" t="s">
        <v>1543</v>
      </c>
      <c r="AI57" s="36">
        <f>IF(OR(AND(K57&lt;32, J57&lt;2), O57=1, P57=1, Q57=1, R57=1, S57=1, T57=1, U57=1, AND(W57&lt;&gt;"", W57&lt;&gt;"Oxygen", W57&lt;&gt;"LowFlow")), "Intensive", "Intermediate")</f>
      </c>
      <c r="AJ57" s="37">
        <f>IF(OR(LEFT(AH57, 1)="X", LEFT(AH57, 1)="Y", LEFT(AH57, 3)="J54M"), "CUSM", "No Match")</f>
      </c>
      <c r="AK57" s="37">
        <f>IF(AND(OR(O57=3, P57=1, Q57=1, T57=1), AJ57="no Match"), "CUSM, CHU SJ, CHUQ", "")</f>
      </c>
      <c r="AL57" s="37">
        <f>IF(AND(O57=2, ISBLANK(P57), ISBLANK(Q57), ISBLANK(R57), ISBLANK(S57), ISBLANK(T57)), "CUSM, CHU SJ, CHUS, CHUQ", "")</f>
      </c>
      <c r="AM57" s="37">
        <f>IF(AND(AJ57="no match", AK57="", AL57="", K57&lt;26), "CUSM, CHU SJ, HGJ, CHUQ, CHUS", "")</f>
      </c>
      <c r="AN57" s="37">
        <f>IF(AND(AJ57="no match", AK57="", AL57="", K57&gt;26), "CUSM, CHU SJ, HGJ, CHUQ, CHUS, HMR", "")</f>
      </c>
    </row>
    <row x14ac:dyDescent="0.25" r="58" customHeight="1" ht="17.25">
      <c r="A58" s="27" t="s">
        <v>1544</v>
      </c>
      <c r="B58" s="28">
        <v>2</v>
      </c>
      <c r="C58" s="28">
        <v>720</v>
      </c>
      <c r="D58" s="29" t="s">
        <v>626</v>
      </c>
      <c r="E58" s="30" t="s">
        <v>50</v>
      </c>
      <c r="F58" s="31">
        <v>44238</v>
      </c>
      <c r="G58" s="32">
        <v>4.259027777777778</v>
      </c>
      <c r="H58" s="31">
        <v>44238</v>
      </c>
      <c r="I58" s="32">
        <v>4.202083333333333</v>
      </c>
      <c r="J58" s="33">
        <f>F58-H58</f>
      </c>
      <c r="K58" s="28">
        <v>35</v>
      </c>
      <c r="L58" s="28">
        <v>3</v>
      </c>
      <c r="M58" s="28">
        <v>1</v>
      </c>
      <c r="N58" s="34"/>
      <c r="O58" s="34"/>
      <c r="P58" s="34"/>
      <c r="Q58" s="34"/>
      <c r="R58" s="34"/>
      <c r="S58" s="34"/>
      <c r="T58" s="34"/>
      <c r="U58" s="34"/>
      <c r="V58" s="34"/>
      <c r="W58" s="29"/>
      <c r="X58" s="28">
        <v>34</v>
      </c>
      <c r="Y58" s="28">
        <v>1</v>
      </c>
      <c r="Z58" s="28">
        <v>1</v>
      </c>
      <c r="AA58" s="28">
        <v>1</v>
      </c>
      <c r="AB58" s="28">
        <v>2</v>
      </c>
      <c r="AC58" s="28">
        <v>2</v>
      </c>
      <c r="AD58" s="28">
        <v>2</v>
      </c>
      <c r="AE58" s="28">
        <v>2</v>
      </c>
      <c r="AF58" s="28">
        <v>2</v>
      </c>
      <c r="AG58" s="28">
        <v>2</v>
      </c>
      <c r="AH58" s="29" t="s">
        <v>883</v>
      </c>
      <c r="AI58" s="36">
        <f>IF(OR(AND(K58&lt;32, J58&lt;2), O58=1, P58=1, Q58=1, R58=1, S58=1, T58=1, U58=1, AND(W58&lt;&gt;"", W58&lt;&gt;"Oxygen", W58&lt;&gt;"LowFlow")), "Intensive", "Intermediate")</f>
      </c>
      <c r="AJ58" s="37">
        <f>IF(OR(LEFT(AH58, 1)="X", LEFT(AH58, 1)="Y", LEFT(AH58, 3)="J55M"), "CUSM", "No Match")</f>
      </c>
      <c r="AK58" s="37">
        <f>IF(AND(OR(O58=3, P58=1, Q58=1, T58=1), AJ58="no Match"), "CUSM, CHU SJ, CHUQ", "")</f>
      </c>
      <c r="AL58" s="37">
        <f>IF(AND(O58=2, ISBLANK(P58), ISBLANK(Q58), ISBLANK(R58), ISBLANK(S58), ISBLANK(T58)), "CUSM, CHU SJ, CHUS, CHUQ", "")</f>
      </c>
      <c r="AM58" s="37">
        <f>IF(AND(AJ58="no match", AK58="", AL58="", K58&lt;26), "CUSM, CHU SJ, HGJ, CHUQ, CHUS", "")</f>
      </c>
      <c r="AN58" s="37">
        <f>IF(AND(AJ58="no match", AK58="", AL58="", K58&gt;26), "CUSM, CHU SJ, HGJ, CHUQ, CHUS, HMR", "")</f>
      </c>
    </row>
    <row x14ac:dyDescent="0.25" r="59" customHeight="1" ht="17.25">
      <c r="A59" s="27" t="s">
        <v>1545</v>
      </c>
      <c r="B59" s="28">
        <v>2</v>
      </c>
      <c r="C59" s="28">
        <v>6</v>
      </c>
      <c r="D59" s="29" t="s">
        <v>131</v>
      </c>
      <c r="E59" s="30" t="s">
        <v>50</v>
      </c>
      <c r="F59" s="31">
        <v>44238</v>
      </c>
      <c r="G59" s="32">
        <v>4.784722222222222</v>
      </c>
      <c r="H59" s="31">
        <v>44237</v>
      </c>
      <c r="I59" s="32">
        <v>4.55625</v>
      </c>
      <c r="J59" s="33">
        <f>F59-H59</f>
      </c>
      <c r="K59" s="28">
        <v>40</v>
      </c>
      <c r="L59" s="28">
        <v>2</v>
      </c>
      <c r="M59" s="28">
        <v>1</v>
      </c>
      <c r="N59" s="34"/>
      <c r="O59" s="34"/>
      <c r="P59" s="34"/>
      <c r="Q59" s="34"/>
      <c r="R59" s="34"/>
      <c r="S59" s="34"/>
      <c r="T59" s="34"/>
      <c r="U59" s="34"/>
      <c r="V59" s="34"/>
      <c r="W59" s="29"/>
      <c r="X59" s="28">
        <v>33</v>
      </c>
      <c r="Y59" s="28">
        <v>1</v>
      </c>
      <c r="Z59" s="28">
        <v>1</v>
      </c>
      <c r="AA59" s="28">
        <v>2</v>
      </c>
      <c r="AB59" s="28">
        <v>1</v>
      </c>
      <c r="AC59" s="28">
        <v>2</v>
      </c>
      <c r="AD59" s="28">
        <v>2</v>
      </c>
      <c r="AE59" s="28">
        <v>3</v>
      </c>
      <c r="AF59" s="28">
        <v>2</v>
      </c>
      <c r="AG59" s="28">
        <v>2</v>
      </c>
      <c r="AH59" s="29" t="s">
        <v>1546</v>
      </c>
      <c r="AI59" s="36">
        <f>IF(OR(AND(K59&lt;32, J59&lt;2), O59=1, P59=1, Q59=1, R59=1, S59=1, T59=1, U59=1, AND(W59&lt;&gt;"", W59&lt;&gt;"Oxygen", W59&lt;&gt;"LowFlow")), "Intensive", "Intermediate")</f>
      </c>
      <c r="AJ59" s="37">
        <f>IF(OR(LEFT(AH59, 1)="X", LEFT(AH59, 1)="Y", LEFT(AH59, 3)="J56M"), "CUSM", "No Match")</f>
      </c>
      <c r="AK59" s="37">
        <f>IF(AND(OR(O59=3, P59=1, Q59=1, T59=1), AJ59="no Match"), "CUSM, CHU SJ, CHUQ", "")</f>
      </c>
      <c r="AL59" s="37">
        <f>IF(AND(O59=2, ISBLANK(P59), ISBLANK(Q59), ISBLANK(R59), ISBLANK(S59), ISBLANK(T59)), "CUSM, CHU SJ, CHUS, CHUQ", "")</f>
      </c>
      <c r="AM59" s="37">
        <f>IF(AND(AJ59="no match", AK59="", AL59="", K59&lt;26), "CUSM, CHU SJ, HGJ, CHUQ, CHUS", "")</f>
      </c>
      <c r="AN59" s="37">
        <f>IF(AND(AJ59="no match", AK59="", AL59="", K59&gt;26), "CUSM, CHU SJ, HGJ, CHUQ, CHUS, HMR", "")</f>
      </c>
    </row>
    <row x14ac:dyDescent="0.25" r="60" customHeight="1" ht="17.25">
      <c r="A60" s="27" t="s">
        <v>1547</v>
      </c>
      <c r="B60" s="28">
        <v>2</v>
      </c>
      <c r="C60" s="28">
        <v>815</v>
      </c>
      <c r="D60" s="29" t="s">
        <v>100</v>
      </c>
      <c r="E60" s="30" t="s">
        <v>54</v>
      </c>
      <c r="F60" s="31">
        <v>44239</v>
      </c>
      <c r="G60" s="32">
        <v>4.5</v>
      </c>
      <c r="H60" s="31">
        <v>44220</v>
      </c>
      <c r="I60" s="32">
        <v>4.335416666666667</v>
      </c>
      <c r="J60" s="33">
        <f>F60-H60</f>
      </c>
      <c r="K60" s="28">
        <v>36</v>
      </c>
      <c r="L60" s="28">
        <v>2</v>
      </c>
      <c r="M60" s="28">
        <v>1</v>
      </c>
      <c r="N60" s="34"/>
      <c r="O60" s="34"/>
      <c r="P60" s="34"/>
      <c r="Q60" s="34"/>
      <c r="R60" s="34"/>
      <c r="S60" s="34"/>
      <c r="T60" s="34"/>
      <c r="U60" s="34"/>
      <c r="V60" s="34"/>
      <c r="W60" s="29"/>
      <c r="X60" s="28">
        <v>28</v>
      </c>
      <c r="Y60" s="28">
        <v>1</v>
      </c>
      <c r="Z60" s="28">
        <v>1</v>
      </c>
      <c r="AA60" s="28">
        <v>3</v>
      </c>
      <c r="AB60" s="28">
        <v>4</v>
      </c>
      <c r="AC60" s="28">
        <v>2</v>
      </c>
      <c r="AD60" s="28">
        <v>1</v>
      </c>
      <c r="AE60" s="28">
        <v>4</v>
      </c>
      <c r="AF60" s="28">
        <v>3</v>
      </c>
      <c r="AG60" s="28">
        <v>3</v>
      </c>
      <c r="AH60" s="29" t="s">
        <v>827</v>
      </c>
      <c r="AI60" s="36">
        <f>IF(OR(AND(K60&lt;32, J60&lt;2), O60=1, P60=1, Q60=1, R60=1, S60=1, T60=1, U60=1, AND(W60&lt;&gt;"", W60&lt;&gt;"Oxygen", W60&lt;&gt;"LowFlow")), "Intensive", "Intermediate")</f>
      </c>
      <c r="AJ60" s="37">
        <f>IF(OR(LEFT(AH60, 1)="X", LEFT(AH60, 1)="Y", LEFT(AH60, 3)="J57M"), "CUSM", "No Match")</f>
      </c>
      <c r="AK60" s="37">
        <f>IF(AND(OR(O60=3, P60=1, Q60=1, T60=1), AJ60="no Match"), "CUSM, CHU SJ, CHUQ", "")</f>
      </c>
      <c r="AL60" s="37">
        <f>IF(AND(O60=2, ISBLANK(P60), ISBLANK(Q60), ISBLANK(R60), ISBLANK(S60), ISBLANK(T60)), "CUSM, CHU SJ, CHUS, CHUQ", "")</f>
      </c>
      <c r="AM60" s="37">
        <f>IF(AND(AJ60="no match", AK60="", AL60="", K60&lt;26), "CUSM, CHU SJ, HGJ, CHUQ, CHUS", "")</f>
      </c>
      <c r="AN60" s="37">
        <f>IF(AND(AJ60="no match", AK60="", AL60="", K60&gt;26), "CUSM, CHU SJ, HGJ, CHUQ, CHUS, HMR", "")</f>
      </c>
    </row>
    <row x14ac:dyDescent="0.25" r="61" customHeight="1" ht="17.25">
      <c r="A61" s="27" t="s">
        <v>1548</v>
      </c>
      <c r="B61" s="28">
        <v>2</v>
      </c>
      <c r="C61" s="35">
        <v>806</v>
      </c>
      <c r="D61" s="29" t="s">
        <v>438</v>
      </c>
      <c r="E61" s="30" t="s">
        <v>78</v>
      </c>
      <c r="F61" s="31">
        <v>44240</v>
      </c>
      <c r="G61" s="32">
        <v>4</v>
      </c>
      <c r="H61" s="31">
        <v>44239</v>
      </c>
      <c r="I61" s="32">
        <v>4.764583333333333</v>
      </c>
      <c r="J61" s="33">
        <f>F61-H61</f>
      </c>
      <c r="K61" s="28">
        <v>31</v>
      </c>
      <c r="L61" s="28">
        <v>0</v>
      </c>
      <c r="M61" s="28">
        <v>1</v>
      </c>
      <c r="N61" s="34"/>
      <c r="O61" s="34"/>
      <c r="P61" s="34"/>
      <c r="Q61" s="34"/>
      <c r="R61" s="34"/>
      <c r="S61" s="34"/>
      <c r="T61" s="34"/>
      <c r="U61" s="34"/>
      <c r="V61" s="34"/>
      <c r="W61" s="29" t="s">
        <v>74</v>
      </c>
      <c r="X61" s="28">
        <v>23</v>
      </c>
      <c r="Y61" s="28">
        <v>1</v>
      </c>
      <c r="Z61" s="28">
        <v>2</v>
      </c>
      <c r="AA61" s="28">
        <v>1</v>
      </c>
      <c r="AB61" s="28">
        <v>1</v>
      </c>
      <c r="AC61" s="28">
        <v>2</v>
      </c>
      <c r="AD61" s="28">
        <v>2</v>
      </c>
      <c r="AE61" s="28">
        <v>3</v>
      </c>
      <c r="AF61" s="28">
        <v>3</v>
      </c>
      <c r="AG61" s="28">
        <v>2</v>
      </c>
      <c r="AH61" s="29" t="s">
        <v>1549</v>
      </c>
      <c r="AI61" s="36">
        <f>IF(OR(AND(K61&lt;32, J61&lt;2), O61=1, P61=1, Q61=1, R61=1, S61=1, T61=1, U61=1, AND(W61&lt;&gt;"", W61&lt;&gt;"Oxygen", W61&lt;&gt;"LowFlow")), "Intensive", "Intermediate")</f>
      </c>
      <c r="AJ61" s="37">
        <f>IF(OR(LEFT(AH61, 1)="X", LEFT(AH61, 1)="Y", LEFT(AH61, 3)="J58M"), "CUSM", "No Match")</f>
      </c>
      <c r="AK61" s="37">
        <f>IF(AND(OR(O61=3, P61=1, Q61=1, T61=1), AJ61="no Match"), "CUSM, CHU SJ, CHUQ", "")</f>
      </c>
      <c r="AL61" s="37">
        <f>IF(AND(O61=2, ISBLANK(P61), ISBLANK(Q61), ISBLANK(R61), ISBLANK(S61), ISBLANK(T61)), "CUSM, CHU SJ, CHUS, CHUQ", "")</f>
      </c>
      <c r="AM61" s="37">
        <f>IF(AND(AJ61="no match", AK61="", AL61="", K61&lt;26), "CUSM, CHU SJ, HGJ, CHUQ, CHUS", "")</f>
      </c>
      <c r="AN61" s="37">
        <f>IF(AND(AJ61="no match", AK61="", AL61="", K61&gt;26), "CUSM, CHU SJ, HGJ, CHUQ, CHUS, HMR", "")</f>
      </c>
    </row>
    <row x14ac:dyDescent="0.25" r="62" customHeight="1" ht="17.25">
      <c r="A62" s="27" t="s">
        <v>1550</v>
      </c>
      <c r="B62" s="28">
        <v>2</v>
      </c>
      <c r="C62" s="35">
        <v>817</v>
      </c>
      <c r="D62" s="29" t="s">
        <v>163</v>
      </c>
      <c r="E62" s="30" t="s">
        <v>54</v>
      </c>
      <c r="F62" s="31">
        <v>44241</v>
      </c>
      <c r="G62" s="32">
        <v>4.083333333333334</v>
      </c>
      <c r="H62" s="31">
        <v>44240</v>
      </c>
      <c r="I62" s="32">
        <v>4.865972222222222</v>
      </c>
      <c r="J62" s="33">
        <f>F62-H62</f>
      </c>
      <c r="K62" s="28">
        <v>33</v>
      </c>
      <c r="L62" s="28">
        <v>5</v>
      </c>
      <c r="M62" s="28">
        <v>1</v>
      </c>
      <c r="N62" s="34"/>
      <c r="O62" s="34"/>
      <c r="P62" s="34"/>
      <c r="Q62" s="34"/>
      <c r="R62" s="34"/>
      <c r="S62" s="34"/>
      <c r="T62" s="34"/>
      <c r="U62" s="34"/>
      <c r="V62" s="34"/>
      <c r="W62" s="29" t="s">
        <v>74</v>
      </c>
      <c r="X62" s="28">
        <v>35</v>
      </c>
      <c r="Y62" s="28">
        <v>1</v>
      </c>
      <c r="Z62" s="28">
        <v>1</v>
      </c>
      <c r="AA62" s="28">
        <v>1</v>
      </c>
      <c r="AB62" s="28">
        <v>1</v>
      </c>
      <c r="AC62" s="28">
        <v>1</v>
      </c>
      <c r="AD62" s="28">
        <v>1</v>
      </c>
      <c r="AE62" s="28">
        <v>4</v>
      </c>
      <c r="AF62" s="28">
        <v>2</v>
      </c>
      <c r="AG62" s="28">
        <v>2</v>
      </c>
      <c r="AH62" s="29" t="s">
        <v>980</v>
      </c>
      <c r="AI62" s="36">
        <f>IF(OR(AND(K62&lt;32, J62&lt;2), O62=1, P62=1, Q62=1, R62=1, S62=1, T62=1, U62=1, AND(W62&lt;&gt;"", W62&lt;&gt;"Oxygen", W62&lt;&gt;"LowFlow")), "Intensive", "Intermediate")</f>
      </c>
      <c r="AJ62" s="37">
        <f>IF(OR(LEFT(AH62, 1)="X", LEFT(AH62, 1)="Y", LEFT(AH62, 3)="J59M"), "CUSM", "No Match")</f>
      </c>
      <c r="AK62" s="37">
        <f>IF(AND(OR(O62=3, P62=1, Q62=1, T62=1), AJ62="no Match"), "CUSM, CHU SJ, CHUQ", "")</f>
      </c>
      <c r="AL62" s="37">
        <f>IF(AND(O62=2, ISBLANK(P62), ISBLANK(Q62), ISBLANK(R62), ISBLANK(S62), ISBLANK(T62)), "CUSM, CHU SJ, CHUS, CHUQ", "")</f>
      </c>
      <c r="AM62" s="37">
        <f>IF(AND(AJ62="no match", AK62="", AL62="", K62&lt;26), "CUSM, CHU SJ, HGJ, CHUQ, CHUS", "")</f>
      </c>
      <c r="AN62" s="37">
        <f>IF(AND(AJ62="no match", AK62="", AL62="", K62&gt;26), "CUSM, CHU SJ, HGJ, CHUQ, CHUS, HMR", "")</f>
      </c>
    </row>
    <row x14ac:dyDescent="0.25" r="63" customHeight="1" ht="17.25">
      <c r="A63" s="27" t="s">
        <v>1551</v>
      </c>
      <c r="B63" s="28">
        <v>2</v>
      </c>
      <c r="C63" s="28">
        <v>776</v>
      </c>
      <c r="D63" s="29" t="s">
        <v>84</v>
      </c>
      <c r="E63" s="30" t="s">
        <v>78</v>
      </c>
      <c r="F63" s="31">
        <v>44241</v>
      </c>
      <c r="G63" s="32">
        <v>4.902777777777778</v>
      </c>
      <c r="H63" s="31">
        <v>44241</v>
      </c>
      <c r="I63" s="32">
        <v>4.51875</v>
      </c>
      <c r="J63" s="33">
        <f>F63-H63</f>
      </c>
      <c r="K63" s="28">
        <v>31</v>
      </c>
      <c r="L63" s="28">
        <v>0</v>
      </c>
      <c r="M63" s="28">
        <v>2</v>
      </c>
      <c r="N63" s="34"/>
      <c r="O63" s="34"/>
      <c r="P63" s="34"/>
      <c r="Q63" s="34"/>
      <c r="R63" s="34"/>
      <c r="S63" s="34"/>
      <c r="T63" s="34"/>
      <c r="U63" s="34"/>
      <c r="V63" s="38"/>
      <c r="W63" s="29" t="s">
        <v>58</v>
      </c>
      <c r="X63" s="28">
        <v>33</v>
      </c>
      <c r="Y63" s="28">
        <v>2</v>
      </c>
      <c r="Z63" s="28">
        <v>1</v>
      </c>
      <c r="AA63" s="28">
        <v>1</v>
      </c>
      <c r="AB63" s="28">
        <v>1</v>
      </c>
      <c r="AC63" s="28">
        <v>2</v>
      </c>
      <c r="AD63" s="28">
        <v>1</v>
      </c>
      <c r="AE63" s="28">
        <v>2</v>
      </c>
      <c r="AF63" s="28">
        <v>2</v>
      </c>
      <c r="AG63" s="28">
        <v>2</v>
      </c>
      <c r="AH63" s="29" t="s">
        <v>85</v>
      </c>
      <c r="AI63" s="36">
        <f>IF(OR(AND(K63&lt;32, J63&lt;2), O63=1, P63=1, Q63=1, R63=1, S63=1, T63=1, U63=1, AND(W63&lt;&gt;"", W63&lt;&gt;"Oxygen", W63&lt;&gt;"LowFlow")), "Intensive", "Intermediate")</f>
      </c>
      <c r="AJ63" s="37">
        <f>IF(OR(LEFT(AH63, 1)="X", LEFT(AH63, 1)="Y", LEFT(AH63, 3)="J60M"), "CUSM", "No Match")</f>
      </c>
      <c r="AK63" s="37">
        <f>IF(AND(OR(O63=3, P63=1, Q63=1, T63=1), AJ63="no Match"), "CUSM, CHU SJ, CHUQ", "")</f>
      </c>
      <c r="AL63" s="37">
        <f>IF(AND(O63=2, ISBLANK(P63), ISBLANK(Q63), ISBLANK(R63), ISBLANK(S63), ISBLANK(T63)), "CUSM, CHU SJ, CHUS, CHUQ", "")</f>
      </c>
      <c r="AM63" s="37">
        <f>IF(AND(AJ63="no match", AK63="", AL63="", K63&lt;26), "CUSM, CHU SJ, HGJ, CHUQ, CHUS", "")</f>
      </c>
      <c r="AN63" s="37">
        <f>IF(AND(AJ63="no match", AK63="", AL63="", K63&gt;26), "CUSM, CHU SJ, HGJ, CHUQ, CHUS, HMR", "")</f>
      </c>
    </row>
    <row x14ac:dyDescent="0.25" r="64" customHeight="1" ht="17.25">
      <c r="A64" s="27" t="s">
        <v>1552</v>
      </c>
      <c r="B64" s="28">
        <v>2</v>
      </c>
      <c r="C64" s="35">
        <v>776</v>
      </c>
      <c r="D64" s="29" t="s">
        <v>84</v>
      </c>
      <c r="E64" s="30" t="s">
        <v>78</v>
      </c>
      <c r="F64" s="31">
        <v>44241</v>
      </c>
      <c r="G64" s="32">
        <v>4.909722222222222</v>
      </c>
      <c r="H64" s="31">
        <v>44241</v>
      </c>
      <c r="I64" s="32">
        <v>4.520138888888889</v>
      </c>
      <c r="J64" s="33">
        <f>F64-H64</f>
      </c>
      <c r="K64" s="28">
        <v>31</v>
      </c>
      <c r="L64" s="28">
        <v>0</v>
      </c>
      <c r="M64" s="28">
        <v>2</v>
      </c>
      <c r="N64" s="34"/>
      <c r="O64" s="34"/>
      <c r="P64" s="34"/>
      <c r="Q64" s="34"/>
      <c r="R64" s="34"/>
      <c r="S64" s="34"/>
      <c r="T64" s="34"/>
      <c r="U64" s="34"/>
      <c r="V64" s="34"/>
      <c r="W64" s="29" t="s">
        <v>58</v>
      </c>
      <c r="X64" s="28">
        <v>33</v>
      </c>
      <c r="Y64" s="28">
        <v>2</v>
      </c>
      <c r="Z64" s="28">
        <v>1</v>
      </c>
      <c r="AA64" s="28">
        <v>1</v>
      </c>
      <c r="AB64" s="28">
        <v>1</v>
      </c>
      <c r="AC64" s="28">
        <v>2</v>
      </c>
      <c r="AD64" s="28">
        <v>1</v>
      </c>
      <c r="AE64" s="28">
        <v>2</v>
      </c>
      <c r="AF64" s="28">
        <v>2</v>
      </c>
      <c r="AG64" s="28">
        <v>2</v>
      </c>
      <c r="AH64" s="29" t="s">
        <v>85</v>
      </c>
      <c r="AI64" s="36">
        <f>IF(OR(AND(K64&lt;32, J64&lt;2), O64=1, P64=1, Q64=1, R64=1, S64=1, T64=1, U64=1, AND(W64&lt;&gt;"", W64&lt;&gt;"Oxygen", W64&lt;&gt;"LowFlow")), "Intensive", "Intermediate")</f>
      </c>
      <c r="AJ64" s="37">
        <f>IF(OR(LEFT(AH64, 1)="X", LEFT(AH64, 1)="Y", LEFT(AH64, 3)="J61M"), "CUSM", "No Match")</f>
      </c>
      <c r="AK64" s="37">
        <f>IF(AND(OR(O64=3, P64=1, Q64=1, T64=1), AJ64="no Match"), "CUSM, CHU SJ, CHUQ", "")</f>
      </c>
      <c r="AL64" s="37">
        <f>IF(AND(O64=2, ISBLANK(P64), ISBLANK(Q64), ISBLANK(R64), ISBLANK(S64), ISBLANK(T64)), "CUSM, CHU SJ, CHUS, CHUQ", "")</f>
      </c>
      <c r="AM64" s="37">
        <f>IF(AND(AJ64="no match", AK64="", AL64="", K64&lt;26), "CUSM, CHU SJ, HGJ, CHUQ, CHUS", "")</f>
      </c>
      <c r="AN64" s="37">
        <f>IF(AND(AJ64="no match", AK64="", AL64="", K64&gt;26), "CUSM, CHU SJ, HGJ, CHUQ, CHUS, HMR", "")</f>
      </c>
    </row>
    <row x14ac:dyDescent="0.25" r="65" customHeight="1" ht="17.25">
      <c r="A65" s="27" t="s">
        <v>1553</v>
      </c>
      <c r="B65" s="28">
        <v>2</v>
      </c>
      <c r="C65" s="35">
        <v>782</v>
      </c>
      <c r="D65" s="29" t="s">
        <v>95</v>
      </c>
      <c r="E65" s="30" t="s">
        <v>50</v>
      </c>
      <c r="F65" s="31">
        <v>44241</v>
      </c>
      <c r="G65" s="32">
        <v>4.552083333333334</v>
      </c>
      <c r="H65" s="31">
        <v>44239</v>
      </c>
      <c r="I65" s="32">
        <v>4.889583333333333</v>
      </c>
      <c r="J65" s="33">
        <f>F65-H65</f>
      </c>
      <c r="K65" s="28">
        <v>35</v>
      </c>
      <c r="L65" s="28">
        <v>2</v>
      </c>
      <c r="M65" s="28">
        <v>1</v>
      </c>
      <c r="N65" s="28">
        <v>1</v>
      </c>
      <c r="O65" s="34"/>
      <c r="P65" s="35">
        <v>1</v>
      </c>
      <c r="Q65" s="34"/>
      <c r="R65" s="34"/>
      <c r="S65" s="34"/>
      <c r="T65" s="34"/>
      <c r="U65" s="34"/>
      <c r="V65" s="34"/>
      <c r="W65" s="29" t="s">
        <v>74</v>
      </c>
      <c r="X65" s="28">
        <v>40</v>
      </c>
      <c r="Y65" s="28">
        <v>1</v>
      </c>
      <c r="Z65" s="28">
        <v>2</v>
      </c>
      <c r="AA65" s="28">
        <v>3</v>
      </c>
      <c r="AB65" s="28">
        <v>2</v>
      </c>
      <c r="AC65" s="28">
        <v>1</v>
      </c>
      <c r="AD65" s="28">
        <v>2</v>
      </c>
      <c r="AE65" s="28">
        <v>4</v>
      </c>
      <c r="AF65" s="28">
        <v>2</v>
      </c>
      <c r="AG65" s="28">
        <v>2</v>
      </c>
      <c r="AH65" s="29" t="s">
        <v>1554</v>
      </c>
      <c r="AI65" s="36">
        <f>IF(OR(AND(K65&lt;32, J65&lt;2), O65=1, P65=1, Q65=1, R65=1, S65=1, T65=1, U65=1, AND(W65&lt;&gt;"", W65&lt;&gt;"Oxygen", W65&lt;&gt;"LowFlow")), "Intensive", "Intermediate")</f>
      </c>
      <c r="AJ65" s="37">
        <f>IF(OR(LEFT(AH65, 1)="X", LEFT(AH65, 1)="Y", LEFT(AH65, 3)="J62M"), "CUSM", "No Match")</f>
      </c>
      <c r="AK65" s="37">
        <f>IF(AND(OR(O65=3, P65=1, Q65=1, T65=1), AJ65="no Match"), "CUSM, CHU SJ, CHUQ", "")</f>
      </c>
      <c r="AL65" s="37">
        <f>IF(AND(O65=2, ISBLANK(P65), ISBLANK(Q65), ISBLANK(R65), ISBLANK(S65), ISBLANK(T65)), "CUSM, CHU SJ, CHUS, CHUQ", "")</f>
      </c>
      <c r="AM65" s="37">
        <f>IF(AND(AJ65="no match", AK65="", AL65="", K65&lt;26), "CUSM, CHU SJ, HGJ, CHUQ, CHUS", "")</f>
      </c>
      <c r="AN65" s="37">
        <f>IF(AND(AJ65="no match", AK65="", AL65="", K65&gt;26), "CUSM, CHU SJ, HGJ, CHUQ, CHUS, HMR", "")</f>
      </c>
    </row>
    <row x14ac:dyDescent="0.25" r="66" customHeight="1" ht="17.25">
      <c r="A66" s="27" t="s">
        <v>1555</v>
      </c>
      <c r="B66" s="28">
        <v>2</v>
      </c>
      <c r="C66" s="28">
        <v>756</v>
      </c>
      <c r="D66" s="29" t="s">
        <v>66</v>
      </c>
      <c r="E66" s="30" t="s">
        <v>50</v>
      </c>
      <c r="F66" s="31">
        <v>44242</v>
      </c>
      <c r="G66" s="32">
        <v>4.142361111111111</v>
      </c>
      <c r="H66" s="31">
        <v>44241</v>
      </c>
      <c r="I66" s="32">
        <v>4.910416666666666</v>
      </c>
      <c r="J66" s="33">
        <f>F66-H66</f>
      </c>
      <c r="K66" s="28">
        <v>40</v>
      </c>
      <c r="L66" s="28">
        <v>0</v>
      </c>
      <c r="M66" s="28">
        <v>1</v>
      </c>
      <c r="N66" s="34"/>
      <c r="O66" s="34"/>
      <c r="P66" s="34"/>
      <c r="Q66" s="34"/>
      <c r="R66" s="34"/>
      <c r="S66" s="34"/>
      <c r="T66" s="34"/>
      <c r="U66" s="35">
        <v>1</v>
      </c>
      <c r="V66" s="35">
        <v>1</v>
      </c>
      <c r="W66" s="29" t="s">
        <v>70</v>
      </c>
      <c r="X66" s="28">
        <v>34</v>
      </c>
      <c r="Y66" s="28">
        <v>1</v>
      </c>
      <c r="Z66" s="28">
        <v>2</v>
      </c>
      <c r="AA66" s="28">
        <v>1</v>
      </c>
      <c r="AB66" s="28">
        <v>1</v>
      </c>
      <c r="AC66" s="28">
        <v>2</v>
      </c>
      <c r="AD66" s="28">
        <v>2</v>
      </c>
      <c r="AE66" s="28">
        <v>4</v>
      </c>
      <c r="AF66" s="28">
        <v>3</v>
      </c>
      <c r="AG66" s="28">
        <v>2</v>
      </c>
      <c r="AH66" s="29" t="s">
        <v>1556</v>
      </c>
      <c r="AI66" s="36">
        <f>IF(OR(AND(K66&lt;32, J66&lt;2), O66=1, P66=1, Q66=1, R66=1, S66=1, T66=1, U66=1, AND(W66&lt;&gt;"", W66&lt;&gt;"Oxygen", W66&lt;&gt;"LowFlow")), "Intensive", "Intermediate")</f>
      </c>
      <c r="AJ66" s="37">
        <f>IF(OR(LEFT(AH66, 1)="X", LEFT(AH66, 1)="Y", LEFT(AH66, 3)="J63M"), "CUSM", "No Match")</f>
      </c>
      <c r="AK66" s="37">
        <f>IF(AND(OR(O66=3, P66=1, Q66=1, T66=1), AJ66="no Match"), "CUSM, CHU SJ, CHUQ", "")</f>
      </c>
      <c r="AL66" s="37">
        <f>IF(AND(O66=2, ISBLANK(P66), ISBLANK(Q66), ISBLANK(R66), ISBLANK(S66), ISBLANK(T66)), "CUSM, CHU SJ, CHUS, CHUQ", "")</f>
      </c>
      <c r="AM66" s="37">
        <f>IF(AND(AJ66="no match", AK66="", AL66="", K66&lt;26), "CUSM, CHU SJ, HGJ, CHUQ, CHUS", "")</f>
      </c>
      <c r="AN66" s="37">
        <f>IF(AND(AJ66="no match", AK66="", AL66="", K66&gt;26), "CUSM, CHU SJ, HGJ, CHUQ, CHUS, HMR", "")</f>
      </c>
    </row>
    <row x14ac:dyDescent="0.25" r="67" customHeight="1" ht="17.25">
      <c r="A67" s="27" t="s">
        <v>1557</v>
      </c>
      <c r="B67" s="28">
        <v>2</v>
      </c>
      <c r="C67" s="35">
        <v>796</v>
      </c>
      <c r="D67" s="29" t="s">
        <v>63</v>
      </c>
      <c r="E67" s="30" t="s">
        <v>54</v>
      </c>
      <c r="F67" s="31">
        <v>44243</v>
      </c>
      <c r="G67" s="32">
        <v>4.916666666666666</v>
      </c>
      <c r="H67" s="31">
        <v>44243</v>
      </c>
      <c r="I67" s="32">
        <v>4.658333333333333</v>
      </c>
      <c r="J67" s="33">
        <f>F67-H67</f>
      </c>
      <c r="K67" s="28">
        <v>37</v>
      </c>
      <c r="L67" s="28">
        <v>3</v>
      </c>
      <c r="M67" s="28">
        <v>2</v>
      </c>
      <c r="N67" s="34"/>
      <c r="O67" s="34"/>
      <c r="P67" s="34"/>
      <c r="Q67" s="34"/>
      <c r="R67" s="34"/>
      <c r="S67" s="34"/>
      <c r="T67" s="35">
        <v>1</v>
      </c>
      <c r="U67" s="34"/>
      <c r="V67" s="34"/>
      <c r="W67" s="29" t="s">
        <v>58</v>
      </c>
      <c r="X67" s="28">
        <v>40</v>
      </c>
      <c r="Y67" s="28">
        <v>1</v>
      </c>
      <c r="Z67" s="28">
        <v>2</v>
      </c>
      <c r="AA67" s="28">
        <v>2</v>
      </c>
      <c r="AB67" s="28">
        <v>1</v>
      </c>
      <c r="AC67" s="28">
        <v>1</v>
      </c>
      <c r="AD67" s="28">
        <v>2</v>
      </c>
      <c r="AE67" s="28">
        <v>4</v>
      </c>
      <c r="AF67" s="28">
        <v>2</v>
      </c>
      <c r="AG67" s="28">
        <v>2</v>
      </c>
      <c r="AH67" s="29" t="s">
        <v>1558</v>
      </c>
      <c r="AI67" s="36">
        <f>IF(OR(AND(K67&lt;32, J67&lt;2), O67=1, P67=1, Q67=1, R67=1, S67=1, T67=1, U67=1, AND(W67&lt;&gt;"", W67&lt;&gt;"Oxygen", W67&lt;&gt;"LowFlow")), "Intensive", "Intermediate")</f>
      </c>
      <c r="AJ67" s="37">
        <f>IF(OR(LEFT(AH67, 1)="X", LEFT(AH67, 1)="Y", LEFT(AH67, 3)="J0M"), "CUSM", "No Match")</f>
      </c>
      <c r="AK67" s="37">
        <f>IF(AND(OR(O67=3, P67=1, Q67=1, T67=1), AJ67="no Match"), "CUSM, CHU SJ, CHUQ", "")</f>
      </c>
      <c r="AL67" s="37">
        <f>IF(AND(O67=2, ISBLANK(P67), ISBLANK(Q67), ISBLANK(R67), ISBLANK(S67), ISBLANK(T67)), "CUSM, CHU SJ, CHUS, CHUQ", "")</f>
      </c>
      <c r="AM67" s="37">
        <f>IF(AND(AJ67="no match", AK67="", AL67="", K67&lt;26), "CUSM, CHU SJ, HGJ, CHUQ, CHUS", "")</f>
      </c>
      <c r="AN67" s="37">
        <f>IF(AND(AJ67="no match", AK67="", AL67="", K67&gt;26), "CUSM, CHU SJ, HGJ, CHUQ, CHUS, HMR", "")</f>
      </c>
    </row>
    <row x14ac:dyDescent="0.25" r="68" customHeight="1" ht="17.25">
      <c r="A68" s="27" t="s">
        <v>1559</v>
      </c>
      <c r="B68" s="28">
        <v>2</v>
      </c>
      <c r="C68" s="35">
        <v>730</v>
      </c>
      <c r="D68" s="29" t="s">
        <v>81</v>
      </c>
      <c r="E68" s="30" t="s">
        <v>54</v>
      </c>
      <c r="F68" s="31">
        <v>44243</v>
      </c>
      <c r="G68" s="32">
        <v>4.378472222222222</v>
      </c>
      <c r="H68" s="31">
        <v>44242</v>
      </c>
      <c r="I68" s="32">
        <v>4.031944444444445</v>
      </c>
      <c r="J68" s="33">
        <f>F68-H68</f>
      </c>
      <c r="K68" s="28">
        <v>35</v>
      </c>
      <c r="L68" s="28">
        <v>4</v>
      </c>
      <c r="M68" s="28">
        <v>1</v>
      </c>
      <c r="N68" s="34"/>
      <c r="O68" s="34"/>
      <c r="P68" s="34"/>
      <c r="Q68" s="34"/>
      <c r="R68" s="34"/>
      <c r="S68" s="34"/>
      <c r="T68" s="34"/>
      <c r="U68" s="34"/>
      <c r="V68" s="34"/>
      <c r="W68" s="29" t="s">
        <v>58</v>
      </c>
      <c r="X68" s="28">
        <v>35</v>
      </c>
      <c r="Y68" s="28">
        <v>1</v>
      </c>
      <c r="Z68" s="28">
        <v>2</v>
      </c>
      <c r="AA68" s="28">
        <v>2</v>
      </c>
      <c r="AB68" s="28">
        <v>1</v>
      </c>
      <c r="AC68" s="28">
        <v>2</v>
      </c>
      <c r="AD68" s="28">
        <v>1</v>
      </c>
      <c r="AE68" s="28">
        <v>4</v>
      </c>
      <c r="AF68" s="28">
        <v>2</v>
      </c>
      <c r="AG68" s="28">
        <v>2</v>
      </c>
      <c r="AH68" s="29" t="s">
        <v>1560</v>
      </c>
      <c r="AI68" s="36">
        <f>IF(OR(AND(K68&lt;32, J68&lt;2), O68=1, P68=1, Q68=1, R68=1, S68=1, T68=1, U68=1, AND(W68&lt;&gt;"", W68&lt;&gt;"Oxygen", W68&lt;&gt;"LowFlow")), "Intensive", "Intermediate")</f>
      </c>
      <c r="AJ68" s="37">
        <f>IF(OR(LEFT(AH68, 1)="X", LEFT(AH68, 1)="Y", LEFT(AH68, 3)="J1M"), "CUSM", "No Match")</f>
      </c>
      <c r="AK68" s="37">
        <f>IF(AND(OR(O68=3, P68=1, Q68=1, T68=1), AJ68="no Match"), "CUSM, CHU SJ, CHUQ", "")</f>
      </c>
      <c r="AL68" s="37">
        <f>IF(AND(O68=2, ISBLANK(P68), ISBLANK(Q68), ISBLANK(R68), ISBLANK(S68), ISBLANK(T68)), "CUSM, CHU SJ, CHUS, CHUQ", "")</f>
      </c>
      <c r="AM68" s="37">
        <f>IF(AND(AJ68="no match", AK68="", AL68="", K68&lt;26), "CUSM, CHU SJ, HGJ, CHUQ, CHUS", "")</f>
      </c>
      <c r="AN68" s="37">
        <f>IF(AND(AJ68="no match", AK68="", AL68="", K68&gt;26), "CUSM, CHU SJ, HGJ, CHUQ, CHUS, HMR", "")</f>
      </c>
    </row>
    <row x14ac:dyDescent="0.25" r="69" customHeight="1" ht="17.25">
      <c r="A69" s="27" t="s">
        <v>1561</v>
      </c>
      <c r="B69" s="28">
        <v>2</v>
      </c>
      <c r="C69" s="35">
        <v>824</v>
      </c>
      <c r="D69" s="29" t="s">
        <v>57</v>
      </c>
      <c r="E69" s="30" t="s">
        <v>50</v>
      </c>
      <c r="F69" s="31">
        <v>44243</v>
      </c>
      <c r="G69" s="32">
        <v>4.743055555555555</v>
      </c>
      <c r="H69" s="31">
        <v>44243</v>
      </c>
      <c r="I69" s="32">
        <v>4.116666666666667</v>
      </c>
      <c r="J69" s="33">
        <f>F69-H69</f>
      </c>
      <c r="K69" s="28">
        <v>38</v>
      </c>
      <c r="L69" s="28">
        <v>5</v>
      </c>
      <c r="M69" s="28">
        <v>2</v>
      </c>
      <c r="N69" s="34"/>
      <c r="O69" s="34"/>
      <c r="P69" s="34"/>
      <c r="Q69" s="34"/>
      <c r="R69" s="34"/>
      <c r="S69" s="34"/>
      <c r="T69" s="34"/>
      <c r="U69" s="34"/>
      <c r="V69" s="34"/>
      <c r="W69" s="29" t="s">
        <v>58</v>
      </c>
      <c r="X69" s="28">
        <v>22</v>
      </c>
      <c r="Y69" s="28">
        <v>1</v>
      </c>
      <c r="Z69" s="28">
        <v>1</v>
      </c>
      <c r="AA69" s="28">
        <v>3</v>
      </c>
      <c r="AB69" s="28">
        <v>1</v>
      </c>
      <c r="AC69" s="28">
        <v>2</v>
      </c>
      <c r="AD69" s="28">
        <v>1</v>
      </c>
      <c r="AE69" s="28">
        <v>4</v>
      </c>
      <c r="AF69" s="28">
        <v>3</v>
      </c>
      <c r="AG69" s="28">
        <v>2</v>
      </c>
      <c r="AH69" s="29" t="s">
        <v>1562</v>
      </c>
      <c r="AI69" s="36">
        <f>IF(OR(AND(K69&lt;32, J69&lt;2), O69=1, P69=1, Q69=1, R69=1, S69=1, T69=1, U69=1, AND(W69&lt;&gt;"", W69&lt;&gt;"Oxygen", W69&lt;&gt;"LowFlow")), "Intensive", "Intermediate")</f>
      </c>
      <c r="AJ69" s="37">
        <f>IF(OR(LEFT(AH69, 1)="X", LEFT(AH69, 1)="Y", LEFT(AH69, 3)="J2M"), "CUSM", "No Match")</f>
      </c>
      <c r="AK69" s="37">
        <f>IF(AND(OR(O69=3, P69=1, Q69=1, T69=1), AJ69="no Match"), "CUSM, CHU SJ, CHUQ", "")</f>
      </c>
      <c r="AL69" s="37">
        <f>IF(AND(O69=2, ISBLANK(P69), ISBLANK(Q69), ISBLANK(R69), ISBLANK(S69), ISBLANK(T69)), "CUSM, CHU SJ, CHUS, CHUQ", "")</f>
      </c>
      <c r="AM69" s="37">
        <f>IF(AND(AJ69="no match", AK69="", AL69="", K69&lt;26), "CUSM, CHU SJ, HGJ, CHUQ, CHUS", "")</f>
      </c>
      <c r="AN69" s="37">
        <f>IF(AND(AJ69="no match", AK69="", AL69="", K69&gt;26), "CUSM, CHU SJ, HGJ, CHUQ, CHUS, HMR", "")</f>
      </c>
    </row>
    <row x14ac:dyDescent="0.25" r="70" customHeight="1" ht="17.25">
      <c r="A70" s="27" t="s">
        <v>1563</v>
      </c>
      <c r="B70" s="28">
        <v>2</v>
      </c>
      <c r="C70" s="35">
        <v>756</v>
      </c>
      <c r="D70" s="29" t="s">
        <v>66</v>
      </c>
      <c r="E70" s="30" t="s">
        <v>50</v>
      </c>
      <c r="F70" s="31">
        <v>44243</v>
      </c>
      <c r="G70" s="32">
        <v>4.906944444444445</v>
      </c>
      <c r="H70" s="31">
        <v>44222</v>
      </c>
      <c r="I70" s="32">
        <v>4.629861111111111</v>
      </c>
      <c r="J70" s="33">
        <f>F70-H70</f>
      </c>
      <c r="K70" s="28">
        <v>35</v>
      </c>
      <c r="L70" s="28">
        <v>4</v>
      </c>
      <c r="M70" s="28">
        <v>1</v>
      </c>
      <c r="N70" s="35">
        <v>1</v>
      </c>
      <c r="O70" s="34"/>
      <c r="P70" s="34"/>
      <c r="Q70" s="34"/>
      <c r="R70" s="34"/>
      <c r="S70" s="34"/>
      <c r="T70" s="34"/>
      <c r="U70" s="34"/>
      <c r="V70" s="34"/>
      <c r="W70" s="29"/>
      <c r="X70" s="28">
        <v>33</v>
      </c>
      <c r="Y70" s="28">
        <v>1</v>
      </c>
      <c r="Z70" s="28">
        <v>2</v>
      </c>
      <c r="AA70" s="28">
        <v>3</v>
      </c>
      <c r="AB70" s="28">
        <v>1</v>
      </c>
      <c r="AC70" s="28">
        <v>1</v>
      </c>
      <c r="AD70" s="28">
        <v>2</v>
      </c>
      <c r="AE70" s="28">
        <v>4</v>
      </c>
      <c r="AF70" s="28">
        <v>3</v>
      </c>
      <c r="AG70" s="28">
        <v>2</v>
      </c>
      <c r="AH70" s="29" t="s">
        <v>1564</v>
      </c>
      <c r="AI70" s="36">
        <f>IF(OR(AND(K70&lt;32, J70&lt;2), O70=1, P70=1, Q70=1, R70=1, S70=1, T70=1, U70=1, AND(W70&lt;&gt;"", W70&lt;&gt;"Oxygen", W70&lt;&gt;"LowFlow")), "Intensive", "Intermediate")</f>
      </c>
      <c r="AJ70" s="37">
        <f>IF(OR(LEFT(AH70, 1)="X", LEFT(AH70, 1)="Y", LEFT(AH70, 3)="J3M"), "CUSM", "No Match")</f>
      </c>
      <c r="AK70" s="37">
        <f>IF(AND(OR(O70=3, P70=1, Q70=1, T70=1), AJ70="no Match"), "CUSM, CHU SJ, CHUQ", "")</f>
      </c>
      <c r="AL70" s="37">
        <f>IF(AND(O70=2, ISBLANK(P70), ISBLANK(Q70), ISBLANK(R70), ISBLANK(S70), ISBLANK(T70)), "CUSM, CHU SJ, CHUS, CHUQ", "")</f>
      </c>
      <c r="AM70" s="37">
        <f>IF(AND(AJ70="no match", AK70="", AL70="", K70&lt;26), "CUSM, CHU SJ, HGJ, CHUQ, CHUS", "")</f>
      </c>
      <c r="AN70" s="37">
        <f>IF(AND(AJ70="no match", AK70="", AL70="", K70&gt;26), "CUSM, CHU SJ, HGJ, CHUQ, CHUS, HMR", "")</f>
      </c>
    </row>
    <row x14ac:dyDescent="0.25" r="71" customHeight="1" ht="17.25">
      <c r="A71" s="27" t="s">
        <v>1565</v>
      </c>
      <c r="B71" s="28">
        <v>2</v>
      </c>
      <c r="C71" s="35">
        <v>740</v>
      </c>
      <c r="D71" s="29" t="s">
        <v>409</v>
      </c>
      <c r="E71" s="30" t="s">
        <v>149</v>
      </c>
      <c r="F71" s="31">
        <v>44244</v>
      </c>
      <c r="G71" s="32">
        <v>4.845833333333333</v>
      </c>
      <c r="H71" s="31">
        <v>44244</v>
      </c>
      <c r="I71" s="32">
        <v>4.561111111111111</v>
      </c>
      <c r="J71" s="33">
        <f>F71-H71</f>
      </c>
      <c r="K71" s="28">
        <v>35</v>
      </c>
      <c r="L71" s="28">
        <v>3</v>
      </c>
      <c r="M71" s="28">
        <v>1</v>
      </c>
      <c r="N71" s="34"/>
      <c r="O71" s="34"/>
      <c r="P71" s="34"/>
      <c r="Q71" s="34"/>
      <c r="R71" s="34"/>
      <c r="S71" s="34"/>
      <c r="T71" s="34"/>
      <c r="U71" s="34"/>
      <c r="V71" s="34"/>
      <c r="W71" s="29" t="s">
        <v>600</v>
      </c>
      <c r="X71" s="28">
        <v>22</v>
      </c>
      <c r="Y71" s="28">
        <v>1</v>
      </c>
      <c r="Z71" s="28">
        <v>2</v>
      </c>
      <c r="AA71" s="28">
        <v>1</v>
      </c>
      <c r="AB71" s="28">
        <v>1</v>
      </c>
      <c r="AC71" s="28">
        <v>1</v>
      </c>
      <c r="AD71" s="28">
        <v>2</v>
      </c>
      <c r="AE71" s="28">
        <v>4</v>
      </c>
      <c r="AF71" s="28">
        <v>2</v>
      </c>
      <c r="AG71" s="28">
        <v>2</v>
      </c>
      <c r="AH71" s="29" t="s">
        <v>1566</v>
      </c>
      <c r="AI71" s="36">
        <f>IF(OR(AND(K71&lt;32, J71&lt;2), O71=1, P71=1, Q71=1, R71=1, S71=1, T71=1, U71=1, AND(W71&lt;&gt;"", W71&lt;&gt;"Oxygen", W71&lt;&gt;"LowFlow")), "Intensive", "Intermediate")</f>
      </c>
      <c r="AJ71" s="37">
        <f>IF(OR(LEFT(AH71, 1)="X", LEFT(AH71, 1)="Y", LEFT(AH71, 3)="J4M"), "CUSM", "No Match")</f>
      </c>
      <c r="AK71" s="37">
        <f>IF(AND(OR(O71=3, P71=1, Q71=1, T71=1), AJ71="no Match"), "CUSM, CHU SJ, CHUQ", "")</f>
      </c>
      <c r="AL71" s="37">
        <f>IF(AND(O71=2, ISBLANK(P71), ISBLANK(Q71), ISBLANK(R71), ISBLANK(S71), ISBLANK(T71)), "CUSM, CHU SJ, CHUS, CHUQ", "")</f>
      </c>
      <c r="AM71" s="37">
        <f>IF(AND(AJ71="no match", AK71="", AL71="", K71&lt;26), "CUSM, CHU SJ, HGJ, CHUQ, CHUS", "")</f>
      </c>
      <c r="AN71" s="37">
        <f>IF(AND(AJ71="no match", AK71="", AL71="", K71&gt;26), "CUSM, CHU SJ, HGJ, CHUQ, CHUS, HMR", "")</f>
      </c>
    </row>
    <row x14ac:dyDescent="0.25" r="72" customHeight="1" ht="17.25">
      <c r="A72" s="27" t="s">
        <v>1567</v>
      </c>
      <c r="B72" s="28">
        <v>2</v>
      </c>
      <c r="C72" s="35">
        <v>833</v>
      </c>
      <c r="D72" s="29" t="s">
        <v>376</v>
      </c>
      <c r="E72" s="30" t="s">
        <v>54</v>
      </c>
      <c r="F72" s="31">
        <v>44245</v>
      </c>
      <c r="G72" s="32">
        <v>4.333333333333334</v>
      </c>
      <c r="H72" s="31">
        <v>44245</v>
      </c>
      <c r="I72" s="32">
        <v>4.075694444444444</v>
      </c>
      <c r="J72" s="33">
        <f>F72-H72</f>
      </c>
      <c r="K72" s="28">
        <v>41</v>
      </c>
      <c r="L72" s="28">
        <v>1</v>
      </c>
      <c r="M72" s="28">
        <v>1</v>
      </c>
      <c r="N72" s="34"/>
      <c r="O72" s="34"/>
      <c r="P72" s="34"/>
      <c r="Q72" s="34"/>
      <c r="R72" s="34"/>
      <c r="S72" s="34"/>
      <c r="T72" s="34"/>
      <c r="U72" s="34"/>
      <c r="V72" s="34"/>
      <c r="W72" s="29" t="s">
        <v>58</v>
      </c>
      <c r="X72" s="28">
        <v>30</v>
      </c>
      <c r="Y72" s="28">
        <v>1</v>
      </c>
      <c r="Z72" s="28">
        <v>2</v>
      </c>
      <c r="AA72" s="28">
        <v>2</v>
      </c>
      <c r="AB72" s="28">
        <v>1</v>
      </c>
      <c r="AC72" s="28">
        <v>2</v>
      </c>
      <c r="AD72" s="28">
        <v>2</v>
      </c>
      <c r="AE72" s="28">
        <v>4</v>
      </c>
      <c r="AF72" s="35">
        <v>2</v>
      </c>
      <c r="AG72" s="28">
        <v>2</v>
      </c>
      <c r="AH72" s="29" t="s">
        <v>412</v>
      </c>
      <c r="AI72" s="36">
        <f>IF(OR(AND(K72&lt;32, J72&lt;2), O72=1, P72=1, Q72=1, R72=1, S72=1, T72=1, U72=1, AND(W72&lt;&gt;"", W72&lt;&gt;"Oxygen", W72&lt;&gt;"LowFlow")), "Intensive", "Intermediate")</f>
      </c>
      <c r="AJ72" s="37">
        <f>IF(OR(LEFT(AH72, 1)="X", LEFT(AH72, 1)="Y", LEFT(AH72, 3)="J5M"), "CUSM", "No Match")</f>
      </c>
      <c r="AK72" s="37">
        <f>IF(AND(OR(O72=3, P72=1, Q72=1, T72=1), AJ72="no Match"), "CUSM, CHU SJ, CHUQ", "")</f>
      </c>
      <c r="AL72" s="37">
        <f>IF(AND(O72=2, ISBLANK(P72), ISBLANK(Q72), ISBLANK(R72), ISBLANK(S72), ISBLANK(T72)), "CUSM, CHU SJ, CHUS, CHUQ", "")</f>
      </c>
      <c r="AM72" s="37">
        <f>IF(AND(AJ72="no match", AK72="", AL72="", K72&lt;26), "CUSM, CHU SJ, HGJ, CHUQ, CHUS", "")</f>
      </c>
      <c r="AN72" s="37">
        <f>IF(AND(AJ72="no match", AK72="", AL72="", K72&gt;26), "CUSM, CHU SJ, HGJ, CHUQ, CHUS, HMR", "")</f>
      </c>
    </row>
    <row x14ac:dyDescent="0.25" r="73" customHeight="1" ht="17.25">
      <c r="A73" s="27" t="s">
        <v>1568</v>
      </c>
      <c r="B73" s="28">
        <v>2</v>
      </c>
      <c r="C73" s="28">
        <v>831</v>
      </c>
      <c r="D73" s="29" t="s">
        <v>313</v>
      </c>
      <c r="E73" s="30" t="s">
        <v>54</v>
      </c>
      <c r="F73" s="31">
        <v>44246</v>
      </c>
      <c r="G73" s="32">
        <v>4.625</v>
      </c>
      <c r="H73" s="31">
        <v>44246</v>
      </c>
      <c r="I73" s="32">
        <v>4.163194444444445</v>
      </c>
      <c r="J73" s="33">
        <f>F73-H73</f>
      </c>
      <c r="K73" s="28">
        <v>41</v>
      </c>
      <c r="L73" s="28">
        <v>1</v>
      </c>
      <c r="M73" s="28">
        <v>2</v>
      </c>
      <c r="N73" s="38"/>
      <c r="O73" s="35">
        <v>2</v>
      </c>
      <c r="P73" s="34"/>
      <c r="Q73" s="38"/>
      <c r="R73" s="34"/>
      <c r="S73" s="34"/>
      <c r="T73" s="34"/>
      <c r="U73" s="34"/>
      <c r="V73" s="34"/>
      <c r="W73" s="29"/>
      <c r="X73" s="28">
        <v>33</v>
      </c>
      <c r="Y73" s="28">
        <v>1</v>
      </c>
      <c r="Z73" s="28">
        <v>1</v>
      </c>
      <c r="AA73" s="28">
        <v>2</v>
      </c>
      <c r="AB73" s="28">
        <v>1</v>
      </c>
      <c r="AC73" s="28">
        <v>2</v>
      </c>
      <c r="AD73" s="28">
        <v>2</v>
      </c>
      <c r="AE73" s="28">
        <v>4</v>
      </c>
      <c r="AF73" s="28">
        <v>2</v>
      </c>
      <c r="AG73" s="28">
        <v>2</v>
      </c>
      <c r="AH73" s="29" t="s">
        <v>1569</v>
      </c>
      <c r="AI73" s="36">
        <f>IF(OR(AND(K73&lt;32, J73&lt;2), O73=1, P73=1, Q73=1, R73=1, S73=1, T73=1, U73=1, AND(W73&lt;&gt;"", W73&lt;&gt;"Oxygen", W73&lt;&gt;"LowFlow")), "Intensive", "Intermediate")</f>
      </c>
      <c r="AJ73" s="37">
        <f>IF(OR(LEFT(AH73, 1)="X", LEFT(AH73, 1)="Y", LEFT(AH73, 3)="J6M"), "CUSM", "No Match")</f>
      </c>
      <c r="AK73" s="37">
        <f>IF(AND(OR(O73=3, P73=1, Q73=1, T73=1), AJ73="no Match"), "CUSM, CHU SJ, CHUQ", "")</f>
      </c>
      <c r="AL73" s="37">
        <f>IF(AND(O73=2, ISBLANK(P73), ISBLANK(Q73), ISBLANK(R73), ISBLANK(S73), ISBLANK(T73)), "CUSM, CHU SJ, CHUS, CHUQ", "")</f>
      </c>
      <c r="AM73" s="37">
        <f>IF(AND(AJ73="no match", AK73="", AL73="", K73&lt;26), "CUSM, CHU SJ, HGJ, CHUQ, CHUS", "")</f>
      </c>
      <c r="AN73" s="37">
        <f>IF(AND(AJ73="no match", AK73="", AL73="", K73&gt;26), "CUSM, CHU SJ, HGJ, CHUQ, CHUS, HMR", "")</f>
      </c>
    </row>
    <row x14ac:dyDescent="0.25" r="74" customHeight="1" ht="17.25">
      <c r="A74" s="27" t="s">
        <v>1570</v>
      </c>
      <c r="B74" s="28">
        <v>2</v>
      </c>
      <c r="C74" s="35">
        <v>779</v>
      </c>
      <c r="D74" s="29" t="s">
        <v>136</v>
      </c>
      <c r="E74" s="30" t="s">
        <v>54</v>
      </c>
      <c r="F74" s="31">
        <v>44246</v>
      </c>
      <c r="G74" s="32">
        <v>4.125</v>
      </c>
      <c r="H74" s="31">
        <v>44245</v>
      </c>
      <c r="I74" s="32">
        <v>4.909722222222222</v>
      </c>
      <c r="J74" s="33">
        <f>F74-H74</f>
      </c>
      <c r="K74" s="28">
        <v>35</v>
      </c>
      <c r="L74" s="28">
        <v>2</v>
      </c>
      <c r="M74" s="28">
        <v>2</v>
      </c>
      <c r="N74" s="35">
        <v>1</v>
      </c>
      <c r="O74" s="34"/>
      <c r="P74" s="35">
        <v>1</v>
      </c>
      <c r="Q74" s="34"/>
      <c r="R74" s="34"/>
      <c r="S74" s="34"/>
      <c r="T74" s="34"/>
      <c r="U74" s="34"/>
      <c r="V74" s="34"/>
      <c r="W74" s="29"/>
      <c r="X74" s="28">
        <v>37</v>
      </c>
      <c r="Y74" s="28">
        <v>1</v>
      </c>
      <c r="Z74" s="28">
        <v>2</v>
      </c>
      <c r="AA74" s="28">
        <v>2</v>
      </c>
      <c r="AB74" s="28">
        <v>1</v>
      </c>
      <c r="AC74" s="28">
        <v>2</v>
      </c>
      <c r="AD74" s="28">
        <v>2</v>
      </c>
      <c r="AE74" s="28">
        <v>4</v>
      </c>
      <c r="AF74" s="28">
        <v>2</v>
      </c>
      <c r="AG74" s="28">
        <v>2</v>
      </c>
      <c r="AH74" s="29" t="s">
        <v>1571</v>
      </c>
      <c r="AI74" s="36">
        <f>IF(OR(AND(K74&lt;32, J74&lt;2), O74=1, P74=1, Q74=1, R74=1, S74=1, T74=1, U74=1, AND(W74&lt;&gt;"", W74&lt;&gt;"Oxygen", W74&lt;&gt;"LowFlow")), "Intensive", "Intermediate")</f>
      </c>
      <c r="AJ74" s="37">
        <f>IF(OR(LEFT(AH74, 1)="X", LEFT(AH74, 1)="Y", LEFT(AH74, 3)="J7M"), "CUSM", "No Match")</f>
      </c>
      <c r="AK74" s="37">
        <f>IF(AND(OR(O74=3, P74=1, Q74=1, T74=1), AJ74="no Match"), "CUSM, CHU SJ, CHUQ", "")</f>
      </c>
      <c r="AL74" s="37">
        <f>IF(AND(O74=2, ISBLANK(P74), ISBLANK(Q74), ISBLANK(R74), ISBLANK(S74), ISBLANK(T74)), "CUSM, CHU SJ, CHUS, CHUQ", "")</f>
      </c>
      <c r="AM74" s="37">
        <f>IF(AND(AJ74="no match", AK74="", AL74="", K74&lt;26), "CUSM, CHU SJ, HGJ, CHUQ, CHUS", "")</f>
      </c>
      <c r="AN74" s="37">
        <f>IF(AND(AJ74="no match", AK74="", AL74="", K74&gt;26), "CUSM, CHU SJ, HGJ, CHUQ, CHUS, HMR", "")</f>
      </c>
    </row>
    <row x14ac:dyDescent="0.25" r="75" customHeight="1" ht="17.25">
      <c r="A75" s="27" t="s">
        <v>1572</v>
      </c>
      <c r="B75" s="28">
        <v>2</v>
      </c>
      <c r="C75" s="35">
        <v>824</v>
      </c>
      <c r="D75" s="29" t="s">
        <v>57</v>
      </c>
      <c r="E75" s="30" t="s">
        <v>54</v>
      </c>
      <c r="F75" s="31">
        <v>44246</v>
      </c>
      <c r="G75" s="32">
        <v>4.458333333333334</v>
      </c>
      <c r="H75" s="31">
        <v>44246</v>
      </c>
      <c r="I75" s="32">
        <v>4.097222222222222</v>
      </c>
      <c r="J75" s="33">
        <f>F75-H75</f>
      </c>
      <c r="K75" s="28">
        <v>39</v>
      </c>
      <c r="L75" s="28">
        <v>1</v>
      </c>
      <c r="M75" s="28">
        <v>2</v>
      </c>
      <c r="N75" s="34"/>
      <c r="O75" s="34"/>
      <c r="P75" s="34"/>
      <c r="Q75" s="34"/>
      <c r="R75" s="34"/>
      <c r="S75" s="34"/>
      <c r="T75" s="34"/>
      <c r="U75" s="34"/>
      <c r="V75" s="34"/>
      <c r="W75" s="29"/>
      <c r="X75" s="28">
        <v>32</v>
      </c>
      <c r="Y75" s="28">
        <v>1</v>
      </c>
      <c r="Z75" s="28">
        <v>2</v>
      </c>
      <c r="AA75" s="28">
        <v>1</v>
      </c>
      <c r="AB75" s="28">
        <v>4</v>
      </c>
      <c r="AC75" s="28">
        <v>2</v>
      </c>
      <c r="AD75" s="28">
        <v>1</v>
      </c>
      <c r="AE75" s="28">
        <v>4</v>
      </c>
      <c r="AF75" s="28">
        <v>2</v>
      </c>
      <c r="AG75" s="28">
        <v>2</v>
      </c>
      <c r="AH75" s="29" t="s">
        <v>1573</v>
      </c>
      <c r="AI75" s="36">
        <f>IF(OR(AND(K75&lt;32, J75&lt;2), O75=1, P75=1, Q75=1, R75=1, S75=1, T75=1, U75=1, AND(W75&lt;&gt;"", W75&lt;&gt;"Oxygen", W75&lt;&gt;"LowFlow")), "Intensive", "Intermediate")</f>
      </c>
      <c r="AJ75" s="37">
        <f>IF(OR(LEFT(AH75, 1)="X", LEFT(AH75, 1)="Y", LEFT(AH75, 3)="J8M"), "CUSM", "No Match")</f>
      </c>
      <c r="AK75" s="37">
        <f>IF(AND(OR(O75=3, P75=1, Q75=1, T75=1), AJ75="no Match"), "CUSM, CHU SJ, CHUQ", "")</f>
      </c>
      <c r="AL75" s="37">
        <f>IF(AND(O75=2, ISBLANK(P75), ISBLANK(Q75), ISBLANK(R75), ISBLANK(S75), ISBLANK(T75)), "CUSM, CHU SJ, CHUS, CHUQ", "")</f>
      </c>
      <c r="AM75" s="37">
        <f>IF(AND(AJ75="no match", AK75="", AL75="", K75&lt;26), "CUSM, CHU SJ, HGJ, CHUQ, CHUS", "")</f>
      </c>
      <c r="AN75" s="37">
        <f>IF(AND(AJ75="no match", AK75="", AL75="", K75&gt;26), "CUSM, CHU SJ, HGJ, CHUQ, CHUS, HMR", "")</f>
      </c>
    </row>
    <row x14ac:dyDescent="0.25" r="76" customHeight="1" ht="17.25">
      <c r="A76" s="27" t="s">
        <v>1574</v>
      </c>
      <c r="B76" s="28">
        <v>2</v>
      </c>
      <c r="C76" s="28">
        <v>734</v>
      </c>
      <c r="D76" s="29" t="s">
        <v>264</v>
      </c>
      <c r="E76" s="30" t="s">
        <v>50</v>
      </c>
      <c r="F76" s="31">
        <v>44246</v>
      </c>
      <c r="G76" s="32">
        <v>4.274305555555555</v>
      </c>
      <c r="H76" s="31">
        <v>44245</v>
      </c>
      <c r="I76" s="32">
        <v>4.11875</v>
      </c>
      <c r="J76" s="33">
        <f>F76-H76</f>
      </c>
      <c r="K76" s="28">
        <v>35</v>
      </c>
      <c r="L76" s="28">
        <v>6</v>
      </c>
      <c r="M76" s="28">
        <v>2</v>
      </c>
      <c r="N76" s="34"/>
      <c r="O76" s="34"/>
      <c r="P76" s="34"/>
      <c r="Q76" s="34"/>
      <c r="R76" s="34"/>
      <c r="S76" s="34"/>
      <c r="T76" s="34"/>
      <c r="U76" s="34"/>
      <c r="V76" s="34"/>
      <c r="W76" s="29" t="s">
        <v>74</v>
      </c>
      <c r="X76" s="28">
        <v>29</v>
      </c>
      <c r="Y76" s="28">
        <v>1</v>
      </c>
      <c r="Z76" s="28">
        <v>2</v>
      </c>
      <c r="AA76" s="28">
        <v>2</v>
      </c>
      <c r="AB76" s="28">
        <v>1</v>
      </c>
      <c r="AC76" s="28">
        <v>2</v>
      </c>
      <c r="AD76" s="28">
        <v>2</v>
      </c>
      <c r="AE76" s="28">
        <v>4</v>
      </c>
      <c r="AF76" s="28">
        <v>3</v>
      </c>
      <c r="AG76" s="28">
        <v>2</v>
      </c>
      <c r="AH76" s="29" t="s">
        <v>1575</v>
      </c>
      <c r="AI76" s="36">
        <f>IF(OR(AND(K76&lt;32, J76&lt;2), O76=1, P76=1, Q76=1, R76=1, S76=1, T76=1, U76=1, AND(W76&lt;&gt;"", W76&lt;&gt;"Oxygen", W76&lt;&gt;"LowFlow")), "Intensive", "Intermediate")</f>
      </c>
      <c r="AJ76" s="37">
        <f>IF(OR(LEFT(AH76, 1)="X", LEFT(AH76, 1)="Y", LEFT(AH76, 3)="J9M"), "CUSM", "No Match")</f>
      </c>
      <c r="AK76" s="37">
        <f>IF(AND(OR(O76=3, P76=1, Q76=1, T76=1), AJ76="no Match"), "CUSM, CHU SJ, CHUQ", "")</f>
      </c>
      <c r="AL76" s="37">
        <f>IF(AND(O76=2, ISBLANK(P76), ISBLANK(Q76), ISBLANK(R76), ISBLANK(S76), ISBLANK(T76)), "CUSM, CHU SJ, CHUS, CHUQ", "")</f>
      </c>
      <c r="AM76" s="37">
        <f>IF(AND(AJ76="no match", AK76="", AL76="", K76&lt;26), "CUSM, CHU SJ, HGJ, CHUQ, CHUS", "")</f>
      </c>
      <c r="AN76" s="37">
        <f>IF(AND(AJ76="no match", AK76="", AL76="", K76&gt;26), "CUSM, CHU SJ, HGJ, CHUQ, CHUS, HMR", "")</f>
      </c>
    </row>
    <row x14ac:dyDescent="0.25" r="77" customHeight="1" ht="17.25">
      <c r="A77" s="27" t="s">
        <v>1576</v>
      </c>
      <c r="B77" s="28">
        <v>2</v>
      </c>
      <c r="C77" s="35">
        <v>824</v>
      </c>
      <c r="D77" s="29" t="s">
        <v>57</v>
      </c>
      <c r="E77" s="30" t="s">
        <v>50</v>
      </c>
      <c r="F77" s="31">
        <v>44247</v>
      </c>
      <c r="G77" s="32">
        <v>4.180555555555555</v>
      </c>
      <c r="H77" s="31">
        <v>44245</v>
      </c>
      <c r="I77" s="32">
        <v>4.8375</v>
      </c>
      <c r="J77" s="33">
        <f>F77-H77</f>
      </c>
      <c r="K77" s="28">
        <v>38</v>
      </c>
      <c r="L77" s="28">
        <v>3</v>
      </c>
      <c r="M77" s="28">
        <v>1</v>
      </c>
      <c r="N77" s="34"/>
      <c r="O77" s="34"/>
      <c r="P77" s="34"/>
      <c r="Q77" s="34"/>
      <c r="R77" s="34"/>
      <c r="S77" s="34"/>
      <c r="T77" s="34"/>
      <c r="U77" s="34"/>
      <c r="V77" s="34"/>
      <c r="W77" s="29" t="s">
        <v>74</v>
      </c>
      <c r="X77" s="28">
        <v>29</v>
      </c>
      <c r="Y77" s="28">
        <v>1</v>
      </c>
      <c r="Z77" s="28">
        <v>1</v>
      </c>
      <c r="AA77" s="28">
        <v>1</v>
      </c>
      <c r="AB77" s="28">
        <v>1</v>
      </c>
      <c r="AC77" s="28">
        <v>2</v>
      </c>
      <c r="AD77" s="28">
        <v>1</v>
      </c>
      <c r="AE77" s="28">
        <v>4</v>
      </c>
      <c r="AF77" s="28">
        <v>2</v>
      </c>
      <c r="AG77" s="28">
        <v>2</v>
      </c>
      <c r="AH77" s="29" t="s">
        <v>1577</v>
      </c>
      <c r="AI77" s="36">
        <f>IF(OR(AND(K77&lt;32, J77&lt;2), O77=1, P77=1, Q77=1, R77=1, S77=1, T77=1, U77=1, AND(W77&lt;&gt;"", W77&lt;&gt;"Oxygen", W77&lt;&gt;"LowFlow")), "Intensive", "Intermediate")</f>
      </c>
      <c r="AJ77" s="37">
        <f>IF(OR(LEFT(AH77, 1)="X", LEFT(AH77, 1)="Y", LEFT(AH77, 3)="J10M"), "CUSM", "No Match")</f>
      </c>
      <c r="AK77" s="37">
        <f>IF(AND(OR(O77=3, P77=1, Q77=1, T77=1), AJ77="no Match"), "CUSM, CHU SJ, CHUQ", "")</f>
      </c>
      <c r="AL77" s="37">
        <f>IF(AND(O77=2, ISBLANK(P77), ISBLANK(Q77), ISBLANK(R77), ISBLANK(S77), ISBLANK(T77)), "CUSM, CHU SJ, CHUS, CHUQ", "")</f>
      </c>
      <c r="AM77" s="37">
        <f>IF(AND(AJ77="no match", AK77="", AL77="", K77&lt;26), "CUSM, CHU SJ, HGJ, CHUQ, CHUS", "")</f>
      </c>
      <c r="AN77" s="37">
        <f>IF(AND(AJ77="no match", AK77="", AL77="", K77&gt;26), "CUSM, CHU SJ, HGJ, CHUQ, CHUS, HMR", "")</f>
      </c>
    </row>
    <row x14ac:dyDescent="0.25" r="78" customHeight="1" ht="17.25">
      <c r="A78" s="27" t="s">
        <v>1578</v>
      </c>
      <c r="B78" s="28">
        <v>2</v>
      </c>
      <c r="C78" s="35">
        <v>756</v>
      </c>
      <c r="D78" s="29" t="s">
        <v>66</v>
      </c>
      <c r="E78" s="30" t="s">
        <v>50</v>
      </c>
      <c r="F78" s="31">
        <v>44247</v>
      </c>
      <c r="G78" s="32">
        <v>4.825</v>
      </c>
      <c r="H78" s="31">
        <v>44247</v>
      </c>
      <c r="I78" s="32">
        <v>4.610416666666667</v>
      </c>
      <c r="J78" s="33">
        <f>F78-H78</f>
      </c>
      <c r="K78" s="28">
        <v>40</v>
      </c>
      <c r="L78" s="28">
        <v>0</v>
      </c>
      <c r="M78" s="28">
        <v>2</v>
      </c>
      <c r="N78" s="34"/>
      <c r="O78" s="34"/>
      <c r="P78" s="34"/>
      <c r="Q78" s="34"/>
      <c r="R78" s="34"/>
      <c r="S78" s="34"/>
      <c r="T78" s="35">
        <v>1</v>
      </c>
      <c r="U78" s="34"/>
      <c r="V78" s="34"/>
      <c r="W78" s="29" t="s">
        <v>58</v>
      </c>
      <c r="X78" s="28">
        <v>34</v>
      </c>
      <c r="Y78" s="28">
        <v>1</v>
      </c>
      <c r="Z78" s="28">
        <v>1</v>
      </c>
      <c r="AA78" s="28">
        <v>1</v>
      </c>
      <c r="AB78" s="28">
        <v>1</v>
      </c>
      <c r="AC78" s="28">
        <v>2</v>
      </c>
      <c r="AD78" s="28">
        <v>2</v>
      </c>
      <c r="AE78" s="28">
        <v>4</v>
      </c>
      <c r="AF78" s="28">
        <v>1</v>
      </c>
      <c r="AG78" s="28">
        <v>2</v>
      </c>
      <c r="AH78" s="29" t="s">
        <v>1579</v>
      </c>
      <c r="AI78" s="36">
        <f>IF(OR(AND(K78&lt;32, J78&lt;2), O78=1, P78=1, Q78=1, R78=1, S78=1, T78=1, U78=1, AND(W78&lt;&gt;"", W78&lt;&gt;"Oxygen", W78&lt;&gt;"LowFlow")), "Intensive", "Intermediate")</f>
      </c>
      <c r="AJ78" s="37">
        <f>IF(OR(LEFT(AH78, 1)="X", LEFT(AH78, 1)="Y", LEFT(AH78, 3)="J11M"), "CUSM", "No Match")</f>
      </c>
      <c r="AK78" s="37">
        <f>IF(AND(OR(O78=3, P78=1, Q78=1, T78=1), AJ78="no Match"), "CUSM, CHU SJ, CHUQ", "")</f>
      </c>
      <c r="AL78" s="37">
        <f>IF(AND(O78=2, ISBLANK(P78), ISBLANK(Q78), ISBLANK(R78), ISBLANK(S78), ISBLANK(T78)), "CUSM, CHU SJ, CHUS, CHUQ", "")</f>
      </c>
      <c r="AM78" s="37">
        <f>IF(AND(AJ78="no match", AK78="", AL78="", K78&lt;26), "CUSM, CHU SJ, HGJ, CHUQ, CHUS", "")</f>
      </c>
      <c r="AN78" s="37">
        <f>IF(AND(AJ78="no match", AK78="", AL78="", K78&gt;26), "CUSM, CHU SJ, HGJ, CHUQ, CHUS, HMR", "")</f>
      </c>
    </row>
    <row x14ac:dyDescent="0.25" r="79" customHeight="1" ht="17.25">
      <c r="A79" s="27" t="s">
        <v>1580</v>
      </c>
      <c r="B79" s="28">
        <v>2</v>
      </c>
      <c r="C79" s="28">
        <v>754</v>
      </c>
      <c r="D79" s="29" t="s">
        <v>504</v>
      </c>
      <c r="E79" s="30" t="s">
        <v>149</v>
      </c>
      <c r="F79" s="31">
        <v>44250</v>
      </c>
      <c r="G79" s="32">
        <v>4.309722222222222</v>
      </c>
      <c r="H79" s="31">
        <v>44243</v>
      </c>
      <c r="I79" s="32">
        <v>4.520138888888889</v>
      </c>
      <c r="J79" s="33">
        <f>F79-H79</f>
      </c>
      <c r="K79" s="28">
        <v>33</v>
      </c>
      <c r="L79" s="28">
        <v>0</v>
      </c>
      <c r="M79" s="28">
        <v>1</v>
      </c>
      <c r="N79" s="34"/>
      <c r="O79" s="34"/>
      <c r="P79" s="34"/>
      <c r="Q79" s="34"/>
      <c r="R79" s="34"/>
      <c r="S79" s="34"/>
      <c r="T79" s="34"/>
      <c r="U79" s="34"/>
      <c r="V79" s="34"/>
      <c r="W79" s="29"/>
      <c r="X79" s="28">
        <v>24</v>
      </c>
      <c r="Y79" s="28">
        <v>1</v>
      </c>
      <c r="Z79" s="28">
        <v>2</v>
      </c>
      <c r="AA79" s="28">
        <v>3</v>
      </c>
      <c r="AB79" s="28">
        <v>4</v>
      </c>
      <c r="AC79" s="28">
        <v>1</v>
      </c>
      <c r="AD79" s="28">
        <v>2</v>
      </c>
      <c r="AE79" s="28">
        <v>4</v>
      </c>
      <c r="AF79" s="28">
        <v>3</v>
      </c>
      <c r="AG79" s="28">
        <v>2</v>
      </c>
      <c r="AH79" s="29" t="s">
        <v>1527</v>
      </c>
      <c r="AI79" s="36">
        <f>IF(OR(AND(K79&lt;32, J79&lt;2), O79=1, P79=1, Q79=1, R79=1, S79=1, T79=1, U79=1, AND(W79&lt;&gt;"", W79&lt;&gt;"Oxygen", W79&lt;&gt;"LowFlow")), "Intensive", "Intermediate")</f>
      </c>
      <c r="AJ79" s="37">
        <f>IF(OR(LEFT(AH79, 1)="X", LEFT(AH79, 1)="Y", LEFT(AH79, 3)="J12M"), "CUSM", "No Match")</f>
      </c>
      <c r="AK79" s="37">
        <f>IF(AND(OR(O79=3, P79=1, Q79=1, T79=1), AJ79="no Match"), "CUSM, CHU SJ, CHUQ", "")</f>
      </c>
      <c r="AL79" s="37">
        <f>IF(AND(O79=2, ISBLANK(P79), ISBLANK(Q79), ISBLANK(R79), ISBLANK(S79), ISBLANK(T79)), "CUSM, CHU SJ, CHUS, CHUQ", "")</f>
      </c>
      <c r="AM79" s="37">
        <f>IF(AND(AJ79="no match", AK79="", AL79="", K79&lt;26), "CUSM, CHU SJ, HGJ, CHUQ, CHUS", "")</f>
      </c>
      <c r="AN79" s="37">
        <f>IF(AND(AJ79="no match", AK79="", AL79="", K79&gt;26), "CUSM, CHU SJ, HGJ, CHUQ, CHUS, HMR", "")</f>
      </c>
    </row>
    <row x14ac:dyDescent="0.25" r="80" customHeight="1" ht="17.25">
      <c r="A80" s="27" t="s">
        <v>1581</v>
      </c>
      <c r="B80" s="28">
        <v>2</v>
      </c>
      <c r="C80" s="35">
        <v>782</v>
      </c>
      <c r="D80" s="29" t="s">
        <v>95</v>
      </c>
      <c r="E80" s="30" t="s">
        <v>50</v>
      </c>
      <c r="F80" s="31">
        <v>44250</v>
      </c>
      <c r="G80" s="32">
        <v>4.857638888888889</v>
      </c>
      <c r="H80" s="31">
        <v>44250</v>
      </c>
      <c r="I80" s="32">
        <v>4.678472222222222</v>
      </c>
      <c r="J80" s="33">
        <f>F80-H80</f>
      </c>
      <c r="K80" s="28">
        <v>35</v>
      </c>
      <c r="L80" s="28">
        <v>2</v>
      </c>
      <c r="M80" s="28">
        <v>1</v>
      </c>
      <c r="N80" s="28">
        <v>1</v>
      </c>
      <c r="O80" s="38"/>
      <c r="P80" s="34"/>
      <c r="Q80" s="34"/>
      <c r="R80" s="38"/>
      <c r="S80" s="34"/>
      <c r="T80" s="35">
        <v>1</v>
      </c>
      <c r="U80" s="38"/>
      <c r="V80" s="38"/>
      <c r="W80" s="29" t="s">
        <v>58</v>
      </c>
      <c r="X80" s="28">
        <v>31</v>
      </c>
      <c r="Y80" s="28">
        <v>1</v>
      </c>
      <c r="Z80" s="28">
        <v>2</v>
      </c>
      <c r="AA80" s="28">
        <v>1</v>
      </c>
      <c r="AB80" s="28">
        <v>1</v>
      </c>
      <c r="AC80" s="28">
        <v>1</v>
      </c>
      <c r="AD80" s="28">
        <v>2</v>
      </c>
      <c r="AE80" s="28">
        <v>4</v>
      </c>
      <c r="AF80" s="28">
        <v>2</v>
      </c>
      <c r="AG80" s="28">
        <v>2</v>
      </c>
      <c r="AH80" s="29" t="s">
        <v>1582</v>
      </c>
      <c r="AI80" s="36">
        <f>IF(OR(AND(K80&lt;32, J80&lt;2), O80=1, P80=1, Q80=1, R80=1, S80=1, T80=1, U80=1, AND(W80&lt;&gt;"", W80&lt;&gt;"Oxygen", W80&lt;&gt;"LowFlow")), "Intensive", "Intermediate")</f>
      </c>
      <c r="AJ80" s="37">
        <f>IF(OR(LEFT(AH80, 1)="X", LEFT(AH80, 1)="Y", LEFT(AH80, 3)="J13M"), "CUSM", "No Match")</f>
      </c>
      <c r="AK80" s="37">
        <f>IF(AND(OR(O80=3, P80=1, Q80=1, T80=1), AJ80="no Match"), "CUSM, CHU SJ, CHUQ", "")</f>
      </c>
      <c r="AL80" s="37">
        <f>IF(AND(O80=2, ISBLANK(P80), ISBLANK(Q80), ISBLANK(R80), ISBLANK(S80), ISBLANK(T80)), "CUSM, CHU SJ, CHUS, CHUQ", "")</f>
      </c>
      <c r="AM80" s="37">
        <f>IF(AND(AJ80="no match", AK80="", AL80="", K80&lt;26), "CUSM, CHU SJ, HGJ, CHUQ, CHUS", "")</f>
      </c>
      <c r="AN80" s="37">
        <f>IF(AND(AJ80="no match", AK80="", AL80="", K80&gt;26), "CUSM, CHU SJ, HGJ, CHUQ, CHUS, HMR", "")</f>
      </c>
    </row>
    <row x14ac:dyDescent="0.25" r="81" customHeight="1" ht="17.25">
      <c r="A81" s="27" t="s">
        <v>1583</v>
      </c>
      <c r="B81" s="28">
        <v>2</v>
      </c>
      <c r="C81" s="35">
        <v>817</v>
      </c>
      <c r="D81" s="29" t="s">
        <v>163</v>
      </c>
      <c r="E81" s="30" t="s">
        <v>50</v>
      </c>
      <c r="F81" s="31">
        <v>44252</v>
      </c>
      <c r="G81" s="32">
        <v>4.909722222222222</v>
      </c>
      <c r="H81" s="31">
        <v>44250</v>
      </c>
      <c r="I81" s="32">
        <v>4.215277777777778</v>
      </c>
      <c r="J81" s="33">
        <f>F81-H81</f>
      </c>
      <c r="K81" s="28">
        <v>38</v>
      </c>
      <c r="L81" s="28">
        <v>3</v>
      </c>
      <c r="M81" s="28">
        <v>1</v>
      </c>
      <c r="N81" s="28">
        <v>1</v>
      </c>
      <c r="O81" s="38"/>
      <c r="P81" s="38"/>
      <c r="Q81" s="35">
        <v>1</v>
      </c>
      <c r="R81" s="34"/>
      <c r="S81" s="34"/>
      <c r="T81" s="34"/>
      <c r="U81" s="34"/>
      <c r="V81" s="34"/>
      <c r="W81" s="29"/>
      <c r="X81" s="28">
        <v>24</v>
      </c>
      <c r="Y81" s="28">
        <v>1</v>
      </c>
      <c r="Z81" s="28">
        <v>1</v>
      </c>
      <c r="AA81" s="28">
        <v>3</v>
      </c>
      <c r="AB81" s="28">
        <v>1</v>
      </c>
      <c r="AC81" s="28">
        <v>2</v>
      </c>
      <c r="AD81" s="28">
        <v>2</v>
      </c>
      <c r="AE81" s="28">
        <v>4</v>
      </c>
      <c r="AF81" s="28">
        <v>2</v>
      </c>
      <c r="AG81" s="28">
        <v>2</v>
      </c>
      <c r="AH81" s="29" t="s">
        <v>1584</v>
      </c>
      <c r="AI81" s="36">
        <f>IF(OR(AND(K81&lt;32, J81&lt;2), O81=1, P81=1, Q81=1, R81=1, S81=1, T81=1, U81=1, AND(W81&lt;&gt;"", W81&lt;&gt;"Oxygen", W81&lt;&gt;"LowFlow")), "Intensive", "Intermediate")</f>
      </c>
      <c r="AJ81" s="37">
        <f>IF(OR(LEFT(AH81, 1)="X", LEFT(AH81, 1)="Y", LEFT(AH81, 3)="J14M"), "CUSM", "No Match")</f>
      </c>
      <c r="AK81" s="37">
        <f>IF(AND(OR(O81=3, P81=1, Q81=1, T81=1), AJ81="no Match"), "CUSM, CHU SJ, CHUQ", "")</f>
      </c>
      <c r="AL81" s="37">
        <f>IF(AND(O81=2, ISBLANK(P81), ISBLANK(Q81), ISBLANK(R81), ISBLANK(S81), ISBLANK(T81)), "CUSM, CHU SJ, CHUS, CHUQ", "")</f>
      </c>
      <c r="AM81" s="37">
        <f>IF(AND(AJ81="no match", AK81="", AL81="", K81&lt;26), "CUSM, CHU SJ, HGJ, CHUQ, CHUS", "")</f>
      </c>
      <c r="AN81" s="37">
        <f>IF(AND(AJ81="no match", AK81="", AL81="", K81&gt;26), "CUSM, CHU SJ, HGJ, CHUQ, CHUS, HMR", "")</f>
      </c>
    </row>
    <row x14ac:dyDescent="0.25" r="82" customHeight="1" ht="17.25">
      <c r="A82" s="27" t="s">
        <v>1585</v>
      </c>
      <c r="B82" s="28">
        <v>2</v>
      </c>
      <c r="C82" s="35">
        <v>746</v>
      </c>
      <c r="D82" s="29" t="s">
        <v>139</v>
      </c>
      <c r="E82" s="30" t="s">
        <v>50</v>
      </c>
      <c r="F82" s="31">
        <v>44253</v>
      </c>
      <c r="G82" s="32">
        <v>4.75</v>
      </c>
      <c r="H82" s="31">
        <v>44252</v>
      </c>
      <c r="I82" s="32">
        <v>4.75</v>
      </c>
      <c r="J82" s="33">
        <f>F82-H82</f>
      </c>
      <c r="K82" s="28">
        <v>40</v>
      </c>
      <c r="L82" s="28">
        <v>5</v>
      </c>
      <c r="M82" s="28">
        <v>2</v>
      </c>
      <c r="N82" s="38"/>
      <c r="O82" s="34"/>
      <c r="P82" s="34"/>
      <c r="Q82" s="34"/>
      <c r="R82" s="34"/>
      <c r="S82" s="34"/>
      <c r="T82" s="34"/>
      <c r="U82" s="34"/>
      <c r="V82" s="34"/>
      <c r="W82" s="29"/>
      <c r="X82" s="28">
        <v>33</v>
      </c>
      <c r="Y82" s="28">
        <v>1</v>
      </c>
      <c r="Z82" s="28">
        <v>2</v>
      </c>
      <c r="AA82" s="28">
        <v>1</v>
      </c>
      <c r="AB82" s="28">
        <v>1</v>
      </c>
      <c r="AC82" s="28">
        <v>2</v>
      </c>
      <c r="AD82" s="28">
        <v>2</v>
      </c>
      <c r="AE82" s="28">
        <v>4</v>
      </c>
      <c r="AF82" s="28">
        <v>2</v>
      </c>
      <c r="AG82" s="28">
        <v>2</v>
      </c>
      <c r="AH82" s="29" t="s">
        <v>1586</v>
      </c>
      <c r="AI82" s="36">
        <f>IF(OR(AND(K82&lt;32, J82&lt;2), O82=1, P82=1, Q82=1, R82=1, S82=1, T82=1, U82=1, AND(W82&lt;&gt;"", W82&lt;&gt;"Oxygen", W82&lt;&gt;"LowFlow")), "Intensive", "Intermediate")</f>
      </c>
      <c r="AJ82" s="37">
        <f>IF(OR(LEFT(AH82, 1)="X", LEFT(AH82, 1)="Y", LEFT(AH82, 3)="J15M"), "CUSM", "No Match")</f>
      </c>
      <c r="AK82" s="37">
        <f>IF(AND(OR(O82=3, P82=1, Q82=1, T82=1), AJ82="no Match"), "CUSM, CHU SJ, CHUQ", "")</f>
      </c>
      <c r="AL82" s="37">
        <f>IF(AND(O82=2, ISBLANK(P82), ISBLANK(Q82), ISBLANK(R82), ISBLANK(S82), ISBLANK(T82)), "CUSM, CHU SJ, CHUS, CHUQ", "")</f>
      </c>
      <c r="AM82" s="37">
        <f>IF(AND(AJ82="no match", AK82="", AL82="", K82&lt;26), "CUSM, CHU SJ, HGJ, CHUQ, CHUS", "")</f>
      </c>
      <c r="AN82" s="37">
        <f>IF(AND(AJ82="no match", AK82="", AL82="", K82&gt;26), "CUSM, CHU SJ, HGJ, CHUQ, CHUS, HMR", "")</f>
      </c>
    </row>
    <row x14ac:dyDescent="0.25" r="83" customHeight="1" ht="17.25">
      <c r="A83" s="27" t="s">
        <v>1587</v>
      </c>
      <c r="B83" s="28">
        <v>2</v>
      </c>
      <c r="C83" s="35">
        <v>735</v>
      </c>
      <c r="D83" s="29" t="s">
        <v>49</v>
      </c>
      <c r="E83" s="30" t="s">
        <v>50</v>
      </c>
      <c r="F83" s="31">
        <v>44253</v>
      </c>
      <c r="G83" s="32">
        <v>4.961805555555555</v>
      </c>
      <c r="H83" s="31">
        <v>44246</v>
      </c>
      <c r="I83" s="32">
        <v>4.420138888888889</v>
      </c>
      <c r="J83" s="33">
        <f>F83-H83</f>
      </c>
      <c r="K83" s="28">
        <v>40</v>
      </c>
      <c r="L83" s="28">
        <v>0</v>
      </c>
      <c r="M83" s="28">
        <v>2</v>
      </c>
      <c r="N83" s="35">
        <v>1</v>
      </c>
      <c r="O83" s="34"/>
      <c r="P83" s="35">
        <v>1</v>
      </c>
      <c r="Q83" s="34"/>
      <c r="R83" s="34"/>
      <c r="S83" s="34"/>
      <c r="T83" s="34"/>
      <c r="U83" s="34"/>
      <c r="V83" s="34"/>
      <c r="W83" s="29"/>
      <c r="X83" s="28">
        <v>34</v>
      </c>
      <c r="Y83" s="28">
        <v>1</v>
      </c>
      <c r="Z83" s="28">
        <v>1</v>
      </c>
      <c r="AA83" s="28">
        <v>1</v>
      </c>
      <c r="AB83" s="28">
        <v>1</v>
      </c>
      <c r="AC83" s="28">
        <v>2</v>
      </c>
      <c r="AD83" s="28">
        <v>2</v>
      </c>
      <c r="AE83" s="28">
        <v>4</v>
      </c>
      <c r="AF83" s="28">
        <v>3</v>
      </c>
      <c r="AG83" s="28">
        <v>2</v>
      </c>
      <c r="AH83" s="29" t="s">
        <v>1588</v>
      </c>
      <c r="AI83" s="36">
        <f>IF(OR(AND(K83&lt;32, J83&lt;2), O83=1, P83=1, Q83=1, R83=1, S83=1, T83=1, U83=1, AND(W83&lt;&gt;"", W83&lt;&gt;"Oxygen", W83&lt;&gt;"LowFlow")), "Intensive", "Intermediate")</f>
      </c>
      <c r="AJ83" s="37">
        <f>IF(OR(LEFT(AH83, 1)="X", LEFT(AH83, 1)="Y", LEFT(AH83, 3)="J16M"), "CUSM", "No Match")</f>
      </c>
      <c r="AK83" s="37">
        <f>IF(AND(OR(O83=3, P83=1, Q83=1, T83=1), AJ83="no Match"), "CUSM, CHU SJ, CHUQ", "")</f>
      </c>
      <c r="AL83" s="37">
        <f>IF(AND(O83=2, ISBLANK(P83), ISBLANK(Q83), ISBLANK(R83), ISBLANK(S83), ISBLANK(T83)), "CUSM, CHU SJ, CHUS, CHUQ", "")</f>
      </c>
      <c r="AM83" s="37">
        <f>IF(AND(AJ83="no match", AK83="", AL83="", K83&lt;26), "CUSM, CHU SJ, HGJ, CHUQ, CHUS", "")</f>
      </c>
      <c r="AN83" s="37">
        <f>IF(AND(AJ83="no match", AK83="", AL83="", K83&gt;26), "CUSM, CHU SJ, HGJ, CHUQ, CHUS, HMR", "")</f>
      </c>
    </row>
    <row x14ac:dyDescent="0.25" r="84" customHeight="1" ht="17.25">
      <c r="A84" s="27" t="s">
        <v>1589</v>
      </c>
      <c r="B84" s="28">
        <v>2</v>
      </c>
      <c r="C84" s="35">
        <v>824</v>
      </c>
      <c r="D84" s="29" t="s">
        <v>57</v>
      </c>
      <c r="E84" s="30" t="s">
        <v>118</v>
      </c>
      <c r="F84" s="31">
        <v>44254</v>
      </c>
      <c r="G84" s="32">
        <v>4.118055555555555</v>
      </c>
      <c r="H84" s="31">
        <v>44253</v>
      </c>
      <c r="I84" s="32">
        <v>4.91875</v>
      </c>
      <c r="J84" s="33">
        <f>F84-H84</f>
      </c>
      <c r="K84" s="28">
        <v>32</v>
      </c>
      <c r="L84" s="28">
        <v>1</v>
      </c>
      <c r="M84" s="28">
        <v>2</v>
      </c>
      <c r="N84" s="34"/>
      <c r="O84" s="34"/>
      <c r="P84" s="34"/>
      <c r="Q84" s="34"/>
      <c r="R84" s="34"/>
      <c r="S84" s="34"/>
      <c r="T84" s="34"/>
      <c r="U84" s="34"/>
      <c r="V84" s="34"/>
      <c r="W84" s="29" t="s">
        <v>74</v>
      </c>
      <c r="X84" s="28">
        <v>39</v>
      </c>
      <c r="Y84" s="28">
        <v>2</v>
      </c>
      <c r="Z84" s="28">
        <v>2</v>
      </c>
      <c r="AA84" s="28">
        <v>1</v>
      </c>
      <c r="AB84" s="28">
        <v>4</v>
      </c>
      <c r="AC84" s="28">
        <v>2</v>
      </c>
      <c r="AD84" s="28">
        <v>2</v>
      </c>
      <c r="AE84" s="28">
        <v>4</v>
      </c>
      <c r="AF84" s="28">
        <v>2</v>
      </c>
      <c r="AG84" s="28">
        <v>2</v>
      </c>
      <c r="AH84" s="29" t="s">
        <v>1590</v>
      </c>
      <c r="AI84" s="36">
        <f>IF(OR(AND(K84&lt;32, J84&lt;2), O84=1, P84=1, Q84=1, R84=1, S84=1, T84=1, U84=1, AND(W84&lt;&gt;"", W84&lt;&gt;"Oxygen", W84&lt;&gt;"LowFlow")), "Intensive", "Intermediate")</f>
      </c>
      <c r="AJ84" s="37">
        <f>IF(OR(LEFT(AH84, 1)="X", LEFT(AH84, 1)="Y", LEFT(AH84, 3)="J17M"), "CUSM", "No Match")</f>
      </c>
      <c r="AK84" s="37">
        <f>IF(AND(OR(O84=3, P84=1, Q84=1, T84=1), AJ84="no Match"), "CUSM, CHU SJ, CHUQ", "")</f>
      </c>
      <c r="AL84" s="37">
        <f>IF(AND(O84=2, ISBLANK(P84), ISBLANK(Q84), ISBLANK(R84), ISBLANK(S84), ISBLANK(T84)), "CUSM, CHU SJ, CHUS, CHUQ", "")</f>
      </c>
      <c r="AM84" s="37">
        <f>IF(AND(AJ84="no match", AK84="", AL84="", K84&lt;26), "CUSM, CHU SJ, HGJ, CHUQ, CHUS", "")</f>
      </c>
      <c r="AN84" s="37">
        <f>IF(AND(AJ84="no match", AK84="", AL84="", K84&gt;26), "CUSM, CHU SJ, HGJ, CHUQ, CHUS, HMR", "")</f>
      </c>
    </row>
    <row x14ac:dyDescent="0.25" r="85" customHeight="1" ht="17.25">
      <c r="A85" s="27" t="s">
        <v>1591</v>
      </c>
      <c r="B85" s="28">
        <v>2</v>
      </c>
      <c r="C85" s="28">
        <v>824</v>
      </c>
      <c r="D85" s="29" t="s">
        <v>57</v>
      </c>
      <c r="E85" s="30" t="s">
        <v>118</v>
      </c>
      <c r="F85" s="31">
        <v>44254</v>
      </c>
      <c r="G85" s="32">
        <v>4.102083333333333</v>
      </c>
      <c r="H85" s="31">
        <v>44253</v>
      </c>
      <c r="I85" s="32">
        <v>4.919444444444444</v>
      </c>
      <c r="J85" s="33">
        <f>F85-H85</f>
      </c>
      <c r="K85" s="28">
        <v>32</v>
      </c>
      <c r="L85" s="28">
        <v>1</v>
      </c>
      <c r="M85" s="28">
        <v>1</v>
      </c>
      <c r="N85" s="38"/>
      <c r="O85" s="34"/>
      <c r="P85" s="34"/>
      <c r="Q85" s="38"/>
      <c r="R85" s="34"/>
      <c r="S85" s="34"/>
      <c r="T85" s="38"/>
      <c r="U85" s="34"/>
      <c r="V85" s="34"/>
      <c r="W85" s="29" t="s">
        <v>74</v>
      </c>
      <c r="X85" s="28">
        <v>39</v>
      </c>
      <c r="Y85" s="28">
        <v>2</v>
      </c>
      <c r="Z85" s="28">
        <v>2</v>
      </c>
      <c r="AA85" s="28">
        <v>1</v>
      </c>
      <c r="AB85" s="28">
        <v>4</v>
      </c>
      <c r="AC85" s="28">
        <v>2</v>
      </c>
      <c r="AD85" s="28">
        <v>2</v>
      </c>
      <c r="AE85" s="28">
        <v>4</v>
      </c>
      <c r="AF85" s="28">
        <v>2</v>
      </c>
      <c r="AG85" s="28">
        <v>2</v>
      </c>
      <c r="AH85" s="29" t="s">
        <v>1590</v>
      </c>
      <c r="AI85" s="36">
        <f>IF(OR(AND(K85&lt;32, J85&lt;2), O85=1, P85=1, Q85=1, R85=1, S85=1, T85=1, U85=1, AND(W85&lt;&gt;"", W85&lt;&gt;"Oxygen", W85&lt;&gt;"LowFlow")), "Intensive", "Intermediate")</f>
      </c>
      <c r="AJ85" s="37">
        <f>IF(OR(LEFT(AH85, 1)="X", LEFT(AH85, 1)="Y", LEFT(AH85, 3)="J18M"), "CUSM", "No Match")</f>
      </c>
      <c r="AK85" s="37">
        <f>IF(AND(OR(O85=3, P85=1, Q85=1, T85=1), AJ85="no Match"), "CUSM, CHU SJ, CHUQ", "")</f>
      </c>
      <c r="AL85" s="37">
        <f>IF(AND(O85=2, ISBLANK(P85), ISBLANK(Q85), ISBLANK(R85), ISBLANK(S85), ISBLANK(T85)), "CUSM, CHU SJ, CHUS, CHUQ", "")</f>
      </c>
      <c r="AM85" s="37">
        <f>IF(AND(AJ85="no match", AK85="", AL85="", K85&lt;26), "CUSM, CHU SJ, HGJ, CHUQ, CHUS", "")</f>
      </c>
      <c r="AN85" s="37">
        <f>IF(AND(AJ85="no match", AK85="", AL85="", K85&gt;26), "CUSM, CHU SJ, HGJ, CHUQ, CHUS, HMR", "")</f>
      </c>
    </row>
    <row x14ac:dyDescent="0.25" r="86" customHeight="1" ht="17.25">
      <c r="A86" s="27" t="s">
        <v>1592</v>
      </c>
      <c r="B86" s="28">
        <v>2</v>
      </c>
      <c r="C86" s="35">
        <v>779</v>
      </c>
      <c r="D86" s="29" t="s">
        <v>136</v>
      </c>
      <c r="E86" s="30" t="s">
        <v>54</v>
      </c>
      <c r="F86" s="31">
        <v>44254</v>
      </c>
      <c r="G86" s="32">
        <v>4.791666666666666</v>
      </c>
      <c r="H86" s="31">
        <v>44251</v>
      </c>
      <c r="I86" s="32">
        <v>4.386111111111111</v>
      </c>
      <c r="J86" s="33">
        <f>F86-H86</f>
      </c>
      <c r="K86" s="28">
        <v>39</v>
      </c>
      <c r="L86" s="28">
        <v>0</v>
      </c>
      <c r="M86" s="28">
        <v>1</v>
      </c>
      <c r="N86" s="34"/>
      <c r="O86" s="34"/>
      <c r="P86" s="34"/>
      <c r="Q86" s="34"/>
      <c r="R86" s="34"/>
      <c r="S86" s="34"/>
      <c r="T86" s="34"/>
      <c r="U86" s="34"/>
      <c r="V86" s="34"/>
      <c r="W86" s="29"/>
      <c r="X86" s="28">
        <v>42</v>
      </c>
      <c r="Y86" s="28">
        <v>1</v>
      </c>
      <c r="Z86" s="28">
        <v>2</v>
      </c>
      <c r="AA86" s="35">
        <v>2</v>
      </c>
      <c r="AB86" s="28">
        <v>1</v>
      </c>
      <c r="AC86" s="28">
        <v>2</v>
      </c>
      <c r="AD86" s="28">
        <v>1</v>
      </c>
      <c r="AE86" s="28">
        <v>4</v>
      </c>
      <c r="AF86" s="28">
        <v>2</v>
      </c>
      <c r="AG86" s="28">
        <v>2</v>
      </c>
      <c r="AH86" s="29" t="s">
        <v>1593</v>
      </c>
      <c r="AI86" s="36">
        <f>IF(OR(AND(K86&lt;32, J86&lt;2), O86=1, P86=1, Q86=1, R86=1, S86=1, T86=1, U86=1, AND(W86&lt;&gt;"", W86&lt;&gt;"Oxygen", W86&lt;&gt;"LowFlow")), "Intensive", "Intermediate")</f>
      </c>
      <c r="AJ86" s="37">
        <f>IF(OR(LEFT(AH86, 1)="X", LEFT(AH86, 1)="Y", LEFT(AH86, 3)="J19M"), "CUSM", "No Match")</f>
      </c>
      <c r="AK86" s="37">
        <f>IF(AND(OR(O86=3, P86=1, Q86=1, T86=1), AJ86="no Match"), "CUSM, CHU SJ, CHUQ", "")</f>
      </c>
      <c r="AL86" s="37">
        <f>IF(AND(O86=2, ISBLANK(P86), ISBLANK(Q86), ISBLANK(R86), ISBLANK(S86), ISBLANK(T86)), "CUSM, CHU SJ, CHUS, CHUQ", "")</f>
      </c>
      <c r="AM86" s="37">
        <f>IF(AND(AJ86="no match", AK86="", AL86="", K86&lt;26), "CUSM, CHU SJ, HGJ, CHUQ, CHUS", "")</f>
      </c>
      <c r="AN86" s="37">
        <f>IF(AND(AJ86="no match", AK86="", AL86="", K86&gt;26), "CUSM, CHU SJ, HGJ, CHUQ, CHUS, HMR", "")</f>
      </c>
    </row>
    <row x14ac:dyDescent="0.25" r="87" customHeight="1" ht="17.25">
      <c r="A87" s="27" t="s">
        <v>1594</v>
      </c>
      <c r="B87" s="28">
        <v>2</v>
      </c>
      <c r="C87" s="35">
        <v>815</v>
      </c>
      <c r="D87" s="29" t="s">
        <v>100</v>
      </c>
      <c r="E87" s="30" t="s">
        <v>54</v>
      </c>
      <c r="F87" s="31">
        <v>44254</v>
      </c>
      <c r="G87" s="32">
        <v>4.895833333333334</v>
      </c>
      <c r="H87" s="31">
        <v>44252</v>
      </c>
      <c r="I87" s="32">
        <v>4.090972222222222</v>
      </c>
      <c r="J87" s="33">
        <f>F87-H87</f>
      </c>
      <c r="K87" s="28">
        <v>36</v>
      </c>
      <c r="L87" s="28">
        <v>5</v>
      </c>
      <c r="M87" s="28">
        <v>1</v>
      </c>
      <c r="N87" s="34"/>
      <c r="O87" s="34"/>
      <c r="P87" s="34"/>
      <c r="Q87" s="34"/>
      <c r="R87" s="34"/>
      <c r="S87" s="34"/>
      <c r="T87" s="34"/>
      <c r="U87" s="34"/>
      <c r="V87" s="34"/>
      <c r="W87" s="29"/>
      <c r="X87" s="28">
        <v>30</v>
      </c>
      <c r="Y87" s="28">
        <v>1</v>
      </c>
      <c r="Z87" s="28">
        <v>1</v>
      </c>
      <c r="AA87" s="28">
        <v>2</v>
      </c>
      <c r="AB87" s="28">
        <v>1</v>
      </c>
      <c r="AC87" s="28">
        <v>2</v>
      </c>
      <c r="AD87" s="28">
        <v>1</v>
      </c>
      <c r="AE87" s="28">
        <v>4</v>
      </c>
      <c r="AF87" s="35">
        <v>2</v>
      </c>
      <c r="AG87" s="28">
        <v>2</v>
      </c>
      <c r="AH87" s="29" t="s">
        <v>723</v>
      </c>
      <c r="AI87" s="36">
        <f>IF(OR(AND(K87&lt;32, J87&lt;2), O87=1, P87=1, Q87=1, R87=1, S87=1, T87=1, U87=1, AND(W87&lt;&gt;"", W87&lt;&gt;"Oxygen", W87&lt;&gt;"LowFlow")), "Intensive", "Intermediate")</f>
      </c>
      <c r="AJ87" s="37">
        <f>IF(OR(LEFT(AH87, 1)="X", LEFT(AH87, 1)="Y", LEFT(AH87, 3)="J20M"), "CUSM", "No Match")</f>
      </c>
      <c r="AK87" s="37">
        <f>IF(AND(OR(O87=3, P87=1, Q87=1, T87=1), AJ87="no Match"), "CUSM, CHU SJ, CHUQ", "")</f>
      </c>
      <c r="AL87" s="37">
        <f>IF(AND(O87=2, ISBLANK(P87), ISBLANK(Q87), ISBLANK(R87), ISBLANK(S87), ISBLANK(T87)), "CUSM, CHU SJ, CHUS, CHUQ", "")</f>
      </c>
      <c r="AM87" s="37">
        <f>IF(AND(AJ87="no match", AK87="", AL87="", K87&lt;26), "CUSM, CHU SJ, HGJ, CHUQ, CHUS", "")</f>
      </c>
      <c r="AN87" s="37">
        <f>IF(AND(AJ87="no match", AK87="", AL87="", K87&gt;26), "CUSM, CHU SJ, HGJ, CHUQ, CHUS, HMR", "")</f>
      </c>
    </row>
    <row x14ac:dyDescent="0.25" r="88" customHeight="1" ht="17.25">
      <c r="A88" s="27" t="s">
        <v>1595</v>
      </c>
      <c r="B88" s="28">
        <v>2</v>
      </c>
      <c r="C88" s="28">
        <v>779</v>
      </c>
      <c r="D88" s="29" t="s">
        <v>136</v>
      </c>
      <c r="E88" s="30" t="s">
        <v>54</v>
      </c>
      <c r="F88" s="31">
        <v>44254</v>
      </c>
      <c r="G88" s="32">
        <v>4.347222222222222</v>
      </c>
      <c r="H88" s="31">
        <v>44253</v>
      </c>
      <c r="I88" s="32">
        <v>4.965277777777778</v>
      </c>
      <c r="J88" s="33">
        <f>F88-H88</f>
      </c>
      <c r="K88" s="28">
        <v>41</v>
      </c>
      <c r="L88" s="28">
        <v>0</v>
      </c>
      <c r="M88" s="28">
        <v>1</v>
      </c>
      <c r="N88" s="34"/>
      <c r="O88" s="34"/>
      <c r="P88" s="34"/>
      <c r="Q88" s="34"/>
      <c r="R88" s="34"/>
      <c r="S88" s="34"/>
      <c r="T88" s="35">
        <v>1</v>
      </c>
      <c r="U88" s="34"/>
      <c r="V88" s="35">
        <v>1</v>
      </c>
      <c r="W88" s="29" t="s">
        <v>58</v>
      </c>
      <c r="X88" s="28">
        <v>26</v>
      </c>
      <c r="Y88" s="28">
        <v>1</v>
      </c>
      <c r="Z88" s="28">
        <v>1</v>
      </c>
      <c r="AA88" s="28">
        <v>2</v>
      </c>
      <c r="AB88" s="28">
        <v>1</v>
      </c>
      <c r="AC88" s="28">
        <v>2</v>
      </c>
      <c r="AD88" s="28">
        <v>2</v>
      </c>
      <c r="AE88" s="28">
        <v>4</v>
      </c>
      <c r="AF88" s="28">
        <v>2</v>
      </c>
      <c r="AG88" s="28">
        <v>2</v>
      </c>
      <c r="AH88" s="29" t="s">
        <v>1596</v>
      </c>
      <c r="AI88" s="36">
        <f>IF(OR(AND(K88&lt;32, J88&lt;2), O88=1, P88=1, Q88=1, R88=1, S88=1, T88=1, U88=1, AND(W88&lt;&gt;"", W88&lt;&gt;"Oxygen", W88&lt;&gt;"LowFlow")), "Intensive", "Intermediate")</f>
      </c>
      <c r="AJ88" s="37">
        <f>IF(OR(LEFT(AH88, 1)="X", LEFT(AH88, 1)="Y", LEFT(AH88, 3)="J21M"), "CUSM", "No Match")</f>
      </c>
      <c r="AK88" s="37">
        <f>IF(AND(OR(O88=3, P88=1, Q88=1, T88=1), AJ88="no Match"), "CUSM, CHU SJ, CHUQ", "")</f>
      </c>
      <c r="AL88" s="37">
        <f>IF(AND(O88=2, ISBLANK(P88), ISBLANK(Q88), ISBLANK(R88), ISBLANK(S88), ISBLANK(T88)), "CUSM, CHU SJ, CHUS, CHUQ", "")</f>
      </c>
      <c r="AM88" s="37">
        <f>IF(AND(AJ88="no match", AK88="", AL88="", K88&lt;26), "CUSM, CHU SJ, HGJ, CHUQ, CHUS", "")</f>
      </c>
      <c r="AN88" s="37">
        <f>IF(AND(AJ88="no match", AK88="", AL88="", K88&gt;26), "CUSM, CHU SJ, HGJ, CHUQ, CHUS, HMR", "")</f>
      </c>
    </row>
    <row x14ac:dyDescent="0.25" r="89" customHeight="1" ht="17.25">
      <c r="A89" s="27" t="s">
        <v>1597</v>
      </c>
      <c r="B89" s="28">
        <v>2</v>
      </c>
      <c r="C89" s="35">
        <v>831</v>
      </c>
      <c r="D89" s="29" t="s">
        <v>313</v>
      </c>
      <c r="E89" s="30" t="s">
        <v>50</v>
      </c>
      <c r="F89" s="31">
        <v>44254</v>
      </c>
      <c r="G89" s="32">
        <v>4.5375</v>
      </c>
      <c r="H89" s="31">
        <v>44237</v>
      </c>
      <c r="I89" s="32">
        <v>4.850694444444445</v>
      </c>
      <c r="J89" s="33">
        <f>F89-H89</f>
      </c>
      <c r="K89" s="28">
        <v>33</v>
      </c>
      <c r="L89" s="28">
        <v>2</v>
      </c>
      <c r="M89" s="28">
        <v>2</v>
      </c>
      <c r="N89" s="34"/>
      <c r="O89" s="34"/>
      <c r="P89" s="34"/>
      <c r="Q89" s="34"/>
      <c r="R89" s="34"/>
      <c r="S89" s="34"/>
      <c r="T89" s="34"/>
      <c r="U89" s="34"/>
      <c r="V89" s="34"/>
      <c r="W89" s="29"/>
      <c r="X89" s="28">
        <v>23</v>
      </c>
      <c r="Y89" s="28">
        <v>2</v>
      </c>
      <c r="Z89" s="28">
        <v>2</v>
      </c>
      <c r="AA89" s="28">
        <v>3</v>
      </c>
      <c r="AB89" s="28">
        <v>1</v>
      </c>
      <c r="AC89" s="28">
        <v>2</v>
      </c>
      <c r="AD89" s="28">
        <v>2</v>
      </c>
      <c r="AE89" s="28">
        <v>4</v>
      </c>
      <c r="AF89" s="28">
        <v>3</v>
      </c>
      <c r="AG89" s="28">
        <v>2</v>
      </c>
      <c r="AH89" s="29" t="s">
        <v>1598</v>
      </c>
      <c r="AI89" s="36">
        <f>IF(OR(AND(K89&lt;32, J89&lt;2), O89=1, P89=1, Q89=1, R89=1, S89=1, T89=1, U89=1, AND(W89&lt;&gt;"", W89&lt;&gt;"Oxygen", W89&lt;&gt;"LowFlow")), "Intensive", "Intermediate")</f>
      </c>
      <c r="AJ89" s="37">
        <f>IF(OR(LEFT(AH89, 1)="X", LEFT(AH89, 1)="Y", LEFT(AH89, 3)="J22M"), "CUSM", "No Match")</f>
      </c>
      <c r="AK89" s="37">
        <f>IF(AND(OR(O89=3, P89=1, Q89=1, T89=1), AJ89="no Match"), "CUSM, CHU SJ, CHUQ", "")</f>
      </c>
      <c r="AL89" s="37">
        <f>IF(AND(O89=2, ISBLANK(P89), ISBLANK(Q89), ISBLANK(R89), ISBLANK(S89), ISBLANK(T89)), "CUSM, CHU SJ, CHUS, CHUQ", "")</f>
      </c>
      <c r="AM89" s="37">
        <f>IF(AND(AJ89="no match", AK89="", AL89="", K89&lt;26), "CUSM, CHU SJ, HGJ, CHUQ, CHUS", "")</f>
      </c>
      <c r="AN89" s="37">
        <f>IF(AND(AJ89="no match", AK89="", AL89="", K89&gt;26), "CUSM, CHU SJ, HGJ, CHUQ, CHUS, HMR", "")</f>
      </c>
    </row>
    <row x14ac:dyDescent="0.25" r="90" customHeight="1" ht="17.25">
      <c r="A90" s="27" t="s">
        <v>1599</v>
      </c>
      <c r="B90" s="28">
        <v>2</v>
      </c>
      <c r="C90" s="35">
        <v>831</v>
      </c>
      <c r="D90" s="29" t="s">
        <v>313</v>
      </c>
      <c r="E90" s="30" t="s">
        <v>50</v>
      </c>
      <c r="F90" s="31">
        <v>44255</v>
      </c>
      <c r="G90" s="32">
        <v>4.600694444444445</v>
      </c>
      <c r="H90" s="31">
        <v>44255</v>
      </c>
      <c r="I90" s="32">
        <v>4.270833333333334</v>
      </c>
      <c r="J90" s="33">
        <f>F90-H90</f>
      </c>
      <c r="K90" s="28">
        <v>38</v>
      </c>
      <c r="L90" s="28">
        <v>2</v>
      </c>
      <c r="M90" s="28">
        <v>1</v>
      </c>
      <c r="N90" s="34"/>
      <c r="O90" s="34"/>
      <c r="P90" s="34"/>
      <c r="Q90" s="34"/>
      <c r="R90" s="34"/>
      <c r="S90" s="34"/>
      <c r="T90" s="34"/>
      <c r="U90" s="34"/>
      <c r="V90" s="34"/>
      <c r="W90" s="29"/>
      <c r="X90" s="28">
        <v>25</v>
      </c>
      <c r="Y90" s="28">
        <v>1</v>
      </c>
      <c r="Z90" s="28">
        <v>1</v>
      </c>
      <c r="AA90" s="28">
        <v>2</v>
      </c>
      <c r="AB90" s="28">
        <v>2</v>
      </c>
      <c r="AC90" s="28">
        <v>2</v>
      </c>
      <c r="AD90" s="28">
        <v>2</v>
      </c>
      <c r="AE90" s="28">
        <v>4</v>
      </c>
      <c r="AF90" s="28">
        <v>3</v>
      </c>
      <c r="AG90" s="28">
        <v>2</v>
      </c>
      <c r="AH90" s="29" t="s">
        <v>1030</v>
      </c>
      <c r="AI90" s="36">
        <f>IF(OR(AND(K90&lt;32, J90&lt;2), O90=1, P90=1, Q90=1, R90=1, S90=1, T90=1, U90=1, AND(W90&lt;&gt;"", W90&lt;&gt;"Oxygen", W90&lt;&gt;"LowFlow")), "Intensive", "Intermediate")</f>
      </c>
      <c r="AJ90" s="37">
        <f>IF(OR(LEFT(AH90, 1)="X", LEFT(AH90, 1)="Y", LEFT(AH90, 3)="J23M"), "CUSM", "No Match")</f>
      </c>
      <c r="AK90" s="37">
        <f>IF(AND(OR(O90=3, P90=1, Q90=1, T90=1), AJ90="no Match"), "CUSM, CHU SJ, CHUQ", "")</f>
      </c>
      <c r="AL90" s="37">
        <f>IF(AND(O90=2, ISBLANK(P90), ISBLANK(Q90), ISBLANK(R90), ISBLANK(S90), ISBLANK(T90)), "CUSM, CHU SJ, CHUS, CHUQ", "")</f>
      </c>
      <c r="AM90" s="37">
        <f>IF(AND(AJ90="no match", AK90="", AL90="", K90&lt;26), "CUSM, CHU SJ, HGJ, CHUQ, CHUS", "")</f>
      </c>
      <c r="AN90" s="37">
        <f>IF(AND(AJ90="no match", AK90="", AL90="", K90&gt;26), "CUSM, CHU SJ, HGJ, CHUQ, CHUS, HMR", "")</f>
      </c>
    </row>
    <row x14ac:dyDescent="0.25" r="91" customHeight="1" ht="17.25">
      <c r="A91" s="27" t="s">
        <v>1600</v>
      </c>
      <c r="B91" s="28">
        <v>2</v>
      </c>
      <c r="C91" s="35">
        <v>817</v>
      </c>
      <c r="D91" s="29" t="s">
        <v>163</v>
      </c>
      <c r="E91" s="30" t="s">
        <v>50</v>
      </c>
      <c r="F91" s="31">
        <v>44256</v>
      </c>
      <c r="G91" s="32">
        <v>4.576388888888889</v>
      </c>
      <c r="H91" s="31">
        <v>44248</v>
      </c>
      <c r="I91" s="32">
        <v>4.933333333333334</v>
      </c>
      <c r="J91" s="33">
        <f>F91-H91</f>
      </c>
      <c r="K91" s="28">
        <v>34</v>
      </c>
      <c r="L91" s="28">
        <v>6</v>
      </c>
      <c r="M91" s="28">
        <v>1</v>
      </c>
      <c r="N91" s="34"/>
      <c r="O91" s="34"/>
      <c r="P91" s="34"/>
      <c r="Q91" s="34"/>
      <c r="R91" s="34"/>
      <c r="S91" s="34"/>
      <c r="T91" s="34"/>
      <c r="U91" s="34"/>
      <c r="V91" s="34"/>
      <c r="W91" s="29"/>
      <c r="X91" s="28">
        <v>31</v>
      </c>
      <c r="Y91" s="28">
        <v>1</v>
      </c>
      <c r="Z91" s="28">
        <v>1</v>
      </c>
      <c r="AA91" s="28">
        <v>2</v>
      </c>
      <c r="AB91" s="28">
        <v>1</v>
      </c>
      <c r="AC91" s="28">
        <v>2</v>
      </c>
      <c r="AD91" s="28">
        <v>2</v>
      </c>
      <c r="AE91" s="28">
        <v>2</v>
      </c>
      <c r="AF91" s="28">
        <v>3</v>
      </c>
      <c r="AG91" s="28">
        <v>3</v>
      </c>
      <c r="AH91" s="29" t="s">
        <v>1336</v>
      </c>
      <c r="AI91" s="36">
        <f>IF(OR(AND(K91&lt;32, J91&lt;2), O91=1, P91=1, Q91=1, R91=1, S91=1, T91=1, U91=1, AND(W91&lt;&gt;"", W91&lt;&gt;"Oxygen", W91&lt;&gt;"LowFlow")), "Intensive", "Intermediate")</f>
      </c>
      <c r="AJ91" s="37">
        <f>IF(OR(LEFT(AH91, 1)="X", LEFT(AH91, 1)="Y", LEFT(AH91, 3)="J24M"), "CUSM", "No Match")</f>
      </c>
      <c r="AK91" s="37">
        <f>IF(AND(OR(O91=3, P91=1, Q91=1, T91=1), AJ91="no Match"), "CUSM, CHU SJ, CHUQ", "")</f>
      </c>
      <c r="AL91" s="37">
        <f>IF(AND(O91=2, ISBLANK(P91), ISBLANK(Q91), ISBLANK(R91), ISBLANK(S91), ISBLANK(T91)), "CUSM, CHU SJ, CHUS, CHUQ", "")</f>
      </c>
      <c r="AM91" s="37">
        <f>IF(AND(AJ91="no match", AK91="", AL91="", K91&lt;26), "CUSM, CHU SJ, HGJ, CHUQ, CHUS", "")</f>
      </c>
      <c r="AN91" s="37">
        <f>IF(AND(AJ91="no match", AK91="", AL91="", K91&gt;26), "CUSM, CHU SJ, HGJ, CHUQ, CHUS, HMR", "")</f>
      </c>
    </row>
    <row x14ac:dyDescent="0.25" r="92" customHeight="1" ht="17.25">
      <c r="A92" s="27" t="s">
        <v>1601</v>
      </c>
      <c r="B92" s="28">
        <v>2</v>
      </c>
      <c r="C92" s="28">
        <v>825</v>
      </c>
      <c r="D92" s="29" t="s">
        <v>77</v>
      </c>
      <c r="E92" s="30" t="s">
        <v>50</v>
      </c>
      <c r="F92" s="31">
        <v>44257</v>
      </c>
      <c r="G92" s="32">
        <v>4.201388888888889</v>
      </c>
      <c r="H92" s="31">
        <v>44256</v>
      </c>
      <c r="I92" s="32">
        <v>4.986111111111111</v>
      </c>
      <c r="J92" s="33">
        <f>F92-H92</f>
      </c>
      <c r="K92" s="28">
        <v>41</v>
      </c>
      <c r="L92" s="28">
        <v>3</v>
      </c>
      <c r="M92" s="28">
        <v>2</v>
      </c>
      <c r="N92" s="34"/>
      <c r="O92" s="34"/>
      <c r="P92" s="34"/>
      <c r="Q92" s="34"/>
      <c r="R92" s="34"/>
      <c r="S92" s="34"/>
      <c r="T92" s="34"/>
      <c r="U92" s="34"/>
      <c r="V92" s="34"/>
      <c r="W92" s="29" t="s">
        <v>58</v>
      </c>
      <c r="X92" s="28">
        <v>28</v>
      </c>
      <c r="Y92" s="28">
        <v>1</v>
      </c>
      <c r="Z92" s="28">
        <v>1</v>
      </c>
      <c r="AA92" s="28">
        <v>2</v>
      </c>
      <c r="AB92" s="28">
        <v>1</v>
      </c>
      <c r="AC92" s="28">
        <v>2</v>
      </c>
      <c r="AD92" s="28">
        <v>2</v>
      </c>
      <c r="AE92" s="28">
        <v>4</v>
      </c>
      <c r="AF92" s="28">
        <v>2</v>
      </c>
      <c r="AG92" s="28">
        <v>2</v>
      </c>
      <c r="AH92" s="29" t="s">
        <v>181</v>
      </c>
      <c r="AI92" s="36">
        <f>IF(OR(AND(K92&lt;32, J92&lt;2), O92=1, P92=1, Q92=1, R92=1, S92=1, T92=1, U92=1, AND(W92&lt;&gt;"", W92&lt;&gt;"Oxygen", W92&lt;&gt;"LowFlow")), "Intensive", "Intermediate")</f>
      </c>
      <c r="AJ92" s="37">
        <f>IF(OR(LEFT(AH92, 1)="X", LEFT(AH92, 1)="Y", LEFT(AH92, 3)="J25M"), "CUSM", "No Match")</f>
      </c>
      <c r="AK92" s="37">
        <f>IF(AND(OR(O92=3, P92=1, Q92=1, T92=1), AJ92="no Match"), "CUSM, CHU SJ, CHUQ", "")</f>
      </c>
      <c r="AL92" s="37">
        <f>IF(AND(O92=2, ISBLANK(P92), ISBLANK(Q92), ISBLANK(R92), ISBLANK(S92), ISBLANK(T92)), "CUSM, CHU SJ, CHUS, CHUQ", "")</f>
      </c>
      <c r="AM92" s="37">
        <f>IF(AND(AJ92="no match", AK92="", AL92="", K92&lt;26), "CUSM, CHU SJ, HGJ, CHUQ, CHUS", "")</f>
      </c>
      <c r="AN92" s="37">
        <f>IF(AND(AJ92="no match", AK92="", AL92="", K92&gt;26), "CUSM, CHU SJ, HGJ, CHUQ, CHUS, HMR", "")</f>
      </c>
    </row>
    <row x14ac:dyDescent="0.25" r="93" customHeight="1" ht="17.25">
      <c r="A93" s="27" t="s">
        <v>1602</v>
      </c>
      <c r="B93" s="28">
        <v>2</v>
      </c>
      <c r="C93" s="28">
        <v>782</v>
      </c>
      <c r="D93" s="29" t="s">
        <v>95</v>
      </c>
      <c r="E93" s="30" t="s">
        <v>50</v>
      </c>
      <c r="F93" s="31">
        <v>44257</v>
      </c>
      <c r="G93" s="32">
        <v>4.635416666666666</v>
      </c>
      <c r="H93" s="31">
        <v>44257</v>
      </c>
      <c r="I93" s="32">
        <v>4.473611111111111</v>
      </c>
      <c r="J93" s="33">
        <f>F93-H93</f>
      </c>
      <c r="K93" s="28">
        <v>39</v>
      </c>
      <c r="L93" s="28">
        <v>3</v>
      </c>
      <c r="M93" s="28">
        <v>1</v>
      </c>
      <c r="N93" s="35">
        <v>1</v>
      </c>
      <c r="O93" s="34"/>
      <c r="P93" s="34"/>
      <c r="Q93" s="34"/>
      <c r="R93" s="34"/>
      <c r="S93" s="34"/>
      <c r="T93" s="34"/>
      <c r="U93" s="34"/>
      <c r="V93" s="34"/>
      <c r="W93" s="29" t="s">
        <v>58</v>
      </c>
      <c r="X93" s="28">
        <v>32</v>
      </c>
      <c r="Y93" s="28">
        <v>1</v>
      </c>
      <c r="Z93" s="28">
        <v>2</v>
      </c>
      <c r="AA93" s="28">
        <v>2</v>
      </c>
      <c r="AB93" s="28">
        <v>1</v>
      </c>
      <c r="AC93" s="28">
        <v>2</v>
      </c>
      <c r="AD93" s="28">
        <v>2</v>
      </c>
      <c r="AE93" s="28">
        <v>4</v>
      </c>
      <c r="AF93" s="28">
        <v>3</v>
      </c>
      <c r="AG93" s="28">
        <v>2</v>
      </c>
      <c r="AH93" s="29" t="s">
        <v>1603</v>
      </c>
      <c r="AI93" s="36">
        <f>IF(OR(AND(K93&lt;32, J93&lt;2), O93=1, P93=1, Q93=1, R93=1, S93=1, T93=1, U93=1, AND(W93&lt;&gt;"", W93&lt;&gt;"Oxygen", W93&lt;&gt;"LowFlow")), "Intensive", "Intermediate")</f>
      </c>
      <c r="AJ93" s="37">
        <f>IF(OR(LEFT(AH93, 1)="X", LEFT(AH93, 1)="Y", LEFT(AH93, 3)="J26M"), "CUSM", "No Match")</f>
      </c>
      <c r="AK93" s="37">
        <f>IF(AND(OR(O93=3, P93=1, Q93=1, T93=1), AJ93="no Match"), "CUSM, CHU SJ, CHUQ", "")</f>
      </c>
      <c r="AL93" s="37">
        <f>IF(AND(O93=2, ISBLANK(P93), ISBLANK(Q93), ISBLANK(R93), ISBLANK(S93), ISBLANK(T93)), "CUSM, CHU SJ, CHUS, CHUQ", "")</f>
      </c>
      <c r="AM93" s="37">
        <f>IF(AND(AJ93="no match", AK93="", AL93="", K93&lt;26), "CUSM, CHU SJ, HGJ, CHUQ, CHUS", "")</f>
      </c>
      <c r="AN93" s="37">
        <f>IF(AND(AJ93="no match", AK93="", AL93="", K93&gt;26), "CUSM, CHU SJ, HGJ, CHUQ, CHUS, HMR", "")</f>
      </c>
    </row>
    <row x14ac:dyDescent="0.25" r="94" customHeight="1" ht="17.25">
      <c r="A94" s="27" t="s">
        <v>1604</v>
      </c>
      <c r="B94" s="28">
        <v>2</v>
      </c>
      <c r="C94" s="28">
        <v>740</v>
      </c>
      <c r="D94" s="29" t="s">
        <v>409</v>
      </c>
      <c r="E94" s="30" t="s">
        <v>149</v>
      </c>
      <c r="F94" s="31">
        <v>44258</v>
      </c>
      <c r="G94" s="32">
        <v>4.461805555555555</v>
      </c>
      <c r="H94" s="31">
        <v>44258</v>
      </c>
      <c r="I94" s="32">
        <v>4.26875</v>
      </c>
      <c r="J94" s="33">
        <f>F94-H94</f>
      </c>
      <c r="K94" s="28">
        <v>36</v>
      </c>
      <c r="L94" s="28">
        <v>0</v>
      </c>
      <c r="M94" s="28">
        <v>1</v>
      </c>
      <c r="N94" s="34"/>
      <c r="O94" s="34"/>
      <c r="P94" s="34"/>
      <c r="Q94" s="34"/>
      <c r="R94" s="34"/>
      <c r="S94" s="34"/>
      <c r="T94" s="34"/>
      <c r="U94" s="34"/>
      <c r="V94" s="34"/>
      <c r="W94" s="29" t="s">
        <v>58</v>
      </c>
      <c r="X94" s="28">
        <v>28</v>
      </c>
      <c r="Y94" s="28">
        <v>1</v>
      </c>
      <c r="Z94" s="28">
        <v>2</v>
      </c>
      <c r="AA94" s="28">
        <v>1</v>
      </c>
      <c r="AB94" s="28">
        <v>1</v>
      </c>
      <c r="AC94" s="28">
        <v>2</v>
      </c>
      <c r="AD94" s="28">
        <v>1</v>
      </c>
      <c r="AE94" s="28">
        <v>2</v>
      </c>
      <c r="AF94" s="28">
        <v>2</v>
      </c>
      <c r="AG94" s="28">
        <v>2</v>
      </c>
      <c r="AH94" s="29" t="s">
        <v>1605</v>
      </c>
      <c r="AI94" s="36">
        <f>IF(OR(AND(K94&lt;32, J94&lt;2), O94=1, P94=1, Q94=1, R94=1, S94=1, T94=1, U94=1, AND(W94&lt;&gt;"", W94&lt;&gt;"Oxygen", W94&lt;&gt;"LowFlow")), "Intensive", "Intermediate")</f>
      </c>
      <c r="AJ94" s="37">
        <f>IF(OR(LEFT(AH94, 1)="X", LEFT(AH94, 1)="Y", LEFT(AH94, 3)="J27M"), "CUSM", "No Match")</f>
      </c>
      <c r="AK94" s="37">
        <f>IF(AND(OR(O94=3, P94=1, Q94=1, T94=1), AJ94="no Match"), "CUSM, CHU SJ, CHUQ", "")</f>
      </c>
      <c r="AL94" s="37">
        <f>IF(AND(O94=2, ISBLANK(P94), ISBLANK(Q94), ISBLANK(R94), ISBLANK(S94), ISBLANK(T94)), "CUSM, CHU SJ, CHUS, CHUQ", "")</f>
      </c>
      <c r="AM94" s="37">
        <f>IF(AND(AJ94="no match", AK94="", AL94="", K94&lt;26), "CUSM, CHU SJ, HGJ, CHUQ, CHUS", "")</f>
      </c>
      <c r="AN94" s="37">
        <f>IF(AND(AJ94="no match", AK94="", AL94="", K94&gt;26), "CUSM, CHU SJ, HGJ, CHUQ, CHUS, HMR", "")</f>
      </c>
    </row>
    <row x14ac:dyDescent="0.25" r="95" customHeight="1" ht="17.25">
      <c r="A95" s="27" t="s">
        <v>1606</v>
      </c>
      <c r="B95" s="28">
        <v>2</v>
      </c>
      <c r="C95" s="28">
        <v>796</v>
      </c>
      <c r="D95" s="29" t="s">
        <v>63</v>
      </c>
      <c r="E95" s="30" t="s">
        <v>78</v>
      </c>
      <c r="F95" s="31">
        <v>44258</v>
      </c>
      <c r="G95" s="32">
        <v>4.597222222222222</v>
      </c>
      <c r="H95" s="31">
        <v>44257</v>
      </c>
      <c r="I95" s="32">
        <v>4.5625</v>
      </c>
      <c r="J95" s="33">
        <f>F95-H95</f>
      </c>
      <c r="K95" s="28">
        <v>37</v>
      </c>
      <c r="L95" s="28">
        <v>0</v>
      </c>
      <c r="M95" s="28">
        <v>1</v>
      </c>
      <c r="N95" s="38"/>
      <c r="O95" s="38"/>
      <c r="P95" s="38"/>
      <c r="Q95" s="34"/>
      <c r="R95" s="34"/>
      <c r="S95" s="34"/>
      <c r="T95" s="38"/>
      <c r="U95" s="34"/>
      <c r="V95" s="34"/>
      <c r="W95" s="29" t="s">
        <v>74</v>
      </c>
      <c r="X95" s="28">
        <v>30</v>
      </c>
      <c r="Y95" s="28">
        <v>1</v>
      </c>
      <c r="Z95" s="28">
        <v>2</v>
      </c>
      <c r="AA95" s="28">
        <v>2</v>
      </c>
      <c r="AB95" s="28">
        <v>1</v>
      </c>
      <c r="AC95" s="28">
        <v>2</v>
      </c>
      <c r="AD95" s="28">
        <v>1</v>
      </c>
      <c r="AE95" s="28">
        <v>2</v>
      </c>
      <c r="AF95" s="28">
        <v>2</v>
      </c>
      <c r="AG95" s="28">
        <v>2</v>
      </c>
      <c r="AH95" s="29" t="s">
        <v>1607</v>
      </c>
      <c r="AI95" s="36">
        <f>IF(OR(AND(K95&lt;32, J95&lt;2), O95=1, P95=1, Q95=1, R95=1, S95=1, T95=1, U95=1, AND(W95&lt;&gt;"", W95&lt;&gt;"Oxygen", W95&lt;&gt;"LowFlow")), "Intensive", "Intermediate")</f>
      </c>
      <c r="AJ95" s="37">
        <f>IF(OR(LEFT(AH95, 1)="X", LEFT(AH95, 1)="Y", LEFT(AH95, 3)="J28M"), "CUSM", "No Match")</f>
      </c>
      <c r="AK95" s="37">
        <f>IF(AND(OR(O95=3, P95=1, Q95=1, T95=1), AJ95="no Match"), "CUSM, CHU SJ, CHUQ", "")</f>
      </c>
      <c r="AL95" s="37">
        <f>IF(AND(O95=2, ISBLANK(P95), ISBLANK(Q95), ISBLANK(R95), ISBLANK(S95), ISBLANK(T95)), "CUSM, CHU SJ, CHUS, CHUQ", "")</f>
      </c>
      <c r="AM95" s="37">
        <f>IF(AND(AJ95="no match", AK95="", AL95="", K95&lt;26), "CUSM, CHU SJ, HGJ, CHUQ, CHUS", "")</f>
      </c>
      <c r="AN95" s="37">
        <f>IF(AND(AJ95="no match", AK95="", AL95="", K95&gt;26), "CUSM, CHU SJ, HGJ, CHUQ, CHUS, HMR", "")</f>
      </c>
    </row>
    <row x14ac:dyDescent="0.25" r="96" customHeight="1" ht="17.25">
      <c r="A96" s="27" t="s">
        <v>1608</v>
      </c>
      <c r="B96" s="28">
        <v>2</v>
      </c>
      <c r="C96" s="35">
        <v>820</v>
      </c>
      <c r="D96" s="29" t="s">
        <v>69</v>
      </c>
      <c r="E96" s="30" t="s">
        <v>50</v>
      </c>
      <c r="F96" s="31">
        <v>44258</v>
      </c>
      <c r="G96" s="32">
        <v>4.128472222222222</v>
      </c>
      <c r="H96" s="31">
        <v>44257</v>
      </c>
      <c r="I96" s="32">
        <v>4.961805555555555</v>
      </c>
      <c r="J96" s="33">
        <f>F96-H96</f>
      </c>
      <c r="K96" s="28">
        <v>39</v>
      </c>
      <c r="L96" s="28">
        <v>3</v>
      </c>
      <c r="M96" s="28">
        <v>1</v>
      </c>
      <c r="N96" s="34"/>
      <c r="O96" s="34"/>
      <c r="P96" s="34"/>
      <c r="Q96" s="34"/>
      <c r="R96" s="34"/>
      <c r="S96" s="34"/>
      <c r="T96" s="28">
        <v>1</v>
      </c>
      <c r="U96" s="34"/>
      <c r="V96" s="34"/>
      <c r="W96" s="29" t="s">
        <v>74</v>
      </c>
      <c r="X96" s="28">
        <v>34</v>
      </c>
      <c r="Y96" s="28">
        <v>1</v>
      </c>
      <c r="Z96" s="28">
        <v>1</v>
      </c>
      <c r="AA96" s="28">
        <v>2</v>
      </c>
      <c r="AB96" s="28">
        <v>1</v>
      </c>
      <c r="AC96" s="28">
        <v>2</v>
      </c>
      <c r="AD96" s="28">
        <v>2</v>
      </c>
      <c r="AE96" s="28">
        <v>4</v>
      </c>
      <c r="AF96" s="28">
        <v>3</v>
      </c>
      <c r="AG96" s="28">
        <v>2</v>
      </c>
      <c r="AH96" s="29" t="s">
        <v>1609</v>
      </c>
      <c r="AI96" s="36">
        <f>IF(OR(AND(K96&lt;32, J96&lt;2), O96=1, P96=1, Q96=1, R96=1, S96=1, T96=1, U96=1, AND(W96&lt;&gt;"", W96&lt;&gt;"Oxygen", W96&lt;&gt;"LowFlow")), "Intensive", "Intermediate")</f>
      </c>
      <c r="AJ96" s="37">
        <f>IF(OR(LEFT(AH96, 1)="X", LEFT(AH96, 1)="Y", LEFT(AH96, 3)="J29M"), "CUSM", "No Match")</f>
      </c>
      <c r="AK96" s="37">
        <f>IF(AND(OR(O96=3, P96=1, Q96=1, T96=1), AJ96="no Match"), "CUSM, CHU SJ, CHUQ", "")</f>
      </c>
      <c r="AL96" s="37">
        <f>IF(AND(O96=2, ISBLANK(P96), ISBLANK(Q96), ISBLANK(R96), ISBLANK(S96), ISBLANK(T96)), "CUSM, CHU SJ, CHUS, CHUQ", "")</f>
      </c>
      <c r="AM96" s="37">
        <f>IF(AND(AJ96="no match", AK96="", AL96="", K96&lt;26), "CUSM, CHU SJ, HGJ, CHUQ, CHUS", "")</f>
      </c>
      <c r="AN96" s="37">
        <f>IF(AND(AJ96="no match", AK96="", AL96="", K96&gt;26), "CUSM, CHU SJ, HGJ, CHUQ, CHUS, HMR", "")</f>
      </c>
    </row>
    <row x14ac:dyDescent="0.25" r="97" customHeight="1" ht="17.25">
      <c r="A97" s="27" t="s">
        <v>1610</v>
      </c>
      <c r="B97" s="28">
        <v>2</v>
      </c>
      <c r="C97" s="35">
        <v>831</v>
      </c>
      <c r="D97" s="29" t="s">
        <v>313</v>
      </c>
      <c r="E97" s="30" t="s">
        <v>50</v>
      </c>
      <c r="F97" s="31">
        <v>44258</v>
      </c>
      <c r="G97" s="32">
        <v>4.586805555555555</v>
      </c>
      <c r="H97" s="31">
        <v>44257</v>
      </c>
      <c r="I97" s="32">
        <v>4.967361111111111</v>
      </c>
      <c r="J97" s="33">
        <f>F97-H97</f>
      </c>
      <c r="K97" s="28">
        <v>39</v>
      </c>
      <c r="L97" s="28">
        <v>4</v>
      </c>
      <c r="M97" s="28">
        <v>1</v>
      </c>
      <c r="N97" s="34"/>
      <c r="O97" s="34"/>
      <c r="P97" s="34"/>
      <c r="Q97" s="34"/>
      <c r="R97" s="34"/>
      <c r="S97" s="34"/>
      <c r="T97" s="38"/>
      <c r="U97" s="34"/>
      <c r="V97" s="34"/>
      <c r="W97" s="29" t="s">
        <v>58</v>
      </c>
      <c r="X97" s="28">
        <v>27</v>
      </c>
      <c r="Y97" s="28">
        <v>1</v>
      </c>
      <c r="Z97" s="28">
        <v>1</v>
      </c>
      <c r="AA97" s="28">
        <v>1</v>
      </c>
      <c r="AB97" s="28">
        <v>1</v>
      </c>
      <c r="AC97" s="28">
        <v>2</v>
      </c>
      <c r="AD97" s="28">
        <v>2</v>
      </c>
      <c r="AE97" s="28">
        <v>4</v>
      </c>
      <c r="AF97" s="28">
        <v>1</v>
      </c>
      <c r="AG97" s="28">
        <v>2</v>
      </c>
      <c r="AH97" s="29" t="s">
        <v>1611</v>
      </c>
      <c r="AI97" s="36">
        <f>IF(OR(AND(K97&lt;32, J97&lt;2), O97=1, P97=1, Q97=1, R97=1, S97=1, T97=1, U97=1, AND(W97&lt;&gt;"", W97&lt;&gt;"Oxygen", W97&lt;&gt;"LowFlow")), "Intensive", "Intermediate")</f>
      </c>
      <c r="AJ97" s="37">
        <f>IF(OR(LEFT(AH97, 1)="X", LEFT(AH97, 1)="Y", LEFT(AH97, 3)="J30M"), "CUSM", "No Match")</f>
      </c>
      <c r="AK97" s="37">
        <f>IF(AND(OR(O97=3, P97=1, Q97=1, T97=1), AJ97="no Match"), "CUSM, CHU SJ, CHUQ", "")</f>
      </c>
      <c r="AL97" s="37">
        <f>IF(AND(O97=2, ISBLANK(P97), ISBLANK(Q97), ISBLANK(R97), ISBLANK(S97), ISBLANK(T97)), "CUSM, CHU SJ, CHUS, CHUQ", "")</f>
      </c>
      <c r="AM97" s="37">
        <f>IF(AND(AJ97="no match", AK97="", AL97="", K97&lt;26), "CUSM, CHU SJ, HGJ, CHUQ, CHUS", "")</f>
      </c>
      <c r="AN97" s="37">
        <f>IF(AND(AJ97="no match", AK97="", AL97="", K97&gt;26), "CUSM, CHU SJ, HGJ, CHUQ, CHUS, HMR", "")</f>
      </c>
    </row>
    <row x14ac:dyDescent="0.25" r="98" customHeight="1" ht="17.25">
      <c r="A98" s="27" t="s">
        <v>1612</v>
      </c>
      <c r="B98" s="28">
        <v>2</v>
      </c>
      <c r="C98" s="35">
        <v>817</v>
      </c>
      <c r="D98" s="29" t="s">
        <v>163</v>
      </c>
      <c r="E98" s="30" t="s">
        <v>54</v>
      </c>
      <c r="F98" s="31">
        <v>44259</v>
      </c>
      <c r="G98" s="32">
        <v>4.597222222222222</v>
      </c>
      <c r="H98" s="31">
        <v>44256</v>
      </c>
      <c r="I98" s="32">
        <v>4.35625</v>
      </c>
      <c r="J98" s="33">
        <f>F98-H98</f>
      </c>
      <c r="K98" s="28">
        <v>39</v>
      </c>
      <c r="L98" s="28">
        <v>0</v>
      </c>
      <c r="M98" s="28">
        <v>1</v>
      </c>
      <c r="N98" s="34"/>
      <c r="O98" s="34"/>
      <c r="P98" s="34"/>
      <c r="Q98" s="34"/>
      <c r="R98" s="34"/>
      <c r="S98" s="34"/>
      <c r="T98" s="34"/>
      <c r="U98" s="34"/>
      <c r="V98" s="34"/>
      <c r="W98" s="29" t="s">
        <v>58</v>
      </c>
      <c r="X98" s="28">
        <v>28</v>
      </c>
      <c r="Y98" s="28">
        <v>1</v>
      </c>
      <c r="Z98" s="28">
        <v>2</v>
      </c>
      <c r="AA98" s="28">
        <v>2</v>
      </c>
      <c r="AB98" s="28">
        <v>1</v>
      </c>
      <c r="AC98" s="28">
        <v>3</v>
      </c>
      <c r="AD98" s="28">
        <v>1</v>
      </c>
      <c r="AE98" s="28">
        <v>2</v>
      </c>
      <c r="AF98" s="28">
        <v>3</v>
      </c>
      <c r="AG98" s="28">
        <v>2</v>
      </c>
      <c r="AH98" s="29" t="s">
        <v>1101</v>
      </c>
      <c r="AI98" s="36">
        <f>IF(OR(AND(K98&lt;32, J98&lt;2), O98=1, P98=1, Q98=1, R98=1, S98=1, T98=1, U98=1, AND(W98&lt;&gt;"", W98&lt;&gt;"Oxygen", W98&lt;&gt;"LowFlow")), "Intensive", "Intermediate")</f>
      </c>
      <c r="AJ98" s="37">
        <f>IF(OR(LEFT(AH98, 1)="X", LEFT(AH98, 1)="Y", LEFT(AH98, 3)="J31M"), "CUSM", "No Match")</f>
      </c>
      <c r="AK98" s="37">
        <f>IF(AND(OR(O98=3, P98=1, Q98=1, T98=1), AJ98="no Match"), "CUSM, CHU SJ, CHUQ", "")</f>
      </c>
      <c r="AL98" s="37">
        <f>IF(AND(O98=2, ISBLANK(P98), ISBLANK(Q98), ISBLANK(R98), ISBLANK(S98), ISBLANK(T98)), "CUSM, CHU SJ, CHUS, CHUQ", "")</f>
      </c>
      <c r="AM98" s="37">
        <f>IF(AND(AJ98="no match", AK98="", AL98="", K98&lt;26), "CUSM, CHU SJ, HGJ, CHUQ, CHUS", "")</f>
      </c>
      <c r="AN98" s="37">
        <f>IF(AND(AJ98="no match", AK98="", AL98="", K98&gt;26), "CUSM, CHU SJ, HGJ, CHUQ, CHUS, HMR", "")</f>
      </c>
    </row>
    <row x14ac:dyDescent="0.25" r="99" customHeight="1" ht="17.25">
      <c r="A99" s="27" t="s">
        <v>1613</v>
      </c>
      <c r="B99" s="28">
        <v>2</v>
      </c>
      <c r="C99" s="35">
        <v>760</v>
      </c>
      <c r="D99" s="29" t="s">
        <v>557</v>
      </c>
      <c r="E99" s="30" t="s">
        <v>149</v>
      </c>
      <c r="F99" s="31">
        <v>44260</v>
      </c>
      <c r="G99" s="32">
        <v>4.280555555555555</v>
      </c>
      <c r="H99" s="31">
        <v>44259</v>
      </c>
      <c r="I99" s="32">
        <v>4.759027777777778</v>
      </c>
      <c r="J99" s="33">
        <f>F99-H99</f>
      </c>
      <c r="K99" s="28">
        <v>36</v>
      </c>
      <c r="L99" s="28">
        <v>0</v>
      </c>
      <c r="M99" s="28">
        <v>1</v>
      </c>
      <c r="N99" s="34"/>
      <c r="O99" s="34"/>
      <c r="P99" s="34"/>
      <c r="Q99" s="34"/>
      <c r="R99" s="34"/>
      <c r="S99" s="34"/>
      <c r="T99" s="34"/>
      <c r="U99" s="34"/>
      <c r="V99" s="34"/>
      <c r="W99" s="29" t="s">
        <v>164</v>
      </c>
      <c r="X99" s="28">
        <v>35</v>
      </c>
      <c r="Y99" s="28">
        <v>1</v>
      </c>
      <c r="Z99" s="28">
        <v>2</v>
      </c>
      <c r="AA99" s="28">
        <v>3</v>
      </c>
      <c r="AB99" s="28">
        <v>4</v>
      </c>
      <c r="AC99" s="28">
        <v>2</v>
      </c>
      <c r="AD99" s="28">
        <v>2</v>
      </c>
      <c r="AE99" s="28">
        <v>4</v>
      </c>
      <c r="AF99" s="28">
        <v>3</v>
      </c>
      <c r="AG99" s="28">
        <v>3</v>
      </c>
      <c r="AH99" s="29" t="s">
        <v>1614</v>
      </c>
      <c r="AI99" s="36">
        <f>IF(OR(AND(K99&lt;32, J99&lt;2), O99=1, P99=1, Q99=1, R99=1, S99=1, T99=1, U99=1, AND(W99&lt;&gt;"", W99&lt;&gt;"Oxygen", W99&lt;&gt;"LowFlow")), "Intensive", "Intermediate")</f>
      </c>
      <c r="AJ99" s="37">
        <f>IF(OR(LEFT(AH99, 1)="X", LEFT(AH99, 1)="Y", LEFT(AH99, 3)="J32M"), "CUSM", "No Match")</f>
      </c>
      <c r="AK99" s="37">
        <f>IF(AND(OR(O99=3, P99=1, Q99=1, T99=1), AJ99="no Match"), "CUSM, CHU SJ, CHUQ", "")</f>
      </c>
      <c r="AL99" s="37">
        <f>IF(AND(O99=2, ISBLANK(P99), ISBLANK(Q99), ISBLANK(R99), ISBLANK(S99), ISBLANK(T99)), "CUSM, CHU SJ, CHUS, CHUQ", "")</f>
      </c>
      <c r="AM99" s="37">
        <f>IF(AND(AJ99="no match", AK99="", AL99="", K99&lt;26), "CUSM, CHU SJ, HGJ, CHUQ, CHUS", "")</f>
      </c>
      <c r="AN99" s="37">
        <f>IF(AND(AJ99="no match", AK99="", AL99="", K99&gt;26), "CUSM, CHU SJ, HGJ, CHUQ, CHUS, HMR", "")</f>
      </c>
    </row>
    <row x14ac:dyDescent="0.25" r="100" customHeight="1" ht="17.25">
      <c r="A100" s="27" t="s">
        <v>1615</v>
      </c>
      <c r="B100" s="28">
        <v>2</v>
      </c>
      <c r="C100" s="28">
        <v>814</v>
      </c>
      <c r="D100" s="29" t="s">
        <v>285</v>
      </c>
      <c r="E100" s="30" t="s">
        <v>50</v>
      </c>
      <c r="F100" s="31">
        <v>44260</v>
      </c>
      <c r="G100" s="32">
        <v>4.829861111111111</v>
      </c>
      <c r="H100" s="31">
        <v>44259</v>
      </c>
      <c r="I100" s="32">
        <v>4.917361111111111</v>
      </c>
      <c r="J100" s="33">
        <f>F100-H100</f>
      </c>
      <c r="K100" s="28">
        <v>37</v>
      </c>
      <c r="L100" s="28">
        <v>2</v>
      </c>
      <c r="M100" s="28">
        <v>1</v>
      </c>
      <c r="N100" s="38"/>
      <c r="O100" s="34"/>
      <c r="P100" s="38"/>
      <c r="Q100" s="34"/>
      <c r="R100" s="34"/>
      <c r="S100" s="34"/>
      <c r="T100" s="34"/>
      <c r="U100" s="34"/>
      <c r="V100" s="34"/>
      <c r="W100" s="29"/>
      <c r="X100" s="28">
        <v>36</v>
      </c>
      <c r="Y100" s="28">
        <v>1</v>
      </c>
      <c r="Z100" s="28">
        <v>1</v>
      </c>
      <c r="AA100" s="28">
        <v>2</v>
      </c>
      <c r="AB100" s="28">
        <v>2</v>
      </c>
      <c r="AC100" s="28">
        <v>2</v>
      </c>
      <c r="AD100" s="28">
        <v>2</v>
      </c>
      <c r="AE100" s="28">
        <v>4</v>
      </c>
      <c r="AF100" s="28">
        <v>2</v>
      </c>
      <c r="AG100" s="28">
        <v>2</v>
      </c>
      <c r="AH100" s="29" t="s">
        <v>1616</v>
      </c>
      <c r="AI100" s="36">
        <f>IF(OR(AND(K100&lt;32, J100&lt;2), O100=1, P100=1, Q100=1, R100=1, S100=1, T100=1, U100=1, AND(W100&lt;&gt;"", W100&lt;&gt;"Oxygen", W100&lt;&gt;"LowFlow")), "Intensive", "Intermediate")</f>
      </c>
      <c r="AJ100" s="37">
        <f>IF(OR(LEFT(AH100, 1)="X", LEFT(AH100, 1)="Y", LEFT(AH100, 3)="J33M"), "CUSM", "No Match")</f>
      </c>
      <c r="AK100" s="37">
        <f>IF(AND(OR(O100=3, P100=1, Q100=1, T100=1), AJ100="no Match"), "CUSM, CHU SJ, CHUQ", "")</f>
      </c>
      <c r="AL100" s="37">
        <f>IF(AND(O100=2, ISBLANK(P100), ISBLANK(Q100), ISBLANK(R100), ISBLANK(S100), ISBLANK(T100)), "CUSM, CHU SJ, CHUS, CHUQ", "")</f>
      </c>
      <c r="AM100" s="37">
        <f>IF(AND(AJ100="no match", AK100="", AL100="", K100&lt;26), "CUSM, CHU SJ, HGJ, CHUQ, CHUS", "")</f>
      </c>
      <c r="AN100" s="37">
        <f>IF(AND(AJ100="no match", AK100="", AL100="", K100&gt;26), "CUSM, CHU SJ, HGJ, CHUQ, CHUS, HMR", "")</f>
      </c>
    </row>
    <row x14ac:dyDescent="0.25" r="101" customHeight="1" ht="17.25">
      <c r="A101" s="27" t="s">
        <v>1617</v>
      </c>
      <c r="B101" s="28">
        <v>2</v>
      </c>
      <c r="C101" s="35">
        <v>782</v>
      </c>
      <c r="D101" s="29" t="s">
        <v>95</v>
      </c>
      <c r="E101" s="30" t="s">
        <v>50</v>
      </c>
      <c r="F101" s="31">
        <v>44260</v>
      </c>
      <c r="G101" s="32">
        <v>4.753472222222222</v>
      </c>
      <c r="H101" s="31">
        <v>44260</v>
      </c>
      <c r="I101" s="32">
        <v>4.446527777777778</v>
      </c>
      <c r="J101" s="33">
        <f>F101-H101</f>
      </c>
      <c r="K101" s="28">
        <v>35</v>
      </c>
      <c r="L101" s="28">
        <v>5</v>
      </c>
      <c r="M101" s="28">
        <v>2</v>
      </c>
      <c r="N101" s="34"/>
      <c r="O101" s="34"/>
      <c r="P101" s="34"/>
      <c r="Q101" s="34"/>
      <c r="R101" s="34"/>
      <c r="S101" s="34"/>
      <c r="T101" s="34"/>
      <c r="U101" s="34"/>
      <c r="V101" s="34"/>
      <c r="W101" s="29" t="s">
        <v>58</v>
      </c>
      <c r="X101" s="28">
        <v>31</v>
      </c>
      <c r="Y101" s="28">
        <v>1</v>
      </c>
      <c r="Z101" s="28">
        <v>1</v>
      </c>
      <c r="AA101" s="28">
        <v>1</v>
      </c>
      <c r="AB101" s="28">
        <v>1</v>
      </c>
      <c r="AC101" s="28">
        <v>2</v>
      </c>
      <c r="AD101" s="28">
        <v>2</v>
      </c>
      <c r="AE101" s="28">
        <v>4</v>
      </c>
      <c r="AF101" s="28">
        <v>3</v>
      </c>
      <c r="AG101" s="28">
        <v>3</v>
      </c>
      <c r="AH101" s="29" t="s">
        <v>1618</v>
      </c>
      <c r="AI101" s="36">
        <f>IF(OR(AND(K101&lt;32, J101&lt;2), O101=1, P101=1, Q101=1, R101=1, S101=1, T101=1, U101=1, AND(W101&lt;&gt;"", W101&lt;&gt;"Oxygen", W101&lt;&gt;"LowFlow")), "Intensive", "Intermediate")</f>
      </c>
      <c r="AJ101" s="37">
        <f>IF(OR(LEFT(AH101, 1)="X", LEFT(AH101, 1)="Y", LEFT(AH101, 3)="J34M"), "CUSM", "No Match")</f>
      </c>
      <c r="AK101" s="37">
        <f>IF(AND(OR(O101=3, P101=1, Q101=1, T101=1), AJ101="no Match"), "CUSM, CHU SJ, CHUQ", "")</f>
      </c>
      <c r="AL101" s="37">
        <f>IF(AND(O101=2, ISBLANK(P101), ISBLANK(Q101), ISBLANK(R101), ISBLANK(S101), ISBLANK(T101)), "CUSM, CHU SJ, CHUS, CHUQ", "")</f>
      </c>
      <c r="AM101" s="37">
        <f>IF(AND(AJ101="no match", AK101="", AL101="", K101&lt;26), "CUSM, CHU SJ, HGJ, CHUQ, CHUS", "")</f>
      </c>
      <c r="AN101" s="37">
        <f>IF(AND(AJ101="no match", AK101="", AL101="", K101&gt;26), "CUSM, CHU SJ, HGJ, CHUQ, CHUS, HMR", "")</f>
      </c>
    </row>
    <row x14ac:dyDescent="0.25" r="102" customHeight="1" ht="17.25">
      <c r="A102" s="27" t="s">
        <v>1619</v>
      </c>
      <c r="B102" s="28">
        <v>2</v>
      </c>
      <c r="C102" s="35">
        <v>824</v>
      </c>
      <c r="D102" s="29" t="s">
        <v>57</v>
      </c>
      <c r="E102" s="30" t="s">
        <v>50</v>
      </c>
      <c r="F102" s="31">
        <v>44260</v>
      </c>
      <c r="G102" s="32">
        <v>4.447916666666666</v>
      </c>
      <c r="H102" s="31">
        <v>44260</v>
      </c>
      <c r="I102" s="32">
        <v>4.141666666666667</v>
      </c>
      <c r="J102" s="33">
        <f>F102-H102</f>
      </c>
      <c r="K102" s="28">
        <v>35</v>
      </c>
      <c r="L102" s="28">
        <v>2</v>
      </c>
      <c r="M102" s="28">
        <v>2</v>
      </c>
      <c r="N102" s="34"/>
      <c r="O102" s="34"/>
      <c r="P102" s="34"/>
      <c r="Q102" s="34"/>
      <c r="R102" s="34"/>
      <c r="S102" s="34"/>
      <c r="T102" s="34"/>
      <c r="U102" s="34"/>
      <c r="V102" s="34"/>
      <c r="W102" s="29" t="s">
        <v>74</v>
      </c>
      <c r="X102" s="28">
        <v>30</v>
      </c>
      <c r="Y102" s="28">
        <v>1</v>
      </c>
      <c r="Z102" s="28">
        <v>1</v>
      </c>
      <c r="AA102" s="28">
        <v>1</v>
      </c>
      <c r="AB102" s="28">
        <v>1</v>
      </c>
      <c r="AC102" s="28">
        <v>1</v>
      </c>
      <c r="AD102" s="28">
        <v>2</v>
      </c>
      <c r="AE102" s="28">
        <v>2</v>
      </c>
      <c r="AF102" s="28">
        <v>2</v>
      </c>
      <c r="AG102" s="28">
        <v>2</v>
      </c>
      <c r="AH102" s="29" t="s">
        <v>1620</v>
      </c>
      <c r="AI102" s="36">
        <f>IF(OR(AND(K102&lt;32, J102&lt;2), O102=1, P102=1, Q102=1, R102=1, S102=1, T102=1, U102=1, AND(W102&lt;&gt;"", W102&lt;&gt;"Oxygen", W102&lt;&gt;"LowFlow")), "Intensive", "Intermediate")</f>
      </c>
      <c r="AJ102" s="37">
        <f>IF(OR(LEFT(AH102, 1)="X", LEFT(AH102, 1)="Y", LEFT(AH102, 3)="J35M"), "CUSM", "No Match")</f>
      </c>
      <c r="AK102" s="37">
        <f>IF(AND(OR(O102=3, P102=1, Q102=1, T102=1), AJ102="no Match"), "CUSM, CHU SJ, CHUQ", "")</f>
      </c>
      <c r="AL102" s="37">
        <f>IF(AND(O102=2, ISBLANK(P102), ISBLANK(Q102), ISBLANK(R102), ISBLANK(S102), ISBLANK(T102)), "CUSM, CHU SJ, CHUS, CHUQ", "")</f>
      </c>
      <c r="AM102" s="37">
        <f>IF(AND(AJ102="no match", AK102="", AL102="", K102&lt;26), "CUSM, CHU SJ, HGJ, CHUQ, CHUS", "")</f>
      </c>
      <c r="AN102" s="37">
        <f>IF(AND(AJ102="no match", AK102="", AL102="", K102&gt;26), "CUSM, CHU SJ, HGJ, CHUQ, CHUS, HMR", "")</f>
      </c>
    </row>
    <row x14ac:dyDescent="0.25" r="103" customHeight="1" ht="17.25">
      <c r="A103" s="27" t="s">
        <v>1621</v>
      </c>
      <c r="B103" s="28">
        <v>2</v>
      </c>
      <c r="C103" s="35">
        <v>733</v>
      </c>
      <c r="D103" s="29" t="s">
        <v>433</v>
      </c>
      <c r="E103" s="30" t="s">
        <v>220</v>
      </c>
      <c r="F103" s="31">
        <v>44260</v>
      </c>
      <c r="G103" s="32">
        <v>4.557638888888889</v>
      </c>
      <c r="H103" s="31">
        <v>44254</v>
      </c>
      <c r="I103" s="32">
        <v>4.470833333333333</v>
      </c>
      <c r="J103" s="33">
        <f>F103-H103</f>
      </c>
      <c r="K103" s="28">
        <v>32</v>
      </c>
      <c r="L103" s="28">
        <v>3</v>
      </c>
      <c r="M103" s="28">
        <v>2</v>
      </c>
      <c r="N103" s="34"/>
      <c r="O103" s="34"/>
      <c r="P103" s="34"/>
      <c r="Q103" s="34"/>
      <c r="R103" s="34"/>
      <c r="S103" s="34"/>
      <c r="T103" s="34"/>
      <c r="U103" s="34"/>
      <c r="V103" s="34"/>
      <c r="W103" s="29" t="s">
        <v>58</v>
      </c>
      <c r="X103" s="28">
        <v>28</v>
      </c>
      <c r="Y103" s="28">
        <v>1</v>
      </c>
      <c r="Z103" s="28">
        <v>2</v>
      </c>
      <c r="AA103" s="28">
        <v>1</v>
      </c>
      <c r="AB103" s="28">
        <v>3</v>
      </c>
      <c r="AC103" s="28">
        <v>2</v>
      </c>
      <c r="AD103" s="28">
        <v>2</v>
      </c>
      <c r="AE103" s="28">
        <v>4</v>
      </c>
      <c r="AF103" s="28">
        <v>3</v>
      </c>
      <c r="AG103" s="28">
        <v>2</v>
      </c>
      <c r="AH103" s="29"/>
      <c r="AI103" s="36">
        <f>IF(OR(AND(K103&lt;32, J103&lt;2), O103=1, P103=1, Q103=1, R103=1, S103=1, T103=1, U103=1, AND(W103&lt;&gt;"", W103&lt;&gt;"Oxygen", W103&lt;&gt;"LowFlow")), "Intensive", "Intermediate")</f>
      </c>
      <c r="AJ103" s="37">
        <f>IF(OR(LEFT(AH103, 1)="X", LEFT(AH103, 1)="Y", LEFT(AH103, 3)="J36M"), "CUSM", "No Match")</f>
      </c>
      <c r="AK103" s="37">
        <f>IF(AND(OR(O103=3, P103=1, Q103=1, T103=1), AJ103="no Match"), "CUSM, CHU SJ, CHUQ", "")</f>
      </c>
      <c r="AL103" s="37">
        <f>IF(AND(O103=2, ISBLANK(P103), ISBLANK(Q103), ISBLANK(R103), ISBLANK(S103), ISBLANK(T103)), "CUSM, CHU SJ, CHUS, CHUQ", "")</f>
      </c>
      <c r="AM103" s="37">
        <f>IF(AND(AJ103="no match", AK103="", AL103="", K103&lt;26), "CUSM, CHU SJ, HGJ, CHUQ, CHUS", "")</f>
      </c>
      <c r="AN103" s="37">
        <f>IF(AND(AJ103="no match", AK103="", AL103="", K103&gt;26), "CUSM, CHU SJ, HGJ, CHUQ, CHUS, HMR", "")</f>
      </c>
    </row>
    <row x14ac:dyDescent="0.25" r="104" customHeight="1" ht="17.25">
      <c r="A104" s="27" t="s">
        <v>1622</v>
      </c>
      <c r="B104" s="28">
        <v>2</v>
      </c>
      <c r="C104" s="28">
        <v>746</v>
      </c>
      <c r="D104" s="29" t="s">
        <v>139</v>
      </c>
      <c r="E104" s="30" t="s">
        <v>50</v>
      </c>
      <c r="F104" s="31">
        <v>44262</v>
      </c>
      <c r="G104" s="32">
        <v>4.388888888888889</v>
      </c>
      <c r="H104" s="31">
        <v>44261</v>
      </c>
      <c r="I104" s="32">
        <v>4.990277777777777</v>
      </c>
      <c r="J104" s="33">
        <f>F104-H104</f>
      </c>
      <c r="K104" s="28">
        <v>37</v>
      </c>
      <c r="L104" s="28">
        <v>1</v>
      </c>
      <c r="M104" s="28">
        <v>1</v>
      </c>
      <c r="N104" s="34"/>
      <c r="O104" s="34"/>
      <c r="P104" s="34"/>
      <c r="Q104" s="34"/>
      <c r="R104" s="34"/>
      <c r="S104" s="34"/>
      <c r="T104" s="35">
        <v>1</v>
      </c>
      <c r="U104" s="34"/>
      <c r="V104" s="34"/>
      <c r="W104" s="29"/>
      <c r="X104" s="28">
        <v>31</v>
      </c>
      <c r="Y104" s="28">
        <v>1</v>
      </c>
      <c r="Z104" s="28">
        <v>2</v>
      </c>
      <c r="AA104" s="28">
        <v>1</v>
      </c>
      <c r="AB104" s="28">
        <v>1</v>
      </c>
      <c r="AC104" s="28">
        <v>2</v>
      </c>
      <c r="AD104" s="28">
        <v>1</v>
      </c>
      <c r="AE104" s="28">
        <v>1</v>
      </c>
      <c r="AF104" s="28">
        <v>1</v>
      </c>
      <c r="AG104" s="28">
        <v>2</v>
      </c>
      <c r="AH104" s="29" t="s">
        <v>1623</v>
      </c>
      <c r="AI104" s="36">
        <f>IF(OR(AND(K104&lt;32, J104&lt;2), O104=1, P104=1, Q104=1, R104=1, S104=1, T104=1, U104=1, AND(W104&lt;&gt;"", W104&lt;&gt;"Oxygen", W104&lt;&gt;"LowFlow")), "Intensive", "Intermediate")</f>
      </c>
      <c r="AJ104" s="37">
        <f>IF(OR(LEFT(AH104, 1)="X", LEFT(AH104, 1)="Y", LEFT(AH104, 3)="J37M"), "CUSM", "No Match")</f>
      </c>
      <c r="AK104" s="37">
        <f>IF(AND(OR(O104=3, P104=1, Q104=1, T104=1), AJ104="no Match"), "CUSM, CHU SJ, CHUQ", "")</f>
      </c>
      <c r="AL104" s="37">
        <f>IF(AND(O104=2, ISBLANK(P104), ISBLANK(Q104), ISBLANK(R104), ISBLANK(S104), ISBLANK(T104)), "CUSM, CHU SJ, CHUS, CHUQ", "")</f>
      </c>
      <c r="AM104" s="37">
        <f>IF(AND(AJ104="no match", AK104="", AL104="", K104&lt;26), "CUSM, CHU SJ, HGJ, CHUQ, CHUS", "")</f>
      </c>
      <c r="AN104" s="37">
        <f>IF(AND(AJ104="no match", AK104="", AL104="", K104&gt;26), "CUSM, CHU SJ, HGJ, CHUQ, CHUS, HMR", "")</f>
      </c>
    </row>
    <row x14ac:dyDescent="0.25" r="105" customHeight="1" ht="17.25">
      <c r="A105" s="27" t="s">
        <v>1624</v>
      </c>
      <c r="B105" s="28">
        <v>2</v>
      </c>
      <c r="C105" s="28">
        <v>833</v>
      </c>
      <c r="D105" s="29" t="s">
        <v>376</v>
      </c>
      <c r="E105" s="30" t="s">
        <v>78</v>
      </c>
      <c r="F105" s="31">
        <v>44263</v>
      </c>
      <c r="G105" s="32">
        <v>4.708333333333334</v>
      </c>
      <c r="H105" s="31">
        <v>44263</v>
      </c>
      <c r="I105" s="32">
        <v>4.470138888888889</v>
      </c>
      <c r="J105" s="33">
        <f>F105-H105</f>
      </c>
      <c r="K105" s="28">
        <v>34</v>
      </c>
      <c r="L105" s="28">
        <v>0</v>
      </c>
      <c r="M105" s="28">
        <v>1</v>
      </c>
      <c r="N105" s="34"/>
      <c r="O105" s="34"/>
      <c r="P105" s="34"/>
      <c r="Q105" s="34"/>
      <c r="R105" s="34"/>
      <c r="S105" s="34"/>
      <c r="T105" s="34"/>
      <c r="U105" s="34"/>
      <c r="V105" s="34"/>
      <c r="W105" s="29" t="s">
        <v>74</v>
      </c>
      <c r="X105" s="28">
        <v>36</v>
      </c>
      <c r="Y105" s="28">
        <v>1</v>
      </c>
      <c r="Z105" s="28">
        <v>2</v>
      </c>
      <c r="AA105" s="28">
        <v>2</v>
      </c>
      <c r="AB105" s="28">
        <v>1</v>
      </c>
      <c r="AC105" s="28">
        <v>2</v>
      </c>
      <c r="AD105" s="28">
        <v>2</v>
      </c>
      <c r="AE105" s="28">
        <v>2</v>
      </c>
      <c r="AF105" s="28">
        <v>2</v>
      </c>
      <c r="AG105" s="28">
        <v>2</v>
      </c>
      <c r="AH105" s="29" t="s">
        <v>1625</v>
      </c>
      <c r="AI105" s="36">
        <f>IF(OR(AND(K105&lt;32, J105&lt;2), O105=1, P105=1, Q105=1, R105=1, S105=1, T105=1, U105=1, AND(W105&lt;&gt;"", W105&lt;&gt;"Oxygen", W105&lt;&gt;"LowFlow")), "Intensive", "Intermediate")</f>
      </c>
      <c r="AJ105" s="37">
        <f>IF(OR(LEFT(AH105, 1)="X", LEFT(AH105, 1)="Y", LEFT(AH105, 3)="J38M"), "CUSM", "No Match")</f>
      </c>
      <c r="AK105" s="37">
        <f>IF(AND(OR(O105=3, P105=1, Q105=1, T105=1), AJ105="no Match"), "CUSM, CHU SJ, CHUQ", "")</f>
      </c>
      <c r="AL105" s="37">
        <f>IF(AND(O105=2, ISBLANK(P105), ISBLANK(Q105), ISBLANK(R105), ISBLANK(S105), ISBLANK(T105)), "CUSM, CHU SJ, CHUS, CHUQ", "")</f>
      </c>
      <c r="AM105" s="37">
        <f>IF(AND(AJ105="no match", AK105="", AL105="", K105&lt;26), "CUSM, CHU SJ, HGJ, CHUQ, CHUS", "")</f>
      </c>
      <c r="AN105" s="37">
        <f>IF(AND(AJ105="no match", AK105="", AL105="", K105&gt;26), "CUSM, CHU SJ, HGJ, CHUQ, CHUS, HMR", "")</f>
      </c>
    </row>
    <row x14ac:dyDescent="0.25" r="106" customHeight="1" ht="17.25">
      <c r="A106" s="27" t="s">
        <v>1626</v>
      </c>
      <c r="B106" s="28">
        <v>2</v>
      </c>
      <c r="C106" s="35">
        <v>761</v>
      </c>
      <c r="D106" s="29" t="s">
        <v>746</v>
      </c>
      <c r="E106" s="30" t="s">
        <v>149</v>
      </c>
      <c r="F106" s="31">
        <v>44264</v>
      </c>
      <c r="G106" s="32">
        <v>4.663194444444445</v>
      </c>
      <c r="H106" s="31">
        <v>44263</v>
      </c>
      <c r="I106" s="32">
        <v>4.7965277777777775</v>
      </c>
      <c r="J106" s="33">
        <f>F106-H106</f>
      </c>
      <c r="K106" s="28">
        <v>34</v>
      </c>
      <c r="L106" s="28">
        <v>0</v>
      </c>
      <c r="M106" s="28">
        <v>1</v>
      </c>
      <c r="N106" s="34"/>
      <c r="O106" s="34"/>
      <c r="P106" s="34"/>
      <c r="Q106" s="34"/>
      <c r="R106" s="34"/>
      <c r="S106" s="34"/>
      <c r="T106" s="34"/>
      <c r="U106" s="34"/>
      <c r="V106" s="34"/>
      <c r="W106" s="29" t="s">
        <v>58</v>
      </c>
      <c r="X106" s="38"/>
      <c r="Y106" s="28">
        <v>1</v>
      </c>
      <c r="Z106" s="28">
        <v>2</v>
      </c>
      <c r="AA106" s="28">
        <v>1</v>
      </c>
      <c r="AB106" s="28">
        <v>1</v>
      </c>
      <c r="AC106" s="28">
        <v>2</v>
      </c>
      <c r="AD106" s="28">
        <v>2</v>
      </c>
      <c r="AE106" s="28">
        <v>4</v>
      </c>
      <c r="AF106" s="28">
        <v>3</v>
      </c>
      <c r="AG106" s="28">
        <v>3</v>
      </c>
      <c r="AH106" s="29" t="s">
        <v>1627</v>
      </c>
      <c r="AI106" s="36">
        <f>IF(OR(AND(K106&lt;32, J106&lt;2), O106=1, P106=1, Q106=1, R106=1, S106=1, T106=1, U106=1, AND(W106&lt;&gt;"", W106&lt;&gt;"Oxygen", W106&lt;&gt;"LowFlow")), "Intensive", "Intermediate")</f>
      </c>
      <c r="AJ106" s="37">
        <f>IF(OR(LEFT(AH106, 1)="X", LEFT(AH106, 1)="Y", LEFT(AH106, 3)="J39M"), "CUSM", "No Match")</f>
      </c>
      <c r="AK106" s="37">
        <f>IF(AND(OR(O106=3, P106=1, Q106=1, T106=1), AJ106="no Match"), "CUSM, CHU SJ, CHUQ", "")</f>
      </c>
      <c r="AL106" s="37">
        <f>IF(AND(O106=2, ISBLANK(P106), ISBLANK(Q106), ISBLANK(R106), ISBLANK(S106), ISBLANK(T106)), "CUSM, CHU SJ, CHUS, CHUQ", "")</f>
      </c>
      <c r="AM106" s="37">
        <f>IF(AND(AJ106="no match", AK106="", AL106="", K106&lt;26), "CUSM, CHU SJ, HGJ, CHUQ, CHUS", "")</f>
      </c>
      <c r="AN106" s="37">
        <f>IF(AND(AJ106="no match", AK106="", AL106="", K106&gt;26), "CUSM, CHU SJ, HGJ, CHUQ, CHUS, HMR", "")</f>
      </c>
    </row>
    <row x14ac:dyDescent="0.25" r="107" customHeight="1" ht="17.25">
      <c r="A107" s="27" t="s">
        <v>1628</v>
      </c>
      <c r="B107" s="28">
        <v>2</v>
      </c>
      <c r="C107" s="35">
        <v>779</v>
      </c>
      <c r="D107" s="29" t="s">
        <v>136</v>
      </c>
      <c r="E107" s="30" t="s">
        <v>54</v>
      </c>
      <c r="F107" s="31">
        <v>44265</v>
      </c>
      <c r="G107" s="32">
        <v>4.445138888888889</v>
      </c>
      <c r="H107" s="31">
        <v>44265</v>
      </c>
      <c r="I107" s="32">
        <v>4.335416666666667</v>
      </c>
      <c r="J107" s="33">
        <f>F107-H107</f>
      </c>
      <c r="K107" s="28">
        <v>23</v>
      </c>
      <c r="L107" s="28">
        <v>3</v>
      </c>
      <c r="M107" s="28">
        <v>1</v>
      </c>
      <c r="N107" s="34"/>
      <c r="O107" s="34"/>
      <c r="P107" s="34"/>
      <c r="Q107" s="34"/>
      <c r="R107" s="34"/>
      <c r="S107" s="34"/>
      <c r="T107" s="34"/>
      <c r="U107" s="34"/>
      <c r="V107" s="34"/>
      <c r="W107" s="29" t="s">
        <v>70</v>
      </c>
      <c r="X107" s="28">
        <v>31</v>
      </c>
      <c r="Y107" s="28">
        <v>1</v>
      </c>
      <c r="Z107" s="28">
        <v>2</v>
      </c>
      <c r="AA107" s="28">
        <v>1</v>
      </c>
      <c r="AB107" s="28">
        <v>1</v>
      </c>
      <c r="AC107" s="28">
        <v>2</v>
      </c>
      <c r="AD107" s="28">
        <v>3</v>
      </c>
      <c r="AE107" s="28">
        <v>4</v>
      </c>
      <c r="AF107" s="28">
        <v>2</v>
      </c>
      <c r="AG107" s="28">
        <v>2</v>
      </c>
      <c r="AH107" s="29" t="s">
        <v>1629</v>
      </c>
      <c r="AI107" s="36">
        <f>IF(OR(AND(K107&lt;32, J107&lt;2), O107=1, P107=1, Q107=1, R107=1, S107=1, T107=1, U107=1, AND(W107&lt;&gt;"", W107&lt;&gt;"Oxygen", W107&lt;&gt;"LowFlow")), "Intensive", "Intermediate")</f>
      </c>
      <c r="AJ107" s="37">
        <f>IF(OR(LEFT(AH107, 1)="X", LEFT(AH107, 1)="Y", LEFT(AH107, 3)="J40M"), "CUSM", "No Match")</f>
      </c>
      <c r="AK107" s="37">
        <f>IF(AND(OR(O107=3, P107=1, Q107=1, T107=1), AJ107="no Match"), "CUSM, CHU SJ, CHUQ", "")</f>
      </c>
      <c r="AL107" s="37">
        <f>IF(AND(O107=2, ISBLANK(P107), ISBLANK(Q107), ISBLANK(R107), ISBLANK(S107), ISBLANK(T107)), "CUSM, CHU SJ, CHUS, CHUQ", "")</f>
      </c>
      <c r="AM107" s="37">
        <f>IF(AND(AJ107="no match", AK107="", AL107="", K107&lt;26), "CUSM, CHU SJ, HGJ, CHUQ, CHUS", "")</f>
      </c>
      <c r="AN107" s="37">
        <f>IF(AND(AJ107="no match", AK107="", AL107="", K107&gt;26), "CUSM, CHU SJ, HGJ, CHUQ, CHUS, HMR", "")</f>
      </c>
    </row>
    <row x14ac:dyDescent="0.25" r="108" customHeight="1" ht="17.25">
      <c r="A108" s="27" t="s">
        <v>1630</v>
      </c>
      <c r="B108" s="28">
        <v>2</v>
      </c>
      <c r="C108" s="35">
        <v>796</v>
      </c>
      <c r="D108" s="29" t="s">
        <v>63</v>
      </c>
      <c r="E108" s="30" t="s">
        <v>78</v>
      </c>
      <c r="F108" s="31">
        <v>44265</v>
      </c>
      <c r="G108" s="32">
        <v>4.815972222222222</v>
      </c>
      <c r="H108" s="31">
        <v>44264</v>
      </c>
      <c r="I108" s="32">
        <v>4.670138888888889</v>
      </c>
      <c r="J108" s="33">
        <f>F108-H108</f>
      </c>
      <c r="K108" s="28">
        <v>34</v>
      </c>
      <c r="L108" s="28">
        <v>3</v>
      </c>
      <c r="M108" s="28">
        <v>2</v>
      </c>
      <c r="N108" s="34"/>
      <c r="O108" s="34"/>
      <c r="P108" s="34"/>
      <c r="Q108" s="34"/>
      <c r="R108" s="34"/>
      <c r="S108" s="34"/>
      <c r="T108" s="34"/>
      <c r="U108" s="34"/>
      <c r="V108" s="34"/>
      <c r="W108" s="29" t="s">
        <v>58</v>
      </c>
      <c r="X108" s="28">
        <v>33</v>
      </c>
      <c r="Y108" s="28">
        <v>1</v>
      </c>
      <c r="Z108" s="28">
        <v>2</v>
      </c>
      <c r="AA108" s="28">
        <v>1</v>
      </c>
      <c r="AB108" s="28">
        <v>1</v>
      </c>
      <c r="AC108" s="28">
        <v>2</v>
      </c>
      <c r="AD108" s="28">
        <v>1</v>
      </c>
      <c r="AE108" s="28">
        <v>2</v>
      </c>
      <c r="AF108" s="28">
        <v>2</v>
      </c>
      <c r="AG108" s="28">
        <v>2</v>
      </c>
      <c r="AH108" s="29" t="s">
        <v>1631</v>
      </c>
      <c r="AI108" s="36">
        <f>IF(OR(AND(K108&lt;32, J108&lt;2), O108=1, P108=1, Q108=1, R108=1, S108=1, T108=1, U108=1, AND(W108&lt;&gt;"", W108&lt;&gt;"Oxygen", W108&lt;&gt;"LowFlow")), "Intensive", "Intermediate")</f>
      </c>
      <c r="AJ108" s="37">
        <f>IF(OR(LEFT(AH108, 1)="X", LEFT(AH108, 1)="Y", LEFT(AH108, 3)="J41M"), "CUSM", "No Match")</f>
      </c>
      <c r="AK108" s="37">
        <f>IF(AND(OR(O108=3, P108=1, Q108=1, T108=1), AJ108="no Match"), "CUSM, CHU SJ, CHUQ", "")</f>
      </c>
      <c r="AL108" s="37">
        <f>IF(AND(O108=2, ISBLANK(P108), ISBLANK(Q108), ISBLANK(R108), ISBLANK(S108), ISBLANK(T108)), "CUSM, CHU SJ, CHUS, CHUQ", "")</f>
      </c>
      <c r="AM108" s="37">
        <f>IF(AND(AJ108="no match", AK108="", AL108="", K108&lt;26), "CUSM, CHU SJ, HGJ, CHUQ, CHUS", "")</f>
      </c>
      <c r="AN108" s="37">
        <f>IF(AND(AJ108="no match", AK108="", AL108="", K108&gt;26), "CUSM, CHU SJ, HGJ, CHUQ, CHUS, HMR", "")</f>
      </c>
    </row>
    <row x14ac:dyDescent="0.25" r="109" customHeight="1" ht="17.25">
      <c r="A109" s="27" t="s">
        <v>1632</v>
      </c>
      <c r="B109" s="28">
        <v>2</v>
      </c>
      <c r="C109" s="35">
        <v>825</v>
      </c>
      <c r="D109" s="29" t="s">
        <v>77</v>
      </c>
      <c r="E109" s="30" t="s">
        <v>54</v>
      </c>
      <c r="F109" s="31">
        <v>44266</v>
      </c>
      <c r="G109" s="32">
        <v>4.802083333333334</v>
      </c>
      <c r="H109" s="31">
        <v>44266</v>
      </c>
      <c r="I109" s="32">
        <v>4.461111111111111</v>
      </c>
      <c r="J109" s="33">
        <f>F109-H109</f>
      </c>
      <c r="K109" s="28">
        <v>37</v>
      </c>
      <c r="L109" s="28">
        <v>6</v>
      </c>
      <c r="M109" s="28">
        <v>1</v>
      </c>
      <c r="N109" s="34"/>
      <c r="O109" s="38"/>
      <c r="P109" s="38"/>
      <c r="Q109" s="34"/>
      <c r="R109" s="34"/>
      <c r="S109" s="34"/>
      <c r="T109" s="34"/>
      <c r="U109" s="34"/>
      <c r="V109" s="34"/>
      <c r="W109" s="29"/>
      <c r="X109" s="28">
        <v>28</v>
      </c>
      <c r="Y109" s="28">
        <v>1</v>
      </c>
      <c r="Z109" s="28">
        <v>2</v>
      </c>
      <c r="AA109" s="28">
        <v>2</v>
      </c>
      <c r="AB109" s="28">
        <v>1</v>
      </c>
      <c r="AC109" s="28">
        <v>2</v>
      </c>
      <c r="AD109" s="28">
        <v>2</v>
      </c>
      <c r="AE109" s="28">
        <v>2</v>
      </c>
      <c r="AF109" s="28">
        <v>2</v>
      </c>
      <c r="AG109" s="28">
        <v>2</v>
      </c>
      <c r="AH109" s="29" t="s">
        <v>1633</v>
      </c>
      <c r="AI109" s="36">
        <f>IF(OR(AND(K109&lt;32, J109&lt;2), O109=1, P109=1, Q109=1, R109=1, S109=1, T109=1, U109=1, AND(W109&lt;&gt;"", W109&lt;&gt;"Oxygen", W109&lt;&gt;"LowFlow")), "Intensive", "Intermediate")</f>
      </c>
      <c r="AJ109" s="37">
        <f>IF(OR(LEFT(AH109, 1)="X", LEFT(AH109, 1)="Y", LEFT(AH109, 3)="J42M"), "CUSM", "No Match")</f>
      </c>
      <c r="AK109" s="37">
        <f>IF(AND(OR(O109=3, P109=1, Q109=1, T109=1), AJ109="no Match"), "CUSM, CHU SJ, CHUQ", "")</f>
      </c>
      <c r="AL109" s="37">
        <f>IF(AND(O109=2, ISBLANK(P109), ISBLANK(Q109), ISBLANK(R109), ISBLANK(S109), ISBLANK(T109)), "CUSM, CHU SJ, CHUS, CHUQ", "")</f>
      </c>
      <c r="AM109" s="37">
        <f>IF(AND(AJ109="no match", AK109="", AL109="", K109&lt;26), "CUSM, CHU SJ, HGJ, CHUQ, CHUS", "")</f>
      </c>
      <c r="AN109" s="37">
        <f>IF(AND(AJ109="no match", AK109="", AL109="", K109&gt;26), "CUSM, CHU SJ, HGJ, CHUQ, CHUS, HMR", "")</f>
      </c>
    </row>
    <row x14ac:dyDescent="0.25" r="110" customHeight="1" ht="17.25">
      <c r="A110" s="27" t="s">
        <v>1634</v>
      </c>
      <c r="B110" s="28">
        <v>2</v>
      </c>
      <c r="C110" s="35">
        <v>779</v>
      </c>
      <c r="D110" s="29" t="s">
        <v>136</v>
      </c>
      <c r="E110" s="30" t="s">
        <v>54</v>
      </c>
      <c r="F110" s="31">
        <v>44267</v>
      </c>
      <c r="G110" s="32">
        <v>4.8805555555555555</v>
      </c>
      <c r="H110" s="31">
        <v>44266</v>
      </c>
      <c r="I110" s="32">
        <v>4.643055555555556</v>
      </c>
      <c r="J110" s="33">
        <f>F110-H110</f>
      </c>
      <c r="K110" s="28">
        <v>37</v>
      </c>
      <c r="L110" s="28">
        <v>3</v>
      </c>
      <c r="M110" s="28">
        <v>2</v>
      </c>
      <c r="N110" s="35">
        <v>1</v>
      </c>
      <c r="O110" s="34"/>
      <c r="P110" s="35">
        <v>1</v>
      </c>
      <c r="Q110" s="34"/>
      <c r="R110" s="34"/>
      <c r="S110" s="34"/>
      <c r="T110" s="34"/>
      <c r="U110" s="34"/>
      <c r="V110" s="34"/>
      <c r="W110" s="29"/>
      <c r="X110" s="28">
        <v>28</v>
      </c>
      <c r="Y110" s="28">
        <v>1</v>
      </c>
      <c r="Z110" s="28">
        <v>1</v>
      </c>
      <c r="AA110" s="28">
        <v>2</v>
      </c>
      <c r="AB110" s="28">
        <v>1</v>
      </c>
      <c r="AC110" s="28">
        <v>1</v>
      </c>
      <c r="AD110" s="28">
        <v>2</v>
      </c>
      <c r="AE110" s="28">
        <v>4</v>
      </c>
      <c r="AF110" s="28">
        <v>2</v>
      </c>
      <c r="AG110" s="28">
        <v>2</v>
      </c>
      <c r="AH110" s="29" t="s">
        <v>1635</v>
      </c>
      <c r="AI110" s="36">
        <f>IF(OR(AND(K110&lt;32, J110&lt;2), O110=1, P110=1, Q110=1, R110=1, S110=1, T110=1, U110=1, AND(W110&lt;&gt;"", W110&lt;&gt;"Oxygen", W110&lt;&gt;"LowFlow")), "Intensive", "Intermediate")</f>
      </c>
      <c r="AJ110" s="37">
        <f>IF(OR(LEFT(AH110, 1)="X", LEFT(AH110, 1)="Y", LEFT(AH110, 3)="J43M"), "CUSM", "No Match")</f>
      </c>
      <c r="AK110" s="37">
        <f>IF(AND(OR(O110=3, P110=1, Q110=1, T110=1), AJ110="no Match"), "CUSM, CHU SJ, CHUQ", "")</f>
      </c>
      <c r="AL110" s="37">
        <f>IF(AND(O110=2, ISBLANK(P110), ISBLANK(Q110), ISBLANK(R110), ISBLANK(S110), ISBLANK(T110)), "CUSM, CHU SJ, CHUS, CHUQ", "")</f>
      </c>
      <c r="AM110" s="37">
        <f>IF(AND(AJ110="no match", AK110="", AL110="", K110&lt;26), "CUSM, CHU SJ, HGJ, CHUQ, CHUS", "")</f>
      </c>
      <c r="AN110" s="37">
        <f>IF(AND(AJ110="no match", AK110="", AL110="", K110&gt;26), "CUSM, CHU SJ, HGJ, CHUQ, CHUS, HMR", "")</f>
      </c>
    </row>
    <row x14ac:dyDescent="0.25" r="111" customHeight="1" ht="17.25">
      <c r="A111" s="27" t="s">
        <v>1636</v>
      </c>
      <c r="B111" s="28">
        <v>2</v>
      </c>
      <c r="C111" s="35">
        <v>808</v>
      </c>
      <c r="D111" s="29" t="s">
        <v>764</v>
      </c>
      <c r="E111" s="30" t="s">
        <v>149</v>
      </c>
      <c r="F111" s="31">
        <v>44268</v>
      </c>
      <c r="G111" s="32">
        <v>4.854861111111111</v>
      </c>
      <c r="H111" s="31">
        <v>44267</v>
      </c>
      <c r="I111" s="32">
        <v>4.004861111111111</v>
      </c>
      <c r="J111" s="33">
        <f>F111-H111</f>
      </c>
      <c r="K111" s="28">
        <v>36</v>
      </c>
      <c r="L111" s="28">
        <v>0</v>
      </c>
      <c r="M111" s="28">
        <v>1</v>
      </c>
      <c r="N111" s="34"/>
      <c r="O111" s="34"/>
      <c r="P111" s="34"/>
      <c r="Q111" s="34"/>
      <c r="R111" s="34"/>
      <c r="S111" s="34"/>
      <c r="T111" s="34"/>
      <c r="U111" s="34"/>
      <c r="V111" s="34"/>
      <c r="W111" s="29" t="s">
        <v>58</v>
      </c>
      <c r="X111" s="28">
        <v>35</v>
      </c>
      <c r="Y111" s="28">
        <v>1</v>
      </c>
      <c r="Z111" s="28">
        <v>2</v>
      </c>
      <c r="AA111" s="28">
        <v>2</v>
      </c>
      <c r="AB111" s="28">
        <v>1</v>
      </c>
      <c r="AC111" s="28">
        <v>2</v>
      </c>
      <c r="AD111" s="28">
        <v>2</v>
      </c>
      <c r="AE111" s="28">
        <v>4</v>
      </c>
      <c r="AF111" s="28">
        <v>3</v>
      </c>
      <c r="AG111" s="28">
        <v>2</v>
      </c>
      <c r="AH111" s="29" t="s">
        <v>1637</v>
      </c>
      <c r="AI111" s="36">
        <f>IF(OR(AND(K111&lt;32, J111&lt;2), O111=1, P111=1, Q111=1, R111=1, S111=1, T111=1, U111=1, AND(W111&lt;&gt;"", W111&lt;&gt;"Oxygen", W111&lt;&gt;"LowFlow")), "Intensive", "Intermediate")</f>
      </c>
      <c r="AJ111" s="37">
        <f>IF(OR(LEFT(AH111, 1)="X", LEFT(AH111, 1)="Y", LEFT(AH111, 3)="J44M"), "CUSM", "No Match")</f>
      </c>
      <c r="AK111" s="37">
        <f>IF(AND(OR(O111=3, P111=1, Q111=1, T111=1), AJ111="no Match"), "CUSM, CHU SJ, CHUQ", "")</f>
      </c>
      <c r="AL111" s="37">
        <f>IF(AND(O111=2, ISBLANK(P111), ISBLANK(Q111), ISBLANK(R111), ISBLANK(S111), ISBLANK(T111)), "CUSM, CHU SJ, CHUS, CHUQ", "")</f>
      </c>
      <c r="AM111" s="37">
        <f>IF(AND(AJ111="no match", AK111="", AL111="", K111&lt;26), "CUSM, CHU SJ, HGJ, CHUQ, CHUS", "")</f>
      </c>
      <c r="AN111" s="37">
        <f>IF(AND(AJ111="no match", AK111="", AL111="", K111&gt;26), "CUSM, CHU SJ, HGJ, CHUQ, CHUS, HMR", "")</f>
      </c>
    </row>
    <row x14ac:dyDescent="0.25" r="112" customHeight="1" ht="17.25">
      <c r="A112" s="27" t="s">
        <v>1638</v>
      </c>
      <c r="B112" s="28">
        <v>2</v>
      </c>
      <c r="C112" s="28">
        <v>731</v>
      </c>
      <c r="D112" s="29" t="s">
        <v>103</v>
      </c>
      <c r="E112" s="30" t="s">
        <v>54</v>
      </c>
      <c r="F112" s="31">
        <v>44268</v>
      </c>
      <c r="G112" s="32">
        <v>4.069444444444445</v>
      </c>
      <c r="H112" s="31">
        <v>44267</v>
      </c>
      <c r="I112" s="32">
        <v>4.697916666666666</v>
      </c>
      <c r="J112" s="33">
        <f>F112-H112</f>
      </c>
      <c r="K112" s="28">
        <v>39</v>
      </c>
      <c r="L112" s="28">
        <v>1</v>
      </c>
      <c r="M112" s="28">
        <v>2</v>
      </c>
      <c r="N112" s="35">
        <v>1</v>
      </c>
      <c r="O112" s="35">
        <v>2</v>
      </c>
      <c r="P112" s="35">
        <v>1</v>
      </c>
      <c r="Q112" s="34"/>
      <c r="R112" s="34"/>
      <c r="S112" s="34"/>
      <c r="T112" s="34"/>
      <c r="U112" s="34"/>
      <c r="V112" s="34"/>
      <c r="W112" s="29"/>
      <c r="X112" s="28">
        <v>29</v>
      </c>
      <c r="Y112" s="28">
        <v>1</v>
      </c>
      <c r="Z112" s="28">
        <v>1</v>
      </c>
      <c r="AA112" s="28">
        <v>2</v>
      </c>
      <c r="AB112" s="28">
        <v>1</v>
      </c>
      <c r="AC112" s="28">
        <v>2</v>
      </c>
      <c r="AD112" s="28">
        <v>2</v>
      </c>
      <c r="AE112" s="28">
        <v>4</v>
      </c>
      <c r="AF112" s="28">
        <v>2</v>
      </c>
      <c r="AG112" s="28">
        <v>2</v>
      </c>
      <c r="AH112" s="29" t="s">
        <v>1639</v>
      </c>
      <c r="AI112" s="36">
        <f>IF(OR(AND(K112&lt;32, J112&lt;2), O112=1, P112=1, Q112=1, R112=1, S112=1, T112=1, U112=1, AND(W112&lt;&gt;"", W112&lt;&gt;"Oxygen", W112&lt;&gt;"LowFlow")), "Intensive", "Intermediate")</f>
      </c>
      <c r="AJ112" s="37">
        <f>IF(OR(LEFT(AH112, 1)="X", LEFT(AH112, 1)="Y", LEFT(AH112, 3)="J45M"), "CUSM", "No Match")</f>
      </c>
      <c r="AK112" s="37">
        <f>IF(AND(OR(O112=3, P112=1, Q112=1, T112=1), AJ112="no Match"), "CUSM, CHU SJ, CHUQ", "")</f>
      </c>
      <c r="AL112" s="37">
        <f>IF(AND(O112=2, ISBLANK(P112), ISBLANK(Q112), ISBLANK(R112), ISBLANK(S112), ISBLANK(T112)), "CUSM, CHU SJ, CHUS, CHUQ", "")</f>
      </c>
      <c r="AM112" s="37">
        <f>IF(AND(AJ112="no match", AK112="", AL112="", K112&lt;26), "CUSM, CHU SJ, HGJ, CHUQ, CHUS", "")</f>
      </c>
      <c r="AN112" s="37">
        <f>IF(AND(AJ112="no match", AK112="", AL112="", K112&gt;26), "CUSM, CHU SJ, HGJ, CHUQ, CHUS, HMR", "")</f>
      </c>
    </row>
    <row x14ac:dyDescent="0.25" r="113" customHeight="1" ht="17.25">
      <c r="A113" s="27" t="s">
        <v>1640</v>
      </c>
      <c r="B113" s="28">
        <v>2</v>
      </c>
      <c r="C113" s="28">
        <v>756</v>
      </c>
      <c r="D113" s="29" t="s">
        <v>66</v>
      </c>
      <c r="E113" s="30" t="s">
        <v>50</v>
      </c>
      <c r="F113" s="31">
        <v>44268</v>
      </c>
      <c r="G113" s="32">
        <v>4.680555555555555</v>
      </c>
      <c r="H113" s="31">
        <v>44268</v>
      </c>
      <c r="I113" s="32">
        <v>4.49375</v>
      </c>
      <c r="J113" s="33">
        <f>F113-H113</f>
      </c>
      <c r="K113" s="28">
        <v>38</v>
      </c>
      <c r="L113" s="28">
        <v>4</v>
      </c>
      <c r="M113" s="28">
        <v>1</v>
      </c>
      <c r="N113" s="34"/>
      <c r="O113" s="34"/>
      <c r="P113" s="34"/>
      <c r="Q113" s="34"/>
      <c r="R113" s="34"/>
      <c r="S113" s="34"/>
      <c r="T113" s="34"/>
      <c r="U113" s="34"/>
      <c r="V113" s="34"/>
      <c r="W113" s="29" t="s">
        <v>74</v>
      </c>
      <c r="X113" s="28">
        <v>34</v>
      </c>
      <c r="Y113" s="28">
        <v>1</v>
      </c>
      <c r="Z113" s="28">
        <v>2</v>
      </c>
      <c r="AA113" s="28">
        <v>1</v>
      </c>
      <c r="AB113" s="28">
        <v>1</v>
      </c>
      <c r="AC113" s="28">
        <v>2</v>
      </c>
      <c r="AD113" s="28">
        <v>1</v>
      </c>
      <c r="AE113" s="28">
        <v>1</v>
      </c>
      <c r="AF113" s="28">
        <v>2</v>
      </c>
      <c r="AG113" s="28">
        <v>2</v>
      </c>
      <c r="AH113" s="29" t="s">
        <v>1641</v>
      </c>
      <c r="AI113" s="36">
        <f>IF(OR(AND(K113&lt;32, J113&lt;2), O113=1, P113=1, Q113=1, R113=1, S113=1, T113=1, U113=1, AND(W113&lt;&gt;"", W113&lt;&gt;"Oxygen", W113&lt;&gt;"LowFlow")), "Intensive", "Intermediate")</f>
      </c>
      <c r="AJ113" s="37">
        <f>IF(OR(LEFT(AH113, 1)="X", LEFT(AH113, 1)="Y", LEFT(AH113, 3)="J46M"), "CUSM", "No Match")</f>
      </c>
      <c r="AK113" s="37">
        <f>IF(AND(OR(O113=3, P113=1, Q113=1, T113=1), AJ113="no Match"), "CUSM, CHU SJ, CHUQ", "")</f>
      </c>
      <c r="AL113" s="37">
        <f>IF(AND(O113=2, ISBLANK(P113), ISBLANK(Q113), ISBLANK(R113), ISBLANK(S113), ISBLANK(T113)), "CUSM, CHU SJ, CHUS, CHUQ", "")</f>
      </c>
      <c r="AM113" s="37">
        <f>IF(AND(AJ113="no match", AK113="", AL113="", K113&lt;26), "CUSM, CHU SJ, HGJ, CHUQ, CHUS", "")</f>
      </c>
      <c r="AN113" s="37">
        <f>IF(AND(AJ113="no match", AK113="", AL113="", K113&gt;26), "CUSM, CHU SJ, HGJ, CHUQ, CHUS, HMR", "")</f>
      </c>
    </row>
    <row x14ac:dyDescent="0.25" r="114" customHeight="1" ht="17.25">
      <c r="A114" s="27" t="s">
        <v>1642</v>
      </c>
      <c r="B114" s="28">
        <v>2</v>
      </c>
      <c r="C114" s="28">
        <v>731</v>
      </c>
      <c r="D114" s="29" t="s">
        <v>103</v>
      </c>
      <c r="E114" s="30" t="s">
        <v>78</v>
      </c>
      <c r="F114" s="31">
        <v>44269</v>
      </c>
      <c r="G114" s="32">
        <v>4.166666666666666</v>
      </c>
      <c r="H114" s="31">
        <v>44268</v>
      </c>
      <c r="I114" s="32">
        <v>4.8284722222222225</v>
      </c>
      <c r="J114" s="33">
        <f>F114-H114</f>
      </c>
      <c r="K114" s="28">
        <v>35</v>
      </c>
      <c r="L114" s="28">
        <v>0</v>
      </c>
      <c r="M114" s="28">
        <v>1</v>
      </c>
      <c r="N114" s="38"/>
      <c r="O114" s="34"/>
      <c r="P114" s="38"/>
      <c r="Q114" s="34"/>
      <c r="R114" s="34"/>
      <c r="S114" s="34"/>
      <c r="T114" s="34"/>
      <c r="U114" s="34"/>
      <c r="V114" s="34"/>
      <c r="W114" s="29" t="s">
        <v>74</v>
      </c>
      <c r="X114" s="28">
        <v>30</v>
      </c>
      <c r="Y114" s="28">
        <v>1</v>
      </c>
      <c r="Z114" s="28">
        <v>1</v>
      </c>
      <c r="AA114" s="28">
        <v>1</v>
      </c>
      <c r="AB114" s="28">
        <v>1</v>
      </c>
      <c r="AC114" s="28">
        <v>1</v>
      </c>
      <c r="AD114" s="28">
        <v>1</v>
      </c>
      <c r="AE114" s="28">
        <v>2</v>
      </c>
      <c r="AF114" s="28">
        <v>2</v>
      </c>
      <c r="AG114" s="28">
        <v>2</v>
      </c>
      <c r="AH114" s="29" t="s">
        <v>1643</v>
      </c>
      <c r="AI114" s="36">
        <f>IF(OR(AND(K114&lt;32, J114&lt;2), O114=1, P114=1, Q114=1, R114=1, S114=1, T114=1, U114=1, AND(W114&lt;&gt;"", W114&lt;&gt;"Oxygen", W114&lt;&gt;"LowFlow")), "Intensive", "Intermediate")</f>
      </c>
      <c r="AJ114" s="37">
        <f>IF(OR(LEFT(AH114, 1)="X", LEFT(AH114, 1)="Y", LEFT(AH114, 3)="J47M"), "CUSM", "No Match")</f>
      </c>
      <c r="AK114" s="37">
        <f>IF(AND(OR(O114=3, P114=1, Q114=1, T114=1), AJ114="no Match"), "CUSM, CHU SJ, CHUQ", "")</f>
      </c>
      <c r="AL114" s="37">
        <f>IF(AND(O114=2, ISBLANK(P114), ISBLANK(Q114), ISBLANK(R114), ISBLANK(S114), ISBLANK(T114)), "CUSM, CHU SJ, CHUS, CHUQ", "")</f>
      </c>
      <c r="AM114" s="37">
        <f>IF(AND(AJ114="no match", AK114="", AL114="", K114&lt;26), "CUSM, CHU SJ, HGJ, CHUQ, CHUS", "")</f>
      </c>
      <c r="AN114" s="37">
        <f>IF(AND(AJ114="no match", AK114="", AL114="", K114&gt;26), "CUSM, CHU SJ, HGJ, CHUQ, CHUS, HMR", "")</f>
      </c>
    </row>
    <row x14ac:dyDescent="0.25" r="115" customHeight="1" ht="17.25">
      <c r="A115" s="27" t="s">
        <v>1644</v>
      </c>
      <c r="B115" s="28">
        <v>2</v>
      </c>
      <c r="C115" s="28">
        <v>820</v>
      </c>
      <c r="D115" s="29" t="s">
        <v>69</v>
      </c>
      <c r="E115" s="30" t="s">
        <v>50</v>
      </c>
      <c r="F115" s="31">
        <v>44269</v>
      </c>
      <c r="G115" s="32">
        <v>4.128472222222222</v>
      </c>
      <c r="H115" s="31">
        <v>44268</v>
      </c>
      <c r="I115" s="32">
        <v>4.877083333333333</v>
      </c>
      <c r="J115" s="33">
        <f>F115-H115</f>
      </c>
      <c r="K115" s="28">
        <v>39</v>
      </c>
      <c r="L115" s="28">
        <v>2</v>
      </c>
      <c r="M115" s="28">
        <v>1</v>
      </c>
      <c r="N115" s="34"/>
      <c r="O115" s="34"/>
      <c r="P115" s="34"/>
      <c r="Q115" s="34"/>
      <c r="R115" s="34"/>
      <c r="S115" s="34"/>
      <c r="T115" s="34"/>
      <c r="U115" s="34"/>
      <c r="V115" s="34"/>
      <c r="W115" s="29" t="s">
        <v>58</v>
      </c>
      <c r="X115" s="28">
        <v>30</v>
      </c>
      <c r="Y115" s="28">
        <v>1</v>
      </c>
      <c r="Z115" s="28">
        <v>1</v>
      </c>
      <c r="AA115" s="28">
        <v>2</v>
      </c>
      <c r="AB115" s="28">
        <v>1</v>
      </c>
      <c r="AC115" s="28">
        <v>1</v>
      </c>
      <c r="AD115" s="28">
        <v>2</v>
      </c>
      <c r="AE115" s="28">
        <v>1</v>
      </c>
      <c r="AF115" s="28">
        <v>1</v>
      </c>
      <c r="AG115" s="28">
        <v>2</v>
      </c>
      <c r="AH115" s="29" t="s">
        <v>1645</v>
      </c>
      <c r="AI115" s="36">
        <f>IF(OR(AND(K115&lt;32, J115&lt;2), O115=1, P115=1, Q115=1, R115=1, S115=1, T115=1, U115=1, AND(W115&lt;&gt;"", W115&lt;&gt;"Oxygen", W115&lt;&gt;"LowFlow")), "Intensive", "Intermediate")</f>
      </c>
      <c r="AJ115" s="37">
        <f>IF(OR(LEFT(AH115, 1)="X", LEFT(AH115, 1)="Y", LEFT(AH115, 3)="J48M"), "CUSM", "No Match")</f>
      </c>
      <c r="AK115" s="37">
        <f>IF(AND(OR(O115=3, P115=1, Q115=1, T115=1), AJ115="no Match"), "CUSM, CHU SJ, CHUQ", "")</f>
      </c>
      <c r="AL115" s="37">
        <f>IF(AND(O115=2, ISBLANK(P115), ISBLANK(Q115), ISBLANK(R115), ISBLANK(S115), ISBLANK(T115)), "CUSM, CHU SJ, CHUS, CHUQ", "")</f>
      </c>
      <c r="AM115" s="37">
        <f>IF(AND(AJ115="no match", AK115="", AL115="", K115&lt;26), "CUSM, CHU SJ, HGJ, CHUQ, CHUS", "")</f>
      </c>
      <c r="AN115" s="37">
        <f>IF(AND(AJ115="no match", AK115="", AL115="", K115&gt;26), "CUSM, CHU SJ, HGJ, CHUQ, CHUS, HMR", "")</f>
      </c>
    </row>
    <row x14ac:dyDescent="0.25" r="116" customHeight="1" ht="17.25">
      <c r="A116" s="27" t="s">
        <v>1646</v>
      </c>
      <c r="B116" s="28">
        <v>2</v>
      </c>
      <c r="C116" s="28">
        <v>824</v>
      </c>
      <c r="D116" s="29" t="s">
        <v>57</v>
      </c>
      <c r="E116" s="30" t="s">
        <v>50</v>
      </c>
      <c r="F116" s="31">
        <v>44269</v>
      </c>
      <c r="G116" s="32">
        <v>4.923611111111111</v>
      </c>
      <c r="H116" s="31">
        <v>44268</v>
      </c>
      <c r="I116" s="32">
        <v>4.061805555555555</v>
      </c>
      <c r="J116" s="33">
        <f>F116-H116</f>
      </c>
      <c r="K116" s="28">
        <v>41</v>
      </c>
      <c r="L116" s="28">
        <v>4</v>
      </c>
      <c r="M116" s="28">
        <v>1</v>
      </c>
      <c r="N116" s="35">
        <v>1</v>
      </c>
      <c r="O116" s="34"/>
      <c r="P116" s="35">
        <v>1</v>
      </c>
      <c r="Q116" s="34"/>
      <c r="R116" s="34"/>
      <c r="S116" s="34"/>
      <c r="T116" s="34"/>
      <c r="U116" s="34"/>
      <c r="V116" s="34"/>
      <c r="W116" s="29" t="s">
        <v>58</v>
      </c>
      <c r="X116" s="28">
        <v>22</v>
      </c>
      <c r="Y116" s="28">
        <v>1</v>
      </c>
      <c r="Z116" s="28">
        <v>1</v>
      </c>
      <c r="AA116" s="28">
        <v>2</v>
      </c>
      <c r="AB116" s="28">
        <v>1</v>
      </c>
      <c r="AC116" s="28">
        <v>2</v>
      </c>
      <c r="AD116" s="28">
        <v>2</v>
      </c>
      <c r="AE116" s="28">
        <v>4</v>
      </c>
      <c r="AF116" s="28">
        <v>2</v>
      </c>
      <c r="AG116" s="28">
        <v>2</v>
      </c>
      <c r="AH116" s="29" t="s">
        <v>566</v>
      </c>
      <c r="AI116" s="36">
        <f>IF(OR(AND(K116&lt;32, J116&lt;2), O116=1, P116=1, Q116=1, R116=1, S116=1, T116=1, U116=1, AND(W116&lt;&gt;"", W116&lt;&gt;"Oxygen", W116&lt;&gt;"LowFlow")), "Intensive", "Intermediate")</f>
      </c>
      <c r="AJ116" s="37">
        <f>IF(OR(LEFT(AH116, 1)="X", LEFT(AH116, 1)="Y", LEFT(AH116, 3)="J49M"), "CUSM", "No Match")</f>
      </c>
      <c r="AK116" s="37">
        <f>IF(AND(OR(O116=3, P116=1, Q116=1, T116=1), AJ116="no Match"), "CUSM, CHU SJ, CHUQ", "")</f>
      </c>
      <c r="AL116" s="37">
        <f>IF(AND(O116=2, ISBLANK(P116), ISBLANK(Q116), ISBLANK(R116), ISBLANK(S116), ISBLANK(T116)), "CUSM, CHU SJ, CHUS, CHUQ", "")</f>
      </c>
      <c r="AM116" s="37">
        <f>IF(AND(AJ116="no match", AK116="", AL116="", K116&lt;26), "CUSM, CHU SJ, HGJ, CHUQ, CHUS", "")</f>
      </c>
      <c r="AN116" s="37">
        <f>IF(AND(AJ116="no match", AK116="", AL116="", K116&gt;26), "CUSM, CHU SJ, HGJ, CHUQ, CHUS, HMR", "")</f>
      </c>
    </row>
    <row x14ac:dyDescent="0.25" r="117" customHeight="1" ht="17.25">
      <c r="A117" s="27" t="s">
        <v>1647</v>
      </c>
      <c r="B117" s="28">
        <v>2</v>
      </c>
      <c r="C117" s="28">
        <v>776</v>
      </c>
      <c r="D117" s="29" t="s">
        <v>84</v>
      </c>
      <c r="E117" s="30" t="s">
        <v>50</v>
      </c>
      <c r="F117" s="31">
        <v>44269</v>
      </c>
      <c r="G117" s="32">
        <v>4.565972222222222</v>
      </c>
      <c r="H117" s="31">
        <v>44267</v>
      </c>
      <c r="I117" s="32">
        <v>4.257638888888889</v>
      </c>
      <c r="J117" s="33">
        <f>F117-H117</f>
      </c>
      <c r="K117" s="28">
        <v>40</v>
      </c>
      <c r="L117" s="28">
        <v>4</v>
      </c>
      <c r="M117" s="28">
        <v>2</v>
      </c>
      <c r="N117" s="35">
        <v>1</v>
      </c>
      <c r="O117" s="34"/>
      <c r="P117" s="35">
        <v>1</v>
      </c>
      <c r="Q117" s="34"/>
      <c r="R117" s="34"/>
      <c r="S117" s="34"/>
      <c r="T117" s="34"/>
      <c r="U117" s="34"/>
      <c r="V117" s="34"/>
      <c r="W117" s="29"/>
      <c r="X117" s="28">
        <v>32</v>
      </c>
      <c r="Y117" s="28">
        <v>1</v>
      </c>
      <c r="Z117" s="28">
        <v>1</v>
      </c>
      <c r="AA117" s="28">
        <v>2</v>
      </c>
      <c r="AB117" s="28">
        <v>1</v>
      </c>
      <c r="AC117" s="28">
        <v>2</v>
      </c>
      <c r="AD117" s="28">
        <v>2</v>
      </c>
      <c r="AE117" s="28">
        <v>4</v>
      </c>
      <c r="AF117" s="28">
        <v>3</v>
      </c>
      <c r="AG117" s="28">
        <v>2</v>
      </c>
      <c r="AH117" s="29" t="s">
        <v>1648</v>
      </c>
      <c r="AI117" s="36">
        <f>IF(OR(AND(K117&lt;32, J117&lt;2), O117=1, P117=1, Q117=1, R117=1, S117=1, T117=1, U117=1, AND(W117&lt;&gt;"", W117&lt;&gt;"Oxygen", W117&lt;&gt;"LowFlow")), "Intensive", "Intermediate")</f>
      </c>
      <c r="AJ117" s="37">
        <f>IF(OR(LEFT(AH117, 1)="X", LEFT(AH117, 1)="Y", LEFT(AH117, 3)="J50M"), "CUSM", "No Match")</f>
      </c>
      <c r="AK117" s="37">
        <f>IF(AND(OR(O117=3, P117=1, Q117=1, T117=1), AJ117="no Match"), "CUSM, CHU SJ, CHUQ", "")</f>
      </c>
      <c r="AL117" s="37">
        <f>IF(AND(O117=2, ISBLANK(P117), ISBLANK(Q117), ISBLANK(R117), ISBLANK(S117), ISBLANK(T117)), "CUSM, CHU SJ, CHUS, CHUQ", "")</f>
      </c>
      <c r="AM117" s="37">
        <f>IF(AND(AJ117="no match", AK117="", AL117="", K117&lt;26), "CUSM, CHU SJ, HGJ, CHUQ, CHUS", "")</f>
      </c>
      <c r="AN117" s="37">
        <f>IF(AND(AJ117="no match", AK117="", AL117="", K117&gt;26), "CUSM, CHU SJ, HGJ, CHUQ, CHUS, HMR", "")</f>
      </c>
    </row>
    <row x14ac:dyDescent="0.25" r="118" customHeight="1" ht="17.25">
      <c r="A118" s="27" t="s">
        <v>1649</v>
      </c>
      <c r="B118" s="28">
        <v>2</v>
      </c>
      <c r="C118" s="28">
        <v>831</v>
      </c>
      <c r="D118" s="29" t="s">
        <v>313</v>
      </c>
      <c r="E118" s="30" t="s">
        <v>78</v>
      </c>
      <c r="F118" s="31">
        <v>44270</v>
      </c>
      <c r="G118" s="32">
        <v>4.034722222222222</v>
      </c>
      <c r="H118" s="31">
        <v>44269</v>
      </c>
      <c r="I118" s="32">
        <v>4.791666666666666</v>
      </c>
      <c r="J118" s="33">
        <f>F118-H118</f>
      </c>
      <c r="K118" s="28">
        <v>35</v>
      </c>
      <c r="L118" s="28">
        <v>2</v>
      </c>
      <c r="M118" s="28">
        <v>1</v>
      </c>
      <c r="N118" s="35">
        <v>1</v>
      </c>
      <c r="O118" s="34"/>
      <c r="P118" s="34"/>
      <c r="Q118" s="34"/>
      <c r="R118" s="34"/>
      <c r="S118" s="34"/>
      <c r="T118" s="34"/>
      <c r="U118" s="34"/>
      <c r="V118" s="34"/>
      <c r="W118" s="29" t="s">
        <v>74</v>
      </c>
      <c r="X118" s="28">
        <v>38</v>
      </c>
      <c r="Y118" s="28">
        <v>2</v>
      </c>
      <c r="Z118" s="28">
        <v>1</v>
      </c>
      <c r="AA118" s="28">
        <v>1</v>
      </c>
      <c r="AB118" s="28">
        <v>2</v>
      </c>
      <c r="AC118" s="28">
        <v>2</v>
      </c>
      <c r="AD118" s="28">
        <v>2</v>
      </c>
      <c r="AE118" s="28">
        <v>2</v>
      </c>
      <c r="AF118" s="28">
        <v>2</v>
      </c>
      <c r="AG118" s="28">
        <v>2</v>
      </c>
      <c r="AH118" s="29" t="s">
        <v>1650</v>
      </c>
      <c r="AI118" s="36">
        <f>IF(OR(AND(K118&lt;32, J118&lt;2), O118=1, P118=1, Q118=1, R118=1, S118=1, T118=1, U118=1, AND(W118&lt;&gt;"", W118&lt;&gt;"Oxygen", W118&lt;&gt;"LowFlow")), "Intensive", "Intermediate")</f>
      </c>
      <c r="AJ118" s="37">
        <f>IF(OR(LEFT(AH118, 1)="X", LEFT(AH118, 1)="Y", LEFT(AH118, 3)="J51M"), "CUSM", "No Match")</f>
      </c>
      <c r="AK118" s="37">
        <f>IF(AND(OR(O118=3, P118=1, Q118=1, T118=1), AJ118="no Match"), "CUSM, CHU SJ, CHUQ", "")</f>
      </c>
      <c r="AL118" s="37">
        <f>IF(AND(O118=2, ISBLANK(P118), ISBLANK(Q118), ISBLANK(R118), ISBLANK(S118), ISBLANK(T118)), "CUSM, CHU SJ, CHUS, CHUQ", "")</f>
      </c>
      <c r="AM118" s="37">
        <f>IF(AND(AJ118="no match", AK118="", AL118="", K118&lt;26), "CUSM, CHU SJ, HGJ, CHUQ, CHUS", "")</f>
      </c>
      <c r="AN118" s="37">
        <f>IF(AND(AJ118="no match", AK118="", AL118="", K118&gt;26), "CUSM, CHU SJ, HGJ, CHUQ, CHUS, HMR", "")</f>
      </c>
    </row>
    <row x14ac:dyDescent="0.25" r="119" customHeight="1" ht="17.25">
      <c r="A119" s="27" t="s">
        <v>1651</v>
      </c>
      <c r="B119" s="28">
        <v>2</v>
      </c>
      <c r="C119" s="28">
        <v>831</v>
      </c>
      <c r="D119" s="29" t="s">
        <v>313</v>
      </c>
      <c r="E119" s="30" t="s">
        <v>50</v>
      </c>
      <c r="F119" s="31">
        <v>44270</v>
      </c>
      <c r="G119" s="32">
        <v>4.517361111111111</v>
      </c>
      <c r="H119" s="31">
        <v>44270</v>
      </c>
      <c r="I119" s="32">
        <v>4.277083333333334</v>
      </c>
      <c r="J119" s="33">
        <f>F119-H119</f>
      </c>
      <c r="K119" s="28">
        <v>36</v>
      </c>
      <c r="L119" s="28">
        <v>0</v>
      </c>
      <c r="M119" s="28">
        <v>2</v>
      </c>
      <c r="N119" s="34"/>
      <c r="O119" s="34"/>
      <c r="P119" s="34"/>
      <c r="Q119" s="34"/>
      <c r="R119" s="34"/>
      <c r="S119" s="34"/>
      <c r="T119" s="34"/>
      <c r="U119" s="34"/>
      <c r="V119" s="34"/>
      <c r="W119" s="29"/>
      <c r="X119" s="28">
        <v>36</v>
      </c>
      <c r="Y119" s="28">
        <v>1</v>
      </c>
      <c r="Z119" s="28">
        <v>1</v>
      </c>
      <c r="AA119" s="28">
        <v>2</v>
      </c>
      <c r="AB119" s="28">
        <v>1</v>
      </c>
      <c r="AC119" s="28">
        <v>2</v>
      </c>
      <c r="AD119" s="28">
        <v>2</v>
      </c>
      <c r="AE119" s="28">
        <v>1</v>
      </c>
      <c r="AF119" s="28">
        <v>3</v>
      </c>
      <c r="AG119" s="28">
        <v>2</v>
      </c>
      <c r="AH119" s="29" t="s">
        <v>1652</v>
      </c>
      <c r="AI119" s="36">
        <f>IF(OR(AND(K119&lt;32, J119&lt;2), O119=1, P119=1, Q119=1, R119=1, S119=1, T119=1, U119=1, AND(W119&lt;&gt;"", W119&lt;&gt;"Oxygen", W119&lt;&gt;"LowFlow")), "Intensive", "Intermediate")</f>
      </c>
      <c r="AJ119" s="37">
        <f>IF(OR(LEFT(AH119, 1)="X", LEFT(AH119, 1)="Y", LEFT(AH119, 3)="J52M"), "CUSM", "No Match")</f>
      </c>
      <c r="AK119" s="37">
        <f>IF(AND(OR(O119=3, P119=1, Q119=1, T119=1), AJ119="no Match"), "CUSM, CHU SJ, CHUQ", "")</f>
      </c>
      <c r="AL119" s="37">
        <f>IF(AND(O119=2, ISBLANK(P119), ISBLANK(Q119), ISBLANK(R119), ISBLANK(S119), ISBLANK(T119)), "CUSM, CHU SJ, CHUS, CHUQ", "")</f>
      </c>
      <c r="AM119" s="37">
        <f>IF(AND(AJ119="no match", AK119="", AL119="", K119&lt;26), "CUSM, CHU SJ, HGJ, CHUQ, CHUS", "")</f>
      </c>
      <c r="AN119" s="37">
        <f>IF(AND(AJ119="no match", AK119="", AL119="", K119&gt;26), "CUSM, CHU SJ, HGJ, CHUQ, CHUS, HMR", "")</f>
      </c>
    </row>
    <row x14ac:dyDescent="0.25" r="120" customHeight="1" ht="17.25">
      <c r="A120" s="27" t="s">
        <v>1653</v>
      </c>
      <c r="B120" s="28">
        <v>2</v>
      </c>
      <c r="C120" s="35">
        <v>824</v>
      </c>
      <c r="D120" s="29" t="s">
        <v>57</v>
      </c>
      <c r="E120" s="30" t="s">
        <v>50</v>
      </c>
      <c r="F120" s="31">
        <v>44270</v>
      </c>
      <c r="G120" s="32">
        <v>4.385416666666666</v>
      </c>
      <c r="H120" s="31">
        <v>44269</v>
      </c>
      <c r="I120" s="32">
        <v>4.434027777777778</v>
      </c>
      <c r="J120" s="33">
        <f>F120-H120</f>
      </c>
      <c r="K120" s="28">
        <v>41</v>
      </c>
      <c r="L120" s="28">
        <v>2</v>
      </c>
      <c r="M120" s="28">
        <v>2</v>
      </c>
      <c r="N120" s="34"/>
      <c r="O120" s="34"/>
      <c r="P120" s="34"/>
      <c r="Q120" s="34"/>
      <c r="R120" s="34"/>
      <c r="S120" s="34"/>
      <c r="T120" s="34"/>
      <c r="U120" s="34"/>
      <c r="V120" s="34"/>
      <c r="W120" s="29"/>
      <c r="X120" s="28">
        <v>24</v>
      </c>
      <c r="Y120" s="28">
        <v>1</v>
      </c>
      <c r="Z120" s="28">
        <v>2</v>
      </c>
      <c r="AA120" s="28">
        <v>2</v>
      </c>
      <c r="AB120" s="28">
        <v>1</v>
      </c>
      <c r="AC120" s="28">
        <v>2</v>
      </c>
      <c r="AD120" s="28">
        <v>2</v>
      </c>
      <c r="AE120" s="28">
        <v>1</v>
      </c>
      <c r="AF120" s="35">
        <v>2</v>
      </c>
      <c r="AG120" s="28">
        <v>2</v>
      </c>
      <c r="AH120" s="29" t="s">
        <v>1654</v>
      </c>
      <c r="AI120" s="36">
        <f>IF(OR(AND(K120&lt;32, J120&lt;2), O120=1, P120=1, Q120=1, R120=1, S120=1, T120=1, U120=1, AND(W120&lt;&gt;"", W120&lt;&gt;"Oxygen", W120&lt;&gt;"LowFlow")), "Intensive", "Intermediate")</f>
      </c>
      <c r="AJ120" s="37">
        <f>IF(OR(LEFT(AH120, 1)="X", LEFT(AH120, 1)="Y", LEFT(AH120, 3)="J53M"), "CUSM", "No Match")</f>
      </c>
      <c r="AK120" s="37">
        <f>IF(AND(OR(O120=3, P120=1, Q120=1, T120=1), AJ120="no Match"), "CUSM, CHU SJ, CHUQ", "")</f>
      </c>
      <c r="AL120" s="37">
        <f>IF(AND(O120=2, ISBLANK(P120), ISBLANK(Q120), ISBLANK(R120), ISBLANK(S120), ISBLANK(T120)), "CUSM, CHU SJ, CHUS, CHUQ", "")</f>
      </c>
      <c r="AM120" s="37">
        <f>IF(AND(AJ120="no match", AK120="", AL120="", K120&lt;26), "CUSM, CHU SJ, HGJ, CHUQ, CHUS", "")</f>
      </c>
      <c r="AN120" s="37">
        <f>IF(AND(AJ120="no match", AK120="", AL120="", K120&gt;26), "CUSM, CHU SJ, HGJ, CHUQ, CHUS, HMR", "")</f>
      </c>
    </row>
    <row x14ac:dyDescent="0.25" r="121" customHeight="1" ht="17.25">
      <c r="A121" s="27" t="s">
        <v>1655</v>
      </c>
      <c r="B121" s="28">
        <v>2</v>
      </c>
      <c r="C121" s="28">
        <v>820</v>
      </c>
      <c r="D121" s="29" t="s">
        <v>69</v>
      </c>
      <c r="E121" s="30" t="s">
        <v>50</v>
      </c>
      <c r="F121" s="31">
        <v>44271</v>
      </c>
      <c r="G121" s="32">
        <v>4.050694444444444</v>
      </c>
      <c r="H121" s="31">
        <v>44264</v>
      </c>
      <c r="I121" s="32">
        <v>4.857638888888889</v>
      </c>
      <c r="J121" s="33">
        <f>F121-H121</f>
      </c>
      <c r="K121" s="28">
        <v>39</v>
      </c>
      <c r="L121" s="28">
        <v>0</v>
      </c>
      <c r="M121" s="28">
        <v>1</v>
      </c>
      <c r="N121" s="28">
        <v>1</v>
      </c>
      <c r="O121" s="34"/>
      <c r="P121" s="34"/>
      <c r="Q121" s="34"/>
      <c r="R121" s="34"/>
      <c r="S121" s="34"/>
      <c r="T121" s="34"/>
      <c r="U121" s="34"/>
      <c r="V121" s="34"/>
      <c r="W121" s="29" t="s">
        <v>74</v>
      </c>
      <c r="X121" s="28">
        <v>34</v>
      </c>
      <c r="Y121" s="28">
        <v>1</v>
      </c>
      <c r="Z121" s="28">
        <v>1</v>
      </c>
      <c r="AA121" s="28">
        <v>2</v>
      </c>
      <c r="AB121" s="28">
        <v>1</v>
      </c>
      <c r="AC121" s="28">
        <v>2</v>
      </c>
      <c r="AD121" s="28">
        <v>2</v>
      </c>
      <c r="AE121" s="28">
        <v>4</v>
      </c>
      <c r="AF121" s="28">
        <v>3</v>
      </c>
      <c r="AG121" s="28">
        <v>3</v>
      </c>
      <c r="AH121" s="29" t="s">
        <v>1656</v>
      </c>
      <c r="AI121" s="36">
        <f>IF(OR(AND(K121&lt;32, J121&lt;2), O121=1, P121=1, Q121=1, R121=1, S121=1, T121=1, U121=1, AND(W121&lt;&gt;"", W121&lt;&gt;"Oxygen", W121&lt;&gt;"LowFlow")), "Intensive", "Intermediate")</f>
      </c>
      <c r="AJ121" s="37">
        <f>IF(OR(LEFT(AH121, 1)="X", LEFT(AH121, 1)="Y", LEFT(AH121, 3)="J54M"), "CUSM", "No Match")</f>
      </c>
      <c r="AK121" s="37">
        <f>IF(AND(OR(O121=3, P121=1, Q121=1, T121=1), AJ121="no Match"), "CUSM, CHU SJ, CHUQ", "")</f>
      </c>
      <c r="AL121" s="37">
        <f>IF(AND(O121=2, ISBLANK(P121), ISBLANK(Q121), ISBLANK(R121), ISBLANK(S121), ISBLANK(T121)), "CUSM, CHU SJ, CHUS, CHUQ", "")</f>
      </c>
      <c r="AM121" s="37">
        <f>IF(AND(AJ121="no match", AK121="", AL121="", K121&lt;26), "CUSM, CHU SJ, HGJ, CHUQ, CHUS", "")</f>
      </c>
      <c r="AN121" s="37">
        <f>IF(AND(AJ121="no match", AK121="", AL121="", K121&gt;26), "CUSM, CHU SJ, HGJ, CHUQ, CHUS, HMR", "")</f>
      </c>
    </row>
    <row x14ac:dyDescent="0.25" r="122" customHeight="1" ht="17.25">
      <c r="A122" s="27" t="s">
        <v>1657</v>
      </c>
      <c r="B122" s="28">
        <v>2</v>
      </c>
      <c r="C122" s="35">
        <v>795</v>
      </c>
      <c r="D122" s="29" t="s">
        <v>73</v>
      </c>
      <c r="E122" s="30" t="s">
        <v>54</v>
      </c>
      <c r="F122" s="31">
        <v>44272</v>
      </c>
      <c r="G122" s="32">
        <v>4.2625</v>
      </c>
      <c r="H122" s="31">
        <v>44271</v>
      </c>
      <c r="I122" s="32">
        <v>4.903472222222222</v>
      </c>
      <c r="J122" s="33">
        <f>F122-H122</f>
      </c>
      <c r="K122" s="28">
        <v>37</v>
      </c>
      <c r="L122" s="28">
        <v>0</v>
      </c>
      <c r="M122" s="28">
        <v>1</v>
      </c>
      <c r="N122" s="34"/>
      <c r="O122" s="34"/>
      <c r="P122" s="34"/>
      <c r="Q122" s="34"/>
      <c r="R122" s="34"/>
      <c r="S122" s="34"/>
      <c r="T122" s="34"/>
      <c r="U122" s="35">
        <v>1</v>
      </c>
      <c r="V122" s="35">
        <v>1</v>
      </c>
      <c r="W122" s="29" t="s">
        <v>70</v>
      </c>
      <c r="X122" s="28">
        <v>24</v>
      </c>
      <c r="Y122" s="28">
        <v>1</v>
      </c>
      <c r="Z122" s="28">
        <v>2</v>
      </c>
      <c r="AA122" s="28">
        <v>2</v>
      </c>
      <c r="AB122" s="28">
        <v>1</v>
      </c>
      <c r="AC122" s="28">
        <v>2</v>
      </c>
      <c r="AD122" s="28">
        <v>1</v>
      </c>
      <c r="AE122" s="28">
        <v>4</v>
      </c>
      <c r="AF122" s="28">
        <v>2</v>
      </c>
      <c r="AG122" s="28">
        <v>2</v>
      </c>
      <c r="AH122" s="29" t="s">
        <v>1658</v>
      </c>
      <c r="AI122" s="36">
        <f>IF(OR(AND(K122&lt;32, J122&lt;2), O122=1, P122=1, Q122=1, R122=1, S122=1, T122=1, U122=1, AND(W122&lt;&gt;"", W122&lt;&gt;"Oxygen", W122&lt;&gt;"LowFlow")), "Intensive", "Intermediate")</f>
      </c>
      <c r="AJ122" s="37">
        <f>IF(OR(LEFT(AH122, 1)="X", LEFT(AH122, 1)="Y", LEFT(AH122, 3)="J55M"), "CUSM", "No Match")</f>
      </c>
      <c r="AK122" s="37">
        <f>IF(AND(OR(O122=3, P122=1, Q122=1, T122=1), AJ122="no Match"), "CUSM, CHU SJ, CHUQ", "")</f>
      </c>
      <c r="AL122" s="37">
        <f>IF(AND(O122=2, ISBLANK(P122), ISBLANK(Q122), ISBLANK(R122), ISBLANK(S122), ISBLANK(T122)), "CUSM, CHU SJ, CHUS, CHUQ", "")</f>
      </c>
      <c r="AM122" s="37">
        <f>IF(AND(AJ122="no match", AK122="", AL122="", K122&lt;26), "CUSM, CHU SJ, HGJ, CHUQ, CHUS", "")</f>
      </c>
      <c r="AN122" s="37">
        <f>IF(AND(AJ122="no match", AK122="", AL122="", K122&gt;26), "CUSM, CHU SJ, HGJ, CHUQ, CHUS, HMR", "")</f>
      </c>
    </row>
    <row x14ac:dyDescent="0.25" r="123" customHeight="1" ht="17.25">
      <c r="A123" s="27" t="s">
        <v>1659</v>
      </c>
      <c r="B123" s="28">
        <v>2</v>
      </c>
      <c r="C123" s="35">
        <v>734</v>
      </c>
      <c r="D123" s="29" t="s">
        <v>264</v>
      </c>
      <c r="E123" s="30" t="s">
        <v>50</v>
      </c>
      <c r="F123" s="31">
        <v>44272</v>
      </c>
      <c r="G123" s="32">
        <v>4.202083333333333</v>
      </c>
      <c r="H123" s="31">
        <v>44271</v>
      </c>
      <c r="I123" s="32">
        <v>4.263194444444444</v>
      </c>
      <c r="J123" s="33">
        <f>F123-H123</f>
      </c>
      <c r="K123" s="28">
        <v>39</v>
      </c>
      <c r="L123" s="28">
        <v>0</v>
      </c>
      <c r="M123" s="28">
        <v>1</v>
      </c>
      <c r="N123" s="38"/>
      <c r="O123" s="34"/>
      <c r="P123" s="34"/>
      <c r="Q123" s="34"/>
      <c r="R123" s="34"/>
      <c r="S123" s="34"/>
      <c r="T123" s="34"/>
      <c r="U123" s="34"/>
      <c r="V123" s="34"/>
      <c r="W123" s="29"/>
      <c r="X123" s="28">
        <v>33</v>
      </c>
      <c r="Y123" s="28">
        <v>1</v>
      </c>
      <c r="Z123" s="28">
        <v>1</v>
      </c>
      <c r="AA123" s="28">
        <v>1</v>
      </c>
      <c r="AB123" s="28">
        <v>1</v>
      </c>
      <c r="AC123" s="28">
        <v>2</v>
      </c>
      <c r="AD123" s="28">
        <v>2</v>
      </c>
      <c r="AE123" s="28">
        <v>4</v>
      </c>
      <c r="AF123" s="28">
        <v>3</v>
      </c>
      <c r="AG123" s="28">
        <v>3</v>
      </c>
      <c r="AH123" s="29" t="s">
        <v>1660</v>
      </c>
      <c r="AI123" s="36">
        <f>IF(OR(AND(K123&lt;32, J123&lt;2), O123=1, P123=1, Q123=1, R123=1, S123=1, T123=1, U123=1, AND(W123&lt;&gt;"", W123&lt;&gt;"Oxygen", W123&lt;&gt;"LowFlow")), "Intensive", "Intermediate")</f>
      </c>
      <c r="AJ123" s="37">
        <f>IF(OR(LEFT(AH123, 1)="X", LEFT(AH123, 1)="Y", LEFT(AH123, 3)="J56M"), "CUSM", "No Match")</f>
      </c>
      <c r="AK123" s="37">
        <f>IF(AND(OR(O123=3, P123=1, Q123=1, T123=1), AJ123="no Match"), "CUSM, CHU SJ, CHUQ", "")</f>
      </c>
      <c r="AL123" s="37">
        <f>IF(AND(O123=2, ISBLANK(P123), ISBLANK(Q123), ISBLANK(R123), ISBLANK(S123), ISBLANK(T123)), "CUSM, CHU SJ, CHUS, CHUQ", "")</f>
      </c>
      <c r="AM123" s="37">
        <f>IF(AND(AJ123="no match", AK123="", AL123="", K123&lt;26), "CUSM, CHU SJ, HGJ, CHUQ, CHUS", "")</f>
      </c>
      <c r="AN123" s="37">
        <f>IF(AND(AJ123="no match", AK123="", AL123="", K123&gt;26), "CUSM, CHU SJ, HGJ, CHUQ, CHUS, HMR", "")</f>
      </c>
    </row>
    <row x14ac:dyDescent="0.25" r="124" customHeight="1" ht="17.25">
      <c r="A124" s="27" t="s">
        <v>1661</v>
      </c>
      <c r="B124" s="28">
        <v>2</v>
      </c>
      <c r="C124" s="35">
        <v>839</v>
      </c>
      <c r="D124" s="29" t="s">
        <v>53</v>
      </c>
      <c r="E124" s="30" t="s">
        <v>50</v>
      </c>
      <c r="F124" s="31">
        <v>44272</v>
      </c>
      <c r="G124" s="32">
        <v>4.010416666666666</v>
      </c>
      <c r="H124" s="31">
        <v>44271</v>
      </c>
      <c r="I124" s="32">
        <v>4.871527777777778</v>
      </c>
      <c r="J124" s="33">
        <f>F124-H124</f>
      </c>
      <c r="K124" s="28">
        <v>38</v>
      </c>
      <c r="L124" s="28">
        <v>2</v>
      </c>
      <c r="M124" s="28">
        <v>2</v>
      </c>
      <c r="N124" s="38"/>
      <c r="O124" s="34"/>
      <c r="P124" s="34"/>
      <c r="Q124" s="34"/>
      <c r="R124" s="34"/>
      <c r="S124" s="34"/>
      <c r="T124" s="34"/>
      <c r="U124" s="34"/>
      <c r="V124" s="34"/>
      <c r="W124" s="29" t="s">
        <v>74</v>
      </c>
      <c r="X124" s="28">
        <v>40</v>
      </c>
      <c r="Y124" s="28">
        <v>1</v>
      </c>
      <c r="Z124" s="28">
        <v>2</v>
      </c>
      <c r="AA124" s="28">
        <v>2</v>
      </c>
      <c r="AB124" s="28">
        <v>1</v>
      </c>
      <c r="AC124" s="28">
        <v>2</v>
      </c>
      <c r="AD124" s="28">
        <v>2</v>
      </c>
      <c r="AE124" s="28">
        <v>2</v>
      </c>
      <c r="AF124" s="28">
        <v>3</v>
      </c>
      <c r="AG124" s="28">
        <v>2</v>
      </c>
      <c r="AH124" s="29" t="s">
        <v>1662</v>
      </c>
      <c r="AI124" s="36">
        <f>IF(OR(AND(K124&lt;32, J124&lt;2), O124=1, P124=1, Q124=1, R124=1, S124=1, T124=1, U124=1, AND(W124&lt;&gt;"", W124&lt;&gt;"Oxygen", W124&lt;&gt;"LowFlow")), "Intensive", "Intermediate")</f>
      </c>
      <c r="AJ124" s="37">
        <f>IF(OR(LEFT(AH124, 1)="X", LEFT(AH124, 1)="Y", LEFT(AH124, 3)="J57M"), "CUSM", "No Match")</f>
      </c>
      <c r="AK124" s="37">
        <f>IF(AND(OR(O124=3, P124=1, Q124=1, T124=1), AJ124="no Match"), "CUSM, CHU SJ, CHUQ", "")</f>
      </c>
      <c r="AL124" s="37">
        <f>IF(AND(O124=2, ISBLANK(P124), ISBLANK(Q124), ISBLANK(R124), ISBLANK(S124), ISBLANK(T124)), "CUSM, CHU SJ, CHUS, CHUQ", "")</f>
      </c>
      <c r="AM124" s="37">
        <f>IF(AND(AJ124="no match", AK124="", AL124="", K124&lt;26), "CUSM, CHU SJ, HGJ, CHUQ, CHUS", "")</f>
      </c>
      <c r="AN124" s="37">
        <f>IF(AND(AJ124="no match", AK124="", AL124="", K124&gt;26), "CUSM, CHU SJ, HGJ, CHUQ, CHUS, HMR", "")</f>
      </c>
    </row>
    <row x14ac:dyDescent="0.25" r="125" customHeight="1" ht="17.25">
      <c r="A125" s="27" t="s">
        <v>1663</v>
      </c>
      <c r="B125" s="28">
        <v>2</v>
      </c>
      <c r="C125" s="35">
        <v>806</v>
      </c>
      <c r="D125" s="29" t="s">
        <v>438</v>
      </c>
      <c r="E125" s="30" t="s">
        <v>50</v>
      </c>
      <c r="F125" s="31">
        <v>44272</v>
      </c>
      <c r="G125" s="32">
        <v>4.666666666666666</v>
      </c>
      <c r="H125" s="31">
        <v>44272</v>
      </c>
      <c r="I125" s="32">
        <v>4.134027777777778</v>
      </c>
      <c r="J125" s="33">
        <f>F125-H125</f>
      </c>
      <c r="K125" s="28">
        <v>38</v>
      </c>
      <c r="L125" s="28">
        <v>6</v>
      </c>
      <c r="M125" s="28">
        <v>1</v>
      </c>
      <c r="N125" s="35">
        <v>1</v>
      </c>
      <c r="O125" s="34"/>
      <c r="P125" s="35">
        <v>1</v>
      </c>
      <c r="Q125" s="34"/>
      <c r="R125" s="34"/>
      <c r="S125" s="34"/>
      <c r="T125" s="34"/>
      <c r="U125" s="34"/>
      <c r="V125" s="34"/>
      <c r="W125" s="29"/>
      <c r="X125" s="28">
        <v>31</v>
      </c>
      <c r="Y125" s="28">
        <v>1</v>
      </c>
      <c r="Z125" s="28">
        <v>1</v>
      </c>
      <c r="AA125" s="28">
        <v>2</v>
      </c>
      <c r="AB125" s="28">
        <v>1</v>
      </c>
      <c r="AC125" s="28">
        <v>2</v>
      </c>
      <c r="AD125" s="28">
        <v>2</v>
      </c>
      <c r="AE125" s="28">
        <v>4</v>
      </c>
      <c r="AF125" s="28">
        <v>3</v>
      </c>
      <c r="AG125" s="28">
        <v>2</v>
      </c>
      <c r="AH125" s="29" t="s">
        <v>1664</v>
      </c>
      <c r="AI125" s="36">
        <f>IF(OR(AND(K125&lt;32, J125&lt;2), O125=1, P125=1, Q125=1, R125=1, S125=1, T125=1, U125=1, AND(W125&lt;&gt;"", W125&lt;&gt;"Oxygen", W125&lt;&gt;"LowFlow")), "Intensive", "Intermediate")</f>
      </c>
      <c r="AJ125" s="37">
        <f>IF(OR(LEFT(AH125, 1)="X", LEFT(AH125, 1)="Y", LEFT(AH125, 3)="J58M"), "CUSM", "No Match")</f>
      </c>
      <c r="AK125" s="37">
        <f>IF(AND(OR(O125=3, P125=1, Q125=1, T125=1), AJ125="no Match"), "CUSM, CHU SJ, CHUQ", "")</f>
      </c>
      <c r="AL125" s="37">
        <f>IF(AND(O125=2, ISBLANK(P125), ISBLANK(Q125), ISBLANK(R125), ISBLANK(S125), ISBLANK(T125)), "CUSM, CHU SJ, CHUS, CHUQ", "")</f>
      </c>
      <c r="AM125" s="37">
        <f>IF(AND(AJ125="no match", AK125="", AL125="", K125&lt;26), "CUSM, CHU SJ, HGJ, CHUQ, CHUS", "")</f>
      </c>
      <c r="AN125" s="37">
        <f>IF(AND(AJ125="no match", AK125="", AL125="", K125&gt;26), "CUSM, CHU SJ, HGJ, CHUQ, CHUS, HMR", "")</f>
      </c>
    </row>
    <row x14ac:dyDescent="0.25" r="126" customHeight="1" ht="17.25">
      <c r="A126" s="27" t="s">
        <v>1665</v>
      </c>
      <c r="B126" s="28">
        <v>2</v>
      </c>
      <c r="C126" s="35">
        <v>839</v>
      </c>
      <c r="D126" s="29" t="s">
        <v>53</v>
      </c>
      <c r="E126" s="30" t="s">
        <v>50</v>
      </c>
      <c r="F126" s="31">
        <v>44272</v>
      </c>
      <c r="G126" s="32">
        <v>4.791666666666666</v>
      </c>
      <c r="H126" s="31">
        <v>44272</v>
      </c>
      <c r="I126" s="32">
        <v>4.147222222222222</v>
      </c>
      <c r="J126" s="33">
        <f>F126-H126</f>
      </c>
      <c r="K126" s="28">
        <v>40</v>
      </c>
      <c r="L126" s="28">
        <v>0</v>
      </c>
      <c r="M126" s="28">
        <v>2</v>
      </c>
      <c r="N126" s="34"/>
      <c r="O126" s="34"/>
      <c r="P126" s="34"/>
      <c r="Q126" s="34"/>
      <c r="R126" s="34"/>
      <c r="S126" s="34"/>
      <c r="T126" s="34"/>
      <c r="U126" s="34"/>
      <c r="V126" s="34"/>
      <c r="W126" s="29"/>
      <c r="X126" s="28">
        <v>38</v>
      </c>
      <c r="Y126" s="28">
        <v>1</v>
      </c>
      <c r="Z126" s="28">
        <v>1</v>
      </c>
      <c r="AA126" s="28">
        <v>2</v>
      </c>
      <c r="AB126" s="28">
        <v>1</v>
      </c>
      <c r="AC126" s="28">
        <v>2</v>
      </c>
      <c r="AD126" s="28">
        <v>2</v>
      </c>
      <c r="AE126" s="28">
        <v>4</v>
      </c>
      <c r="AF126" s="28">
        <v>3</v>
      </c>
      <c r="AG126" s="28">
        <v>2</v>
      </c>
      <c r="AH126" s="29" t="s">
        <v>1666</v>
      </c>
      <c r="AI126" s="36">
        <f>IF(OR(AND(K126&lt;32, J126&lt;2), O126=1, P126=1, Q126=1, R126=1, S126=1, T126=1, U126=1, AND(W126&lt;&gt;"", W126&lt;&gt;"Oxygen", W126&lt;&gt;"LowFlow")), "Intensive", "Intermediate")</f>
      </c>
      <c r="AJ126" s="37">
        <f>IF(OR(LEFT(AH126, 1)="X", LEFT(AH126, 1)="Y", LEFT(AH126, 3)="J59M"), "CUSM", "No Match")</f>
      </c>
      <c r="AK126" s="37">
        <f>IF(AND(OR(O126=3, P126=1, Q126=1, T126=1), AJ126="no Match"), "CUSM, CHU SJ, CHUQ", "")</f>
      </c>
      <c r="AL126" s="37">
        <f>IF(AND(O126=2, ISBLANK(P126), ISBLANK(Q126), ISBLANK(R126), ISBLANK(S126), ISBLANK(T126)), "CUSM, CHU SJ, CHUS, CHUQ", "")</f>
      </c>
      <c r="AM126" s="37">
        <f>IF(AND(AJ126="no match", AK126="", AL126="", K126&lt;26), "CUSM, CHU SJ, HGJ, CHUQ, CHUS", "")</f>
      </c>
      <c r="AN126" s="37">
        <f>IF(AND(AJ126="no match", AK126="", AL126="", K126&gt;26), "CUSM, CHU SJ, HGJ, CHUQ, CHUS, HMR", "")</f>
      </c>
    </row>
    <row x14ac:dyDescent="0.25" r="127" customHeight="1" ht="17.25">
      <c r="A127" s="27" t="s">
        <v>1667</v>
      </c>
      <c r="B127" s="28">
        <v>2</v>
      </c>
      <c r="C127" s="28">
        <v>782</v>
      </c>
      <c r="D127" s="29" t="s">
        <v>95</v>
      </c>
      <c r="E127" s="30" t="s">
        <v>220</v>
      </c>
      <c r="F127" s="31">
        <v>44272</v>
      </c>
      <c r="G127" s="32">
        <v>4.760416666666666</v>
      </c>
      <c r="H127" s="31">
        <v>44272</v>
      </c>
      <c r="I127" s="32">
        <v>4.647222222222222</v>
      </c>
      <c r="J127" s="33">
        <f>F127-H127</f>
      </c>
      <c r="K127" s="28">
        <v>31</v>
      </c>
      <c r="L127" s="28">
        <v>5</v>
      </c>
      <c r="M127" s="28">
        <v>1</v>
      </c>
      <c r="N127" s="34"/>
      <c r="O127" s="38"/>
      <c r="P127" s="38"/>
      <c r="Q127" s="34"/>
      <c r="R127" s="34"/>
      <c r="S127" s="34"/>
      <c r="T127" s="34"/>
      <c r="U127" s="34"/>
      <c r="V127" s="34"/>
      <c r="W127" s="29" t="s">
        <v>58</v>
      </c>
      <c r="X127" s="28">
        <v>34</v>
      </c>
      <c r="Y127" s="28">
        <v>1</v>
      </c>
      <c r="Z127" s="28">
        <v>1</v>
      </c>
      <c r="AA127" s="28">
        <v>2</v>
      </c>
      <c r="AB127" s="28">
        <v>1</v>
      </c>
      <c r="AC127" s="28">
        <v>2</v>
      </c>
      <c r="AD127" s="28">
        <v>2</v>
      </c>
      <c r="AE127" s="28">
        <v>4</v>
      </c>
      <c r="AF127" s="28">
        <v>2</v>
      </c>
      <c r="AG127" s="28">
        <v>2</v>
      </c>
      <c r="AH127" s="29" t="s">
        <v>1668</v>
      </c>
      <c r="AI127" s="36">
        <f>IF(OR(AND(K127&lt;32, J127&lt;2), O127=1, P127=1, Q127=1, R127=1, S127=1, T127=1, U127=1, AND(W127&lt;&gt;"", W127&lt;&gt;"Oxygen", W127&lt;&gt;"LowFlow")), "Intensive", "Intermediate")</f>
      </c>
      <c r="AJ127" s="37">
        <f>IF(OR(LEFT(AH127, 1)="X", LEFT(AH127, 1)="Y", LEFT(AH127, 3)="J60M"), "CUSM", "No Match")</f>
      </c>
      <c r="AK127" s="37">
        <f>IF(AND(OR(O127=3, P127=1, Q127=1, T127=1), AJ127="no Match"), "CUSM, CHU SJ, CHUQ", "")</f>
      </c>
      <c r="AL127" s="37">
        <f>IF(AND(O127=2, ISBLANK(P127), ISBLANK(Q127), ISBLANK(R127), ISBLANK(S127), ISBLANK(T127)), "CUSM, CHU SJ, CHUS, CHUQ", "")</f>
      </c>
      <c r="AM127" s="37">
        <f>IF(AND(AJ127="no match", AK127="", AL127="", K127&lt;26), "CUSM, CHU SJ, HGJ, CHUQ, CHUS", "")</f>
      </c>
      <c r="AN127" s="37">
        <f>IF(AND(AJ127="no match", AK127="", AL127="", K127&gt;26), "CUSM, CHU SJ, HGJ, CHUQ, CHUS, HMR", "")</f>
      </c>
    </row>
    <row x14ac:dyDescent="0.25" r="128" customHeight="1" ht="17.25">
      <c r="A128" s="27" t="s">
        <v>1669</v>
      </c>
      <c r="B128" s="28">
        <v>2</v>
      </c>
      <c r="C128" s="28">
        <v>782</v>
      </c>
      <c r="D128" s="29" t="s">
        <v>95</v>
      </c>
      <c r="E128" s="30" t="s">
        <v>50</v>
      </c>
      <c r="F128" s="31">
        <v>44273</v>
      </c>
      <c r="G128" s="32">
        <v>4.4375</v>
      </c>
      <c r="H128" s="31">
        <v>44272</v>
      </c>
      <c r="I128" s="32">
        <v>4.794444444444444</v>
      </c>
      <c r="J128" s="33">
        <f>F128-H128</f>
      </c>
      <c r="K128" s="28">
        <v>38</v>
      </c>
      <c r="L128" s="28">
        <v>5</v>
      </c>
      <c r="M128" s="28">
        <v>2</v>
      </c>
      <c r="N128" s="34"/>
      <c r="O128" s="38"/>
      <c r="P128" s="34"/>
      <c r="Q128" s="34"/>
      <c r="R128" s="34"/>
      <c r="S128" s="34"/>
      <c r="T128" s="34"/>
      <c r="U128" s="34"/>
      <c r="V128" s="34"/>
      <c r="W128" s="29"/>
      <c r="X128" s="28">
        <v>40</v>
      </c>
      <c r="Y128" s="28">
        <v>1</v>
      </c>
      <c r="Z128" s="28">
        <v>1</v>
      </c>
      <c r="AA128" s="28">
        <v>2</v>
      </c>
      <c r="AB128" s="28">
        <v>1</v>
      </c>
      <c r="AC128" s="28">
        <v>2</v>
      </c>
      <c r="AD128" s="28">
        <v>1</v>
      </c>
      <c r="AE128" s="28">
        <v>4</v>
      </c>
      <c r="AF128" s="28">
        <v>3</v>
      </c>
      <c r="AG128" s="28">
        <v>2</v>
      </c>
      <c r="AH128" s="29" t="s">
        <v>1670</v>
      </c>
      <c r="AI128" s="36">
        <f>IF(OR(AND(K128&lt;32, J128&lt;2), O128=1, P128=1, Q128=1, R128=1, S128=1, T128=1, U128=1, AND(W128&lt;&gt;"", W128&lt;&gt;"Oxygen", W128&lt;&gt;"LowFlow")), "Intensive", "Intermediate")</f>
      </c>
      <c r="AJ128" s="37">
        <f>IF(OR(LEFT(AH128, 1)="X", LEFT(AH128, 1)="Y", LEFT(AH128, 3)="J61M"), "CUSM", "No Match")</f>
      </c>
      <c r="AK128" s="37">
        <f>IF(AND(OR(O128=3, P128=1, Q128=1, T128=1), AJ128="no Match"), "CUSM, CHU SJ, CHUQ", "")</f>
      </c>
      <c r="AL128" s="37">
        <f>IF(AND(O128=2, ISBLANK(P128), ISBLANK(Q128), ISBLANK(R128), ISBLANK(S128), ISBLANK(T128)), "CUSM, CHU SJ, CHUS, CHUQ", "")</f>
      </c>
      <c r="AM128" s="37">
        <f>IF(AND(AJ128="no match", AK128="", AL128="", K128&lt;26), "CUSM, CHU SJ, HGJ, CHUQ, CHUS", "")</f>
      </c>
      <c r="AN128" s="37">
        <f>IF(AND(AJ128="no match", AK128="", AL128="", K128&gt;26), "CUSM, CHU SJ, HGJ, CHUQ, CHUS, HMR", "")</f>
      </c>
    </row>
    <row x14ac:dyDescent="0.25" r="129" customHeight="1" ht="17.25">
      <c r="A129" s="27" t="s">
        <v>1671</v>
      </c>
      <c r="B129" s="28">
        <v>2</v>
      </c>
      <c r="C129" s="28">
        <v>824</v>
      </c>
      <c r="D129" s="29" t="s">
        <v>57</v>
      </c>
      <c r="E129" s="30" t="s">
        <v>50</v>
      </c>
      <c r="F129" s="31">
        <v>44274</v>
      </c>
      <c r="G129" s="32">
        <v>4.966666666666667</v>
      </c>
      <c r="H129" s="31">
        <v>44273</v>
      </c>
      <c r="I129" s="32">
        <v>4.445833333333333</v>
      </c>
      <c r="J129" s="33">
        <f>F129-H129</f>
      </c>
      <c r="K129" s="28">
        <v>39</v>
      </c>
      <c r="L129" s="28">
        <v>0</v>
      </c>
      <c r="M129" s="28">
        <v>2</v>
      </c>
      <c r="N129" s="38"/>
      <c r="O129" s="34"/>
      <c r="P129" s="38"/>
      <c r="Q129" s="34"/>
      <c r="R129" s="34"/>
      <c r="S129" s="34"/>
      <c r="T129" s="34"/>
      <c r="U129" s="34"/>
      <c r="V129" s="34"/>
      <c r="W129" s="29"/>
      <c r="X129" s="28">
        <v>27</v>
      </c>
      <c r="Y129" s="28">
        <v>1</v>
      </c>
      <c r="Z129" s="28">
        <v>2</v>
      </c>
      <c r="AA129" s="28">
        <v>2</v>
      </c>
      <c r="AB129" s="28">
        <v>1</v>
      </c>
      <c r="AC129" s="28">
        <v>2</v>
      </c>
      <c r="AD129" s="28">
        <v>1</v>
      </c>
      <c r="AE129" s="28">
        <v>2</v>
      </c>
      <c r="AF129" s="28">
        <v>2</v>
      </c>
      <c r="AG129" s="28">
        <v>3</v>
      </c>
      <c r="AH129" s="29" t="s">
        <v>760</v>
      </c>
      <c r="AI129" s="36">
        <f>IF(OR(AND(K129&lt;32, J129&lt;2), O129=1, P129=1, Q129=1, R129=1, S129=1, T129=1, U129=1, AND(W129&lt;&gt;"", W129&lt;&gt;"Oxygen", W129&lt;&gt;"LowFlow")), "Intensive", "Intermediate")</f>
      </c>
      <c r="AJ129" s="37">
        <f>IF(OR(LEFT(AH129, 1)="X", LEFT(AH129, 1)="Y", LEFT(AH129, 3)="J62M"), "CUSM", "No Match")</f>
      </c>
      <c r="AK129" s="37">
        <f>IF(AND(OR(O129=3, P129=1, Q129=1, T129=1), AJ129="no Match"), "CUSM, CHU SJ, CHUQ", "")</f>
      </c>
      <c r="AL129" s="37">
        <f>IF(AND(O129=2, ISBLANK(P129), ISBLANK(Q129), ISBLANK(R129), ISBLANK(S129), ISBLANK(T129)), "CUSM, CHU SJ, CHUS, CHUQ", "")</f>
      </c>
      <c r="AM129" s="37">
        <f>IF(AND(AJ129="no match", AK129="", AL129="", K129&lt;26), "CUSM, CHU SJ, HGJ, CHUQ, CHUS", "")</f>
      </c>
      <c r="AN129" s="37">
        <f>IF(AND(AJ129="no match", AK129="", AL129="", K129&gt;26), "CUSM, CHU SJ, HGJ, CHUQ, CHUS, HMR", "")</f>
      </c>
    </row>
    <row x14ac:dyDescent="0.25" r="130" customHeight="1" ht="17.25">
      <c r="A130" s="27" t="s">
        <v>1672</v>
      </c>
      <c r="B130" s="28">
        <v>2</v>
      </c>
      <c r="C130" s="28">
        <v>815</v>
      </c>
      <c r="D130" s="29" t="s">
        <v>100</v>
      </c>
      <c r="E130" s="30" t="s">
        <v>54</v>
      </c>
      <c r="F130" s="31">
        <v>44275</v>
      </c>
      <c r="G130" s="32">
        <v>4.902777777777778</v>
      </c>
      <c r="H130" s="31">
        <v>44274</v>
      </c>
      <c r="I130" s="32">
        <v>4.429166666666667</v>
      </c>
      <c r="J130" s="33">
        <f>F130-H130</f>
      </c>
      <c r="K130" s="28">
        <v>39</v>
      </c>
      <c r="L130" s="28">
        <v>2</v>
      </c>
      <c r="M130" s="28">
        <v>2</v>
      </c>
      <c r="N130" s="34"/>
      <c r="O130" s="34"/>
      <c r="P130" s="34"/>
      <c r="Q130" s="34"/>
      <c r="R130" s="34"/>
      <c r="S130" s="34"/>
      <c r="T130" s="34"/>
      <c r="U130" s="34"/>
      <c r="V130" s="34"/>
      <c r="W130" s="29"/>
      <c r="X130" s="28">
        <v>30</v>
      </c>
      <c r="Y130" s="28">
        <v>1</v>
      </c>
      <c r="Z130" s="28">
        <v>2</v>
      </c>
      <c r="AA130" s="28">
        <v>2</v>
      </c>
      <c r="AB130" s="28">
        <v>1</v>
      </c>
      <c r="AC130" s="28">
        <v>3</v>
      </c>
      <c r="AD130" s="28">
        <v>3</v>
      </c>
      <c r="AE130" s="28">
        <v>4</v>
      </c>
      <c r="AF130" s="28">
        <v>2</v>
      </c>
      <c r="AG130" s="28">
        <v>2</v>
      </c>
      <c r="AH130" s="29" t="s">
        <v>1673</v>
      </c>
      <c r="AI130" s="36">
        <f>IF(OR(AND(K130&lt;32, J130&lt;2), O130=1, P130=1, Q130=1, R130=1, S130=1, T130=1, U130=1, AND(W130&lt;&gt;"", W130&lt;&gt;"Oxygen", W130&lt;&gt;"LowFlow")), "Intensive", "Intermediate")</f>
      </c>
      <c r="AJ130" s="37">
        <f>IF(OR(LEFT(AH130, 1)="X", LEFT(AH130, 1)="Y", LEFT(AH130, 3)="J63M"), "CUSM", "No Match")</f>
      </c>
      <c r="AK130" s="37">
        <f>IF(AND(OR(O130=3, P130=1, Q130=1, T130=1), AJ130="no Match"), "CUSM, CHU SJ, CHUQ", "")</f>
      </c>
      <c r="AL130" s="37">
        <f>IF(AND(O130=2, ISBLANK(P130), ISBLANK(Q130), ISBLANK(R130), ISBLANK(S130), ISBLANK(T130)), "CUSM, CHU SJ, CHUS, CHUQ", "")</f>
      </c>
      <c r="AM130" s="37">
        <f>IF(AND(AJ130="no match", AK130="", AL130="", K130&lt;26), "CUSM, CHU SJ, HGJ, CHUQ, CHUS", "")</f>
      </c>
      <c r="AN130" s="37">
        <f>IF(AND(AJ130="no match", AK130="", AL130="", K130&gt;26), "CUSM, CHU SJ, HGJ, CHUQ, CHUS, HMR", "")</f>
      </c>
    </row>
    <row x14ac:dyDescent="0.25" r="131" customHeight="1" ht="17.25">
      <c r="A131" s="27" t="s">
        <v>1674</v>
      </c>
      <c r="B131" s="28">
        <v>2</v>
      </c>
      <c r="C131" s="28">
        <v>796</v>
      </c>
      <c r="D131" s="29" t="s">
        <v>63</v>
      </c>
      <c r="E131" s="30" t="s">
        <v>54</v>
      </c>
      <c r="F131" s="31">
        <v>44276</v>
      </c>
      <c r="G131" s="32">
        <v>4.794444444444444</v>
      </c>
      <c r="H131" s="31">
        <v>44274</v>
      </c>
      <c r="I131" s="32">
        <v>4.9222222222222225</v>
      </c>
      <c r="J131" s="33">
        <f>F131-H131</f>
      </c>
      <c r="K131" s="28">
        <v>38</v>
      </c>
      <c r="L131" s="28">
        <v>0</v>
      </c>
      <c r="M131" s="28">
        <v>1</v>
      </c>
      <c r="N131" s="38"/>
      <c r="O131" s="34"/>
      <c r="P131" s="34"/>
      <c r="Q131" s="34"/>
      <c r="R131" s="34"/>
      <c r="S131" s="34"/>
      <c r="T131" s="34"/>
      <c r="U131" s="34"/>
      <c r="V131" s="34"/>
      <c r="W131" s="29"/>
      <c r="X131" s="28">
        <v>27</v>
      </c>
      <c r="Y131" s="28">
        <v>1</v>
      </c>
      <c r="Z131" s="28">
        <v>2</v>
      </c>
      <c r="AA131" s="28">
        <v>1</v>
      </c>
      <c r="AB131" s="28">
        <v>1</v>
      </c>
      <c r="AC131" s="28">
        <v>2</v>
      </c>
      <c r="AD131" s="28">
        <v>2</v>
      </c>
      <c r="AE131" s="28">
        <v>4</v>
      </c>
      <c r="AF131" s="28">
        <v>2</v>
      </c>
      <c r="AG131" s="28">
        <v>2</v>
      </c>
      <c r="AH131" s="29" t="s">
        <v>1675</v>
      </c>
      <c r="AI131" s="36">
        <f>IF(OR(AND(K131&lt;32, J131&lt;2), O131=1, P131=1, Q131=1, R131=1, S131=1, T131=1, U131=1, AND(W131&lt;&gt;"", W131&lt;&gt;"Oxygen", W131&lt;&gt;"LowFlow")), "Intensive", "Intermediate")</f>
      </c>
      <c r="AJ131" s="37">
        <f>IF(OR(LEFT(AH131, 1)="X", LEFT(AH131, 1)="Y", LEFT(AH131, 3)="J0M"), "CUSM", "No Match")</f>
      </c>
      <c r="AK131" s="37">
        <f>IF(AND(OR(O131=3, P131=1, Q131=1, T131=1), AJ131="no Match"), "CUSM, CHU SJ, CHUQ", "")</f>
      </c>
      <c r="AL131" s="37">
        <f>IF(AND(O131=2, ISBLANK(P131), ISBLANK(Q131), ISBLANK(R131), ISBLANK(S131), ISBLANK(T131)), "CUSM, CHU SJ, CHUS, CHUQ", "")</f>
      </c>
      <c r="AM131" s="37">
        <f>IF(AND(AJ131="no match", AK131="", AL131="", K131&lt;26), "CUSM, CHU SJ, HGJ, CHUQ, CHUS", "")</f>
      </c>
      <c r="AN131" s="37">
        <f>IF(AND(AJ131="no match", AK131="", AL131="", K131&gt;26), "CUSM, CHU SJ, HGJ, CHUQ, CHUS, HMR", "")</f>
      </c>
    </row>
    <row x14ac:dyDescent="0.25" r="132" customHeight="1" ht="17.25">
      <c r="A132" s="27" t="s">
        <v>1676</v>
      </c>
      <c r="B132" s="28">
        <v>2</v>
      </c>
      <c r="C132" s="35">
        <v>796</v>
      </c>
      <c r="D132" s="29" t="s">
        <v>63</v>
      </c>
      <c r="E132" s="30" t="s">
        <v>54</v>
      </c>
      <c r="F132" s="31">
        <v>44276</v>
      </c>
      <c r="G132" s="32">
        <v>4.96875</v>
      </c>
      <c r="H132" s="31">
        <v>44276</v>
      </c>
      <c r="I132" s="32">
        <v>4.136805555555556</v>
      </c>
      <c r="J132" s="33">
        <f>F132-H132</f>
      </c>
      <c r="K132" s="28">
        <v>36</v>
      </c>
      <c r="L132" s="28">
        <v>3</v>
      </c>
      <c r="M132" s="28">
        <v>1</v>
      </c>
      <c r="N132" s="34"/>
      <c r="O132" s="34"/>
      <c r="P132" s="34"/>
      <c r="Q132" s="34"/>
      <c r="R132" s="34"/>
      <c r="S132" s="34"/>
      <c r="T132" s="34"/>
      <c r="U132" s="34"/>
      <c r="V132" s="34"/>
      <c r="W132" s="29"/>
      <c r="X132" s="28">
        <v>33</v>
      </c>
      <c r="Y132" s="28">
        <v>1</v>
      </c>
      <c r="Z132" s="28">
        <v>1</v>
      </c>
      <c r="AA132" s="28">
        <v>2</v>
      </c>
      <c r="AB132" s="28">
        <v>1</v>
      </c>
      <c r="AC132" s="28">
        <v>2</v>
      </c>
      <c r="AD132" s="28">
        <v>2</v>
      </c>
      <c r="AE132" s="28">
        <v>4</v>
      </c>
      <c r="AF132" s="28">
        <v>2</v>
      </c>
      <c r="AG132" s="28">
        <v>2</v>
      </c>
      <c r="AH132" s="29" t="s">
        <v>1677</v>
      </c>
      <c r="AI132" s="36">
        <f>IF(OR(AND(K132&lt;32, J132&lt;2), O132=1, P132=1, Q132=1, R132=1, S132=1, T132=1, U132=1, AND(W132&lt;&gt;"", W132&lt;&gt;"Oxygen", W132&lt;&gt;"LowFlow")), "Intensive", "Intermediate")</f>
      </c>
      <c r="AJ132" s="37">
        <f>IF(OR(LEFT(AH132, 1)="X", LEFT(AH132, 1)="Y", LEFT(AH132, 3)="J1M"), "CUSM", "No Match")</f>
      </c>
      <c r="AK132" s="37">
        <f>IF(AND(OR(O132=3, P132=1, Q132=1, T132=1), AJ132="no Match"), "CUSM, CHU SJ, CHUQ", "")</f>
      </c>
      <c r="AL132" s="37">
        <f>IF(AND(O132=2, ISBLANK(P132), ISBLANK(Q132), ISBLANK(R132), ISBLANK(S132), ISBLANK(T132)), "CUSM, CHU SJ, CHUS, CHUQ", "")</f>
      </c>
      <c r="AM132" s="37">
        <f>IF(AND(AJ132="no match", AK132="", AL132="", K132&lt;26), "CUSM, CHU SJ, HGJ, CHUQ, CHUS", "")</f>
      </c>
      <c r="AN132" s="37">
        <f>IF(AND(AJ132="no match", AK132="", AL132="", K132&gt;26), "CUSM, CHU SJ, HGJ, CHUQ, CHUS, HMR", "")</f>
      </c>
    </row>
    <row x14ac:dyDescent="0.25" r="133" customHeight="1" ht="17.25">
      <c r="A133" s="27" t="s">
        <v>1678</v>
      </c>
      <c r="B133" s="28">
        <v>2</v>
      </c>
      <c r="C133" s="28">
        <v>835</v>
      </c>
      <c r="D133" s="29" t="s">
        <v>170</v>
      </c>
      <c r="E133" s="30" t="s">
        <v>54</v>
      </c>
      <c r="F133" s="31">
        <v>44276</v>
      </c>
      <c r="G133" s="32">
        <v>4.204861111111111</v>
      </c>
      <c r="H133" s="31">
        <v>44276</v>
      </c>
      <c r="I133" s="32">
        <v>4.020833333333334</v>
      </c>
      <c r="J133" s="33">
        <f>F133-H133</f>
      </c>
      <c r="K133" s="28">
        <v>26</v>
      </c>
      <c r="L133" s="28">
        <v>1</v>
      </c>
      <c r="M133" s="28">
        <v>2</v>
      </c>
      <c r="N133" s="28">
        <v>1</v>
      </c>
      <c r="O133" s="38"/>
      <c r="P133" s="28">
        <v>1</v>
      </c>
      <c r="Q133" s="34"/>
      <c r="R133" s="34"/>
      <c r="S133" s="34"/>
      <c r="T133" s="34"/>
      <c r="U133" s="34"/>
      <c r="V133" s="34"/>
      <c r="W133" s="29" t="s">
        <v>70</v>
      </c>
      <c r="X133" s="28">
        <v>29</v>
      </c>
      <c r="Y133" s="28">
        <v>1</v>
      </c>
      <c r="Z133" s="28">
        <v>1</v>
      </c>
      <c r="AA133" s="28">
        <v>2</v>
      </c>
      <c r="AB133" s="28">
        <v>4</v>
      </c>
      <c r="AC133" s="28">
        <v>2</v>
      </c>
      <c r="AD133" s="28">
        <v>3</v>
      </c>
      <c r="AE133" s="28">
        <v>2</v>
      </c>
      <c r="AF133" s="28">
        <v>1</v>
      </c>
      <c r="AG133" s="28">
        <v>2</v>
      </c>
      <c r="AH133" s="29" t="s">
        <v>1679</v>
      </c>
      <c r="AI133" s="36">
        <f>IF(OR(AND(K133&lt;32, J133&lt;2), O133=1, P133=1, Q133=1, R133=1, S133=1, T133=1, U133=1, AND(W133&lt;&gt;"", W133&lt;&gt;"Oxygen", W133&lt;&gt;"LowFlow")), "Intensive", "Intermediate")</f>
      </c>
      <c r="AJ133" s="37">
        <f>IF(OR(LEFT(AH133, 1)="X", LEFT(AH133, 1)="Y", LEFT(AH133, 3)="J2M"), "CUSM", "No Match")</f>
      </c>
      <c r="AK133" s="37">
        <f>IF(AND(OR(O133=3, P133=1, Q133=1, T133=1), AJ133="no Match"), "CUSM, CHU SJ, CHUQ", "")</f>
      </c>
      <c r="AL133" s="37">
        <f>IF(AND(O133=2, ISBLANK(P133), ISBLANK(Q133), ISBLANK(R133), ISBLANK(S133), ISBLANK(T133)), "CUSM, CHU SJ, CHUS, CHUQ", "")</f>
      </c>
      <c r="AM133" s="37">
        <f>IF(AND(AJ133="no match", AK133="", AL133="", K133&lt;26), "CUSM, CHU SJ, HGJ, CHUQ, CHUS", "")</f>
      </c>
      <c r="AN133" s="37">
        <f>IF(AND(AJ133="no match", AK133="", AL133="", K133&gt;26), "CUSM, CHU SJ, HGJ, CHUQ, CHUS, HMR", "")</f>
      </c>
    </row>
    <row x14ac:dyDescent="0.25" r="134" customHeight="1" ht="17.25">
      <c r="A134" s="27" t="s">
        <v>1680</v>
      </c>
      <c r="B134" s="28">
        <v>2</v>
      </c>
      <c r="C134" s="28">
        <v>809</v>
      </c>
      <c r="D134" s="29" t="s">
        <v>117</v>
      </c>
      <c r="E134" s="30" t="s">
        <v>118</v>
      </c>
      <c r="F134" s="31">
        <v>44277</v>
      </c>
      <c r="G134" s="32">
        <v>4.430555555555555</v>
      </c>
      <c r="H134" s="31">
        <v>44277</v>
      </c>
      <c r="I134" s="32">
        <v>4.305555555555555</v>
      </c>
      <c r="J134" s="33">
        <f>F134-H134</f>
      </c>
      <c r="K134" s="28">
        <v>31</v>
      </c>
      <c r="L134" s="28">
        <v>5</v>
      </c>
      <c r="M134" s="28">
        <v>1</v>
      </c>
      <c r="N134" s="38"/>
      <c r="O134" s="34"/>
      <c r="P134" s="34"/>
      <c r="Q134" s="34"/>
      <c r="R134" s="34"/>
      <c r="S134" s="34"/>
      <c r="T134" s="34"/>
      <c r="U134" s="34"/>
      <c r="V134" s="34"/>
      <c r="W134" s="29" t="s">
        <v>58</v>
      </c>
      <c r="X134" s="28">
        <v>33</v>
      </c>
      <c r="Y134" s="28">
        <v>1</v>
      </c>
      <c r="Z134" s="28">
        <v>2</v>
      </c>
      <c r="AA134" s="28">
        <v>1</v>
      </c>
      <c r="AB134" s="28">
        <v>1</v>
      </c>
      <c r="AC134" s="28">
        <v>2</v>
      </c>
      <c r="AD134" s="28">
        <v>1</v>
      </c>
      <c r="AE134" s="28">
        <v>4</v>
      </c>
      <c r="AF134" s="28">
        <v>2</v>
      </c>
      <c r="AG134" s="28">
        <v>2</v>
      </c>
      <c r="AH134" s="29" t="s">
        <v>617</v>
      </c>
      <c r="AI134" s="36">
        <f>IF(OR(AND(K134&lt;32, J134&lt;2), O134=1, P134=1, Q134=1, R134=1, S134=1, T134=1, U134=1, AND(W134&lt;&gt;"", W134&lt;&gt;"Oxygen", W134&lt;&gt;"LowFlow")), "Intensive", "Intermediate")</f>
      </c>
      <c r="AJ134" s="37">
        <f>IF(OR(LEFT(AH134, 1)="X", LEFT(AH134, 1)="Y", LEFT(AH134, 3)="J3M"), "CUSM", "No Match")</f>
      </c>
      <c r="AK134" s="37">
        <f>IF(AND(OR(O134=3, P134=1, Q134=1, T134=1), AJ134="no Match"), "CUSM, CHU SJ, CHUQ", "")</f>
      </c>
      <c r="AL134" s="37">
        <f>IF(AND(O134=2, ISBLANK(P134), ISBLANK(Q134), ISBLANK(R134), ISBLANK(S134), ISBLANK(T134)), "CUSM, CHU SJ, CHUS, CHUQ", "")</f>
      </c>
      <c r="AM134" s="37">
        <f>IF(AND(AJ134="no match", AK134="", AL134="", K134&lt;26), "CUSM, CHU SJ, HGJ, CHUQ, CHUS", "")</f>
      </c>
      <c r="AN134" s="37">
        <f>IF(AND(AJ134="no match", AK134="", AL134="", K134&gt;26), "CUSM, CHU SJ, HGJ, CHUQ, CHUS, HMR", "")</f>
      </c>
    </row>
    <row x14ac:dyDescent="0.25" r="135" customHeight="1" ht="17.25">
      <c r="A135" s="27" t="s">
        <v>1681</v>
      </c>
      <c r="B135" s="28">
        <v>2</v>
      </c>
      <c r="C135" s="28">
        <v>822</v>
      </c>
      <c r="D135" s="29" t="s">
        <v>167</v>
      </c>
      <c r="E135" s="30" t="s">
        <v>54</v>
      </c>
      <c r="F135" s="31">
        <v>44277</v>
      </c>
      <c r="G135" s="32">
        <v>4.392361111111111</v>
      </c>
      <c r="H135" s="31">
        <v>44277</v>
      </c>
      <c r="I135" s="32">
        <v>4.174305555555556</v>
      </c>
      <c r="J135" s="33">
        <f>F135-H135</f>
      </c>
      <c r="K135" s="28">
        <v>39</v>
      </c>
      <c r="L135" s="28">
        <v>4</v>
      </c>
      <c r="M135" s="28">
        <v>2</v>
      </c>
      <c r="N135" s="34"/>
      <c r="O135" s="34"/>
      <c r="P135" s="34"/>
      <c r="Q135" s="34"/>
      <c r="R135" s="34"/>
      <c r="S135" s="34"/>
      <c r="T135" s="38"/>
      <c r="U135" s="34"/>
      <c r="V135" s="34"/>
      <c r="W135" s="29" t="s">
        <v>74</v>
      </c>
      <c r="X135" s="28">
        <v>38</v>
      </c>
      <c r="Y135" s="28">
        <v>1</v>
      </c>
      <c r="Z135" s="28">
        <v>1</v>
      </c>
      <c r="AA135" s="28">
        <v>2</v>
      </c>
      <c r="AB135" s="28">
        <v>1</v>
      </c>
      <c r="AC135" s="28">
        <v>2</v>
      </c>
      <c r="AD135" s="28">
        <v>2</v>
      </c>
      <c r="AE135" s="28">
        <v>4</v>
      </c>
      <c r="AF135" s="28">
        <v>2</v>
      </c>
      <c r="AG135" s="28">
        <v>2</v>
      </c>
      <c r="AH135" s="29" t="s">
        <v>1682</v>
      </c>
      <c r="AI135" s="36">
        <f>IF(OR(AND(K135&lt;32, J135&lt;2), O135=1, P135=1, Q135=1, R135=1, S135=1, T135=1, U135=1, AND(W135&lt;&gt;"", W135&lt;&gt;"Oxygen", W135&lt;&gt;"LowFlow")), "Intensive", "Intermediate")</f>
      </c>
      <c r="AJ135" s="37">
        <f>IF(OR(LEFT(AH135, 1)="X", LEFT(AH135, 1)="Y", LEFT(AH135, 3)="J4M"), "CUSM", "No Match")</f>
      </c>
      <c r="AK135" s="37">
        <f>IF(AND(OR(O135=3, P135=1, Q135=1, T135=1), AJ135="no Match"), "CUSM, CHU SJ, CHUQ", "")</f>
      </c>
      <c r="AL135" s="37">
        <f>IF(AND(O135=2, ISBLANK(P135), ISBLANK(Q135), ISBLANK(R135), ISBLANK(S135), ISBLANK(T135)), "CUSM, CHU SJ, CHUS, CHUQ", "")</f>
      </c>
      <c r="AM135" s="37">
        <f>IF(AND(AJ135="no match", AK135="", AL135="", K135&lt;26), "CUSM, CHU SJ, HGJ, CHUQ, CHUS", "")</f>
      </c>
      <c r="AN135" s="37">
        <f>IF(AND(AJ135="no match", AK135="", AL135="", K135&gt;26), "CUSM, CHU SJ, HGJ, CHUQ, CHUS, HMR", "")</f>
      </c>
    </row>
    <row x14ac:dyDescent="0.25" r="136" customHeight="1" ht="17.25">
      <c r="A136" s="27" t="s">
        <v>1683</v>
      </c>
      <c r="B136" s="28">
        <v>2</v>
      </c>
      <c r="C136" s="28">
        <v>730</v>
      </c>
      <c r="D136" s="29" t="s">
        <v>81</v>
      </c>
      <c r="E136" s="30" t="s">
        <v>50</v>
      </c>
      <c r="F136" s="31">
        <v>44277</v>
      </c>
      <c r="G136" s="32">
        <v>4.6375</v>
      </c>
      <c r="H136" s="31">
        <v>44277</v>
      </c>
      <c r="I136" s="32">
        <v>4.415277777777778</v>
      </c>
      <c r="J136" s="33">
        <f>F136-H136</f>
      </c>
      <c r="K136" s="28">
        <v>37</v>
      </c>
      <c r="L136" s="28">
        <v>5</v>
      </c>
      <c r="M136" s="28">
        <v>2</v>
      </c>
      <c r="N136" s="38"/>
      <c r="O136" s="34"/>
      <c r="P136" s="38"/>
      <c r="Q136" s="34"/>
      <c r="R136" s="34"/>
      <c r="S136" s="34"/>
      <c r="T136" s="34"/>
      <c r="U136" s="34"/>
      <c r="V136" s="34"/>
      <c r="W136" s="29"/>
      <c r="X136" s="28">
        <v>28</v>
      </c>
      <c r="Y136" s="28">
        <v>2</v>
      </c>
      <c r="Z136" s="28">
        <v>2</v>
      </c>
      <c r="AA136" s="28">
        <v>2</v>
      </c>
      <c r="AB136" s="28">
        <v>4</v>
      </c>
      <c r="AC136" s="28">
        <v>2</v>
      </c>
      <c r="AD136" s="28">
        <v>2</v>
      </c>
      <c r="AE136" s="28">
        <v>2</v>
      </c>
      <c r="AF136" s="28">
        <v>2</v>
      </c>
      <c r="AG136" s="28">
        <v>3</v>
      </c>
      <c r="AH136" s="29" t="s">
        <v>1684</v>
      </c>
      <c r="AI136" s="36">
        <f>IF(OR(AND(K136&lt;32, J136&lt;2), O136=1, P136=1, Q136=1, R136=1, S136=1, T136=1, U136=1, AND(W136&lt;&gt;"", W136&lt;&gt;"Oxygen", W136&lt;&gt;"LowFlow")), "Intensive", "Intermediate")</f>
      </c>
      <c r="AJ136" s="37">
        <f>IF(OR(LEFT(AH136, 1)="X", LEFT(AH136, 1)="Y", LEFT(AH136, 3)="J5M"), "CUSM", "No Match")</f>
      </c>
      <c r="AK136" s="37">
        <f>IF(AND(OR(O136=3, P136=1, Q136=1, T136=1), AJ136="no Match"), "CUSM, CHU SJ, CHUQ", "")</f>
      </c>
      <c r="AL136" s="37">
        <f>IF(AND(O136=2, ISBLANK(P136), ISBLANK(Q136), ISBLANK(R136), ISBLANK(S136), ISBLANK(T136)), "CUSM, CHU SJ, CHUS, CHUQ", "")</f>
      </c>
      <c r="AM136" s="37">
        <f>IF(AND(AJ136="no match", AK136="", AL136="", K136&lt;26), "CUSM, CHU SJ, HGJ, CHUQ, CHUS", "")</f>
      </c>
      <c r="AN136" s="37">
        <f>IF(AND(AJ136="no match", AK136="", AL136="", K136&gt;26), "CUSM, CHU SJ, HGJ, CHUQ, CHUS, HMR", "")</f>
      </c>
    </row>
    <row x14ac:dyDescent="0.25" r="137" customHeight="1" ht="17.25">
      <c r="A137" s="27" t="s">
        <v>1685</v>
      </c>
      <c r="B137" s="28">
        <v>2</v>
      </c>
      <c r="C137" s="28">
        <v>820</v>
      </c>
      <c r="D137" s="29" t="s">
        <v>69</v>
      </c>
      <c r="E137" s="30" t="s">
        <v>50</v>
      </c>
      <c r="F137" s="31">
        <v>44278</v>
      </c>
      <c r="G137" s="32">
        <v>4.747222222222222</v>
      </c>
      <c r="H137" s="31">
        <v>44267</v>
      </c>
      <c r="I137" s="32">
        <v>4.2756944444444445</v>
      </c>
      <c r="J137" s="33">
        <f>F137-H137</f>
      </c>
      <c r="K137" s="28">
        <v>39</v>
      </c>
      <c r="L137" s="28">
        <v>4</v>
      </c>
      <c r="M137" s="28">
        <v>1</v>
      </c>
      <c r="N137" s="38"/>
      <c r="O137" s="34"/>
      <c r="P137" s="38"/>
      <c r="Q137" s="34"/>
      <c r="R137" s="34"/>
      <c r="S137" s="34"/>
      <c r="T137" s="34"/>
      <c r="U137" s="34"/>
      <c r="V137" s="34"/>
      <c r="W137" s="29"/>
      <c r="X137" s="28">
        <v>38</v>
      </c>
      <c r="Y137" s="28">
        <v>1</v>
      </c>
      <c r="Z137" s="28">
        <v>1</v>
      </c>
      <c r="AA137" s="28">
        <v>2</v>
      </c>
      <c r="AB137" s="28">
        <v>4</v>
      </c>
      <c r="AC137" s="28">
        <v>2</v>
      </c>
      <c r="AD137" s="28">
        <v>2</v>
      </c>
      <c r="AE137" s="28">
        <v>4</v>
      </c>
      <c r="AF137" s="28">
        <v>3</v>
      </c>
      <c r="AG137" s="28">
        <v>2</v>
      </c>
      <c r="AH137" s="29" t="s">
        <v>1686</v>
      </c>
      <c r="AI137" s="36">
        <f>IF(OR(AND(K137&lt;32, J137&lt;2), O137=1, P137=1, Q137=1, R137=1, S137=1, T137=1, U137=1, AND(W137&lt;&gt;"", W137&lt;&gt;"Oxygen", W137&lt;&gt;"LowFlow")), "Intensive", "Intermediate")</f>
      </c>
      <c r="AJ137" s="37">
        <f>IF(OR(LEFT(AH137, 1)="X", LEFT(AH137, 1)="Y", LEFT(AH137, 3)="J6M"), "CUSM", "No Match")</f>
      </c>
      <c r="AK137" s="37">
        <f>IF(AND(OR(O137=3, P137=1, Q137=1, T137=1), AJ137="no Match"), "CUSM, CHU SJ, CHUQ", "")</f>
      </c>
      <c r="AL137" s="37">
        <f>IF(AND(O137=2, ISBLANK(P137), ISBLANK(Q137), ISBLANK(R137), ISBLANK(S137), ISBLANK(T137)), "CUSM, CHU SJ, CHUS, CHUQ", "")</f>
      </c>
      <c r="AM137" s="37">
        <f>IF(AND(AJ137="no match", AK137="", AL137="", K137&lt;26), "CUSM, CHU SJ, HGJ, CHUQ, CHUS", "")</f>
      </c>
      <c r="AN137" s="37">
        <f>IF(AND(AJ137="no match", AK137="", AL137="", K137&gt;26), "CUSM, CHU SJ, HGJ, CHUQ, CHUS, HMR", "")</f>
      </c>
    </row>
    <row x14ac:dyDescent="0.25" r="138" customHeight="1" ht="17.25">
      <c r="A138" s="27" t="s">
        <v>1687</v>
      </c>
      <c r="B138" s="28">
        <v>2</v>
      </c>
      <c r="C138" s="28">
        <v>6</v>
      </c>
      <c r="D138" s="29" t="s">
        <v>131</v>
      </c>
      <c r="E138" s="30" t="s">
        <v>50</v>
      </c>
      <c r="F138" s="31">
        <v>44279</v>
      </c>
      <c r="G138" s="32">
        <v>4.184027777777778</v>
      </c>
      <c r="H138" s="31">
        <v>44274</v>
      </c>
      <c r="I138" s="32">
        <v>4.434027777777778</v>
      </c>
      <c r="J138" s="33">
        <f>F138-H138</f>
      </c>
      <c r="K138" s="28">
        <v>41</v>
      </c>
      <c r="L138" s="28">
        <v>0</v>
      </c>
      <c r="M138" s="28">
        <v>1</v>
      </c>
      <c r="N138" s="34"/>
      <c r="O138" s="34"/>
      <c r="P138" s="34"/>
      <c r="Q138" s="34"/>
      <c r="R138" s="34"/>
      <c r="S138" s="34"/>
      <c r="T138" s="34"/>
      <c r="U138" s="34"/>
      <c r="V138" s="34"/>
      <c r="W138" s="29"/>
      <c r="X138" s="28">
        <v>33</v>
      </c>
      <c r="Y138" s="28">
        <v>1</v>
      </c>
      <c r="Z138" s="28">
        <v>1</v>
      </c>
      <c r="AA138" s="28">
        <v>3</v>
      </c>
      <c r="AB138" s="28">
        <v>4</v>
      </c>
      <c r="AC138" s="28">
        <v>2</v>
      </c>
      <c r="AD138" s="28">
        <v>2</v>
      </c>
      <c r="AE138" s="28">
        <v>4</v>
      </c>
      <c r="AF138" s="28">
        <v>3</v>
      </c>
      <c r="AG138" s="28">
        <v>3</v>
      </c>
      <c r="AH138" s="29" t="s">
        <v>1688</v>
      </c>
      <c r="AI138" s="36">
        <f>IF(OR(AND(K138&lt;32, J138&lt;2), O138=1, P138=1, Q138=1, R138=1, S138=1, T138=1, U138=1, AND(W138&lt;&gt;"", W138&lt;&gt;"Oxygen", W138&lt;&gt;"LowFlow")), "Intensive", "Intermediate")</f>
      </c>
      <c r="AJ138" s="37">
        <f>IF(OR(LEFT(AH138, 1)="X", LEFT(AH138, 1)="Y", LEFT(AH138, 3)="J7M"), "CUSM", "No Match")</f>
      </c>
      <c r="AK138" s="37">
        <f>IF(AND(OR(O138=3, P138=1, Q138=1, T138=1), AJ138="no Match"), "CUSM, CHU SJ, CHUQ", "")</f>
      </c>
      <c r="AL138" s="37">
        <f>IF(AND(O138=2, ISBLANK(P138), ISBLANK(Q138), ISBLANK(R138), ISBLANK(S138), ISBLANK(T138)), "CUSM, CHU SJ, CHUS, CHUQ", "")</f>
      </c>
      <c r="AM138" s="37">
        <f>IF(AND(AJ138="no match", AK138="", AL138="", K138&lt;26), "CUSM, CHU SJ, HGJ, CHUQ, CHUS", "")</f>
      </c>
      <c r="AN138" s="37">
        <f>IF(AND(AJ138="no match", AK138="", AL138="", K138&gt;26), "CUSM, CHU SJ, HGJ, CHUQ, CHUS, HMR", "")</f>
      </c>
    </row>
    <row x14ac:dyDescent="0.25" r="139" customHeight="1" ht="17.25">
      <c r="A139" s="27" t="s">
        <v>1689</v>
      </c>
      <c r="B139" s="28">
        <v>2</v>
      </c>
      <c r="C139" s="28">
        <v>779</v>
      </c>
      <c r="D139" s="29" t="s">
        <v>136</v>
      </c>
      <c r="E139" s="30" t="s">
        <v>50</v>
      </c>
      <c r="F139" s="31">
        <v>44279</v>
      </c>
      <c r="G139" s="32">
        <v>4.774305555555555</v>
      </c>
      <c r="H139" s="31">
        <v>44277</v>
      </c>
      <c r="I139" s="32">
        <v>4.967361111111111</v>
      </c>
      <c r="J139" s="33">
        <f>F139-H139</f>
      </c>
      <c r="K139" s="28">
        <v>37</v>
      </c>
      <c r="L139" s="28">
        <v>6</v>
      </c>
      <c r="M139" s="28">
        <v>1</v>
      </c>
      <c r="N139" s="35">
        <v>1</v>
      </c>
      <c r="O139" s="38"/>
      <c r="P139" s="38"/>
      <c r="Q139" s="34"/>
      <c r="R139" s="34"/>
      <c r="S139" s="34"/>
      <c r="T139" s="34"/>
      <c r="U139" s="34"/>
      <c r="V139" s="34"/>
      <c r="W139" s="29"/>
      <c r="X139" s="28">
        <v>34</v>
      </c>
      <c r="Y139" s="28">
        <v>1</v>
      </c>
      <c r="Z139" s="28">
        <v>1</v>
      </c>
      <c r="AA139" s="28">
        <v>1</v>
      </c>
      <c r="AB139" s="28">
        <v>1</v>
      </c>
      <c r="AC139" s="28">
        <v>2</v>
      </c>
      <c r="AD139" s="28">
        <v>2</v>
      </c>
      <c r="AE139" s="28">
        <v>4</v>
      </c>
      <c r="AF139" s="28">
        <v>2</v>
      </c>
      <c r="AG139" s="28">
        <v>2</v>
      </c>
      <c r="AH139" s="29" t="s">
        <v>1690</v>
      </c>
      <c r="AI139" s="36">
        <f>IF(OR(AND(K139&lt;32, J139&lt;2), O139=1, P139=1, Q139=1, R139=1, S139=1, T139=1, U139=1, AND(W139&lt;&gt;"", W139&lt;&gt;"Oxygen", W139&lt;&gt;"LowFlow")), "Intensive", "Intermediate")</f>
      </c>
      <c r="AJ139" s="37">
        <f>IF(OR(LEFT(AH139, 1)="X", LEFT(AH139, 1)="Y", LEFT(AH139, 3)="J8M"), "CUSM", "No Match")</f>
      </c>
      <c r="AK139" s="37">
        <f>IF(AND(OR(O139=3, P139=1, Q139=1, T139=1), AJ139="no Match"), "CUSM, CHU SJ, CHUQ", "")</f>
      </c>
      <c r="AL139" s="37">
        <f>IF(AND(O139=2, ISBLANK(P139), ISBLANK(Q139), ISBLANK(R139), ISBLANK(S139), ISBLANK(T139)), "CUSM, CHU SJ, CHUS, CHUQ", "")</f>
      </c>
      <c r="AM139" s="37">
        <f>IF(AND(AJ139="no match", AK139="", AL139="", K139&lt;26), "CUSM, CHU SJ, HGJ, CHUQ, CHUS", "")</f>
      </c>
      <c r="AN139" s="37">
        <f>IF(AND(AJ139="no match", AK139="", AL139="", K139&gt;26), "CUSM, CHU SJ, HGJ, CHUQ, CHUS, HMR", "")</f>
      </c>
    </row>
    <row x14ac:dyDescent="0.25" r="140" customHeight="1" ht="17.25">
      <c r="A140" s="27" t="s">
        <v>1691</v>
      </c>
      <c r="B140" s="28">
        <v>2</v>
      </c>
      <c r="C140" s="28">
        <v>833</v>
      </c>
      <c r="D140" s="29" t="s">
        <v>376</v>
      </c>
      <c r="E140" s="30" t="s">
        <v>54</v>
      </c>
      <c r="F140" s="31">
        <v>44280</v>
      </c>
      <c r="G140" s="32">
        <v>4.739583333333334</v>
      </c>
      <c r="H140" s="31">
        <v>44280</v>
      </c>
      <c r="I140" s="32">
        <v>4.523611111111111</v>
      </c>
      <c r="J140" s="33">
        <f>F140-H140</f>
      </c>
      <c r="K140" s="28">
        <v>38</v>
      </c>
      <c r="L140" s="28">
        <v>3</v>
      </c>
      <c r="M140" s="28">
        <v>1</v>
      </c>
      <c r="N140" s="34"/>
      <c r="O140" s="34"/>
      <c r="P140" s="34"/>
      <c r="Q140" s="34"/>
      <c r="R140" s="34"/>
      <c r="S140" s="34"/>
      <c r="T140" s="35">
        <v>1</v>
      </c>
      <c r="U140" s="34"/>
      <c r="V140" s="28">
        <v>1</v>
      </c>
      <c r="W140" s="29" t="s">
        <v>74</v>
      </c>
      <c r="X140" s="28">
        <v>32</v>
      </c>
      <c r="Y140" s="28">
        <v>1</v>
      </c>
      <c r="Z140" s="28">
        <v>1</v>
      </c>
      <c r="AA140" s="28">
        <v>2</v>
      </c>
      <c r="AB140" s="28">
        <v>1</v>
      </c>
      <c r="AC140" s="28">
        <v>2</v>
      </c>
      <c r="AD140" s="28">
        <v>2</v>
      </c>
      <c r="AE140" s="28">
        <v>4</v>
      </c>
      <c r="AF140" s="28">
        <v>2</v>
      </c>
      <c r="AG140" s="28">
        <v>2</v>
      </c>
      <c r="AH140" s="29" t="s">
        <v>1692</v>
      </c>
      <c r="AI140" s="36">
        <f>IF(OR(AND(K140&lt;32, J140&lt;2), O140=1, P140=1, Q140=1, R140=1, S140=1, T140=1, U140=1, AND(W140&lt;&gt;"", W140&lt;&gt;"Oxygen", W140&lt;&gt;"LowFlow")), "Intensive", "Intermediate")</f>
      </c>
      <c r="AJ140" s="37">
        <f>IF(OR(LEFT(AH140, 1)="X", LEFT(AH140, 1)="Y", LEFT(AH140, 3)="J9M"), "CUSM", "No Match")</f>
      </c>
      <c r="AK140" s="37">
        <f>IF(AND(OR(O140=3, P140=1, Q140=1, T140=1), AJ140="no Match"), "CUSM, CHU SJ, CHUQ", "")</f>
      </c>
      <c r="AL140" s="37">
        <f>IF(AND(O140=2, ISBLANK(P140), ISBLANK(Q140), ISBLANK(R140), ISBLANK(S140), ISBLANK(T140)), "CUSM, CHU SJ, CHUS, CHUQ", "")</f>
      </c>
      <c r="AM140" s="37">
        <f>IF(AND(AJ140="no match", AK140="", AL140="", K140&lt;26), "CUSM, CHU SJ, HGJ, CHUQ, CHUS", "")</f>
      </c>
      <c r="AN140" s="37">
        <f>IF(AND(AJ140="no match", AK140="", AL140="", K140&gt;26), "CUSM, CHU SJ, HGJ, CHUQ, CHUS, HMR", "")</f>
      </c>
    </row>
    <row x14ac:dyDescent="0.25" r="141" customHeight="1" ht="17.25">
      <c r="A141" s="27" t="s">
        <v>1693</v>
      </c>
      <c r="B141" s="28">
        <v>2</v>
      </c>
      <c r="C141" s="28">
        <v>820</v>
      </c>
      <c r="D141" s="29" t="s">
        <v>69</v>
      </c>
      <c r="E141" s="30" t="s">
        <v>54</v>
      </c>
      <c r="F141" s="31">
        <v>44280</v>
      </c>
      <c r="G141" s="32">
        <v>4.520833333333334</v>
      </c>
      <c r="H141" s="31">
        <v>44280</v>
      </c>
      <c r="I141" s="32">
        <v>4.378472222222222</v>
      </c>
      <c r="J141" s="33">
        <f>F141-H141</f>
      </c>
      <c r="K141" s="28">
        <v>37</v>
      </c>
      <c r="L141" s="28">
        <v>3</v>
      </c>
      <c r="M141" s="28">
        <v>2</v>
      </c>
      <c r="N141" s="34"/>
      <c r="O141" s="34"/>
      <c r="P141" s="34"/>
      <c r="Q141" s="34"/>
      <c r="R141" s="34"/>
      <c r="S141" s="34"/>
      <c r="T141" s="34"/>
      <c r="U141" s="34"/>
      <c r="V141" s="34"/>
      <c r="W141" s="29"/>
      <c r="X141" s="28">
        <v>28</v>
      </c>
      <c r="Y141" s="28">
        <v>1</v>
      </c>
      <c r="Z141" s="28">
        <v>1</v>
      </c>
      <c r="AA141" s="28">
        <v>3</v>
      </c>
      <c r="AB141" s="28">
        <v>4</v>
      </c>
      <c r="AC141" s="28">
        <v>2</v>
      </c>
      <c r="AD141" s="28">
        <v>1</v>
      </c>
      <c r="AE141" s="28">
        <v>4</v>
      </c>
      <c r="AF141" s="28">
        <v>1</v>
      </c>
      <c r="AG141" s="28">
        <v>2</v>
      </c>
      <c r="AH141" s="29" t="s">
        <v>1694</v>
      </c>
      <c r="AI141" s="36">
        <f>IF(OR(AND(K141&lt;32, J141&lt;2), O141=1, P141=1, Q141=1, R141=1, S141=1, T141=1, U141=1, AND(W141&lt;&gt;"", W141&lt;&gt;"Oxygen", W141&lt;&gt;"LowFlow")), "Intensive", "Intermediate")</f>
      </c>
      <c r="AJ141" s="37">
        <f>IF(OR(LEFT(AH141, 1)="X", LEFT(AH141, 1)="Y", LEFT(AH141, 3)="J10M"), "CUSM", "No Match")</f>
      </c>
      <c r="AK141" s="37">
        <f>IF(AND(OR(O141=3, P141=1, Q141=1, T141=1), AJ141="no Match"), "CUSM, CHU SJ, CHUQ", "")</f>
      </c>
      <c r="AL141" s="37">
        <f>IF(AND(O141=2, ISBLANK(P141), ISBLANK(Q141), ISBLANK(R141), ISBLANK(S141), ISBLANK(T141)), "CUSM, CHU SJ, CHUS, CHUQ", "")</f>
      </c>
      <c r="AM141" s="37">
        <f>IF(AND(AJ141="no match", AK141="", AL141="", K141&lt;26), "CUSM, CHU SJ, HGJ, CHUQ, CHUS", "")</f>
      </c>
      <c r="AN141" s="37">
        <f>IF(AND(AJ141="no match", AK141="", AL141="", K141&gt;26), "CUSM, CHU SJ, HGJ, CHUQ, CHUS, HMR", "")</f>
      </c>
    </row>
    <row x14ac:dyDescent="0.25" r="142" customHeight="1" ht="17.25">
      <c r="A142" s="27" t="s">
        <v>1695</v>
      </c>
      <c r="B142" s="28">
        <v>2</v>
      </c>
      <c r="C142" s="35">
        <v>780</v>
      </c>
      <c r="D142" s="29" t="s">
        <v>190</v>
      </c>
      <c r="E142" s="30" t="s">
        <v>54</v>
      </c>
      <c r="F142" s="31">
        <v>44280</v>
      </c>
      <c r="G142" s="32">
        <v>4.45</v>
      </c>
      <c r="H142" s="31">
        <v>44280</v>
      </c>
      <c r="I142" s="32">
        <v>4.142361111111111</v>
      </c>
      <c r="J142" s="33">
        <f>F142-H142</f>
      </c>
      <c r="K142" s="28">
        <v>40</v>
      </c>
      <c r="L142" s="28">
        <v>4</v>
      </c>
      <c r="M142" s="28">
        <v>2</v>
      </c>
      <c r="N142" s="34"/>
      <c r="O142" s="34"/>
      <c r="P142" s="34"/>
      <c r="Q142" s="34"/>
      <c r="R142" s="34"/>
      <c r="S142" s="34"/>
      <c r="T142" s="35">
        <v>1</v>
      </c>
      <c r="U142" s="34"/>
      <c r="V142" s="35">
        <v>1</v>
      </c>
      <c r="W142" s="29" t="s">
        <v>74</v>
      </c>
      <c r="X142" s="28">
        <v>35</v>
      </c>
      <c r="Y142" s="28">
        <v>1</v>
      </c>
      <c r="Z142" s="28">
        <v>1</v>
      </c>
      <c r="AA142" s="28">
        <v>1</v>
      </c>
      <c r="AB142" s="28">
        <v>1</v>
      </c>
      <c r="AC142" s="28">
        <v>2</v>
      </c>
      <c r="AD142" s="28">
        <v>2</v>
      </c>
      <c r="AE142" s="28">
        <v>4</v>
      </c>
      <c r="AF142" s="28">
        <v>2</v>
      </c>
      <c r="AG142" s="28">
        <v>2</v>
      </c>
      <c r="AH142" s="29" t="s">
        <v>1696</v>
      </c>
      <c r="AI142" s="36">
        <f>IF(OR(AND(K142&lt;32, J142&lt;2), O142=1, P142=1, Q142=1, R142=1, S142=1, T142=1, U142=1, AND(W142&lt;&gt;"", W142&lt;&gt;"Oxygen", W142&lt;&gt;"LowFlow")), "Intensive", "Intermediate")</f>
      </c>
      <c r="AJ142" s="37">
        <f>IF(OR(LEFT(AH142, 1)="X", LEFT(AH142, 1)="Y", LEFT(AH142, 3)="J11M"), "CUSM", "No Match")</f>
      </c>
      <c r="AK142" s="37">
        <f>IF(AND(OR(O142=3, P142=1, Q142=1, T142=1), AJ142="no Match"), "CUSM, CHU SJ, CHUQ", "")</f>
      </c>
      <c r="AL142" s="37">
        <f>IF(AND(O142=2, ISBLANK(P142), ISBLANK(Q142), ISBLANK(R142), ISBLANK(S142), ISBLANK(T142)), "CUSM, CHU SJ, CHUS, CHUQ", "")</f>
      </c>
      <c r="AM142" s="37">
        <f>IF(AND(AJ142="no match", AK142="", AL142="", K142&lt;26), "CUSM, CHU SJ, HGJ, CHUQ, CHUS", "")</f>
      </c>
      <c r="AN142" s="37">
        <f>IF(AND(AJ142="no match", AK142="", AL142="", K142&gt;26), "CUSM, CHU SJ, HGJ, CHUQ, CHUS, HMR", "")</f>
      </c>
    </row>
    <row x14ac:dyDescent="0.25" r="143" customHeight="1" ht="17.25">
      <c r="A143" s="27" t="s">
        <v>1697</v>
      </c>
      <c r="B143" s="28">
        <v>2</v>
      </c>
      <c r="C143" s="35">
        <v>815</v>
      </c>
      <c r="D143" s="29" t="s">
        <v>100</v>
      </c>
      <c r="E143" s="30" t="s">
        <v>54</v>
      </c>
      <c r="F143" s="31">
        <v>44281</v>
      </c>
      <c r="G143" s="32">
        <v>4.760416666666666</v>
      </c>
      <c r="H143" s="31">
        <v>44277</v>
      </c>
      <c r="I143" s="32">
        <v>4.081944444444444</v>
      </c>
      <c r="J143" s="33">
        <f>F143-H143</f>
      </c>
      <c r="K143" s="28">
        <v>38</v>
      </c>
      <c r="L143" s="28">
        <v>2</v>
      </c>
      <c r="M143" s="28">
        <v>2</v>
      </c>
      <c r="N143" s="34"/>
      <c r="O143" s="34"/>
      <c r="P143" s="34"/>
      <c r="Q143" s="34"/>
      <c r="R143" s="34"/>
      <c r="S143" s="34"/>
      <c r="T143" s="34"/>
      <c r="U143" s="34"/>
      <c r="V143" s="34"/>
      <c r="W143" s="29" t="s">
        <v>106</v>
      </c>
      <c r="X143" s="28">
        <v>25</v>
      </c>
      <c r="Y143" s="28">
        <v>1</v>
      </c>
      <c r="Z143" s="28">
        <v>2</v>
      </c>
      <c r="AA143" s="28">
        <v>2</v>
      </c>
      <c r="AB143" s="28">
        <v>4</v>
      </c>
      <c r="AC143" s="28">
        <v>1</v>
      </c>
      <c r="AD143" s="28">
        <v>2</v>
      </c>
      <c r="AE143" s="28">
        <v>4</v>
      </c>
      <c r="AF143" s="28">
        <v>2</v>
      </c>
      <c r="AG143" s="28">
        <v>2</v>
      </c>
      <c r="AH143" s="29" t="s">
        <v>1698</v>
      </c>
      <c r="AI143" s="36">
        <f>IF(OR(AND(K143&lt;32, J143&lt;2), O143=1, P143=1, Q143=1, R143=1, S143=1, T143=1, U143=1, AND(W143&lt;&gt;"", W143&lt;&gt;"Oxygen", W143&lt;&gt;"LowFlow")), "Intensive", "Intermediate")</f>
      </c>
      <c r="AJ143" s="37">
        <f>IF(OR(LEFT(AH143, 1)="X", LEFT(AH143, 1)="Y", LEFT(AH143, 3)="J12M"), "CUSM", "No Match")</f>
      </c>
      <c r="AK143" s="37">
        <f>IF(AND(OR(O143=3, P143=1, Q143=1, T143=1), AJ143="no Match"), "CUSM, CHU SJ, CHUQ", "")</f>
      </c>
      <c r="AL143" s="37">
        <f>IF(AND(O143=2, ISBLANK(P143), ISBLANK(Q143), ISBLANK(R143), ISBLANK(S143), ISBLANK(T143)), "CUSM, CHU SJ, CHUS, CHUQ", "")</f>
      </c>
      <c r="AM143" s="37">
        <f>IF(AND(AJ143="no match", AK143="", AL143="", K143&lt;26), "CUSM, CHU SJ, HGJ, CHUQ, CHUS", "")</f>
      </c>
      <c r="AN143" s="37">
        <f>IF(AND(AJ143="no match", AK143="", AL143="", K143&gt;26), "CUSM, CHU SJ, HGJ, CHUQ, CHUS, HMR", "")</f>
      </c>
    </row>
    <row x14ac:dyDescent="0.25" r="144" customHeight="1" ht="17.25">
      <c r="A144" s="27" t="s">
        <v>1699</v>
      </c>
      <c r="B144" s="28">
        <v>2</v>
      </c>
      <c r="C144" s="35">
        <v>822</v>
      </c>
      <c r="D144" s="29" t="s">
        <v>167</v>
      </c>
      <c r="E144" s="30" t="s">
        <v>54</v>
      </c>
      <c r="F144" s="31">
        <v>44282</v>
      </c>
      <c r="G144" s="32">
        <v>4.708333333333334</v>
      </c>
      <c r="H144" s="31">
        <v>44281</v>
      </c>
      <c r="I144" s="32">
        <v>4.856944444444444</v>
      </c>
      <c r="J144" s="33">
        <f>F144-H144</f>
      </c>
      <c r="K144" s="28">
        <v>39</v>
      </c>
      <c r="L144" s="28">
        <v>4</v>
      </c>
      <c r="M144" s="28">
        <v>2</v>
      </c>
      <c r="N144" s="28">
        <v>1</v>
      </c>
      <c r="O144" s="35">
        <v>2</v>
      </c>
      <c r="P144" s="28">
        <v>1</v>
      </c>
      <c r="Q144" s="34"/>
      <c r="R144" s="34"/>
      <c r="S144" s="34"/>
      <c r="T144" s="34"/>
      <c r="U144" s="34"/>
      <c r="V144" s="34"/>
      <c r="W144" s="29"/>
      <c r="X144" s="28">
        <v>25</v>
      </c>
      <c r="Y144" s="28">
        <v>1</v>
      </c>
      <c r="Z144" s="28">
        <v>1</v>
      </c>
      <c r="AA144" s="28">
        <v>2</v>
      </c>
      <c r="AB144" s="28">
        <v>1</v>
      </c>
      <c r="AC144" s="28">
        <v>2</v>
      </c>
      <c r="AD144" s="28">
        <v>2</v>
      </c>
      <c r="AE144" s="28">
        <v>4</v>
      </c>
      <c r="AF144" s="28">
        <v>2</v>
      </c>
      <c r="AG144" s="28">
        <v>2</v>
      </c>
      <c r="AH144" s="29" t="s">
        <v>1081</v>
      </c>
      <c r="AI144" s="36">
        <f>IF(OR(AND(K144&lt;32, J144&lt;2), O144=1, P144=1, Q144=1, R144=1, S144=1, T144=1, U144=1, AND(W144&lt;&gt;"", W144&lt;&gt;"Oxygen", W144&lt;&gt;"LowFlow")), "Intensive", "Intermediate")</f>
      </c>
      <c r="AJ144" s="37">
        <f>IF(OR(LEFT(AH144, 1)="X", LEFT(AH144, 1)="Y", LEFT(AH144, 3)="J13M"), "CUSM", "No Match")</f>
      </c>
      <c r="AK144" s="37">
        <f>IF(AND(OR(O144=3, P144=1, Q144=1, T144=1), AJ144="no Match"), "CUSM, CHU SJ, CHUQ", "")</f>
      </c>
      <c r="AL144" s="37">
        <f>IF(AND(O144=2, ISBLANK(P144), ISBLANK(Q144), ISBLANK(R144), ISBLANK(S144), ISBLANK(T144)), "CUSM, CHU SJ, CHUS, CHUQ", "")</f>
      </c>
      <c r="AM144" s="37">
        <f>IF(AND(AJ144="no match", AK144="", AL144="", K144&lt;26), "CUSM, CHU SJ, HGJ, CHUQ, CHUS", "")</f>
      </c>
      <c r="AN144" s="37">
        <f>IF(AND(AJ144="no match", AK144="", AL144="", K144&gt;26), "CUSM, CHU SJ, HGJ, CHUQ, CHUS, HMR", "")</f>
      </c>
    </row>
    <row x14ac:dyDescent="0.25" r="145" customHeight="1" ht="17.25">
      <c r="A145" s="27" t="s">
        <v>1700</v>
      </c>
      <c r="B145" s="28">
        <v>2</v>
      </c>
      <c r="C145" s="28">
        <v>819</v>
      </c>
      <c r="D145" s="29" t="s">
        <v>917</v>
      </c>
      <c r="E145" s="30" t="s">
        <v>149</v>
      </c>
      <c r="F145" s="31">
        <v>44284</v>
      </c>
      <c r="G145" s="32">
        <v>4.779861111111111</v>
      </c>
      <c r="H145" s="31">
        <v>44283</v>
      </c>
      <c r="I145" s="32">
        <v>4.580555555555556</v>
      </c>
      <c r="J145" s="33">
        <f>F145-H145</f>
      </c>
      <c r="K145" s="28">
        <v>32</v>
      </c>
      <c r="L145" s="28">
        <v>0</v>
      </c>
      <c r="M145" s="28">
        <v>1</v>
      </c>
      <c r="N145" s="38"/>
      <c r="O145" s="34"/>
      <c r="P145" s="34"/>
      <c r="Q145" s="34"/>
      <c r="R145" s="34"/>
      <c r="S145" s="34"/>
      <c r="T145" s="34"/>
      <c r="U145" s="34"/>
      <c r="V145" s="34"/>
      <c r="W145" s="29" t="s">
        <v>106</v>
      </c>
      <c r="X145" s="28">
        <v>35</v>
      </c>
      <c r="Y145" s="28">
        <v>1</v>
      </c>
      <c r="Z145" s="28">
        <v>2</v>
      </c>
      <c r="AA145" s="28">
        <v>3</v>
      </c>
      <c r="AB145" s="28">
        <v>4</v>
      </c>
      <c r="AC145" s="28">
        <v>2</v>
      </c>
      <c r="AD145" s="28">
        <v>1</v>
      </c>
      <c r="AE145" s="28">
        <v>4</v>
      </c>
      <c r="AF145" s="28">
        <v>3</v>
      </c>
      <c r="AG145" s="28">
        <v>2</v>
      </c>
      <c r="AH145" s="29"/>
      <c r="AI145" s="36">
        <f>IF(OR(AND(K145&lt;32, J145&lt;2), O145=1, P145=1, Q145=1, R145=1, S145=1, T145=1, U145=1, AND(W145&lt;&gt;"", W145&lt;&gt;"Oxygen", W145&lt;&gt;"LowFlow")), "Intensive", "Intermediate")</f>
      </c>
      <c r="AJ145" s="37">
        <f>IF(OR(LEFT(AH145, 1)="X", LEFT(AH145, 1)="Y", LEFT(AH145, 3)="J14M"), "CUSM", "No Match")</f>
      </c>
      <c r="AK145" s="37">
        <f>IF(AND(OR(O145=3, P145=1, Q145=1, T145=1), AJ145="no Match"), "CUSM, CHU SJ, CHUQ", "")</f>
      </c>
      <c r="AL145" s="37">
        <f>IF(AND(O145=2, ISBLANK(P145), ISBLANK(Q145), ISBLANK(R145), ISBLANK(S145), ISBLANK(T145)), "CUSM, CHU SJ, CHUS, CHUQ", "")</f>
      </c>
      <c r="AM145" s="37">
        <f>IF(AND(AJ145="no match", AK145="", AL145="", K145&lt;26), "CUSM, CHU SJ, HGJ, CHUQ, CHUS", "")</f>
      </c>
      <c r="AN145" s="37">
        <f>IF(AND(AJ145="no match", AK145="", AL145="", K145&gt;26), "CUSM, CHU SJ, HGJ, CHUQ, CHUS, HMR", "")</f>
      </c>
    </row>
    <row x14ac:dyDescent="0.25" r="146" customHeight="1" ht="17.25">
      <c r="A146" s="27" t="s">
        <v>1701</v>
      </c>
      <c r="B146" s="28">
        <v>2</v>
      </c>
      <c r="C146" s="35">
        <v>825</v>
      </c>
      <c r="D146" s="29" t="s">
        <v>77</v>
      </c>
      <c r="E146" s="30" t="s">
        <v>54</v>
      </c>
      <c r="F146" s="31">
        <v>44284</v>
      </c>
      <c r="G146" s="32">
        <v>4.2125</v>
      </c>
      <c r="H146" s="31">
        <v>44281</v>
      </c>
      <c r="I146" s="32">
        <v>4.923611111111111</v>
      </c>
      <c r="J146" s="33">
        <f>F146-H146</f>
      </c>
      <c r="K146" s="28">
        <v>35</v>
      </c>
      <c r="L146" s="28">
        <v>3</v>
      </c>
      <c r="M146" s="28">
        <v>1</v>
      </c>
      <c r="N146" s="34"/>
      <c r="O146" s="34"/>
      <c r="P146" s="34"/>
      <c r="Q146" s="34"/>
      <c r="R146" s="34"/>
      <c r="S146" s="34"/>
      <c r="T146" s="34"/>
      <c r="U146" s="34"/>
      <c r="V146" s="34"/>
      <c r="W146" s="29"/>
      <c r="X146" s="28">
        <v>36</v>
      </c>
      <c r="Y146" s="28">
        <v>1</v>
      </c>
      <c r="Z146" s="28">
        <v>1</v>
      </c>
      <c r="AA146" s="28">
        <v>2</v>
      </c>
      <c r="AB146" s="28">
        <v>1</v>
      </c>
      <c r="AC146" s="28">
        <v>2</v>
      </c>
      <c r="AD146" s="28">
        <v>1</v>
      </c>
      <c r="AE146" s="28">
        <v>4</v>
      </c>
      <c r="AF146" s="28">
        <v>2</v>
      </c>
      <c r="AG146" s="28">
        <v>2</v>
      </c>
      <c r="AH146" s="29" t="s">
        <v>1702</v>
      </c>
      <c r="AI146" s="36">
        <f>IF(OR(AND(K146&lt;32, J146&lt;2), O146=1, P146=1, Q146=1, R146=1, S146=1, T146=1, U146=1, AND(W146&lt;&gt;"", W146&lt;&gt;"Oxygen", W146&lt;&gt;"LowFlow")), "Intensive", "Intermediate")</f>
      </c>
      <c r="AJ146" s="37">
        <f>IF(OR(LEFT(AH146, 1)="X", LEFT(AH146, 1)="Y", LEFT(AH146, 3)="J15M"), "CUSM", "No Match")</f>
      </c>
      <c r="AK146" s="37">
        <f>IF(AND(OR(O146=3, P146=1, Q146=1, T146=1), AJ146="no Match"), "CUSM, CHU SJ, CHUQ", "")</f>
      </c>
      <c r="AL146" s="37">
        <f>IF(AND(O146=2, ISBLANK(P146), ISBLANK(Q146), ISBLANK(R146), ISBLANK(S146), ISBLANK(T146)), "CUSM, CHU SJ, CHUS, CHUQ", "")</f>
      </c>
      <c r="AM146" s="37">
        <f>IF(AND(AJ146="no match", AK146="", AL146="", K146&lt;26), "CUSM, CHU SJ, HGJ, CHUQ, CHUS", "")</f>
      </c>
      <c r="AN146" s="37">
        <f>IF(AND(AJ146="no match", AK146="", AL146="", K146&gt;26), "CUSM, CHU SJ, HGJ, CHUQ, CHUS, HMR", "")</f>
      </c>
    </row>
    <row x14ac:dyDescent="0.25" r="147" customHeight="1" ht="17.25">
      <c r="A147" s="27" t="s">
        <v>1703</v>
      </c>
      <c r="B147" s="28">
        <v>2</v>
      </c>
      <c r="C147" s="28">
        <v>731</v>
      </c>
      <c r="D147" s="29" t="s">
        <v>103</v>
      </c>
      <c r="E147" s="30" t="s">
        <v>54</v>
      </c>
      <c r="F147" s="31">
        <v>44284</v>
      </c>
      <c r="G147" s="32">
        <v>4.784722222222222</v>
      </c>
      <c r="H147" s="31">
        <v>44281</v>
      </c>
      <c r="I147" s="32">
        <v>4.645138888888889</v>
      </c>
      <c r="J147" s="33">
        <f>F147-H147</f>
      </c>
      <c r="K147" s="28">
        <v>39</v>
      </c>
      <c r="L147" s="28">
        <v>1</v>
      </c>
      <c r="M147" s="28">
        <v>1</v>
      </c>
      <c r="N147" s="35">
        <v>1</v>
      </c>
      <c r="O147" s="34"/>
      <c r="P147" s="34"/>
      <c r="Q147" s="34"/>
      <c r="R147" s="34"/>
      <c r="S147" s="34"/>
      <c r="T147" s="34"/>
      <c r="U147" s="34"/>
      <c r="V147" s="34"/>
      <c r="W147" s="29"/>
      <c r="X147" s="28">
        <v>27</v>
      </c>
      <c r="Y147" s="28">
        <v>1</v>
      </c>
      <c r="Z147" s="28">
        <v>1</v>
      </c>
      <c r="AA147" s="28">
        <v>2</v>
      </c>
      <c r="AB147" s="28">
        <v>1</v>
      </c>
      <c r="AC147" s="28">
        <v>2</v>
      </c>
      <c r="AD147" s="28">
        <v>2</v>
      </c>
      <c r="AE147" s="28">
        <v>4</v>
      </c>
      <c r="AF147" s="28">
        <v>2</v>
      </c>
      <c r="AG147" s="28">
        <v>3</v>
      </c>
      <c r="AH147" s="29" t="s">
        <v>1704</v>
      </c>
      <c r="AI147" s="36">
        <f>IF(OR(AND(K147&lt;32, J147&lt;2), O147=1, P147=1, Q147=1, R147=1, S147=1, T147=1, U147=1, AND(W147&lt;&gt;"", W147&lt;&gt;"Oxygen", W147&lt;&gt;"LowFlow")), "Intensive", "Intermediate")</f>
      </c>
      <c r="AJ147" s="37">
        <f>IF(OR(LEFT(AH147, 1)="X", LEFT(AH147, 1)="Y", LEFT(AH147, 3)="J16M"), "CUSM", "No Match")</f>
      </c>
      <c r="AK147" s="37">
        <f>IF(AND(OR(O147=3, P147=1, Q147=1, T147=1), AJ147="no Match"), "CUSM, CHU SJ, CHUQ", "")</f>
      </c>
      <c r="AL147" s="37">
        <f>IF(AND(O147=2, ISBLANK(P147), ISBLANK(Q147), ISBLANK(R147), ISBLANK(S147), ISBLANK(T147)), "CUSM, CHU SJ, CHUS, CHUQ", "")</f>
      </c>
      <c r="AM147" s="37">
        <f>IF(AND(AJ147="no match", AK147="", AL147="", K147&lt;26), "CUSM, CHU SJ, HGJ, CHUQ, CHUS", "")</f>
      </c>
      <c r="AN147" s="37">
        <f>IF(AND(AJ147="no match", AK147="", AL147="", K147&gt;26), "CUSM, CHU SJ, HGJ, CHUQ, CHUS, HMR", "")</f>
      </c>
    </row>
    <row x14ac:dyDescent="0.25" r="148" customHeight="1" ht="17.25">
      <c r="A148" s="27" t="s">
        <v>1705</v>
      </c>
      <c r="B148" s="28">
        <v>2</v>
      </c>
      <c r="C148" s="28">
        <v>779</v>
      </c>
      <c r="D148" s="29" t="s">
        <v>136</v>
      </c>
      <c r="E148" s="30" t="s">
        <v>54</v>
      </c>
      <c r="F148" s="31">
        <v>44285</v>
      </c>
      <c r="G148" s="32">
        <v>4.774305555555555</v>
      </c>
      <c r="H148" s="31">
        <v>44283</v>
      </c>
      <c r="I148" s="32">
        <v>4.0055555555555555</v>
      </c>
      <c r="J148" s="33">
        <f>F148-H148</f>
      </c>
      <c r="K148" s="28">
        <v>40</v>
      </c>
      <c r="L148" s="28">
        <v>5</v>
      </c>
      <c r="M148" s="28">
        <v>1</v>
      </c>
      <c r="N148" s="34"/>
      <c r="O148" s="34"/>
      <c r="P148" s="34"/>
      <c r="Q148" s="34"/>
      <c r="R148" s="34"/>
      <c r="S148" s="34"/>
      <c r="T148" s="34"/>
      <c r="U148" s="34"/>
      <c r="V148" s="34"/>
      <c r="W148" s="29"/>
      <c r="X148" s="28">
        <v>29</v>
      </c>
      <c r="Y148" s="28">
        <v>1</v>
      </c>
      <c r="Z148" s="28">
        <v>1</v>
      </c>
      <c r="AA148" s="28">
        <v>2</v>
      </c>
      <c r="AB148" s="28">
        <v>1</v>
      </c>
      <c r="AC148" s="28">
        <v>2</v>
      </c>
      <c r="AD148" s="28">
        <v>2</v>
      </c>
      <c r="AE148" s="28">
        <v>4</v>
      </c>
      <c r="AF148" s="28">
        <v>2</v>
      </c>
      <c r="AG148" s="28">
        <v>2</v>
      </c>
      <c r="AH148" s="29" t="s">
        <v>1706</v>
      </c>
      <c r="AI148" s="36">
        <f>IF(OR(AND(K148&lt;32, J148&lt;2), O148=1, P148=1, Q148=1, R148=1, S148=1, T148=1, U148=1, AND(W148&lt;&gt;"", W148&lt;&gt;"Oxygen", W148&lt;&gt;"LowFlow")), "Intensive", "Intermediate")</f>
      </c>
      <c r="AJ148" s="37">
        <f>IF(OR(LEFT(AH148, 1)="X", LEFT(AH148, 1)="Y", LEFT(AH148, 3)="J17M"), "CUSM", "No Match")</f>
      </c>
      <c r="AK148" s="37">
        <f>IF(AND(OR(O148=3, P148=1, Q148=1, T148=1), AJ148="no Match"), "CUSM, CHU SJ, CHUQ", "")</f>
      </c>
      <c r="AL148" s="37">
        <f>IF(AND(O148=2, ISBLANK(P148), ISBLANK(Q148), ISBLANK(R148), ISBLANK(S148), ISBLANK(T148)), "CUSM, CHU SJ, CHUS, CHUQ", "")</f>
      </c>
      <c r="AM148" s="37">
        <f>IF(AND(AJ148="no match", AK148="", AL148="", K148&lt;26), "CUSM, CHU SJ, HGJ, CHUQ, CHUS", "")</f>
      </c>
      <c r="AN148" s="37">
        <f>IF(AND(AJ148="no match", AK148="", AL148="", K148&gt;26), "CUSM, CHU SJ, HGJ, CHUQ, CHUS, HMR", "")</f>
      </c>
    </row>
    <row x14ac:dyDescent="0.25" r="149" customHeight="1" ht="17.25">
      <c r="A149" s="27" t="s">
        <v>1707</v>
      </c>
      <c r="B149" s="28">
        <v>2</v>
      </c>
      <c r="C149" s="28">
        <v>815</v>
      </c>
      <c r="D149" s="29" t="s">
        <v>100</v>
      </c>
      <c r="E149" s="30" t="s">
        <v>54</v>
      </c>
      <c r="F149" s="31">
        <v>44285</v>
      </c>
      <c r="G149" s="32">
        <v>4.184027777777778</v>
      </c>
      <c r="H149" s="31">
        <v>44285</v>
      </c>
      <c r="I149" s="32">
        <v>4.059027777777778</v>
      </c>
      <c r="J149" s="33">
        <f>F149-H149</f>
      </c>
      <c r="K149" s="28">
        <v>35</v>
      </c>
      <c r="L149" s="28">
        <v>1</v>
      </c>
      <c r="M149" s="28">
        <v>1</v>
      </c>
      <c r="N149" s="35">
        <v>1</v>
      </c>
      <c r="O149" s="34"/>
      <c r="P149" s="34"/>
      <c r="Q149" s="34"/>
      <c r="R149" s="34"/>
      <c r="S149" s="34"/>
      <c r="T149" s="34"/>
      <c r="U149" s="34"/>
      <c r="V149" s="34"/>
      <c r="W149" s="29"/>
      <c r="X149" s="28">
        <v>22</v>
      </c>
      <c r="Y149" s="28">
        <v>1</v>
      </c>
      <c r="Z149" s="28">
        <v>1</v>
      </c>
      <c r="AA149" s="28">
        <v>2</v>
      </c>
      <c r="AB149" s="28">
        <v>1</v>
      </c>
      <c r="AC149" s="28">
        <v>2</v>
      </c>
      <c r="AD149" s="28">
        <v>2</v>
      </c>
      <c r="AE149" s="28">
        <v>4</v>
      </c>
      <c r="AF149" s="28">
        <v>2</v>
      </c>
      <c r="AG149" s="28">
        <v>2</v>
      </c>
      <c r="AH149" s="29" t="s">
        <v>1708</v>
      </c>
      <c r="AI149" s="36">
        <f>IF(OR(AND(K149&lt;32, J149&lt;2), O149=1, P149=1, Q149=1, R149=1, S149=1, T149=1, U149=1, AND(W149&lt;&gt;"", W149&lt;&gt;"Oxygen", W149&lt;&gt;"LowFlow")), "Intensive", "Intermediate")</f>
      </c>
      <c r="AJ149" s="37">
        <f>IF(OR(LEFT(AH149, 1)="X", LEFT(AH149, 1)="Y", LEFT(AH149, 3)="J18M"), "CUSM", "No Match")</f>
      </c>
      <c r="AK149" s="37">
        <f>IF(AND(OR(O149=3, P149=1, Q149=1, T149=1), AJ149="no Match"), "CUSM, CHU SJ, CHUQ", "")</f>
      </c>
      <c r="AL149" s="37">
        <f>IF(AND(O149=2, ISBLANK(P149), ISBLANK(Q149), ISBLANK(R149), ISBLANK(S149), ISBLANK(T149)), "CUSM, CHU SJ, CHUS, CHUQ", "")</f>
      </c>
      <c r="AM149" s="37">
        <f>IF(AND(AJ149="no match", AK149="", AL149="", K149&lt;26), "CUSM, CHU SJ, HGJ, CHUQ, CHUS", "")</f>
      </c>
      <c r="AN149" s="37">
        <f>IF(AND(AJ149="no match", AK149="", AL149="", K149&gt;26), "CUSM, CHU SJ, HGJ, CHUQ, CHUS, HMR", "")</f>
      </c>
    </row>
    <row x14ac:dyDescent="0.25" r="150" customHeight="1" ht="17.25">
      <c r="A150" s="27" t="s">
        <v>1709</v>
      </c>
      <c r="B150" s="28">
        <v>2</v>
      </c>
      <c r="C150" s="35">
        <v>825</v>
      </c>
      <c r="D150" s="29" t="s">
        <v>77</v>
      </c>
      <c r="E150" s="30" t="s">
        <v>50</v>
      </c>
      <c r="F150" s="31">
        <v>44286</v>
      </c>
      <c r="G150" s="32">
        <v>4.083333333333334</v>
      </c>
      <c r="H150" s="31">
        <v>44285</v>
      </c>
      <c r="I150" s="32">
        <v>4.877083333333333</v>
      </c>
      <c r="J150" s="33">
        <f>F150-H150</f>
      </c>
      <c r="K150" s="28">
        <v>38</v>
      </c>
      <c r="L150" s="28">
        <v>3</v>
      </c>
      <c r="M150" s="28">
        <v>2</v>
      </c>
      <c r="N150" s="34"/>
      <c r="O150" s="34"/>
      <c r="P150" s="34"/>
      <c r="Q150" s="34"/>
      <c r="R150" s="34"/>
      <c r="S150" s="34"/>
      <c r="T150" s="35">
        <v>1</v>
      </c>
      <c r="U150" s="34"/>
      <c r="V150" s="34"/>
      <c r="W150" s="29" t="s">
        <v>58</v>
      </c>
      <c r="X150" s="28">
        <v>23</v>
      </c>
      <c r="Y150" s="28">
        <v>1</v>
      </c>
      <c r="Z150" s="28">
        <v>2</v>
      </c>
      <c r="AA150" s="28">
        <v>1</v>
      </c>
      <c r="AB150" s="28">
        <v>1</v>
      </c>
      <c r="AC150" s="28">
        <v>1</v>
      </c>
      <c r="AD150" s="28">
        <v>2</v>
      </c>
      <c r="AE150" s="28">
        <v>1</v>
      </c>
      <c r="AF150" s="28">
        <v>1</v>
      </c>
      <c r="AG150" s="28">
        <v>3</v>
      </c>
      <c r="AH150" s="29" t="s">
        <v>278</v>
      </c>
      <c r="AI150" s="36">
        <f>IF(OR(AND(K150&lt;32, J150&lt;2), O150=1, P150=1, Q150=1, R150=1, S150=1, T150=1, U150=1, AND(W150&lt;&gt;"", W150&lt;&gt;"Oxygen", W150&lt;&gt;"LowFlow")), "Intensive", "Intermediate")</f>
      </c>
      <c r="AJ150" s="37">
        <f>IF(OR(LEFT(AH150, 1)="X", LEFT(AH150, 1)="Y", LEFT(AH150, 3)="J19M"), "CUSM", "No Match")</f>
      </c>
      <c r="AK150" s="37">
        <f>IF(AND(OR(O150=3, P150=1, Q150=1, T150=1), AJ150="no Match"), "CUSM, CHU SJ, CHUQ", "")</f>
      </c>
      <c r="AL150" s="37">
        <f>IF(AND(O150=2, ISBLANK(P150), ISBLANK(Q150), ISBLANK(R150), ISBLANK(S150), ISBLANK(T150)), "CUSM, CHU SJ, CHUS, CHUQ", "")</f>
      </c>
      <c r="AM150" s="37">
        <f>IF(AND(AJ150="no match", AK150="", AL150="", K150&lt;26), "CUSM, CHU SJ, HGJ, CHUQ, CHUS", "")</f>
      </c>
      <c r="AN150" s="37">
        <f>IF(AND(AJ150="no match", AK150="", AL150="", K150&gt;26), "CUSM, CHU SJ, HGJ, CHUQ, CHUS, HMR", "")</f>
      </c>
    </row>
    <row x14ac:dyDescent="0.25" r="151" customHeight="1" ht="17.25">
      <c r="A151" s="27" t="s">
        <v>1710</v>
      </c>
      <c r="B151" s="28">
        <v>2</v>
      </c>
      <c r="C151" s="28">
        <v>831</v>
      </c>
      <c r="D151" s="29" t="s">
        <v>313</v>
      </c>
      <c r="E151" s="30" t="s">
        <v>50</v>
      </c>
      <c r="F151" s="31">
        <v>44286</v>
      </c>
      <c r="G151" s="32">
        <v>4.767361111111111</v>
      </c>
      <c r="H151" s="31">
        <v>44284</v>
      </c>
      <c r="I151" s="32">
        <v>4.263194444444444</v>
      </c>
      <c r="J151" s="33">
        <f>F151-H151</f>
      </c>
      <c r="K151" s="28">
        <v>39</v>
      </c>
      <c r="L151" s="28">
        <v>1</v>
      </c>
      <c r="M151" s="28">
        <v>1</v>
      </c>
      <c r="N151" s="38"/>
      <c r="O151" s="35">
        <v>2</v>
      </c>
      <c r="P151" s="38"/>
      <c r="Q151" s="34"/>
      <c r="R151" s="34"/>
      <c r="S151" s="34"/>
      <c r="T151" s="34"/>
      <c r="U151" s="34"/>
      <c r="V151" s="34"/>
      <c r="W151" s="29"/>
      <c r="X151" s="28">
        <v>30</v>
      </c>
      <c r="Y151" s="28">
        <v>1</v>
      </c>
      <c r="Z151" s="28">
        <v>1</v>
      </c>
      <c r="AA151" s="28">
        <v>2</v>
      </c>
      <c r="AB151" s="28">
        <v>1</v>
      </c>
      <c r="AC151" s="28">
        <v>2</v>
      </c>
      <c r="AD151" s="28">
        <v>2</v>
      </c>
      <c r="AE151" s="28">
        <v>4</v>
      </c>
      <c r="AF151" s="28">
        <v>2</v>
      </c>
      <c r="AG151" s="28">
        <v>2</v>
      </c>
      <c r="AH151" s="29" t="s">
        <v>1711</v>
      </c>
      <c r="AI151" s="36">
        <f>IF(OR(AND(K151&lt;32, J151&lt;2), O151=1, P151=1, Q151=1, R151=1, S151=1, T151=1, U151=1, AND(W151&lt;&gt;"", W151&lt;&gt;"Oxygen", W151&lt;&gt;"LowFlow")), "Intensive", "Intermediate")</f>
      </c>
      <c r="AJ151" s="37">
        <f>IF(OR(LEFT(AH151, 1)="X", LEFT(AH151, 1)="Y", LEFT(AH151, 3)="J20M"), "CUSM", "No Match")</f>
      </c>
      <c r="AK151" s="37">
        <f>IF(AND(OR(O151=3, P151=1, Q151=1, T151=1), AJ151="no Match"), "CUSM, CHU SJ, CHUQ", "")</f>
      </c>
      <c r="AL151" s="37">
        <f>IF(AND(O151=2, ISBLANK(P151), ISBLANK(Q151), ISBLANK(R151), ISBLANK(S151), ISBLANK(T151)), "CUSM, CHU SJ, CHUS, CHUQ", "")</f>
      </c>
      <c r="AM151" s="37">
        <f>IF(AND(AJ151="no match", AK151="", AL151="", K151&lt;26), "CUSM, CHU SJ, HGJ, CHUQ, CHUS", "")</f>
      </c>
      <c r="AN151" s="37">
        <f>IF(AND(AJ151="no match", AK151="", AL151="", K151&gt;26), "CUSM, CHU SJ, HGJ, CHUQ, CHUS, HMR", "")</f>
      </c>
    </row>
    <row x14ac:dyDescent="0.25" r="152" customHeight="1" ht="17.25">
      <c r="A152" s="27" t="s">
        <v>1712</v>
      </c>
      <c r="B152" s="28">
        <v>2</v>
      </c>
      <c r="C152" s="28">
        <v>822</v>
      </c>
      <c r="D152" s="29" t="s">
        <v>167</v>
      </c>
      <c r="E152" s="30" t="s">
        <v>50</v>
      </c>
      <c r="F152" s="31">
        <v>44286</v>
      </c>
      <c r="G152" s="32">
        <v>4.555555555555555</v>
      </c>
      <c r="H152" s="31">
        <v>44285</v>
      </c>
      <c r="I152" s="32">
        <v>4.915277777777778</v>
      </c>
      <c r="J152" s="33">
        <f>F152-H152</f>
      </c>
      <c r="K152" s="28">
        <v>38</v>
      </c>
      <c r="L152" s="28">
        <v>4</v>
      </c>
      <c r="M152" s="28">
        <v>2</v>
      </c>
      <c r="N152" s="35">
        <v>1</v>
      </c>
      <c r="O152" s="35">
        <v>2</v>
      </c>
      <c r="P152" s="35">
        <v>1</v>
      </c>
      <c r="Q152" s="34"/>
      <c r="R152" s="34"/>
      <c r="S152" s="34"/>
      <c r="T152" s="38"/>
      <c r="U152" s="34"/>
      <c r="V152" s="38"/>
      <c r="W152" s="29" t="s">
        <v>58</v>
      </c>
      <c r="X152" s="28">
        <v>26</v>
      </c>
      <c r="Y152" s="28">
        <v>1</v>
      </c>
      <c r="Z152" s="28">
        <v>2</v>
      </c>
      <c r="AA152" s="28">
        <v>2</v>
      </c>
      <c r="AB152" s="28">
        <v>1</v>
      </c>
      <c r="AC152" s="28">
        <v>2</v>
      </c>
      <c r="AD152" s="28">
        <v>2</v>
      </c>
      <c r="AE152" s="28">
        <v>4</v>
      </c>
      <c r="AF152" s="35">
        <v>3</v>
      </c>
      <c r="AG152" s="28">
        <v>2</v>
      </c>
      <c r="AH152" s="29" t="s">
        <v>1713</v>
      </c>
      <c r="AI152" s="36">
        <f>IF(OR(AND(K152&lt;32, J152&lt;2), O152=1, P152=1, Q152=1, R152=1, S152=1, T152=1, U152=1, AND(W152&lt;&gt;"", W152&lt;&gt;"Oxygen", W152&lt;&gt;"LowFlow")), "Intensive", "Intermediate")</f>
      </c>
      <c r="AJ152" s="37">
        <f>IF(OR(LEFT(AH152, 1)="X", LEFT(AH152, 1)="Y", LEFT(AH152, 3)="J21M"), "CUSM", "No Match")</f>
      </c>
      <c r="AK152" s="37">
        <f>IF(AND(OR(O152=3, P152=1, Q152=1, T152=1), AJ152="no Match"), "CUSM, CHU SJ, CHUQ", "")</f>
      </c>
      <c r="AL152" s="37">
        <f>IF(AND(O152=2, ISBLANK(P152), ISBLANK(Q152), ISBLANK(R152), ISBLANK(S152), ISBLANK(T152)), "CUSM, CHU SJ, CHUS, CHUQ", "")</f>
      </c>
      <c r="AM152" s="37">
        <f>IF(AND(AJ152="no match", AK152="", AL152="", K152&lt;26), "CUSM, CHU SJ, HGJ, CHUQ, CHUS", "")</f>
      </c>
      <c r="AN152" s="37">
        <f>IF(AND(AJ152="no match", AK152="", AL152="", K152&gt;26), "CUSM, CHU SJ, HGJ, CHUQ, CHUS, HMR", "")</f>
      </c>
    </row>
    <row x14ac:dyDescent="0.25" r="153" customHeight="1" ht="17.25">
      <c r="A153" s="27" t="s">
        <v>1714</v>
      </c>
      <c r="B153" s="28">
        <v>2</v>
      </c>
      <c r="C153" s="35">
        <v>820</v>
      </c>
      <c r="D153" s="29" t="s">
        <v>69</v>
      </c>
      <c r="E153" s="30" t="s">
        <v>50</v>
      </c>
      <c r="F153" s="31">
        <v>44288</v>
      </c>
      <c r="G153" s="32">
        <v>4.208333333333334</v>
      </c>
      <c r="H153" s="31">
        <v>44287</v>
      </c>
      <c r="I153" s="32">
        <v>4.997916666666667</v>
      </c>
      <c r="J153" s="33">
        <f>F153-H153</f>
      </c>
      <c r="K153" s="28">
        <v>40</v>
      </c>
      <c r="L153" s="28">
        <v>6</v>
      </c>
      <c r="M153" s="28">
        <v>2</v>
      </c>
      <c r="N153" s="34"/>
      <c r="O153" s="34"/>
      <c r="P153" s="34"/>
      <c r="Q153" s="34"/>
      <c r="R153" s="34"/>
      <c r="S153" s="34"/>
      <c r="T153" s="35">
        <v>1</v>
      </c>
      <c r="U153" s="35">
        <v>1</v>
      </c>
      <c r="V153" s="35">
        <v>1</v>
      </c>
      <c r="W153" s="29" t="s">
        <v>74</v>
      </c>
      <c r="X153" s="28">
        <v>29</v>
      </c>
      <c r="Y153" s="28">
        <v>1</v>
      </c>
      <c r="Z153" s="28">
        <v>1</v>
      </c>
      <c r="AA153" s="28">
        <v>2</v>
      </c>
      <c r="AB153" s="28">
        <v>1</v>
      </c>
      <c r="AC153" s="28">
        <v>2</v>
      </c>
      <c r="AD153" s="28">
        <v>2</v>
      </c>
      <c r="AE153" s="28">
        <v>1</v>
      </c>
      <c r="AF153" s="34"/>
      <c r="AG153" s="28">
        <v>2</v>
      </c>
      <c r="AH153" s="29" t="s">
        <v>1715</v>
      </c>
      <c r="AI153" s="36">
        <f>IF(OR(AND(K153&lt;32, J153&lt;2), O153=1, P153=1, Q153=1, R153=1, S153=1, T153=1, U153=1, AND(W153&lt;&gt;"", W153&lt;&gt;"Oxygen", W153&lt;&gt;"LowFlow")), "Intensive", "Intermediate")</f>
      </c>
      <c r="AJ153" s="37">
        <f>IF(OR(LEFT(AH153, 1)="X", LEFT(AH153, 1)="Y", LEFT(AH153, 3)="J22M"), "CUSM", "No Match")</f>
      </c>
      <c r="AK153" s="37">
        <f>IF(AND(OR(O153=3, P153=1, Q153=1, T153=1), AJ153="no Match"), "CUSM, CHU SJ, CHUQ", "")</f>
      </c>
      <c r="AL153" s="37">
        <f>IF(AND(O153=2, ISBLANK(P153), ISBLANK(Q153), ISBLANK(R153), ISBLANK(S153), ISBLANK(T153)), "CUSM, CHU SJ, CHUS, CHUQ", "")</f>
      </c>
      <c r="AM153" s="37">
        <f>IF(AND(AJ153="no match", AK153="", AL153="", K153&lt;26), "CUSM, CHU SJ, HGJ, CHUQ, CHUS", "")</f>
      </c>
      <c r="AN153" s="37">
        <f>IF(AND(AJ153="no match", AK153="", AL153="", K153&gt;26), "CUSM, CHU SJ, HGJ, CHUQ, CHUS, HMR", "")</f>
      </c>
    </row>
    <row x14ac:dyDescent="0.25" r="154" customHeight="1" ht="17.25">
      <c r="A154" s="27" t="s">
        <v>1716</v>
      </c>
      <c r="B154" s="28">
        <v>2</v>
      </c>
      <c r="C154" s="35">
        <v>779</v>
      </c>
      <c r="D154" s="29" t="s">
        <v>136</v>
      </c>
      <c r="E154" s="30" t="s">
        <v>50</v>
      </c>
      <c r="F154" s="31">
        <v>44288</v>
      </c>
      <c r="G154" s="32">
        <v>4.567361111111111</v>
      </c>
      <c r="H154" s="31">
        <v>44285</v>
      </c>
      <c r="I154" s="32">
        <v>4.040972222222223</v>
      </c>
      <c r="J154" s="33">
        <f>F154-H154</f>
      </c>
      <c r="K154" s="28">
        <v>37</v>
      </c>
      <c r="L154" s="28">
        <v>4</v>
      </c>
      <c r="M154" s="28">
        <v>1</v>
      </c>
      <c r="N154" s="34"/>
      <c r="O154" s="34"/>
      <c r="P154" s="34"/>
      <c r="Q154" s="34"/>
      <c r="R154" s="34"/>
      <c r="S154" s="34"/>
      <c r="T154" s="34"/>
      <c r="U154" s="34"/>
      <c r="V154" s="34"/>
      <c r="W154" s="29"/>
      <c r="X154" s="28">
        <v>24</v>
      </c>
      <c r="Y154" s="28">
        <v>1</v>
      </c>
      <c r="Z154" s="28">
        <v>1</v>
      </c>
      <c r="AA154" s="28">
        <v>2</v>
      </c>
      <c r="AB154" s="28">
        <v>1</v>
      </c>
      <c r="AC154" s="28">
        <v>2</v>
      </c>
      <c r="AD154" s="28">
        <v>2</v>
      </c>
      <c r="AE154" s="28">
        <v>4</v>
      </c>
      <c r="AF154" s="35">
        <v>2</v>
      </c>
      <c r="AG154" s="28">
        <v>2</v>
      </c>
      <c r="AH154" s="29" t="s">
        <v>1717</v>
      </c>
      <c r="AI154" s="36">
        <f>IF(OR(AND(K154&lt;32, J154&lt;2), O154=1, P154=1, Q154=1, R154=1, S154=1, T154=1, U154=1, AND(W154&lt;&gt;"", W154&lt;&gt;"Oxygen", W154&lt;&gt;"LowFlow")), "Intensive", "Intermediate")</f>
      </c>
      <c r="AJ154" s="37">
        <f>IF(OR(LEFT(AH154, 1)="X", LEFT(AH154, 1)="Y", LEFT(AH154, 3)="J23M"), "CUSM", "No Match")</f>
      </c>
      <c r="AK154" s="37">
        <f>IF(AND(OR(O154=3, P154=1, Q154=1, T154=1), AJ154="no Match"), "CUSM, CHU SJ, CHUQ", "")</f>
      </c>
      <c r="AL154" s="37">
        <f>IF(AND(O154=2, ISBLANK(P154), ISBLANK(Q154), ISBLANK(R154), ISBLANK(S154), ISBLANK(T154)), "CUSM, CHU SJ, CHUS, CHUQ", "")</f>
      </c>
      <c r="AM154" s="37">
        <f>IF(AND(AJ154="no match", AK154="", AL154="", K154&lt;26), "CUSM, CHU SJ, HGJ, CHUQ, CHUS", "")</f>
      </c>
      <c r="AN154" s="37">
        <f>IF(AND(AJ154="no match", AK154="", AL154="", K154&gt;26), "CUSM, CHU SJ, HGJ, CHUQ, CHUS, HMR", "")</f>
      </c>
    </row>
    <row x14ac:dyDescent="0.25" r="155" customHeight="1" ht="17.25">
      <c r="A155" s="27" t="s">
        <v>1718</v>
      </c>
      <c r="B155" s="28">
        <v>2</v>
      </c>
      <c r="C155" s="28">
        <v>831</v>
      </c>
      <c r="D155" s="29" t="s">
        <v>313</v>
      </c>
      <c r="E155" s="30" t="s">
        <v>54</v>
      </c>
      <c r="F155" s="31">
        <v>44289</v>
      </c>
      <c r="G155" s="32">
        <v>4.381944444444445</v>
      </c>
      <c r="H155" s="31">
        <v>44289</v>
      </c>
      <c r="I155" s="32">
        <v>4.21875</v>
      </c>
      <c r="J155" s="33">
        <f>F155-H155</f>
      </c>
      <c r="K155" s="28">
        <v>37</v>
      </c>
      <c r="L155" s="28">
        <v>3</v>
      </c>
      <c r="M155" s="28">
        <v>1</v>
      </c>
      <c r="N155" s="38"/>
      <c r="O155" s="34"/>
      <c r="P155" s="34"/>
      <c r="Q155" s="34"/>
      <c r="R155" s="34"/>
      <c r="S155" s="34"/>
      <c r="T155" s="35">
        <v>1</v>
      </c>
      <c r="U155" s="34"/>
      <c r="V155" s="34"/>
      <c r="W155" s="29" t="s">
        <v>58</v>
      </c>
      <c r="X155" s="28">
        <v>36</v>
      </c>
      <c r="Y155" s="28">
        <v>1</v>
      </c>
      <c r="Z155" s="28">
        <v>1</v>
      </c>
      <c r="AA155" s="28">
        <v>2</v>
      </c>
      <c r="AB155" s="28">
        <v>1</v>
      </c>
      <c r="AC155" s="28">
        <v>2</v>
      </c>
      <c r="AD155" s="28">
        <v>2</v>
      </c>
      <c r="AE155" s="28">
        <v>4</v>
      </c>
      <c r="AF155" s="28">
        <v>2</v>
      </c>
      <c r="AG155" s="28">
        <v>2</v>
      </c>
      <c r="AH155" s="29" t="s">
        <v>1719</v>
      </c>
      <c r="AI155" s="36">
        <f>IF(OR(AND(K155&lt;32, J155&lt;2), O155=1, P155=1, Q155=1, R155=1, S155=1, T155=1, U155=1, AND(W155&lt;&gt;"", W155&lt;&gt;"Oxygen", W155&lt;&gt;"LowFlow")), "Intensive", "Intermediate")</f>
      </c>
      <c r="AJ155" s="37">
        <f>IF(OR(LEFT(AH155, 1)="X", LEFT(AH155, 1)="Y", LEFT(AH155, 3)="J24M"), "CUSM", "No Match")</f>
      </c>
      <c r="AK155" s="37">
        <f>IF(AND(OR(O155=3, P155=1, Q155=1, T155=1), AJ155="no Match"), "CUSM, CHU SJ, CHUQ", "")</f>
      </c>
      <c r="AL155" s="37">
        <f>IF(AND(O155=2, ISBLANK(P155), ISBLANK(Q155), ISBLANK(R155), ISBLANK(S155), ISBLANK(T155)), "CUSM, CHU SJ, CHUS, CHUQ", "")</f>
      </c>
      <c r="AM155" s="37">
        <f>IF(AND(AJ155="no match", AK155="", AL155="", K155&lt;26), "CUSM, CHU SJ, HGJ, CHUQ, CHUS", "")</f>
      </c>
      <c r="AN155" s="37">
        <f>IF(AND(AJ155="no match", AK155="", AL155="", K155&gt;26), "CUSM, CHU SJ, HGJ, CHUQ, CHUS, HMR", "")</f>
      </c>
    </row>
    <row x14ac:dyDescent="0.25" r="156" customHeight="1" ht="17.25">
      <c r="A156" s="27" t="s">
        <v>1720</v>
      </c>
      <c r="B156" s="28">
        <v>2</v>
      </c>
      <c r="C156" s="28">
        <v>779</v>
      </c>
      <c r="D156" s="29" t="s">
        <v>136</v>
      </c>
      <c r="E156" s="30" t="s">
        <v>54</v>
      </c>
      <c r="F156" s="31">
        <v>44289</v>
      </c>
      <c r="G156" s="32">
        <v>4.708333333333334</v>
      </c>
      <c r="H156" s="31">
        <v>44289</v>
      </c>
      <c r="I156" s="32">
        <v>4.521527777777777</v>
      </c>
      <c r="J156" s="33">
        <f>F156-H156</f>
      </c>
      <c r="K156" s="28">
        <v>41</v>
      </c>
      <c r="L156" s="28">
        <v>3</v>
      </c>
      <c r="M156" s="28">
        <v>2</v>
      </c>
      <c r="N156" s="34"/>
      <c r="O156" s="34"/>
      <c r="P156" s="34"/>
      <c r="Q156" s="34"/>
      <c r="R156" s="34"/>
      <c r="S156" s="34"/>
      <c r="T156" s="35">
        <v>1</v>
      </c>
      <c r="U156" s="34"/>
      <c r="V156" s="34"/>
      <c r="W156" s="29" t="s">
        <v>58</v>
      </c>
      <c r="X156" s="28">
        <v>21</v>
      </c>
      <c r="Y156" s="28">
        <v>1</v>
      </c>
      <c r="Z156" s="28">
        <v>1</v>
      </c>
      <c r="AA156" s="28">
        <v>1</v>
      </c>
      <c r="AB156" s="28">
        <v>1</v>
      </c>
      <c r="AC156" s="28">
        <v>2</v>
      </c>
      <c r="AD156" s="28">
        <v>2</v>
      </c>
      <c r="AE156" s="28">
        <v>4</v>
      </c>
      <c r="AF156" s="28">
        <v>1</v>
      </c>
      <c r="AG156" s="28">
        <v>2</v>
      </c>
      <c r="AH156" s="29" t="s">
        <v>1721</v>
      </c>
      <c r="AI156" s="36">
        <f>IF(OR(AND(K156&lt;32, J156&lt;2), O156=1, P156=1, Q156=1, R156=1, S156=1, T156=1, U156=1, AND(W156&lt;&gt;"", W156&lt;&gt;"Oxygen", W156&lt;&gt;"LowFlow")), "Intensive", "Intermediate")</f>
      </c>
      <c r="AJ156" s="37">
        <f>IF(OR(LEFT(AH156, 1)="X", LEFT(AH156, 1)="Y", LEFT(AH156, 3)="J25M"), "CUSM", "No Match")</f>
      </c>
      <c r="AK156" s="37">
        <f>IF(AND(OR(O156=3, P156=1, Q156=1, T156=1), AJ156="no Match"), "CUSM, CHU SJ, CHUQ", "")</f>
      </c>
      <c r="AL156" s="37">
        <f>IF(AND(O156=2, ISBLANK(P156), ISBLANK(Q156), ISBLANK(R156), ISBLANK(S156), ISBLANK(T156)), "CUSM, CHU SJ, CHUS, CHUQ", "")</f>
      </c>
      <c r="AM156" s="37">
        <f>IF(AND(AJ156="no match", AK156="", AL156="", K156&lt;26), "CUSM, CHU SJ, HGJ, CHUQ, CHUS", "")</f>
      </c>
      <c r="AN156" s="37">
        <f>IF(AND(AJ156="no match", AK156="", AL156="", K156&gt;26), "CUSM, CHU SJ, HGJ, CHUQ, CHUS, HMR", "")</f>
      </c>
    </row>
    <row x14ac:dyDescent="0.25" r="157" customHeight="1" ht="17.25">
      <c r="A157" s="27" t="s">
        <v>1722</v>
      </c>
      <c r="B157" s="28">
        <v>2</v>
      </c>
      <c r="C157" s="35">
        <v>797</v>
      </c>
      <c r="D157" s="29" t="s">
        <v>1723</v>
      </c>
      <c r="E157" s="30" t="s">
        <v>149</v>
      </c>
      <c r="F157" s="31">
        <v>44290</v>
      </c>
      <c r="G157" s="32">
        <v>4.600694444444445</v>
      </c>
      <c r="H157" s="31">
        <v>44290</v>
      </c>
      <c r="I157" s="32">
        <v>4.243055555555555</v>
      </c>
      <c r="J157" s="33">
        <f>F157-H157</f>
      </c>
      <c r="K157" s="28">
        <v>35</v>
      </c>
      <c r="L157" s="28">
        <v>0</v>
      </c>
      <c r="M157" s="28">
        <v>1</v>
      </c>
      <c r="N157" s="34"/>
      <c r="O157" s="34"/>
      <c r="P157" s="34"/>
      <c r="Q157" s="34"/>
      <c r="R157" s="34"/>
      <c r="S157" s="34"/>
      <c r="T157" s="34"/>
      <c r="U157" s="34"/>
      <c r="V157" s="34"/>
      <c r="W157" s="29" t="s">
        <v>164</v>
      </c>
      <c r="X157" s="28">
        <v>31</v>
      </c>
      <c r="Y157" s="28">
        <v>1</v>
      </c>
      <c r="Z157" s="28">
        <v>1</v>
      </c>
      <c r="AA157" s="28">
        <v>1</v>
      </c>
      <c r="AB157" s="28">
        <v>1</v>
      </c>
      <c r="AC157" s="28">
        <v>2</v>
      </c>
      <c r="AD157" s="28">
        <v>2</v>
      </c>
      <c r="AE157" s="28">
        <v>4</v>
      </c>
      <c r="AF157" s="28">
        <v>3</v>
      </c>
      <c r="AG157" s="28">
        <v>2</v>
      </c>
      <c r="AH157" s="29" t="s">
        <v>1724</v>
      </c>
      <c r="AI157" s="36">
        <f>IF(OR(AND(K157&lt;32, J157&lt;2), O157=1, P157=1, Q157=1, R157=1, S157=1, T157=1, U157=1, AND(W157&lt;&gt;"", W157&lt;&gt;"Oxygen", W157&lt;&gt;"LowFlow")), "Intensive", "Intermediate")</f>
      </c>
      <c r="AJ157" s="37">
        <f>IF(OR(LEFT(AH157, 1)="X", LEFT(AH157, 1)="Y", LEFT(AH157, 3)="J26M"), "CUSM", "No Match")</f>
      </c>
      <c r="AK157" s="37">
        <f>IF(AND(OR(O157=3, P157=1, Q157=1, T157=1), AJ157="no Match"), "CUSM, CHU SJ, CHUQ", "")</f>
      </c>
      <c r="AL157" s="37">
        <f>IF(AND(O157=2, ISBLANK(P157), ISBLANK(Q157), ISBLANK(R157), ISBLANK(S157), ISBLANK(T157)), "CUSM, CHU SJ, CHUS, CHUQ", "")</f>
      </c>
      <c r="AM157" s="37">
        <f>IF(AND(AJ157="no match", AK157="", AL157="", K157&lt;26), "CUSM, CHU SJ, HGJ, CHUQ, CHUS", "")</f>
      </c>
      <c r="AN157" s="37">
        <f>IF(AND(AJ157="no match", AK157="", AL157="", K157&gt;26), "CUSM, CHU SJ, HGJ, CHUQ, CHUS, HMR", "")</f>
      </c>
    </row>
    <row x14ac:dyDescent="0.25" r="158" customHeight="1" ht="17.25">
      <c r="A158" s="27" t="s">
        <v>1725</v>
      </c>
      <c r="B158" s="28">
        <v>2</v>
      </c>
      <c r="C158" s="35">
        <v>779</v>
      </c>
      <c r="D158" s="29" t="s">
        <v>136</v>
      </c>
      <c r="E158" s="30" t="s">
        <v>50</v>
      </c>
      <c r="F158" s="31">
        <v>44290</v>
      </c>
      <c r="G158" s="32">
        <v>4.552083333333334</v>
      </c>
      <c r="H158" s="31">
        <v>44290</v>
      </c>
      <c r="I158" s="32">
        <v>4.355555555555556</v>
      </c>
      <c r="J158" s="33">
        <f>F158-H158</f>
      </c>
      <c r="K158" s="28">
        <v>39</v>
      </c>
      <c r="L158" s="28">
        <v>0</v>
      </c>
      <c r="M158" s="28">
        <v>2</v>
      </c>
      <c r="N158" s="38"/>
      <c r="O158" s="34"/>
      <c r="P158" s="34"/>
      <c r="Q158" s="34"/>
      <c r="R158" s="34"/>
      <c r="S158" s="34"/>
      <c r="T158" s="34"/>
      <c r="U158" s="34"/>
      <c r="V158" s="38"/>
      <c r="W158" s="29" t="s">
        <v>58</v>
      </c>
      <c r="X158" s="28">
        <v>37</v>
      </c>
      <c r="Y158" s="28">
        <v>1</v>
      </c>
      <c r="Z158" s="28">
        <v>1</v>
      </c>
      <c r="AA158" s="28">
        <v>1</v>
      </c>
      <c r="AB158" s="28">
        <v>1</v>
      </c>
      <c r="AC158" s="28">
        <v>2</v>
      </c>
      <c r="AD158" s="28">
        <v>2</v>
      </c>
      <c r="AE158" s="28">
        <v>4</v>
      </c>
      <c r="AF158" s="28">
        <v>2</v>
      </c>
      <c r="AG158" s="28">
        <v>1</v>
      </c>
      <c r="AH158" s="29" t="s">
        <v>1726</v>
      </c>
      <c r="AI158" s="36">
        <f>IF(OR(AND(K158&lt;32, J158&lt;2), O158=1, P158=1, Q158=1, R158=1, S158=1, T158=1, U158=1, AND(W158&lt;&gt;"", W158&lt;&gt;"Oxygen", W158&lt;&gt;"LowFlow")), "Intensive", "Intermediate")</f>
      </c>
      <c r="AJ158" s="37">
        <f>IF(OR(LEFT(AH158, 1)="X", LEFT(AH158, 1)="Y", LEFT(AH158, 3)="J27M"), "CUSM", "No Match")</f>
      </c>
      <c r="AK158" s="37">
        <f>IF(AND(OR(O158=3, P158=1, Q158=1, T158=1), AJ158="no Match"), "CUSM, CHU SJ, CHUQ", "")</f>
      </c>
      <c r="AL158" s="37">
        <f>IF(AND(O158=2, ISBLANK(P158), ISBLANK(Q158), ISBLANK(R158), ISBLANK(S158), ISBLANK(T158)), "CUSM, CHU SJ, CHUS, CHUQ", "")</f>
      </c>
      <c r="AM158" s="37">
        <f>IF(AND(AJ158="no match", AK158="", AL158="", K158&lt;26), "CUSM, CHU SJ, HGJ, CHUQ, CHUS", "")</f>
      </c>
      <c r="AN158" s="37">
        <f>IF(AND(AJ158="no match", AK158="", AL158="", K158&gt;26), "CUSM, CHU SJ, HGJ, CHUQ, CHUS, HMR", "")</f>
      </c>
    </row>
    <row x14ac:dyDescent="0.25" r="159" customHeight="1" ht="17.25">
      <c r="A159" s="27" t="s">
        <v>1727</v>
      </c>
      <c r="B159" s="28">
        <v>2</v>
      </c>
      <c r="C159" s="28">
        <v>730</v>
      </c>
      <c r="D159" s="29" t="s">
        <v>81</v>
      </c>
      <c r="E159" s="30" t="s">
        <v>50</v>
      </c>
      <c r="F159" s="31">
        <v>44290</v>
      </c>
      <c r="G159" s="32">
        <v>4.986111111111111</v>
      </c>
      <c r="H159" s="31">
        <v>44287</v>
      </c>
      <c r="I159" s="32">
        <v>4.804166666666667</v>
      </c>
      <c r="J159" s="33">
        <f>F159-H159</f>
      </c>
      <c r="K159" s="28">
        <v>38</v>
      </c>
      <c r="L159" s="28">
        <v>4</v>
      </c>
      <c r="M159" s="28">
        <v>1</v>
      </c>
      <c r="N159" s="34"/>
      <c r="O159" s="38"/>
      <c r="P159" s="34"/>
      <c r="Q159" s="34"/>
      <c r="R159" s="34"/>
      <c r="S159" s="34"/>
      <c r="T159" s="38"/>
      <c r="U159" s="38"/>
      <c r="V159" s="38"/>
      <c r="W159" s="29"/>
      <c r="X159" s="28">
        <v>29</v>
      </c>
      <c r="Y159" s="28">
        <v>1</v>
      </c>
      <c r="Z159" s="28">
        <v>1</v>
      </c>
      <c r="AA159" s="28">
        <v>3</v>
      </c>
      <c r="AB159" s="28">
        <v>1</v>
      </c>
      <c r="AC159" s="28">
        <v>2</v>
      </c>
      <c r="AD159" s="28">
        <v>2</v>
      </c>
      <c r="AE159" s="28">
        <v>4</v>
      </c>
      <c r="AF159" s="28">
        <v>2</v>
      </c>
      <c r="AG159" s="28">
        <v>2</v>
      </c>
      <c r="AH159" s="29" t="s">
        <v>1728</v>
      </c>
      <c r="AI159" s="36">
        <f>IF(OR(AND(K159&lt;32, J159&lt;2), O159=1, P159=1, Q159=1, R159=1, S159=1, T159=1, U159=1, AND(W159&lt;&gt;"", W159&lt;&gt;"Oxygen", W159&lt;&gt;"LowFlow")), "Intensive", "Intermediate")</f>
      </c>
      <c r="AJ159" s="37">
        <f>IF(OR(LEFT(AH159, 1)="X", LEFT(AH159, 1)="Y", LEFT(AH159, 3)="J28M"), "CUSM", "No Match")</f>
      </c>
      <c r="AK159" s="37">
        <f>IF(AND(OR(O159=3, P159=1, Q159=1, T159=1), AJ159="no Match"), "CUSM, CHU SJ, CHUQ", "")</f>
      </c>
      <c r="AL159" s="37">
        <f>IF(AND(O159=2, ISBLANK(P159), ISBLANK(Q159), ISBLANK(R159), ISBLANK(S159), ISBLANK(T159)), "CUSM, CHU SJ, CHUS, CHUQ", "")</f>
      </c>
      <c r="AM159" s="37">
        <f>IF(AND(AJ159="no match", AK159="", AL159="", K159&lt;26), "CUSM, CHU SJ, HGJ, CHUQ, CHUS", "")</f>
      </c>
      <c r="AN159" s="37">
        <f>IF(AND(AJ159="no match", AK159="", AL159="", K159&gt;26), "CUSM, CHU SJ, HGJ, CHUQ, CHUS, HMR", "")</f>
      </c>
    </row>
    <row x14ac:dyDescent="0.25" r="160" customHeight="1" ht="17.25">
      <c r="A160" s="27" t="s">
        <v>1729</v>
      </c>
      <c r="B160" s="28">
        <v>2</v>
      </c>
      <c r="C160" s="35">
        <v>740</v>
      </c>
      <c r="D160" s="29" t="s">
        <v>409</v>
      </c>
      <c r="E160" s="30" t="s">
        <v>149</v>
      </c>
      <c r="F160" s="31">
        <v>44291</v>
      </c>
      <c r="G160" s="32">
        <v>4.954861111111111</v>
      </c>
      <c r="H160" s="31">
        <v>44291</v>
      </c>
      <c r="I160" s="32">
        <v>4.7555555555555555</v>
      </c>
      <c r="J160" s="33">
        <f>F160-H160</f>
      </c>
      <c r="K160" s="28">
        <v>36</v>
      </c>
      <c r="L160" s="28">
        <v>4</v>
      </c>
      <c r="M160" s="28">
        <v>2</v>
      </c>
      <c r="N160" s="38"/>
      <c r="O160" s="35">
        <v>2</v>
      </c>
      <c r="P160" s="38"/>
      <c r="Q160" s="34"/>
      <c r="R160" s="34"/>
      <c r="S160" s="34"/>
      <c r="T160" s="34"/>
      <c r="U160" s="34"/>
      <c r="V160" s="34"/>
      <c r="W160" s="29"/>
      <c r="X160" s="28">
        <v>36</v>
      </c>
      <c r="Y160" s="28">
        <v>1</v>
      </c>
      <c r="Z160" s="28">
        <v>1</v>
      </c>
      <c r="AA160" s="28">
        <v>2</v>
      </c>
      <c r="AB160" s="28">
        <v>1</v>
      </c>
      <c r="AC160" s="28">
        <v>2</v>
      </c>
      <c r="AD160" s="28">
        <v>2</v>
      </c>
      <c r="AE160" s="28">
        <v>2</v>
      </c>
      <c r="AF160" s="35">
        <v>2</v>
      </c>
      <c r="AG160" s="28">
        <v>2</v>
      </c>
      <c r="AH160" s="29" t="s">
        <v>1730</v>
      </c>
      <c r="AI160" s="36">
        <f>IF(OR(AND(K160&lt;32, J160&lt;2), O160=1, P160=1, Q160=1, R160=1, S160=1, T160=1, U160=1, AND(W160&lt;&gt;"", W160&lt;&gt;"Oxygen", W160&lt;&gt;"LowFlow")), "Intensive", "Intermediate")</f>
      </c>
      <c r="AJ160" s="37">
        <f>IF(OR(LEFT(AH160, 1)="X", LEFT(AH160, 1)="Y", LEFT(AH160, 3)="J29M"), "CUSM", "No Match")</f>
      </c>
      <c r="AK160" s="37">
        <f>IF(AND(OR(O160=3, P160=1, Q160=1, T160=1), AJ160="no Match"), "CUSM, CHU SJ, CHUQ", "")</f>
      </c>
      <c r="AL160" s="37">
        <f>IF(AND(O160=2, ISBLANK(P160), ISBLANK(Q160), ISBLANK(R160), ISBLANK(S160), ISBLANK(T160)), "CUSM, CHU SJ, CHUS, CHUQ", "")</f>
      </c>
      <c r="AM160" s="37">
        <f>IF(AND(AJ160="no match", AK160="", AL160="", K160&lt;26), "CUSM, CHU SJ, HGJ, CHUQ, CHUS", "")</f>
      </c>
      <c r="AN160" s="37">
        <f>IF(AND(AJ160="no match", AK160="", AL160="", K160&gt;26), "CUSM, CHU SJ, HGJ, CHUQ, CHUS, HMR", "")</f>
      </c>
    </row>
    <row x14ac:dyDescent="0.25" r="161" customHeight="1" ht="17.25">
      <c r="A161" s="27" t="s">
        <v>1731</v>
      </c>
      <c r="B161" s="28">
        <v>2</v>
      </c>
      <c r="C161" s="28">
        <v>782</v>
      </c>
      <c r="D161" s="29" t="s">
        <v>95</v>
      </c>
      <c r="E161" s="30" t="s">
        <v>50</v>
      </c>
      <c r="F161" s="31">
        <v>44291</v>
      </c>
      <c r="G161" s="32">
        <v>4.576388888888889</v>
      </c>
      <c r="H161" s="31">
        <v>44291</v>
      </c>
      <c r="I161" s="32">
        <v>4.3597222222222225</v>
      </c>
      <c r="J161" s="33">
        <f>F161-H161</f>
      </c>
      <c r="K161" s="28">
        <v>39</v>
      </c>
      <c r="L161" s="28">
        <v>5</v>
      </c>
      <c r="M161" s="28">
        <v>2</v>
      </c>
      <c r="N161" s="38"/>
      <c r="O161" s="35">
        <v>2</v>
      </c>
      <c r="P161" s="34"/>
      <c r="Q161" s="34"/>
      <c r="R161" s="34"/>
      <c r="S161" s="34"/>
      <c r="T161" s="34"/>
      <c r="U161" s="34"/>
      <c r="V161" s="34"/>
      <c r="W161" s="29"/>
      <c r="X161" s="28">
        <v>34</v>
      </c>
      <c r="Y161" s="28">
        <v>1</v>
      </c>
      <c r="Z161" s="28">
        <v>1</v>
      </c>
      <c r="AA161" s="28">
        <v>2</v>
      </c>
      <c r="AB161" s="28">
        <v>1</v>
      </c>
      <c r="AC161" s="28">
        <v>2</v>
      </c>
      <c r="AD161" s="28">
        <v>2</v>
      </c>
      <c r="AE161" s="28">
        <v>4</v>
      </c>
      <c r="AF161" s="28">
        <v>2</v>
      </c>
      <c r="AG161" s="28">
        <v>2</v>
      </c>
      <c r="AH161" s="29" t="s">
        <v>1732</v>
      </c>
      <c r="AI161" s="36">
        <f>IF(OR(AND(K161&lt;32, J161&lt;2), O161=1, P161=1, Q161=1, R161=1, S161=1, T161=1, U161=1, AND(W161&lt;&gt;"", W161&lt;&gt;"Oxygen", W161&lt;&gt;"LowFlow")), "Intensive", "Intermediate")</f>
      </c>
      <c r="AJ161" s="37">
        <f>IF(OR(LEFT(AH161, 1)="X", LEFT(AH161, 1)="Y", LEFT(AH161, 3)="J30M"), "CUSM", "No Match")</f>
      </c>
      <c r="AK161" s="37">
        <f>IF(AND(OR(O161=3, P161=1, Q161=1, T161=1), AJ161="no Match"), "CUSM, CHU SJ, CHUQ", "")</f>
      </c>
      <c r="AL161" s="37">
        <f>IF(AND(O161=2, ISBLANK(P161), ISBLANK(Q161), ISBLANK(R161), ISBLANK(S161), ISBLANK(T161)), "CUSM, CHU SJ, CHUS, CHUQ", "")</f>
      </c>
      <c r="AM161" s="37">
        <f>IF(AND(AJ161="no match", AK161="", AL161="", K161&lt;26), "CUSM, CHU SJ, HGJ, CHUQ, CHUS", "")</f>
      </c>
      <c r="AN161" s="37">
        <f>IF(AND(AJ161="no match", AK161="", AL161="", K161&gt;26), "CUSM, CHU SJ, HGJ, CHUQ, CHUS, HMR", "")</f>
      </c>
    </row>
    <row x14ac:dyDescent="0.25" r="162" customHeight="1" ht="17.25">
      <c r="A162" s="27" t="s">
        <v>1733</v>
      </c>
      <c r="B162" s="28">
        <v>2</v>
      </c>
      <c r="C162" s="35">
        <v>721</v>
      </c>
      <c r="D162" s="29" t="s">
        <v>367</v>
      </c>
      <c r="E162" s="30" t="s">
        <v>50</v>
      </c>
      <c r="F162" s="31">
        <v>44291</v>
      </c>
      <c r="G162" s="32">
        <v>4.930555555555555</v>
      </c>
      <c r="H162" s="31">
        <v>44289</v>
      </c>
      <c r="I162" s="32">
        <v>4.072916666666666</v>
      </c>
      <c r="J162" s="33">
        <f>F162-H162</f>
      </c>
      <c r="K162" s="28">
        <v>40</v>
      </c>
      <c r="L162" s="28">
        <v>3</v>
      </c>
      <c r="M162" s="28">
        <v>2</v>
      </c>
      <c r="N162" s="35">
        <v>1</v>
      </c>
      <c r="O162" s="34"/>
      <c r="P162" s="35">
        <v>1</v>
      </c>
      <c r="Q162" s="34"/>
      <c r="R162" s="34"/>
      <c r="S162" s="34"/>
      <c r="T162" s="34"/>
      <c r="U162" s="34"/>
      <c r="V162" s="34"/>
      <c r="W162" s="29" t="s">
        <v>58</v>
      </c>
      <c r="X162" s="28">
        <v>22</v>
      </c>
      <c r="Y162" s="28">
        <v>1</v>
      </c>
      <c r="Z162" s="28">
        <v>1</v>
      </c>
      <c r="AA162" s="28">
        <v>1</v>
      </c>
      <c r="AB162" s="28">
        <v>1</v>
      </c>
      <c r="AC162" s="28">
        <v>2</v>
      </c>
      <c r="AD162" s="28">
        <v>1</v>
      </c>
      <c r="AE162" s="28">
        <v>3</v>
      </c>
      <c r="AF162" s="28">
        <v>2</v>
      </c>
      <c r="AG162" s="28">
        <v>2</v>
      </c>
      <c r="AH162" s="29" t="s">
        <v>1734</v>
      </c>
      <c r="AI162" s="36">
        <f>IF(OR(AND(K162&lt;32, J162&lt;2), O162=1, P162=1, Q162=1, R162=1, S162=1, T162=1, U162=1, AND(W162&lt;&gt;"", W162&lt;&gt;"Oxygen", W162&lt;&gt;"LowFlow")), "Intensive", "Intermediate")</f>
      </c>
      <c r="AJ162" s="37">
        <f>IF(OR(LEFT(AH162, 1)="X", LEFT(AH162, 1)="Y", LEFT(AH162, 3)="J31M"), "CUSM", "No Match")</f>
      </c>
      <c r="AK162" s="37">
        <f>IF(AND(OR(O162=3, P162=1, Q162=1, T162=1), AJ162="no Match"), "CUSM, CHU SJ, CHUQ", "")</f>
      </c>
      <c r="AL162" s="37">
        <f>IF(AND(O162=2, ISBLANK(P162), ISBLANK(Q162), ISBLANK(R162), ISBLANK(S162), ISBLANK(T162)), "CUSM, CHU SJ, CHUS, CHUQ", "")</f>
      </c>
      <c r="AM162" s="37">
        <f>IF(AND(AJ162="no match", AK162="", AL162="", K162&lt;26), "CUSM, CHU SJ, HGJ, CHUQ, CHUS", "")</f>
      </c>
      <c r="AN162" s="37">
        <f>IF(AND(AJ162="no match", AK162="", AL162="", K162&gt;26), "CUSM, CHU SJ, HGJ, CHUQ, CHUS, HMR", "")</f>
      </c>
    </row>
    <row x14ac:dyDescent="0.25" r="163" customHeight="1" ht="17.25">
      <c r="A163" s="27" t="s">
        <v>1735</v>
      </c>
      <c r="B163" s="28">
        <v>2</v>
      </c>
      <c r="C163" s="35">
        <v>835</v>
      </c>
      <c r="D163" s="29" t="s">
        <v>170</v>
      </c>
      <c r="E163" s="30" t="s">
        <v>78</v>
      </c>
      <c r="F163" s="31">
        <v>44292</v>
      </c>
      <c r="G163" s="32">
        <v>4.614583333333334</v>
      </c>
      <c r="H163" s="31">
        <v>44291</v>
      </c>
      <c r="I163" s="32">
        <v>4.884722222222223</v>
      </c>
      <c r="J163" s="33">
        <f>F163-H163</f>
      </c>
      <c r="K163" s="28">
        <v>37</v>
      </c>
      <c r="L163" s="28">
        <v>5</v>
      </c>
      <c r="M163" s="28">
        <v>2</v>
      </c>
      <c r="N163" s="34"/>
      <c r="O163" s="38"/>
      <c r="P163" s="34"/>
      <c r="Q163" s="34"/>
      <c r="R163" s="34"/>
      <c r="S163" s="34"/>
      <c r="T163" s="34"/>
      <c r="U163" s="34"/>
      <c r="V163" s="34"/>
      <c r="W163" s="29"/>
      <c r="X163" s="28">
        <v>20</v>
      </c>
      <c r="Y163" s="28">
        <v>1</v>
      </c>
      <c r="Z163" s="28">
        <v>2</v>
      </c>
      <c r="AA163" s="28">
        <v>2</v>
      </c>
      <c r="AB163" s="28">
        <v>2</v>
      </c>
      <c r="AC163" s="28">
        <v>1</v>
      </c>
      <c r="AD163" s="28">
        <v>2</v>
      </c>
      <c r="AE163" s="28">
        <v>2</v>
      </c>
      <c r="AF163" s="28">
        <v>2</v>
      </c>
      <c r="AG163" s="28">
        <v>2</v>
      </c>
      <c r="AH163" s="29" t="s">
        <v>1736</v>
      </c>
      <c r="AI163" s="36">
        <f>IF(OR(AND(K163&lt;32, J163&lt;2), O163=1, P163=1, Q163=1, R163=1, S163=1, T163=1, U163=1, AND(W163&lt;&gt;"", W163&lt;&gt;"Oxygen", W163&lt;&gt;"LowFlow")), "Intensive", "Intermediate")</f>
      </c>
      <c r="AJ163" s="37">
        <f>IF(OR(LEFT(AH163, 1)="X", LEFT(AH163, 1)="Y", LEFT(AH163, 3)="J32M"), "CUSM", "No Match")</f>
      </c>
      <c r="AK163" s="37">
        <f>IF(AND(OR(O163=3, P163=1, Q163=1, T163=1), AJ163="no Match"), "CUSM, CHU SJ, CHUQ", "")</f>
      </c>
      <c r="AL163" s="37">
        <f>IF(AND(O163=2, ISBLANK(P163), ISBLANK(Q163), ISBLANK(R163), ISBLANK(S163), ISBLANK(T163)), "CUSM, CHU SJ, CHUS, CHUQ", "")</f>
      </c>
      <c r="AM163" s="37">
        <f>IF(AND(AJ163="no match", AK163="", AL163="", K163&lt;26), "CUSM, CHU SJ, HGJ, CHUQ, CHUS", "")</f>
      </c>
      <c r="AN163" s="37">
        <f>IF(AND(AJ163="no match", AK163="", AL163="", K163&gt;26), "CUSM, CHU SJ, HGJ, CHUQ, CHUS, HMR", "")</f>
      </c>
    </row>
    <row x14ac:dyDescent="0.25" r="164" customHeight="1" ht="17.25">
      <c r="A164" s="27" t="s">
        <v>1737</v>
      </c>
      <c r="B164" s="28">
        <v>2</v>
      </c>
      <c r="C164" s="35">
        <v>815</v>
      </c>
      <c r="D164" s="29" t="s">
        <v>100</v>
      </c>
      <c r="E164" s="30" t="s">
        <v>50</v>
      </c>
      <c r="F164" s="31">
        <v>44293</v>
      </c>
      <c r="G164" s="32">
        <v>4.128472222222222</v>
      </c>
      <c r="H164" s="31">
        <v>44292</v>
      </c>
      <c r="I164" s="32">
        <v>4.938194444444445</v>
      </c>
      <c r="J164" s="33">
        <f>F164-H164</f>
      </c>
      <c r="K164" s="28">
        <v>39</v>
      </c>
      <c r="L164" s="28">
        <v>5</v>
      </c>
      <c r="M164" s="28">
        <v>2</v>
      </c>
      <c r="N164" s="34"/>
      <c r="O164" s="34"/>
      <c r="P164" s="34"/>
      <c r="Q164" s="34"/>
      <c r="R164" s="34"/>
      <c r="S164" s="34"/>
      <c r="T164" s="34"/>
      <c r="U164" s="34"/>
      <c r="V164" s="34"/>
      <c r="W164" s="29" t="s">
        <v>58</v>
      </c>
      <c r="X164" s="28">
        <v>37</v>
      </c>
      <c r="Y164" s="28">
        <v>1</v>
      </c>
      <c r="Z164" s="28">
        <v>1</v>
      </c>
      <c r="AA164" s="28">
        <v>2</v>
      </c>
      <c r="AB164" s="28">
        <v>1</v>
      </c>
      <c r="AC164" s="28">
        <v>2</v>
      </c>
      <c r="AD164" s="28">
        <v>2</v>
      </c>
      <c r="AE164" s="28">
        <v>4</v>
      </c>
      <c r="AF164" s="28">
        <v>2</v>
      </c>
      <c r="AG164" s="28">
        <v>2</v>
      </c>
      <c r="AH164" s="29" t="s">
        <v>1738</v>
      </c>
      <c r="AI164" s="36">
        <f>IF(OR(AND(K164&lt;32, J164&lt;2), O164=1, P164=1, Q164=1, R164=1, S164=1, T164=1, U164=1, AND(W164&lt;&gt;"", W164&lt;&gt;"Oxygen", W164&lt;&gt;"LowFlow")), "Intensive", "Intermediate")</f>
      </c>
      <c r="AJ164" s="37">
        <f>IF(OR(LEFT(AH164, 1)="X", LEFT(AH164, 1)="Y", LEFT(AH164, 3)="J33M"), "CUSM", "No Match")</f>
      </c>
      <c r="AK164" s="37">
        <f>IF(AND(OR(O164=3, P164=1, Q164=1, T164=1), AJ164="no Match"), "CUSM, CHU SJ, CHUQ", "")</f>
      </c>
      <c r="AL164" s="37">
        <f>IF(AND(O164=2, ISBLANK(P164), ISBLANK(Q164), ISBLANK(R164), ISBLANK(S164), ISBLANK(T164)), "CUSM, CHU SJ, CHUS, CHUQ", "")</f>
      </c>
      <c r="AM164" s="37">
        <f>IF(AND(AJ164="no match", AK164="", AL164="", K164&lt;26), "CUSM, CHU SJ, HGJ, CHUQ, CHUS", "")</f>
      </c>
      <c r="AN164" s="37">
        <f>IF(AND(AJ164="no match", AK164="", AL164="", K164&gt;26), "CUSM, CHU SJ, HGJ, CHUQ, CHUS, HMR", "")</f>
      </c>
    </row>
    <row x14ac:dyDescent="0.25" r="165" customHeight="1" ht="17.25">
      <c r="A165" s="27" t="s">
        <v>1739</v>
      </c>
      <c r="B165" s="28">
        <v>2</v>
      </c>
      <c r="C165" s="35">
        <v>1019</v>
      </c>
      <c r="D165" s="29" t="s">
        <v>354</v>
      </c>
      <c r="E165" s="30" t="s">
        <v>54</v>
      </c>
      <c r="F165" s="31">
        <v>44294</v>
      </c>
      <c r="G165" s="32">
        <v>4.4375</v>
      </c>
      <c r="H165" s="31">
        <v>44293</v>
      </c>
      <c r="I165" s="32">
        <v>4.990972222222222</v>
      </c>
      <c r="J165" s="33">
        <f>F165-H165</f>
      </c>
      <c r="K165" s="28">
        <v>37</v>
      </c>
      <c r="L165" s="28">
        <v>3</v>
      </c>
      <c r="M165" s="28">
        <v>1</v>
      </c>
      <c r="N165" s="34"/>
      <c r="O165" s="34"/>
      <c r="P165" s="34"/>
      <c r="Q165" s="34"/>
      <c r="R165" s="34"/>
      <c r="S165" s="34"/>
      <c r="T165" s="34"/>
      <c r="U165" s="34"/>
      <c r="V165" s="34"/>
      <c r="W165" s="29"/>
      <c r="X165" s="28">
        <v>27</v>
      </c>
      <c r="Y165" s="28">
        <v>2</v>
      </c>
      <c r="Z165" s="28">
        <v>2</v>
      </c>
      <c r="AA165" s="28">
        <v>2</v>
      </c>
      <c r="AB165" s="28">
        <v>1</v>
      </c>
      <c r="AC165" s="28">
        <v>2</v>
      </c>
      <c r="AD165" s="28">
        <v>2</v>
      </c>
      <c r="AE165" s="28">
        <v>4</v>
      </c>
      <c r="AF165" s="28">
        <v>2</v>
      </c>
      <c r="AG165" s="28">
        <v>2</v>
      </c>
      <c r="AH165" s="29" t="s">
        <v>1740</v>
      </c>
      <c r="AI165" s="36">
        <f>IF(OR(AND(K165&lt;32, J165&lt;2), O165=1, P165=1, Q165=1, R165=1, S165=1, T165=1, U165=1, AND(W165&lt;&gt;"", W165&lt;&gt;"Oxygen", W165&lt;&gt;"LowFlow")), "Intensive", "Intermediate")</f>
      </c>
      <c r="AJ165" s="37">
        <f>IF(OR(LEFT(AH165, 1)="X", LEFT(AH165, 1)="Y", LEFT(AH165, 3)="J34M"), "CUSM", "No Match")</f>
      </c>
      <c r="AK165" s="37">
        <f>IF(AND(OR(O165=3, P165=1, Q165=1, T165=1), AJ165="no Match"), "CUSM, CHU SJ, CHUQ", "")</f>
      </c>
      <c r="AL165" s="37">
        <f>IF(AND(O165=2, ISBLANK(P165), ISBLANK(Q165), ISBLANK(R165), ISBLANK(S165), ISBLANK(T165)), "CUSM, CHU SJ, CHUS, CHUQ", "")</f>
      </c>
      <c r="AM165" s="37">
        <f>IF(AND(AJ165="no match", AK165="", AL165="", K165&lt;26), "CUSM, CHU SJ, HGJ, CHUQ, CHUS", "")</f>
      </c>
      <c r="AN165" s="37">
        <f>IF(AND(AJ165="no match", AK165="", AL165="", K165&gt;26), "CUSM, CHU SJ, HGJ, CHUQ, CHUS, HMR", "")</f>
      </c>
    </row>
    <row x14ac:dyDescent="0.25" r="166" customHeight="1" ht="17.25">
      <c r="A166" s="27" t="s">
        <v>1741</v>
      </c>
      <c r="B166" s="28">
        <v>2</v>
      </c>
      <c r="C166" s="35">
        <v>731</v>
      </c>
      <c r="D166" s="29" t="s">
        <v>103</v>
      </c>
      <c r="E166" s="30" t="s">
        <v>54</v>
      </c>
      <c r="F166" s="31">
        <v>44294</v>
      </c>
      <c r="G166" s="32">
        <v>4.190972222222222</v>
      </c>
      <c r="H166" s="31">
        <v>44293</v>
      </c>
      <c r="I166" s="32">
        <v>4.898611111111111</v>
      </c>
      <c r="J166" s="33">
        <f>F166-H166</f>
      </c>
      <c r="K166" s="28">
        <v>41</v>
      </c>
      <c r="L166" s="28">
        <v>1</v>
      </c>
      <c r="M166" s="28">
        <v>1</v>
      </c>
      <c r="N166" s="34"/>
      <c r="O166" s="34"/>
      <c r="P166" s="34"/>
      <c r="Q166" s="34"/>
      <c r="R166" s="34"/>
      <c r="S166" s="34"/>
      <c r="T166" s="35">
        <v>1</v>
      </c>
      <c r="U166" s="34"/>
      <c r="V166" s="34"/>
      <c r="W166" s="29" t="s">
        <v>74</v>
      </c>
      <c r="X166" s="28">
        <v>29</v>
      </c>
      <c r="Y166" s="28">
        <v>1</v>
      </c>
      <c r="Z166" s="28">
        <v>2</v>
      </c>
      <c r="AA166" s="28">
        <v>1</v>
      </c>
      <c r="AB166" s="28">
        <v>1</v>
      </c>
      <c r="AC166" s="28">
        <v>2</v>
      </c>
      <c r="AD166" s="28">
        <v>2</v>
      </c>
      <c r="AE166" s="28">
        <v>4</v>
      </c>
      <c r="AF166" s="28">
        <v>1</v>
      </c>
      <c r="AG166" s="28">
        <v>2</v>
      </c>
      <c r="AH166" s="29" t="s">
        <v>1742</v>
      </c>
      <c r="AI166" s="36">
        <f>IF(OR(AND(K166&lt;32, J166&lt;2), O166=1, P166=1, Q166=1, R166=1, S166=1, T166=1, U166=1, AND(W166&lt;&gt;"", W166&lt;&gt;"Oxygen", W166&lt;&gt;"LowFlow")), "Intensive", "Intermediate")</f>
      </c>
      <c r="AJ166" s="37">
        <f>IF(OR(LEFT(AH166, 1)="X", LEFT(AH166, 1)="Y", LEFT(AH166, 3)="J35M"), "CUSM", "No Match")</f>
      </c>
      <c r="AK166" s="37">
        <f>IF(AND(OR(O166=3, P166=1, Q166=1, T166=1), AJ166="no Match"), "CUSM, CHU SJ, CHUQ", "")</f>
      </c>
      <c r="AL166" s="37">
        <f>IF(AND(O166=2, ISBLANK(P166), ISBLANK(Q166), ISBLANK(R166), ISBLANK(S166), ISBLANK(T166)), "CUSM, CHU SJ, CHUS, CHUQ", "")</f>
      </c>
      <c r="AM166" s="37">
        <f>IF(AND(AJ166="no match", AK166="", AL166="", K166&lt;26), "CUSM, CHU SJ, HGJ, CHUQ, CHUS", "")</f>
      </c>
      <c r="AN166" s="37">
        <f>IF(AND(AJ166="no match", AK166="", AL166="", K166&gt;26), "CUSM, CHU SJ, HGJ, CHUQ, CHUS, HMR", "")</f>
      </c>
    </row>
    <row x14ac:dyDescent="0.25" r="167" customHeight="1" ht="17.25">
      <c r="A167" s="27" t="s">
        <v>1743</v>
      </c>
      <c r="B167" s="28">
        <v>2</v>
      </c>
      <c r="C167" s="35">
        <v>756</v>
      </c>
      <c r="D167" s="29" t="s">
        <v>66</v>
      </c>
      <c r="E167" s="30" t="s">
        <v>50</v>
      </c>
      <c r="F167" s="31">
        <v>44294</v>
      </c>
      <c r="G167" s="32">
        <v>4.677083333333334</v>
      </c>
      <c r="H167" s="31">
        <v>44287</v>
      </c>
      <c r="I167" s="32">
        <v>4.308333333333334</v>
      </c>
      <c r="J167" s="33">
        <f>F167-H167</f>
      </c>
      <c r="K167" s="28">
        <v>36</v>
      </c>
      <c r="L167" s="28">
        <v>6</v>
      </c>
      <c r="M167" s="28">
        <v>1</v>
      </c>
      <c r="N167" s="28">
        <v>1</v>
      </c>
      <c r="O167" s="34"/>
      <c r="P167" s="34"/>
      <c r="Q167" s="34"/>
      <c r="R167" s="34"/>
      <c r="S167" s="34"/>
      <c r="T167" s="34"/>
      <c r="U167" s="34"/>
      <c r="V167" s="34"/>
      <c r="W167" s="29"/>
      <c r="X167" s="28">
        <v>34</v>
      </c>
      <c r="Y167" s="28">
        <v>1</v>
      </c>
      <c r="Z167" s="28">
        <v>1</v>
      </c>
      <c r="AA167" s="28">
        <v>2</v>
      </c>
      <c r="AB167" s="28">
        <v>2</v>
      </c>
      <c r="AC167" s="28">
        <v>2</v>
      </c>
      <c r="AD167" s="28">
        <v>1</v>
      </c>
      <c r="AE167" s="28">
        <v>4</v>
      </c>
      <c r="AF167" s="28">
        <v>3</v>
      </c>
      <c r="AG167" s="28">
        <v>2</v>
      </c>
      <c r="AH167" s="29" t="s">
        <v>1744</v>
      </c>
      <c r="AI167" s="36">
        <f>IF(OR(AND(K167&lt;32, J167&lt;2), O167=1, P167=1, Q167=1, R167=1, S167=1, T167=1, U167=1, AND(W167&lt;&gt;"", W167&lt;&gt;"Oxygen", W167&lt;&gt;"LowFlow")), "Intensive", "Intermediate")</f>
      </c>
      <c r="AJ167" s="37">
        <f>IF(OR(LEFT(AH167, 1)="X", LEFT(AH167, 1)="Y", LEFT(AH167, 3)="J36M"), "CUSM", "No Match")</f>
      </c>
      <c r="AK167" s="37">
        <f>IF(AND(OR(O167=3, P167=1, Q167=1, T167=1), AJ167="no Match"), "CUSM, CHU SJ, CHUQ", "")</f>
      </c>
      <c r="AL167" s="37">
        <f>IF(AND(O167=2, ISBLANK(P167), ISBLANK(Q167), ISBLANK(R167), ISBLANK(S167), ISBLANK(T167)), "CUSM, CHU SJ, CHUS, CHUQ", "")</f>
      </c>
      <c r="AM167" s="37">
        <f>IF(AND(AJ167="no match", AK167="", AL167="", K167&lt;26), "CUSM, CHU SJ, HGJ, CHUQ, CHUS", "")</f>
      </c>
      <c r="AN167" s="37">
        <f>IF(AND(AJ167="no match", AK167="", AL167="", K167&gt;26), "CUSM, CHU SJ, HGJ, CHUQ, CHUS, HMR", "")</f>
      </c>
    </row>
    <row x14ac:dyDescent="0.25" r="168" customHeight="1" ht="17.25">
      <c r="A168" s="27" t="s">
        <v>1745</v>
      </c>
      <c r="B168" s="28">
        <v>2</v>
      </c>
      <c r="C168" s="28">
        <v>782</v>
      </c>
      <c r="D168" s="29" t="s">
        <v>95</v>
      </c>
      <c r="E168" s="30" t="s">
        <v>50</v>
      </c>
      <c r="F168" s="31">
        <v>44294</v>
      </c>
      <c r="G168" s="32">
        <v>4.885416666666666</v>
      </c>
      <c r="H168" s="31">
        <v>44294</v>
      </c>
      <c r="I168" s="32">
        <v>4.590972222222222</v>
      </c>
      <c r="J168" s="33">
        <f>F168-H168</f>
      </c>
      <c r="K168" s="28">
        <v>39</v>
      </c>
      <c r="L168" s="28">
        <v>1</v>
      </c>
      <c r="M168" s="28">
        <v>2</v>
      </c>
      <c r="N168" s="38"/>
      <c r="O168" s="34"/>
      <c r="P168" s="38"/>
      <c r="Q168" s="34"/>
      <c r="R168" s="34"/>
      <c r="S168" s="34"/>
      <c r="T168" s="38"/>
      <c r="U168" s="34"/>
      <c r="V168" s="34"/>
      <c r="W168" s="29"/>
      <c r="X168" s="28">
        <v>28</v>
      </c>
      <c r="Y168" s="28">
        <v>1</v>
      </c>
      <c r="Z168" s="28">
        <v>1</v>
      </c>
      <c r="AA168" s="28">
        <v>2</v>
      </c>
      <c r="AB168" s="28">
        <v>1</v>
      </c>
      <c r="AC168" s="28">
        <v>2</v>
      </c>
      <c r="AD168" s="28">
        <v>1</v>
      </c>
      <c r="AE168" s="28">
        <v>4</v>
      </c>
      <c r="AF168" s="28">
        <v>2</v>
      </c>
      <c r="AG168" s="28">
        <v>2</v>
      </c>
      <c r="AH168" s="29" t="s">
        <v>1746</v>
      </c>
      <c r="AI168" s="36">
        <f>IF(OR(AND(K168&lt;32, J168&lt;2), O168=1, P168=1, Q168=1, R168=1, S168=1, T168=1, U168=1, AND(W168&lt;&gt;"", W168&lt;&gt;"Oxygen", W168&lt;&gt;"LowFlow")), "Intensive", "Intermediate")</f>
      </c>
      <c r="AJ168" s="37">
        <f>IF(OR(LEFT(AH168, 1)="X", LEFT(AH168, 1)="Y", LEFT(AH168, 3)="J37M"), "CUSM", "No Match")</f>
      </c>
      <c r="AK168" s="37">
        <f>IF(AND(OR(O168=3, P168=1, Q168=1, T168=1), AJ168="no Match"), "CUSM, CHU SJ, CHUQ", "")</f>
      </c>
      <c r="AL168" s="37">
        <f>IF(AND(O168=2, ISBLANK(P168), ISBLANK(Q168), ISBLANK(R168), ISBLANK(S168), ISBLANK(T168)), "CUSM, CHU SJ, CHUS, CHUQ", "")</f>
      </c>
      <c r="AM168" s="37">
        <f>IF(AND(AJ168="no match", AK168="", AL168="", K168&lt;26), "CUSM, CHU SJ, HGJ, CHUQ, CHUS", "")</f>
      </c>
      <c r="AN168" s="37">
        <f>IF(AND(AJ168="no match", AK168="", AL168="", K168&gt;26), "CUSM, CHU SJ, HGJ, CHUQ, CHUS, HMR", "")</f>
      </c>
    </row>
    <row x14ac:dyDescent="0.25" r="169" customHeight="1" ht="17.25">
      <c r="A169" s="27" t="s">
        <v>1747</v>
      </c>
      <c r="B169" s="28">
        <v>2</v>
      </c>
      <c r="C169" s="35">
        <v>796</v>
      </c>
      <c r="D169" s="29" t="s">
        <v>63</v>
      </c>
      <c r="E169" s="30" t="s">
        <v>50</v>
      </c>
      <c r="F169" s="31">
        <v>44294</v>
      </c>
      <c r="G169" s="32">
        <v>4.194444444444445</v>
      </c>
      <c r="H169" s="31">
        <v>44293</v>
      </c>
      <c r="I169" s="32">
        <v>4.959722222222222</v>
      </c>
      <c r="J169" s="33">
        <f>F169-H169</f>
      </c>
      <c r="K169" s="28">
        <v>36</v>
      </c>
      <c r="L169" s="28">
        <v>5</v>
      </c>
      <c r="M169" s="28">
        <v>1</v>
      </c>
      <c r="N169" s="28">
        <v>1</v>
      </c>
      <c r="O169" s="34"/>
      <c r="P169" s="38"/>
      <c r="Q169" s="34"/>
      <c r="R169" s="34"/>
      <c r="S169" s="34"/>
      <c r="T169" s="34"/>
      <c r="U169" s="34"/>
      <c r="V169" s="34"/>
      <c r="W169" s="29"/>
      <c r="X169" s="28">
        <v>27</v>
      </c>
      <c r="Y169" s="28">
        <v>1</v>
      </c>
      <c r="Z169" s="28">
        <v>2</v>
      </c>
      <c r="AA169" s="28">
        <v>1</v>
      </c>
      <c r="AB169" s="28">
        <v>1</v>
      </c>
      <c r="AC169" s="28">
        <v>2</v>
      </c>
      <c r="AD169" s="28">
        <v>1</v>
      </c>
      <c r="AE169" s="28">
        <v>4</v>
      </c>
      <c r="AF169" s="28">
        <v>2</v>
      </c>
      <c r="AG169" s="28">
        <v>2</v>
      </c>
      <c r="AH169" s="29" t="s">
        <v>1334</v>
      </c>
      <c r="AI169" s="36">
        <f>IF(OR(AND(K169&lt;32, J169&lt;2), O169=1, P169=1, Q169=1, R169=1, S169=1, T169=1, U169=1, AND(W169&lt;&gt;"", W169&lt;&gt;"Oxygen", W169&lt;&gt;"LowFlow")), "Intensive", "Intermediate")</f>
      </c>
      <c r="AJ169" s="37">
        <f>IF(OR(LEFT(AH169, 1)="X", LEFT(AH169, 1)="Y", LEFT(AH169, 3)="J38M"), "CUSM", "No Match")</f>
      </c>
      <c r="AK169" s="37">
        <f>IF(AND(OR(O169=3, P169=1, Q169=1, T169=1), AJ169="no Match"), "CUSM, CHU SJ, CHUQ", "")</f>
      </c>
      <c r="AL169" s="37">
        <f>IF(AND(O169=2, ISBLANK(P169), ISBLANK(Q169), ISBLANK(R169), ISBLANK(S169), ISBLANK(T169)), "CUSM, CHU SJ, CHUS, CHUQ", "")</f>
      </c>
      <c r="AM169" s="37">
        <f>IF(AND(AJ169="no match", AK169="", AL169="", K169&lt;26), "CUSM, CHU SJ, HGJ, CHUQ, CHUS", "")</f>
      </c>
      <c r="AN169" s="37">
        <f>IF(AND(AJ169="no match", AK169="", AL169="", K169&gt;26), "CUSM, CHU SJ, HGJ, CHUQ, CHUS, HMR", "")</f>
      </c>
    </row>
    <row x14ac:dyDescent="0.25" r="170" customHeight="1" ht="17.25">
      <c r="A170" s="27" t="s">
        <v>1748</v>
      </c>
      <c r="B170" s="28">
        <v>2</v>
      </c>
      <c r="C170" s="35">
        <v>734</v>
      </c>
      <c r="D170" s="29" t="s">
        <v>264</v>
      </c>
      <c r="E170" s="30" t="s">
        <v>54</v>
      </c>
      <c r="F170" s="31">
        <v>44295</v>
      </c>
      <c r="G170" s="32">
        <v>4.916666666666666</v>
      </c>
      <c r="H170" s="31">
        <v>44294</v>
      </c>
      <c r="I170" s="32">
        <v>4.215972222222222</v>
      </c>
      <c r="J170" s="33">
        <f>F170-H170</f>
      </c>
      <c r="K170" s="28">
        <v>35</v>
      </c>
      <c r="L170" s="28">
        <v>2</v>
      </c>
      <c r="M170" s="28">
        <v>1</v>
      </c>
      <c r="N170" s="34"/>
      <c r="O170" s="35">
        <v>2</v>
      </c>
      <c r="P170" s="34"/>
      <c r="Q170" s="34"/>
      <c r="R170" s="34"/>
      <c r="S170" s="34"/>
      <c r="T170" s="34"/>
      <c r="U170" s="34"/>
      <c r="V170" s="34"/>
      <c r="W170" s="29"/>
      <c r="X170" s="28">
        <v>33</v>
      </c>
      <c r="Y170" s="28">
        <v>1</v>
      </c>
      <c r="Z170" s="28">
        <v>2</v>
      </c>
      <c r="AA170" s="28">
        <v>2</v>
      </c>
      <c r="AB170" s="28">
        <v>1</v>
      </c>
      <c r="AC170" s="28">
        <v>2</v>
      </c>
      <c r="AD170" s="28">
        <v>2</v>
      </c>
      <c r="AE170" s="28">
        <v>4</v>
      </c>
      <c r="AF170" s="28">
        <v>2</v>
      </c>
      <c r="AG170" s="28">
        <v>2</v>
      </c>
      <c r="AH170" s="29" t="s">
        <v>1749</v>
      </c>
      <c r="AI170" s="36">
        <f>IF(OR(AND(K170&lt;32, J170&lt;2), O170=1, P170=1, Q170=1, R170=1, S170=1, T170=1, U170=1, AND(W170&lt;&gt;"", W170&lt;&gt;"Oxygen", W170&lt;&gt;"LowFlow")), "Intensive", "Intermediate")</f>
      </c>
      <c r="AJ170" s="37">
        <f>IF(OR(LEFT(AH170, 1)="X", LEFT(AH170, 1)="Y", LEFT(AH170, 3)="J39M"), "CUSM", "No Match")</f>
      </c>
      <c r="AK170" s="37">
        <f>IF(AND(OR(O170=3, P170=1, Q170=1, T170=1), AJ170="no Match"), "CUSM, CHU SJ, CHUQ", "")</f>
      </c>
      <c r="AL170" s="37">
        <f>IF(AND(O170=2, ISBLANK(P170), ISBLANK(Q170), ISBLANK(R170), ISBLANK(S170), ISBLANK(T170)), "CUSM, CHU SJ, CHUS, CHUQ", "")</f>
      </c>
      <c r="AM170" s="37">
        <f>IF(AND(AJ170="no match", AK170="", AL170="", K170&lt;26), "CUSM, CHU SJ, HGJ, CHUQ, CHUS", "")</f>
      </c>
      <c r="AN170" s="37">
        <f>IF(AND(AJ170="no match", AK170="", AL170="", K170&gt;26), "CUSM, CHU SJ, HGJ, CHUQ, CHUS, HMR", "")</f>
      </c>
    </row>
    <row x14ac:dyDescent="0.25" r="171" customHeight="1" ht="17.25">
      <c r="A171" s="27" t="s">
        <v>1750</v>
      </c>
      <c r="B171" s="28">
        <v>2</v>
      </c>
      <c r="C171" s="35">
        <v>839</v>
      </c>
      <c r="D171" s="29" t="s">
        <v>53</v>
      </c>
      <c r="E171" s="30" t="s">
        <v>220</v>
      </c>
      <c r="F171" s="31">
        <v>44295</v>
      </c>
      <c r="G171" s="32">
        <v>4.272916666666667</v>
      </c>
      <c r="H171" s="31">
        <v>44295</v>
      </c>
      <c r="I171" s="32">
        <v>4.096527777777778</v>
      </c>
      <c r="J171" s="33">
        <f>F171-H171</f>
      </c>
      <c r="K171" s="28">
        <v>26</v>
      </c>
      <c r="L171" s="28">
        <v>0</v>
      </c>
      <c r="M171" s="28">
        <v>2</v>
      </c>
      <c r="N171" s="34"/>
      <c r="O171" s="34"/>
      <c r="P171" s="34"/>
      <c r="Q171" s="34"/>
      <c r="R171" s="34"/>
      <c r="S171" s="34"/>
      <c r="T171" s="34"/>
      <c r="U171" s="34"/>
      <c r="V171" s="34"/>
      <c r="W171" s="29" t="s">
        <v>74</v>
      </c>
      <c r="X171" s="28">
        <v>35</v>
      </c>
      <c r="Y171" s="28">
        <v>1</v>
      </c>
      <c r="Z171" s="28">
        <v>1</v>
      </c>
      <c r="AA171" s="28">
        <v>2</v>
      </c>
      <c r="AB171" s="28">
        <v>1</v>
      </c>
      <c r="AC171" s="28">
        <v>2</v>
      </c>
      <c r="AD171" s="28">
        <v>2</v>
      </c>
      <c r="AE171" s="28">
        <v>4</v>
      </c>
      <c r="AF171" s="28">
        <v>2</v>
      </c>
      <c r="AG171" s="28">
        <v>2</v>
      </c>
      <c r="AH171" s="29" t="s">
        <v>1751</v>
      </c>
      <c r="AI171" s="36">
        <f>IF(OR(AND(K171&lt;32, J171&lt;2), O171=1, P171=1, Q171=1, R171=1, S171=1, T171=1, U171=1, AND(W171&lt;&gt;"", W171&lt;&gt;"Oxygen", W171&lt;&gt;"LowFlow")), "Intensive", "Intermediate")</f>
      </c>
      <c r="AJ171" s="37">
        <f>IF(OR(LEFT(AH171, 1)="X", LEFT(AH171, 1)="Y", LEFT(AH171, 3)="J40M"), "CUSM", "No Match")</f>
      </c>
      <c r="AK171" s="37">
        <f>IF(AND(OR(O171=3, P171=1, Q171=1, T171=1), AJ171="no Match"), "CUSM, CHU SJ, CHUQ", "")</f>
      </c>
      <c r="AL171" s="37">
        <f>IF(AND(O171=2, ISBLANK(P171), ISBLANK(Q171), ISBLANK(R171), ISBLANK(S171), ISBLANK(T171)), "CUSM, CHU SJ, CHUS, CHUQ", "")</f>
      </c>
      <c r="AM171" s="37">
        <f>IF(AND(AJ171="no match", AK171="", AL171="", K171&lt;26), "CUSM, CHU SJ, HGJ, CHUQ, CHUS", "")</f>
      </c>
      <c r="AN171" s="37">
        <f>IF(AND(AJ171="no match", AK171="", AL171="", K171&gt;26), "CUSM, CHU SJ, HGJ, CHUQ, CHUS, HMR", "")</f>
      </c>
    </row>
    <row x14ac:dyDescent="0.25" r="172" customHeight="1" ht="17.25">
      <c r="A172" s="27" t="s">
        <v>1752</v>
      </c>
      <c r="B172" s="28">
        <v>2</v>
      </c>
      <c r="C172" s="35">
        <v>815</v>
      </c>
      <c r="D172" s="29" t="s">
        <v>100</v>
      </c>
      <c r="E172" s="30" t="s">
        <v>54</v>
      </c>
      <c r="F172" s="31">
        <v>44296</v>
      </c>
      <c r="G172" s="32">
        <v>4.041666666666666</v>
      </c>
      <c r="H172" s="31">
        <v>44290</v>
      </c>
      <c r="I172" s="32">
        <v>4.458333333333334</v>
      </c>
      <c r="J172" s="33">
        <f>F172-H172</f>
      </c>
      <c r="K172" s="28">
        <v>39</v>
      </c>
      <c r="L172" s="28">
        <v>6</v>
      </c>
      <c r="M172" s="28">
        <v>1</v>
      </c>
      <c r="N172" s="34"/>
      <c r="O172" s="34"/>
      <c r="P172" s="34"/>
      <c r="Q172" s="34"/>
      <c r="R172" s="34"/>
      <c r="S172" s="34"/>
      <c r="T172" s="34"/>
      <c r="U172" s="34"/>
      <c r="V172" s="34"/>
      <c r="W172" s="29" t="s">
        <v>600</v>
      </c>
      <c r="X172" s="28">
        <v>29</v>
      </c>
      <c r="Y172" s="28">
        <v>1</v>
      </c>
      <c r="Z172" s="28">
        <v>1</v>
      </c>
      <c r="AA172" s="28">
        <v>2</v>
      </c>
      <c r="AB172" s="28">
        <v>1</v>
      </c>
      <c r="AC172" s="28">
        <v>2</v>
      </c>
      <c r="AD172" s="28">
        <v>2</v>
      </c>
      <c r="AE172" s="28">
        <v>4</v>
      </c>
      <c r="AF172" s="28">
        <v>2</v>
      </c>
      <c r="AG172" s="28">
        <v>2</v>
      </c>
      <c r="AH172" s="29" t="s">
        <v>1334</v>
      </c>
      <c r="AI172" s="36">
        <f>IF(OR(AND(K172&lt;32, J172&lt;2), O172=1, P172=1, Q172=1, R172=1, S172=1, T172=1, U172=1, AND(W172&lt;&gt;"", W172&lt;&gt;"Oxygen", W172&lt;&gt;"LowFlow")), "Intensive", "Intermediate")</f>
      </c>
      <c r="AJ172" s="37">
        <f>IF(OR(LEFT(AH172, 1)="X", LEFT(AH172, 1)="Y", LEFT(AH172, 3)="J41M"), "CUSM", "No Match")</f>
      </c>
      <c r="AK172" s="37">
        <f>IF(AND(OR(O172=3, P172=1, Q172=1, T172=1), AJ172="no Match"), "CUSM, CHU SJ, CHUQ", "")</f>
      </c>
      <c r="AL172" s="37">
        <f>IF(AND(O172=2, ISBLANK(P172), ISBLANK(Q172), ISBLANK(R172), ISBLANK(S172), ISBLANK(T172)), "CUSM, CHU SJ, CHUS, CHUQ", "")</f>
      </c>
      <c r="AM172" s="37">
        <f>IF(AND(AJ172="no match", AK172="", AL172="", K172&lt;26), "CUSM, CHU SJ, HGJ, CHUQ, CHUS", "")</f>
      </c>
      <c r="AN172" s="37">
        <f>IF(AND(AJ172="no match", AK172="", AL172="", K172&gt;26), "CUSM, CHU SJ, HGJ, CHUQ, CHUS, HMR", "")</f>
      </c>
    </row>
    <row x14ac:dyDescent="0.25" r="173" customHeight="1" ht="17.25">
      <c r="A173" s="27" t="s">
        <v>1753</v>
      </c>
      <c r="B173" s="28">
        <v>2</v>
      </c>
      <c r="C173" s="35">
        <v>832</v>
      </c>
      <c r="D173" s="29" t="s">
        <v>308</v>
      </c>
      <c r="E173" s="30" t="s">
        <v>50</v>
      </c>
      <c r="F173" s="31">
        <v>44296</v>
      </c>
      <c r="G173" s="32">
        <v>4.958333333333334</v>
      </c>
      <c r="H173" s="31">
        <v>44296</v>
      </c>
      <c r="I173" s="32">
        <v>4.647222222222222</v>
      </c>
      <c r="J173" s="33">
        <f>F173-H173</f>
      </c>
      <c r="K173" s="28">
        <v>37</v>
      </c>
      <c r="L173" s="28">
        <v>2</v>
      </c>
      <c r="M173" s="28">
        <v>1</v>
      </c>
      <c r="N173" s="34"/>
      <c r="O173" s="34"/>
      <c r="P173" s="34"/>
      <c r="Q173" s="34"/>
      <c r="R173" s="34"/>
      <c r="S173" s="34"/>
      <c r="T173" s="35">
        <v>1</v>
      </c>
      <c r="U173" s="34"/>
      <c r="V173" s="34"/>
      <c r="W173" s="29"/>
      <c r="X173" s="28">
        <v>31</v>
      </c>
      <c r="Y173" s="28">
        <v>1</v>
      </c>
      <c r="Z173" s="28">
        <v>2</v>
      </c>
      <c r="AA173" s="28">
        <v>3</v>
      </c>
      <c r="AB173" s="28">
        <v>1</v>
      </c>
      <c r="AC173" s="28">
        <v>1</v>
      </c>
      <c r="AD173" s="28">
        <v>1</v>
      </c>
      <c r="AE173" s="28">
        <v>4</v>
      </c>
      <c r="AF173" s="28">
        <v>2</v>
      </c>
      <c r="AG173" s="28">
        <v>2</v>
      </c>
      <c r="AH173" s="29" t="s">
        <v>1754</v>
      </c>
      <c r="AI173" s="36">
        <f>IF(OR(AND(K173&lt;32, J173&lt;2), O173=1, P173=1, Q173=1, R173=1, S173=1, T173=1, U173=1, AND(W173&lt;&gt;"", W173&lt;&gt;"Oxygen", W173&lt;&gt;"LowFlow")), "Intensive", "Intermediate")</f>
      </c>
      <c r="AJ173" s="37">
        <f>IF(OR(LEFT(AH173, 1)="X", LEFT(AH173, 1)="Y", LEFT(AH173, 3)="J42M"), "CUSM", "No Match")</f>
      </c>
      <c r="AK173" s="37">
        <f>IF(AND(OR(O173=3, P173=1, Q173=1, T173=1), AJ173="no Match"), "CUSM, CHU SJ, CHUQ", "")</f>
      </c>
      <c r="AL173" s="37">
        <f>IF(AND(O173=2, ISBLANK(P173), ISBLANK(Q173), ISBLANK(R173), ISBLANK(S173), ISBLANK(T173)), "CUSM, CHU SJ, CHUS, CHUQ", "")</f>
      </c>
      <c r="AM173" s="37">
        <f>IF(AND(AJ173="no match", AK173="", AL173="", K173&lt;26), "CUSM, CHU SJ, HGJ, CHUQ, CHUS", "")</f>
      </c>
      <c r="AN173" s="37">
        <f>IF(AND(AJ173="no match", AK173="", AL173="", K173&gt;26), "CUSM, CHU SJ, HGJ, CHUQ, CHUS, HMR", "")</f>
      </c>
    </row>
    <row x14ac:dyDescent="0.25" r="174" customHeight="1" ht="17.25">
      <c r="A174" s="27" t="s">
        <v>1755</v>
      </c>
      <c r="B174" s="28">
        <v>2</v>
      </c>
      <c r="C174" s="35">
        <v>740</v>
      </c>
      <c r="D174" s="29" t="s">
        <v>409</v>
      </c>
      <c r="E174" s="30" t="s">
        <v>149</v>
      </c>
      <c r="F174" s="31">
        <v>44297</v>
      </c>
      <c r="G174" s="32">
        <v>4.649305555555555</v>
      </c>
      <c r="H174" s="31">
        <v>44297</v>
      </c>
      <c r="I174" s="32">
        <v>4.408333333333333</v>
      </c>
      <c r="J174" s="33">
        <f>F174-H174</f>
      </c>
      <c r="K174" s="28">
        <v>34</v>
      </c>
      <c r="L174" s="28">
        <v>0</v>
      </c>
      <c r="M174" s="28">
        <v>1</v>
      </c>
      <c r="N174" s="34"/>
      <c r="O174" s="34"/>
      <c r="P174" s="34"/>
      <c r="Q174" s="34"/>
      <c r="R174" s="34"/>
      <c r="S174" s="34"/>
      <c r="T174" s="34"/>
      <c r="U174" s="34"/>
      <c r="V174" s="34"/>
      <c r="W174" s="29" t="s">
        <v>164</v>
      </c>
      <c r="X174" s="28">
        <v>34</v>
      </c>
      <c r="Y174" s="28">
        <v>1</v>
      </c>
      <c r="Z174" s="28">
        <v>1</v>
      </c>
      <c r="AA174" s="28">
        <v>1</v>
      </c>
      <c r="AB174" s="28">
        <v>1</v>
      </c>
      <c r="AC174" s="28">
        <v>2</v>
      </c>
      <c r="AD174" s="28">
        <v>2</v>
      </c>
      <c r="AE174" s="28">
        <v>2</v>
      </c>
      <c r="AF174" s="35">
        <v>2</v>
      </c>
      <c r="AG174" s="28">
        <v>2</v>
      </c>
      <c r="AH174" s="29" t="s">
        <v>1756</v>
      </c>
      <c r="AI174" s="36">
        <f>IF(OR(AND(K174&lt;32, J174&lt;2), O174=1, P174=1, Q174=1, R174=1, S174=1, T174=1, U174=1, AND(W174&lt;&gt;"", W174&lt;&gt;"Oxygen", W174&lt;&gt;"LowFlow")), "Intensive", "Intermediate")</f>
      </c>
      <c r="AJ174" s="37">
        <f>IF(OR(LEFT(AH174, 1)="X", LEFT(AH174, 1)="Y", LEFT(AH174, 3)="J43M"), "CUSM", "No Match")</f>
      </c>
      <c r="AK174" s="37">
        <f>IF(AND(OR(O174=3, P174=1, Q174=1, T174=1), AJ174="no Match"), "CUSM, CHU SJ, CHUQ", "")</f>
      </c>
      <c r="AL174" s="37">
        <f>IF(AND(O174=2, ISBLANK(P174), ISBLANK(Q174), ISBLANK(R174), ISBLANK(S174), ISBLANK(T174)), "CUSM, CHU SJ, CHUS, CHUQ", "")</f>
      </c>
      <c r="AM174" s="37">
        <f>IF(AND(AJ174="no match", AK174="", AL174="", K174&lt;26), "CUSM, CHU SJ, HGJ, CHUQ, CHUS", "")</f>
      </c>
      <c r="AN174" s="37">
        <f>IF(AND(AJ174="no match", AK174="", AL174="", K174&gt;26), "CUSM, CHU SJ, HGJ, CHUQ, CHUS, HMR", "")</f>
      </c>
    </row>
    <row x14ac:dyDescent="0.25" r="175" customHeight="1" ht="17.25">
      <c r="A175" s="27" t="s">
        <v>1757</v>
      </c>
      <c r="B175" s="28">
        <v>2</v>
      </c>
      <c r="C175" s="35">
        <v>782</v>
      </c>
      <c r="D175" s="29" t="s">
        <v>95</v>
      </c>
      <c r="E175" s="30" t="s">
        <v>50</v>
      </c>
      <c r="F175" s="31">
        <v>44297</v>
      </c>
      <c r="G175" s="32">
        <v>4.090277777777778</v>
      </c>
      <c r="H175" s="31">
        <v>44296</v>
      </c>
      <c r="I175" s="32">
        <v>4.970833333333333</v>
      </c>
      <c r="J175" s="33">
        <f>F175-H175</f>
      </c>
      <c r="K175" s="28">
        <v>32</v>
      </c>
      <c r="L175" s="28">
        <v>5</v>
      </c>
      <c r="M175" s="28">
        <v>1</v>
      </c>
      <c r="N175" s="34"/>
      <c r="O175" s="34"/>
      <c r="P175" s="34"/>
      <c r="Q175" s="34"/>
      <c r="R175" s="34"/>
      <c r="S175" s="34"/>
      <c r="T175" s="34"/>
      <c r="U175" s="34"/>
      <c r="V175" s="34"/>
      <c r="W175" s="29" t="s">
        <v>58</v>
      </c>
      <c r="X175" s="28">
        <v>28</v>
      </c>
      <c r="Y175" s="28">
        <v>1</v>
      </c>
      <c r="Z175" s="28">
        <v>1</v>
      </c>
      <c r="AA175" s="28">
        <v>1</v>
      </c>
      <c r="AB175" s="28">
        <v>1</v>
      </c>
      <c r="AC175" s="28">
        <v>2</v>
      </c>
      <c r="AD175" s="28">
        <v>2</v>
      </c>
      <c r="AE175" s="28">
        <v>4</v>
      </c>
      <c r="AF175" s="35">
        <v>2</v>
      </c>
      <c r="AG175" s="28">
        <v>2</v>
      </c>
      <c r="AH175" s="29" t="s">
        <v>1758</v>
      </c>
      <c r="AI175" s="36">
        <f>IF(OR(AND(K175&lt;32, J175&lt;2), O175=1, P175=1, Q175=1, R175=1, S175=1, T175=1, U175=1, AND(W175&lt;&gt;"", W175&lt;&gt;"Oxygen", W175&lt;&gt;"LowFlow")), "Intensive", "Intermediate")</f>
      </c>
      <c r="AJ175" s="37">
        <f>IF(OR(LEFT(AH175, 1)="X", LEFT(AH175, 1)="Y", LEFT(AH175, 3)="J44M"), "CUSM", "No Match")</f>
      </c>
      <c r="AK175" s="37">
        <f>IF(AND(OR(O175=3, P175=1, Q175=1, T175=1), AJ175="no Match"), "CUSM, CHU SJ, CHUQ", "")</f>
      </c>
      <c r="AL175" s="37">
        <f>IF(AND(O175=2, ISBLANK(P175), ISBLANK(Q175), ISBLANK(R175), ISBLANK(S175), ISBLANK(T175)), "CUSM, CHU SJ, CHUS, CHUQ", "")</f>
      </c>
      <c r="AM175" s="37">
        <f>IF(AND(AJ175="no match", AK175="", AL175="", K175&lt;26), "CUSM, CHU SJ, HGJ, CHUQ, CHUS", "")</f>
      </c>
      <c r="AN175" s="37">
        <f>IF(AND(AJ175="no match", AK175="", AL175="", K175&gt;26), "CUSM, CHU SJ, HGJ, CHUQ, CHUS, HMR", "")</f>
      </c>
    </row>
    <row x14ac:dyDescent="0.25" r="176" customHeight="1" ht="17.25">
      <c r="A176" s="27" t="s">
        <v>1759</v>
      </c>
      <c r="B176" s="28">
        <v>2</v>
      </c>
      <c r="C176" s="35">
        <v>776</v>
      </c>
      <c r="D176" s="29" t="s">
        <v>84</v>
      </c>
      <c r="E176" s="30" t="s">
        <v>50</v>
      </c>
      <c r="F176" s="31">
        <v>44297</v>
      </c>
      <c r="G176" s="32">
        <v>4.590277777777778</v>
      </c>
      <c r="H176" s="31">
        <v>44297</v>
      </c>
      <c r="I176" s="32">
        <v>4.288194444444445</v>
      </c>
      <c r="J176" s="33">
        <f>F176-H176</f>
      </c>
      <c r="K176" s="28">
        <v>41</v>
      </c>
      <c r="L176" s="28">
        <v>2</v>
      </c>
      <c r="M176" s="28">
        <v>1</v>
      </c>
      <c r="N176" s="34"/>
      <c r="O176" s="34"/>
      <c r="P176" s="34"/>
      <c r="Q176" s="34"/>
      <c r="R176" s="34"/>
      <c r="S176" s="34"/>
      <c r="T176" s="34"/>
      <c r="U176" s="34"/>
      <c r="V176" s="34"/>
      <c r="W176" s="29"/>
      <c r="X176" s="28">
        <v>26</v>
      </c>
      <c r="Y176" s="28">
        <v>1</v>
      </c>
      <c r="Z176" s="28">
        <v>1</v>
      </c>
      <c r="AA176" s="28">
        <v>2</v>
      </c>
      <c r="AB176" s="28">
        <v>1</v>
      </c>
      <c r="AC176" s="28">
        <v>2</v>
      </c>
      <c r="AD176" s="28">
        <v>2</v>
      </c>
      <c r="AE176" s="28">
        <v>4</v>
      </c>
      <c r="AF176" s="28">
        <v>2</v>
      </c>
      <c r="AG176" s="28">
        <v>2</v>
      </c>
      <c r="AH176" s="29" t="s">
        <v>1760</v>
      </c>
      <c r="AI176" s="36">
        <f>IF(OR(AND(K176&lt;32, J176&lt;2), O176=1, P176=1, Q176=1, R176=1, S176=1, T176=1, U176=1, AND(W176&lt;&gt;"", W176&lt;&gt;"Oxygen", W176&lt;&gt;"LowFlow")), "Intensive", "Intermediate")</f>
      </c>
      <c r="AJ176" s="37">
        <f>IF(OR(LEFT(AH176, 1)="X", LEFT(AH176, 1)="Y", LEFT(AH176, 3)="J45M"), "CUSM", "No Match")</f>
      </c>
      <c r="AK176" s="37">
        <f>IF(AND(OR(O176=3, P176=1, Q176=1, T176=1), AJ176="no Match"), "CUSM, CHU SJ, CHUQ", "")</f>
      </c>
      <c r="AL176" s="37">
        <f>IF(AND(O176=2, ISBLANK(P176), ISBLANK(Q176), ISBLANK(R176), ISBLANK(S176), ISBLANK(T176)), "CUSM, CHU SJ, CHUS, CHUQ", "")</f>
      </c>
      <c r="AM176" s="37">
        <f>IF(AND(AJ176="no match", AK176="", AL176="", K176&lt;26), "CUSM, CHU SJ, HGJ, CHUQ, CHUS", "")</f>
      </c>
      <c r="AN176" s="37">
        <f>IF(AND(AJ176="no match", AK176="", AL176="", K176&gt;26), "CUSM, CHU SJ, HGJ, CHUQ, CHUS, HMR", "")</f>
      </c>
    </row>
    <row x14ac:dyDescent="0.25" r="177" customHeight="1" ht="17.25">
      <c r="A177" s="27" t="s">
        <v>1761</v>
      </c>
      <c r="B177" s="28">
        <v>2</v>
      </c>
      <c r="C177" s="35">
        <v>734</v>
      </c>
      <c r="D177" s="29" t="s">
        <v>264</v>
      </c>
      <c r="E177" s="30" t="s">
        <v>78</v>
      </c>
      <c r="F177" s="31">
        <v>44298</v>
      </c>
      <c r="G177" s="32">
        <v>4.875</v>
      </c>
      <c r="H177" s="31">
        <v>44298</v>
      </c>
      <c r="I177" s="32">
        <v>4.627083333333333</v>
      </c>
      <c r="J177" s="33">
        <f>F177-H177</f>
      </c>
      <c r="K177" s="28">
        <v>33</v>
      </c>
      <c r="L177" s="28">
        <v>0</v>
      </c>
      <c r="M177" s="28">
        <v>2</v>
      </c>
      <c r="N177" s="34"/>
      <c r="O177" s="34"/>
      <c r="P177" s="34"/>
      <c r="Q177" s="34"/>
      <c r="R177" s="34"/>
      <c r="S177" s="34"/>
      <c r="T177" s="34"/>
      <c r="U177" s="34"/>
      <c r="V177" s="34"/>
      <c r="W177" s="29" t="s">
        <v>74</v>
      </c>
      <c r="X177" s="28">
        <v>43</v>
      </c>
      <c r="Y177" s="28">
        <v>1</v>
      </c>
      <c r="Z177" s="28">
        <v>2</v>
      </c>
      <c r="AA177" s="28">
        <v>1</v>
      </c>
      <c r="AB177" s="28">
        <v>1</v>
      </c>
      <c r="AC177" s="28">
        <v>2</v>
      </c>
      <c r="AD177" s="28">
        <v>2</v>
      </c>
      <c r="AE177" s="28">
        <v>4</v>
      </c>
      <c r="AF177" s="28">
        <v>2</v>
      </c>
      <c r="AG177" s="28">
        <v>2</v>
      </c>
      <c r="AH177" s="29"/>
      <c r="AI177" s="36">
        <f>IF(OR(AND(K177&lt;32, J177&lt;2), O177=1, P177=1, Q177=1, R177=1, S177=1, T177=1, U177=1, AND(W177&lt;&gt;"", W177&lt;&gt;"Oxygen", W177&lt;&gt;"LowFlow")), "Intensive", "Intermediate")</f>
      </c>
      <c r="AJ177" s="37">
        <f>IF(OR(LEFT(AH177, 1)="X", LEFT(AH177, 1)="Y", LEFT(AH177, 3)="J46M"), "CUSM", "No Match")</f>
      </c>
      <c r="AK177" s="37">
        <f>IF(AND(OR(O177=3, P177=1, Q177=1, T177=1), AJ177="no Match"), "CUSM, CHU SJ, CHUQ", "")</f>
      </c>
      <c r="AL177" s="37">
        <f>IF(AND(O177=2, ISBLANK(P177), ISBLANK(Q177), ISBLANK(R177), ISBLANK(S177), ISBLANK(T177)), "CUSM, CHU SJ, CHUS, CHUQ", "")</f>
      </c>
      <c r="AM177" s="37">
        <f>IF(AND(AJ177="no match", AK177="", AL177="", K177&lt;26), "CUSM, CHU SJ, HGJ, CHUQ, CHUS", "")</f>
      </c>
      <c r="AN177" s="37">
        <f>IF(AND(AJ177="no match", AK177="", AL177="", K177&gt;26), "CUSM, CHU SJ, HGJ, CHUQ, CHUS, HMR", "")</f>
      </c>
    </row>
    <row x14ac:dyDescent="0.25" r="178" customHeight="1" ht="17.25">
      <c r="A178" s="27" t="s">
        <v>1762</v>
      </c>
      <c r="B178" s="28">
        <v>2</v>
      </c>
      <c r="C178" s="35">
        <v>779</v>
      </c>
      <c r="D178" s="29" t="s">
        <v>136</v>
      </c>
      <c r="E178" s="30" t="s">
        <v>78</v>
      </c>
      <c r="F178" s="31">
        <v>44298</v>
      </c>
      <c r="G178" s="32">
        <v>4.895833333333334</v>
      </c>
      <c r="H178" s="31">
        <v>44298</v>
      </c>
      <c r="I178" s="32">
        <v>4.677777777777777</v>
      </c>
      <c r="J178" s="33">
        <f>F178-H178</f>
      </c>
      <c r="K178" s="28">
        <v>40</v>
      </c>
      <c r="L178" s="28">
        <v>4</v>
      </c>
      <c r="M178" s="28">
        <v>2</v>
      </c>
      <c r="N178" s="34"/>
      <c r="O178" s="34"/>
      <c r="P178" s="34"/>
      <c r="Q178" s="34"/>
      <c r="R178" s="34"/>
      <c r="S178" s="34"/>
      <c r="T178" s="34"/>
      <c r="U178" s="34"/>
      <c r="V178" s="34"/>
      <c r="W178" s="29" t="s">
        <v>58</v>
      </c>
      <c r="X178" s="28">
        <v>23</v>
      </c>
      <c r="Y178" s="28">
        <v>1</v>
      </c>
      <c r="Z178" s="28">
        <v>1</v>
      </c>
      <c r="AA178" s="28">
        <v>2</v>
      </c>
      <c r="AB178" s="28">
        <v>1</v>
      </c>
      <c r="AC178" s="28">
        <v>2</v>
      </c>
      <c r="AD178" s="28">
        <v>2</v>
      </c>
      <c r="AE178" s="28">
        <v>2</v>
      </c>
      <c r="AF178" s="28">
        <v>2</v>
      </c>
      <c r="AG178" s="28">
        <v>2</v>
      </c>
      <c r="AH178" s="29" t="s">
        <v>1763</v>
      </c>
      <c r="AI178" s="36">
        <f>IF(OR(AND(K178&lt;32, J178&lt;2), O178=1, P178=1, Q178=1, R178=1, S178=1, T178=1, U178=1, AND(W178&lt;&gt;"", W178&lt;&gt;"Oxygen", W178&lt;&gt;"LowFlow")), "Intensive", "Intermediate")</f>
      </c>
      <c r="AJ178" s="37">
        <f>IF(OR(LEFT(AH178, 1)="X", LEFT(AH178, 1)="Y", LEFT(AH178, 3)="J47M"), "CUSM", "No Match")</f>
      </c>
      <c r="AK178" s="37">
        <f>IF(AND(OR(O178=3, P178=1, Q178=1, T178=1), AJ178="no Match"), "CUSM, CHU SJ, CHUQ", "")</f>
      </c>
      <c r="AL178" s="37">
        <f>IF(AND(O178=2, ISBLANK(P178), ISBLANK(Q178), ISBLANK(R178), ISBLANK(S178), ISBLANK(T178)), "CUSM, CHU SJ, CHUS, CHUQ", "")</f>
      </c>
      <c r="AM178" s="37">
        <f>IF(AND(AJ178="no match", AK178="", AL178="", K178&lt;26), "CUSM, CHU SJ, HGJ, CHUQ, CHUS", "")</f>
      </c>
      <c r="AN178" s="37">
        <f>IF(AND(AJ178="no match", AK178="", AL178="", K178&gt;26), "CUSM, CHU SJ, HGJ, CHUQ, CHUS, HMR", "")</f>
      </c>
    </row>
    <row x14ac:dyDescent="0.25" r="179" customHeight="1" ht="17.25">
      <c r="A179" s="27" t="s">
        <v>1764</v>
      </c>
      <c r="B179" s="28">
        <v>2</v>
      </c>
      <c r="C179" s="35">
        <v>757</v>
      </c>
      <c r="D179" s="29" t="s">
        <v>124</v>
      </c>
      <c r="E179" s="30" t="s">
        <v>50</v>
      </c>
      <c r="F179" s="31">
        <v>44300</v>
      </c>
      <c r="G179" s="32">
        <v>4.699305555555556</v>
      </c>
      <c r="H179" s="31">
        <v>44298</v>
      </c>
      <c r="I179" s="32">
        <v>4.239583333333334</v>
      </c>
      <c r="J179" s="33">
        <f>F179-H179</f>
      </c>
      <c r="K179" s="28">
        <v>38</v>
      </c>
      <c r="L179" s="28">
        <v>2</v>
      </c>
      <c r="M179" s="28">
        <v>1</v>
      </c>
      <c r="N179" s="35">
        <v>1</v>
      </c>
      <c r="O179" s="28">
        <v>2</v>
      </c>
      <c r="P179" s="35">
        <v>1</v>
      </c>
      <c r="Q179" s="34"/>
      <c r="R179" s="34"/>
      <c r="S179" s="38"/>
      <c r="T179" s="34"/>
      <c r="U179" s="34"/>
      <c r="V179" s="34"/>
      <c r="W179" s="29" t="s">
        <v>58</v>
      </c>
      <c r="X179" s="28">
        <v>38</v>
      </c>
      <c r="Y179" s="28">
        <v>2</v>
      </c>
      <c r="Z179" s="28">
        <v>1</v>
      </c>
      <c r="AA179" s="28">
        <v>2</v>
      </c>
      <c r="AB179" s="28">
        <v>1</v>
      </c>
      <c r="AC179" s="28">
        <v>2</v>
      </c>
      <c r="AD179" s="28">
        <v>2</v>
      </c>
      <c r="AE179" s="28">
        <v>4</v>
      </c>
      <c r="AF179" s="28">
        <v>2</v>
      </c>
      <c r="AG179" s="28">
        <v>2</v>
      </c>
      <c r="AH179" s="29" t="s">
        <v>1765</v>
      </c>
      <c r="AI179" s="36">
        <f>IF(OR(AND(K179&lt;32, J179&lt;2), O179=1, P179=1, Q179=1, R179=1, S179=1, T179=1, U179=1, AND(W179&lt;&gt;"", W179&lt;&gt;"Oxygen", W179&lt;&gt;"LowFlow")), "Intensive", "Intermediate")</f>
      </c>
      <c r="AJ179" s="37">
        <f>IF(OR(LEFT(AH179, 1)="X", LEFT(AH179, 1)="Y", LEFT(AH179, 3)="J48M"), "CUSM", "No Match")</f>
      </c>
      <c r="AK179" s="37">
        <f>IF(AND(OR(O179=3, P179=1, Q179=1, T179=1), AJ179="no Match"), "CUSM, CHU SJ, CHUQ", "")</f>
      </c>
      <c r="AL179" s="37">
        <f>IF(AND(O179=2, ISBLANK(P179), ISBLANK(Q179), ISBLANK(R179), ISBLANK(S179), ISBLANK(T179)), "CUSM, CHU SJ, CHUS, CHUQ", "")</f>
      </c>
      <c r="AM179" s="37">
        <f>IF(AND(AJ179="no match", AK179="", AL179="", K179&lt;26), "CUSM, CHU SJ, HGJ, CHUQ, CHUS", "")</f>
      </c>
      <c r="AN179" s="37">
        <f>IF(AND(AJ179="no match", AK179="", AL179="", K179&gt;26), "CUSM, CHU SJ, HGJ, CHUQ, CHUS, HMR", "")</f>
      </c>
    </row>
    <row x14ac:dyDescent="0.25" r="180" customHeight="1" ht="17.25">
      <c r="A180" s="27" t="s">
        <v>1766</v>
      </c>
      <c r="B180" s="28">
        <v>2</v>
      </c>
      <c r="C180" s="35">
        <v>806</v>
      </c>
      <c r="D180" s="29" t="s">
        <v>438</v>
      </c>
      <c r="E180" s="30" t="s">
        <v>54</v>
      </c>
      <c r="F180" s="31">
        <v>44301</v>
      </c>
      <c r="G180" s="32">
        <v>4.708333333333334</v>
      </c>
      <c r="H180" s="31">
        <v>44300</v>
      </c>
      <c r="I180" s="32">
        <v>4.6618055555555555</v>
      </c>
      <c r="J180" s="33">
        <f>F180-H180</f>
      </c>
      <c r="K180" s="28">
        <v>40</v>
      </c>
      <c r="L180" s="28">
        <v>6</v>
      </c>
      <c r="M180" s="28">
        <v>1</v>
      </c>
      <c r="N180" s="35">
        <v>1</v>
      </c>
      <c r="O180" s="34"/>
      <c r="P180" s="34"/>
      <c r="Q180" s="34"/>
      <c r="R180" s="34"/>
      <c r="S180" s="34"/>
      <c r="T180" s="34"/>
      <c r="U180" s="34"/>
      <c r="V180" s="34"/>
      <c r="W180" s="29" t="s">
        <v>600</v>
      </c>
      <c r="X180" s="28">
        <v>23</v>
      </c>
      <c r="Y180" s="28">
        <v>1</v>
      </c>
      <c r="Z180" s="28">
        <v>1</v>
      </c>
      <c r="AA180" s="28">
        <v>1</v>
      </c>
      <c r="AB180" s="28">
        <v>1</v>
      </c>
      <c r="AC180" s="28">
        <v>2</v>
      </c>
      <c r="AD180" s="28">
        <v>2</v>
      </c>
      <c r="AE180" s="28">
        <v>4</v>
      </c>
      <c r="AF180" s="28">
        <v>2</v>
      </c>
      <c r="AG180" s="28">
        <v>2</v>
      </c>
      <c r="AH180" s="29" t="s">
        <v>1623</v>
      </c>
      <c r="AI180" s="36">
        <f>IF(OR(AND(K180&lt;32, J180&lt;2), O180=1, P180=1, Q180=1, R180=1, S180=1, T180=1, U180=1, AND(W180&lt;&gt;"", W180&lt;&gt;"Oxygen", W180&lt;&gt;"LowFlow")), "Intensive", "Intermediate")</f>
      </c>
      <c r="AJ180" s="37">
        <f>IF(OR(LEFT(AH180, 1)="X", LEFT(AH180, 1)="Y", LEFT(AH180, 3)="J49M"), "CUSM", "No Match")</f>
      </c>
      <c r="AK180" s="37">
        <f>IF(AND(OR(O180=3, P180=1, Q180=1, T180=1), AJ180="no Match"), "CUSM, CHU SJ, CHUQ", "")</f>
      </c>
      <c r="AL180" s="37">
        <f>IF(AND(O180=2, ISBLANK(P180), ISBLANK(Q180), ISBLANK(R180), ISBLANK(S180), ISBLANK(T180)), "CUSM, CHU SJ, CHUS, CHUQ", "")</f>
      </c>
      <c r="AM180" s="37">
        <f>IF(AND(AJ180="no match", AK180="", AL180="", K180&lt;26), "CUSM, CHU SJ, HGJ, CHUQ, CHUS", "")</f>
      </c>
      <c r="AN180" s="37">
        <f>IF(AND(AJ180="no match", AK180="", AL180="", K180&gt;26), "CUSM, CHU SJ, HGJ, CHUQ, CHUS, HMR", "")</f>
      </c>
    </row>
    <row x14ac:dyDescent="0.25" r="181" customHeight="1" ht="17.25">
      <c r="A181" s="27" t="s">
        <v>1767</v>
      </c>
      <c r="B181" s="28">
        <v>2</v>
      </c>
      <c r="C181" s="35">
        <v>825</v>
      </c>
      <c r="D181" s="29" t="s">
        <v>77</v>
      </c>
      <c r="E181" s="30" t="s">
        <v>54</v>
      </c>
      <c r="F181" s="31">
        <v>44301</v>
      </c>
      <c r="G181" s="32">
        <v>4.65625</v>
      </c>
      <c r="H181" s="31">
        <v>44301</v>
      </c>
      <c r="I181" s="32">
        <v>4.361111111111111</v>
      </c>
      <c r="J181" s="33">
        <f>F181-H181</f>
      </c>
      <c r="K181" s="28">
        <v>38</v>
      </c>
      <c r="L181" s="28">
        <v>2</v>
      </c>
      <c r="M181" s="28">
        <v>1</v>
      </c>
      <c r="N181" s="28">
        <v>1</v>
      </c>
      <c r="O181" s="34"/>
      <c r="P181" s="35">
        <v>1</v>
      </c>
      <c r="Q181" s="34"/>
      <c r="R181" s="34"/>
      <c r="S181" s="34"/>
      <c r="T181" s="34"/>
      <c r="U181" s="34"/>
      <c r="V181" s="34"/>
      <c r="W181" s="29" t="s">
        <v>74</v>
      </c>
      <c r="X181" s="28">
        <v>32</v>
      </c>
      <c r="Y181" s="28">
        <v>1</v>
      </c>
      <c r="Z181" s="28">
        <v>2</v>
      </c>
      <c r="AA181" s="28">
        <v>2</v>
      </c>
      <c r="AB181" s="28">
        <v>1</v>
      </c>
      <c r="AC181" s="28">
        <v>2</v>
      </c>
      <c r="AD181" s="28">
        <v>1</v>
      </c>
      <c r="AE181" s="28">
        <v>4</v>
      </c>
      <c r="AF181" s="28">
        <v>2</v>
      </c>
      <c r="AG181" s="28">
        <v>2</v>
      </c>
      <c r="AH181" s="29" t="s">
        <v>1768</v>
      </c>
      <c r="AI181" s="36">
        <f>IF(OR(AND(K181&lt;32, J181&lt;2), O181=1, P181=1, Q181=1, R181=1, S181=1, T181=1, U181=1, AND(W181&lt;&gt;"", W181&lt;&gt;"Oxygen", W181&lt;&gt;"LowFlow")), "Intensive", "Intermediate")</f>
      </c>
      <c r="AJ181" s="37">
        <f>IF(OR(LEFT(AH181, 1)="X", LEFT(AH181, 1)="Y", LEFT(AH181, 3)="J50M"), "CUSM", "No Match")</f>
      </c>
      <c r="AK181" s="37">
        <f>IF(AND(OR(O181=3, P181=1, Q181=1, T181=1), AJ181="no Match"), "CUSM, CHU SJ, CHUQ", "")</f>
      </c>
      <c r="AL181" s="37">
        <f>IF(AND(O181=2, ISBLANK(P181), ISBLANK(Q181), ISBLANK(R181), ISBLANK(S181), ISBLANK(T181)), "CUSM, CHU SJ, CHUS, CHUQ", "")</f>
      </c>
      <c r="AM181" s="37">
        <f>IF(AND(AJ181="no match", AK181="", AL181="", K181&lt;26), "CUSM, CHU SJ, HGJ, CHUQ, CHUS", "")</f>
      </c>
      <c r="AN181" s="37">
        <f>IF(AND(AJ181="no match", AK181="", AL181="", K181&gt;26), "CUSM, CHU SJ, HGJ, CHUQ, CHUS, HMR", "")</f>
      </c>
    </row>
    <row x14ac:dyDescent="0.25" r="182" customHeight="1" ht="17.25">
      <c r="A182" s="27" t="s">
        <v>1769</v>
      </c>
      <c r="B182" s="28">
        <v>2</v>
      </c>
      <c r="C182" s="28">
        <v>827</v>
      </c>
      <c r="D182" s="29" t="s">
        <v>525</v>
      </c>
      <c r="E182" s="30" t="s">
        <v>118</v>
      </c>
      <c r="F182" s="31">
        <v>44302</v>
      </c>
      <c r="G182" s="32">
        <v>4.756944444444445</v>
      </c>
      <c r="H182" s="31">
        <v>44302</v>
      </c>
      <c r="I182" s="32">
        <v>4.613194444444444</v>
      </c>
      <c r="J182" s="33">
        <f>F182-H182</f>
      </c>
      <c r="K182" s="28">
        <v>30</v>
      </c>
      <c r="L182" s="28">
        <v>6</v>
      </c>
      <c r="M182" s="28">
        <v>1</v>
      </c>
      <c r="N182" s="34"/>
      <c r="O182" s="34"/>
      <c r="P182" s="34"/>
      <c r="Q182" s="34"/>
      <c r="R182" s="34"/>
      <c r="S182" s="34"/>
      <c r="T182" s="34"/>
      <c r="U182" s="34"/>
      <c r="V182" s="34"/>
      <c r="W182" s="29" t="s">
        <v>58</v>
      </c>
      <c r="X182" s="28">
        <v>29</v>
      </c>
      <c r="Y182" s="28">
        <v>1</v>
      </c>
      <c r="Z182" s="28">
        <v>2</v>
      </c>
      <c r="AA182" s="28">
        <v>3</v>
      </c>
      <c r="AB182" s="28">
        <v>1</v>
      </c>
      <c r="AC182" s="28">
        <v>2</v>
      </c>
      <c r="AD182" s="28">
        <v>2</v>
      </c>
      <c r="AE182" s="28">
        <v>4</v>
      </c>
      <c r="AF182" s="28">
        <v>2</v>
      </c>
      <c r="AG182" s="28">
        <v>2</v>
      </c>
      <c r="AH182" s="29" t="s">
        <v>1770</v>
      </c>
      <c r="AI182" s="36">
        <f>IF(OR(AND(K182&lt;32, J182&lt;2), O182=1, P182=1, Q182=1, R182=1, S182=1, T182=1, U182=1, AND(W182&lt;&gt;"", W182&lt;&gt;"Oxygen", W182&lt;&gt;"LowFlow")), "Intensive", "Intermediate")</f>
      </c>
      <c r="AJ182" s="37">
        <f>IF(OR(LEFT(AH182, 1)="X", LEFT(AH182, 1)="Y", LEFT(AH182, 3)="J51M"), "CUSM", "No Match")</f>
      </c>
      <c r="AK182" s="37">
        <f>IF(AND(OR(O182=3, P182=1, Q182=1, T182=1), AJ182="no Match"), "CUSM, CHU SJ, CHUQ", "")</f>
      </c>
      <c r="AL182" s="37">
        <f>IF(AND(O182=2, ISBLANK(P182), ISBLANK(Q182), ISBLANK(R182), ISBLANK(S182), ISBLANK(T182)), "CUSM, CHU SJ, CHUS, CHUQ", "")</f>
      </c>
      <c r="AM182" s="37">
        <f>IF(AND(AJ182="no match", AK182="", AL182="", K182&lt;26), "CUSM, CHU SJ, HGJ, CHUQ, CHUS", "")</f>
      </c>
      <c r="AN182" s="37">
        <f>IF(AND(AJ182="no match", AK182="", AL182="", K182&gt;26), "CUSM, CHU SJ, HGJ, CHUQ, CHUS, HMR", "")</f>
      </c>
    </row>
    <row x14ac:dyDescent="0.25" r="183" customHeight="1" ht="17.25">
      <c r="A183" s="27" t="s">
        <v>1771</v>
      </c>
      <c r="B183" s="28">
        <v>2</v>
      </c>
      <c r="C183" s="35">
        <v>824</v>
      </c>
      <c r="D183" s="29" t="s">
        <v>57</v>
      </c>
      <c r="E183" s="30" t="s">
        <v>50</v>
      </c>
      <c r="F183" s="31">
        <v>44302</v>
      </c>
      <c r="G183" s="32">
        <v>4.776388888888889</v>
      </c>
      <c r="H183" s="31">
        <v>44301</v>
      </c>
      <c r="I183" s="32">
        <v>4.5472222222222225</v>
      </c>
      <c r="J183" s="33">
        <f>F183-H183</f>
      </c>
      <c r="K183" s="28">
        <v>37</v>
      </c>
      <c r="L183" s="28">
        <v>0</v>
      </c>
      <c r="M183" s="28">
        <v>1</v>
      </c>
      <c r="N183" s="34"/>
      <c r="O183" s="34"/>
      <c r="P183" s="34"/>
      <c r="Q183" s="34"/>
      <c r="R183" s="34"/>
      <c r="S183" s="34"/>
      <c r="T183" s="34"/>
      <c r="U183" s="34"/>
      <c r="V183" s="34"/>
      <c r="W183" s="29" t="s">
        <v>58</v>
      </c>
      <c r="X183" s="28">
        <v>32</v>
      </c>
      <c r="Y183" s="28">
        <v>1</v>
      </c>
      <c r="Z183" s="28">
        <v>1</v>
      </c>
      <c r="AA183" s="28">
        <v>2</v>
      </c>
      <c r="AB183" s="28">
        <v>1</v>
      </c>
      <c r="AC183" s="28">
        <v>2</v>
      </c>
      <c r="AD183" s="28">
        <v>2</v>
      </c>
      <c r="AE183" s="28">
        <v>4</v>
      </c>
      <c r="AF183" s="28">
        <v>2</v>
      </c>
      <c r="AG183" s="28">
        <v>2</v>
      </c>
      <c r="AH183" s="29" t="s">
        <v>1772</v>
      </c>
      <c r="AI183" s="36">
        <f>IF(OR(AND(K183&lt;32, J183&lt;2), O183=1, P183=1, Q183=1, R183=1, S183=1, T183=1, U183=1, AND(W183&lt;&gt;"", W183&lt;&gt;"Oxygen", W183&lt;&gt;"LowFlow")), "Intensive", "Intermediate")</f>
      </c>
      <c r="AJ183" s="37">
        <f>IF(OR(LEFT(AH183, 1)="X", LEFT(AH183, 1)="Y", LEFT(AH183, 3)="J52M"), "CUSM", "No Match")</f>
      </c>
      <c r="AK183" s="37">
        <f>IF(AND(OR(O183=3, P183=1, Q183=1, T183=1), AJ183="no Match"), "CUSM, CHU SJ, CHUQ", "")</f>
      </c>
      <c r="AL183" s="37">
        <f>IF(AND(O183=2, ISBLANK(P183), ISBLANK(Q183), ISBLANK(R183), ISBLANK(S183), ISBLANK(T183)), "CUSM, CHU SJ, CHUS, CHUQ", "")</f>
      </c>
      <c r="AM183" s="37">
        <f>IF(AND(AJ183="no match", AK183="", AL183="", K183&lt;26), "CUSM, CHU SJ, HGJ, CHUQ, CHUS", "")</f>
      </c>
      <c r="AN183" s="37">
        <f>IF(AND(AJ183="no match", AK183="", AL183="", K183&gt;26), "CUSM, CHU SJ, HGJ, CHUQ, CHUS, HMR", "")</f>
      </c>
    </row>
    <row x14ac:dyDescent="0.25" r="184" customHeight="1" ht="19.5">
      <c r="A184" s="27" t="s">
        <v>1773</v>
      </c>
      <c r="B184" s="28">
        <v>2</v>
      </c>
      <c r="C184" s="35">
        <v>832</v>
      </c>
      <c r="D184" s="29" t="s">
        <v>308</v>
      </c>
      <c r="E184" s="30" t="s">
        <v>54</v>
      </c>
      <c r="F184" s="31">
        <v>44303</v>
      </c>
      <c r="G184" s="32">
        <v>4.041666666666666</v>
      </c>
      <c r="H184" s="31">
        <v>44301</v>
      </c>
      <c r="I184" s="32">
        <v>4.478472222222223</v>
      </c>
      <c r="J184" s="33">
        <f>F184-H184</f>
      </c>
      <c r="K184" s="28">
        <v>38</v>
      </c>
      <c r="L184" s="28">
        <v>5</v>
      </c>
      <c r="M184" s="28">
        <v>1</v>
      </c>
      <c r="N184" s="34"/>
      <c r="O184" s="34"/>
      <c r="P184" s="34"/>
      <c r="Q184" s="34"/>
      <c r="R184" s="34"/>
      <c r="S184" s="34"/>
      <c r="T184" s="34"/>
      <c r="U184" s="34"/>
      <c r="V184" s="34"/>
      <c r="W184" s="29"/>
      <c r="X184" s="28">
        <v>39</v>
      </c>
      <c r="Y184" s="28">
        <v>1</v>
      </c>
      <c r="Z184" s="28">
        <v>2</v>
      </c>
      <c r="AA184" s="28">
        <v>2</v>
      </c>
      <c r="AB184" s="28">
        <v>1</v>
      </c>
      <c r="AC184" s="28">
        <v>2</v>
      </c>
      <c r="AD184" s="28">
        <v>2</v>
      </c>
      <c r="AE184" s="28">
        <v>4</v>
      </c>
      <c r="AF184" s="35">
        <v>2</v>
      </c>
      <c r="AG184" s="28">
        <v>2</v>
      </c>
      <c r="AH184" s="29" t="s">
        <v>1774</v>
      </c>
      <c r="AI184" s="36">
        <f>IF(OR(AND(K184&lt;32, J184&lt;2), O184=1, P184=1, Q184=1, R184=1, S184=1, T184=1, U184=1, AND(W184&lt;&gt;"", W184&lt;&gt;"Oxygen", W184&lt;&gt;"LowFlow")), "Intensive", "Intermediate")</f>
      </c>
      <c r="AJ184" s="37">
        <f>IF(OR(LEFT(AH184, 1)="X", LEFT(AH184, 1)="Y", LEFT(AH184, 3)="J53M"), "CUSM", "No Match")</f>
      </c>
      <c r="AK184" s="37">
        <f>IF(AND(OR(O184=3, P184=1, Q184=1, T184=1), AJ184="no Match"), "CUSM, CHU SJ, CHUQ", "")</f>
      </c>
      <c r="AL184" s="37">
        <f>IF(AND(O184=2, ISBLANK(P184), ISBLANK(Q184), ISBLANK(R184), ISBLANK(S184), ISBLANK(T184)), "CUSM, CHU SJ, CHUS, CHUQ", "")</f>
      </c>
      <c r="AM184" s="37">
        <f>IF(AND(AJ184="no match", AK184="", AL184="", K184&lt;26), "CUSM, CHU SJ, HGJ, CHUQ, CHUS", "")</f>
      </c>
      <c r="AN184" s="37">
        <f>IF(AND(AJ184="no match", AK184="", AL184="", K184&gt;26), "CUSM, CHU SJ, HGJ, CHUQ, CHUS, HMR", "")</f>
      </c>
    </row>
    <row x14ac:dyDescent="0.25" r="185" customHeight="1" ht="19.5">
      <c r="A185" s="27" t="s">
        <v>1775</v>
      </c>
      <c r="B185" s="28">
        <v>2</v>
      </c>
      <c r="C185" s="35">
        <v>822</v>
      </c>
      <c r="D185" s="29" t="s">
        <v>167</v>
      </c>
      <c r="E185" s="30" t="s">
        <v>78</v>
      </c>
      <c r="F185" s="31">
        <v>44303</v>
      </c>
      <c r="G185" s="32">
        <v>4.5</v>
      </c>
      <c r="H185" s="31">
        <v>44303</v>
      </c>
      <c r="I185" s="32">
        <v>4.269444444444444</v>
      </c>
      <c r="J185" s="33">
        <f>F185-H185</f>
      </c>
      <c r="K185" s="28">
        <v>33</v>
      </c>
      <c r="L185" s="28">
        <v>0</v>
      </c>
      <c r="M185" s="28">
        <v>2</v>
      </c>
      <c r="N185" s="38"/>
      <c r="O185" s="34"/>
      <c r="P185" s="38"/>
      <c r="Q185" s="34"/>
      <c r="R185" s="34"/>
      <c r="S185" s="34"/>
      <c r="T185" s="34"/>
      <c r="U185" s="34"/>
      <c r="V185" s="34"/>
      <c r="W185" s="29" t="s">
        <v>74</v>
      </c>
      <c r="X185" s="28">
        <v>24</v>
      </c>
      <c r="Y185" s="28">
        <v>1</v>
      </c>
      <c r="Z185" s="28">
        <v>1</v>
      </c>
      <c r="AA185" s="28">
        <v>1</v>
      </c>
      <c r="AB185" s="28">
        <v>1</v>
      </c>
      <c r="AC185" s="28">
        <v>2</v>
      </c>
      <c r="AD185" s="28">
        <v>2</v>
      </c>
      <c r="AE185" s="28">
        <v>2</v>
      </c>
      <c r="AF185" s="28">
        <v>2</v>
      </c>
      <c r="AG185" s="28">
        <v>2</v>
      </c>
      <c r="AH185" s="29" t="s">
        <v>1776</v>
      </c>
      <c r="AI185" s="36">
        <f>IF(OR(AND(K185&lt;32, J185&lt;2), O185=1, P185=1, Q185=1, R185=1, S185=1, T185=1, U185=1, AND(W185&lt;&gt;"", W185&lt;&gt;"Oxygen", W185&lt;&gt;"LowFlow")), "Intensive", "Intermediate")</f>
      </c>
      <c r="AJ185" s="37">
        <f>IF(OR(LEFT(AH185, 1)="X", LEFT(AH185, 1)="Y", LEFT(AH185, 3)="J54M"), "CUSM", "No Match")</f>
      </c>
      <c r="AK185" s="37">
        <f>IF(AND(OR(O185=3, P185=1, Q185=1, T185=1), AJ185="no Match"), "CUSM, CHU SJ, CHUQ", "")</f>
      </c>
      <c r="AL185" s="37">
        <f>IF(AND(O185=2, ISBLANK(P185), ISBLANK(Q185), ISBLANK(R185), ISBLANK(S185), ISBLANK(T185)), "CUSM, CHU SJ, CHUS, CHUQ", "")</f>
      </c>
      <c r="AM185" s="37">
        <f>IF(AND(AJ185="no match", AK185="", AL185="", K185&lt;26), "CUSM, CHU SJ, HGJ, CHUQ, CHUS", "")</f>
      </c>
      <c r="AN185" s="37">
        <f>IF(AND(AJ185="no match", AK185="", AL185="", K185&gt;26), "CUSM, CHU SJ, HGJ, CHUQ, CHUS, HMR", "")</f>
      </c>
    </row>
    <row x14ac:dyDescent="0.25" r="186" customHeight="1" ht="19.5">
      <c r="A186" s="27" t="s">
        <v>1777</v>
      </c>
      <c r="B186" s="28">
        <v>2</v>
      </c>
      <c r="C186" s="35">
        <v>824</v>
      </c>
      <c r="D186" s="29" t="s">
        <v>57</v>
      </c>
      <c r="E186" s="30" t="s">
        <v>50</v>
      </c>
      <c r="F186" s="31">
        <v>44303</v>
      </c>
      <c r="G186" s="32">
        <v>4.017361111111111</v>
      </c>
      <c r="H186" s="31">
        <v>44302</v>
      </c>
      <c r="I186" s="32">
        <v>4.426388888888889</v>
      </c>
      <c r="J186" s="33">
        <f>F186-H186</f>
      </c>
      <c r="K186" s="28">
        <v>37</v>
      </c>
      <c r="L186" s="28">
        <v>0</v>
      </c>
      <c r="M186" s="28">
        <v>1</v>
      </c>
      <c r="N186" s="34"/>
      <c r="O186" s="34"/>
      <c r="P186" s="34"/>
      <c r="Q186" s="34"/>
      <c r="R186" s="34"/>
      <c r="S186" s="34"/>
      <c r="T186" s="34"/>
      <c r="U186" s="34"/>
      <c r="V186" s="34"/>
      <c r="W186" s="29"/>
      <c r="X186" s="28">
        <v>27</v>
      </c>
      <c r="Y186" s="28">
        <v>1</v>
      </c>
      <c r="Z186" s="28">
        <v>1</v>
      </c>
      <c r="AA186" s="28">
        <v>1</v>
      </c>
      <c r="AB186" s="28">
        <v>1</v>
      </c>
      <c r="AC186" s="28">
        <v>2</v>
      </c>
      <c r="AD186" s="28">
        <v>2</v>
      </c>
      <c r="AE186" s="28">
        <v>4</v>
      </c>
      <c r="AF186" s="28">
        <v>2</v>
      </c>
      <c r="AG186" s="28">
        <v>2</v>
      </c>
      <c r="AH186" s="29" t="s">
        <v>1778</v>
      </c>
      <c r="AI186" s="36">
        <f>IF(OR(AND(K186&lt;32, J186&lt;2), O186=1, P186=1, Q186=1, R186=1, S186=1, T186=1, U186=1, AND(W186&lt;&gt;"", W186&lt;&gt;"Oxygen", W186&lt;&gt;"LowFlow")), "Intensive", "Intermediate")</f>
      </c>
      <c r="AJ186" s="37">
        <f>IF(OR(LEFT(AH186, 1)="X", LEFT(AH186, 1)="Y", LEFT(AH186, 3)="J55M"), "CUSM", "No Match")</f>
      </c>
      <c r="AK186" s="37">
        <f>IF(AND(OR(O186=3, P186=1, Q186=1, T186=1), AJ186="no Match"), "CUSM, CHU SJ, CHUQ", "")</f>
      </c>
      <c r="AL186" s="37">
        <f>IF(AND(O186=2, ISBLANK(P186), ISBLANK(Q186), ISBLANK(R186), ISBLANK(S186), ISBLANK(T186)), "CUSM, CHU SJ, CHUS, CHUQ", "")</f>
      </c>
      <c r="AM186" s="37">
        <f>IF(AND(AJ186="no match", AK186="", AL186="", K186&lt;26), "CUSM, CHU SJ, HGJ, CHUQ, CHUS", "")</f>
      </c>
      <c r="AN186" s="37">
        <f>IF(AND(AJ186="no match", AK186="", AL186="", K186&gt;26), "CUSM, CHU SJ, HGJ, CHUQ, CHUS, HMR", "")</f>
      </c>
    </row>
    <row x14ac:dyDescent="0.25" r="187" customHeight="1" ht="19.5">
      <c r="A187" s="27" t="s">
        <v>1779</v>
      </c>
      <c r="B187" s="28">
        <v>2</v>
      </c>
      <c r="C187" s="35">
        <v>833</v>
      </c>
      <c r="D187" s="29" t="s">
        <v>376</v>
      </c>
      <c r="E187" s="30" t="s">
        <v>54</v>
      </c>
      <c r="F187" s="31">
        <v>44304</v>
      </c>
      <c r="G187" s="32">
        <v>4.670138888888889</v>
      </c>
      <c r="H187" s="31">
        <v>44301</v>
      </c>
      <c r="I187" s="32">
        <v>4.092361111111111</v>
      </c>
      <c r="J187" s="33">
        <f>F187-H187</f>
      </c>
      <c r="K187" s="28">
        <v>39</v>
      </c>
      <c r="L187" s="28">
        <v>3</v>
      </c>
      <c r="M187" s="28">
        <v>1</v>
      </c>
      <c r="N187" s="34"/>
      <c r="O187" s="34"/>
      <c r="P187" s="34"/>
      <c r="Q187" s="34"/>
      <c r="R187" s="34"/>
      <c r="S187" s="34"/>
      <c r="T187" s="34"/>
      <c r="U187" s="34"/>
      <c r="V187" s="34"/>
      <c r="W187" s="29"/>
      <c r="X187" s="28">
        <v>33</v>
      </c>
      <c r="Y187" s="28">
        <v>1</v>
      </c>
      <c r="Z187" s="28">
        <v>2</v>
      </c>
      <c r="AA187" s="28">
        <v>2</v>
      </c>
      <c r="AB187" s="28">
        <v>1</v>
      </c>
      <c r="AC187" s="28">
        <v>2</v>
      </c>
      <c r="AD187" s="28">
        <v>2</v>
      </c>
      <c r="AE187" s="28">
        <v>4</v>
      </c>
      <c r="AF187" s="28">
        <v>2</v>
      </c>
      <c r="AG187" s="28">
        <v>2</v>
      </c>
      <c r="AH187" s="29" t="s">
        <v>1780</v>
      </c>
      <c r="AI187" s="36">
        <f>IF(OR(AND(K187&lt;32, J187&lt;2), O187=1, P187=1, Q187=1, R187=1, S187=1, T187=1, U187=1, AND(W187&lt;&gt;"", W187&lt;&gt;"Oxygen", W187&lt;&gt;"LowFlow")), "Intensive", "Intermediate")</f>
      </c>
      <c r="AJ187" s="37">
        <f>IF(OR(LEFT(AH187, 1)="X", LEFT(AH187, 1)="Y", LEFT(AH187, 3)="J56M"), "CUSM", "No Match")</f>
      </c>
      <c r="AK187" s="37">
        <f>IF(AND(OR(O187=3, P187=1, Q187=1, T187=1), AJ187="no Match"), "CUSM, CHU SJ, CHUQ", "")</f>
      </c>
      <c r="AL187" s="37">
        <f>IF(AND(O187=2, ISBLANK(P187), ISBLANK(Q187), ISBLANK(R187), ISBLANK(S187), ISBLANK(T187)), "CUSM, CHU SJ, CHUS, CHUQ", "")</f>
      </c>
      <c r="AM187" s="37">
        <f>IF(AND(AJ187="no match", AK187="", AL187="", K187&lt;26), "CUSM, CHU SJ, HGJ, CHUQ, CHUS", "")</f>
      </c>
      <c r="AN187" s="37">
        <f>IF(AND(AJ187="no match", AK187="", AL187="", K187&gt;26), "CUSM, CHU SJ, HGJ, CHUQ, CHUS, HMR", "")</f>
      </c>
    </row>
    <row x14ac:dyDescent="0.25" r="188" customHeight="1" ht="28.5">
      <c r="A188" s="27" t="s">
        <v>1781</v>
      </c>
      <c r="B188" s="28">
        <v>2</v>
      </c>
      <c r="C188" s="35">
        <v>730</v>
      </c>
      <c r="D188" s="29" t="s">
        <v>81</v>
      </c>
      <c r="E188" s="30" t="s">
        <v>50</v>
      </c>
      <c r="F188" s="31">
        <v>44304</v>
      </c>
      <c r="G188" s="32">
        <v>4.201388888888889</v>
      </c>
      <c r="H188" s="31">
        <v>44304</v>
      </c>
      <c r="I188" s="32">
        <v>4.008333333333333</v>
      </c>
      <c r="J188" s="33">
        <f>F188-H188</f>
      </c>
      <c r="K188" s="28">
        <v>40</v>
      </c>
      <c r="L188" s="28">
        <v>5</v>
      </c>
      <c r="M188" s="28">
        <v>1</v>
      </c>
      <c r="N188" s="34"/>
      <c r="O188" s="34"/>
      <c r="P188" s="34"/>
      <c r="Q188" s="34"/>
      <c r="R188" s="34"/>
      <c r="S188" s="34"/>
      <c r="T188" s="35">
        <v>1</v>
      </c>
      <c r="U188" s="34"/>
      <c r="V188" s="34"/>
      <c r="W188" s="29"/>
      <c r="X188" s="28">
        <v>33</v>
      </c>
      <c r="Y188" s="28">
        <v>1</v>
      </c>
      <c r="Z188" s="28">
        <v>1</v>
      </c>
      <c r="AA188" s="28">
        <v>2</v>
      </c>
      <c r="AB188" s="28">
        <v>1</v>
      </c>
      <c r="AC188" s="28">
        <v>2</v>
      </c>
      <c r="AD188" s="28">
        <v>2</v>
      </c>
      <c r="AE188" s="28">
        <v>4</v>
      </c>
      <c r="AF188" s="28">
        <v>2</v>
      </c>
      <c r="AG188" s="28">
        <v>2</v>
      </c>
      <c r="AH188" s="29" t="s">
        <v>1782</v>
      </c>
      <c r="AI188" s="36">
        <f>IF(OR(AND(K188&lt;32, J188&lt;2), O188=1, P188=1, Q188=1, R188=1, S188=1, T188=1, U188=1, AND(W188&lt;&gt;"", W188&lt;&gt;"Oxygen", W188&lt;&gt;"LowFlow")), "Intensive", "Intermediate")</f>
      </c>
      <c r="AJ188" s="37">
        <f>IF(OR(LEFT(AH188, 1)="X", LEFT(AH188, 1)="Y", LEFT(AH188, 3)="J57M"), "CUSM", "No Match")</f>
      </c>
      <c r="AK188" s="37">
        <f>IF(AND(OR(O188=3, P188=1, Q188=1, T188=1), AJ188="no Match"), "CUSM, CHU SJ, CHUQ", "")</f>
      </c>
      <c r="AL188" s="37">
        <f>IF(AND(O188=2, ISBLANK(P188), ISBLANK(Q188), ISBLANK(R188), ISBLANK(S188), ISBLANK(T188)), "CUSM, CHU SJ, CHUS, CHUQ", "")</f>
      </c>
      <c r="AM188" s="37">
        <f>IF(AND(AJ188="no match", AK188="", AL188="", K188&lt;26), "CUSM, CHU SJ, HGJ, CHUQ, CHUS", "")</f>
      </c>
      <c r="AN188" s="37">
        <f>IF(AND(AJ188="no match", AK188="", AL188="", K188&gt;26), "CUSM, CHU SJ, HGJ, CHUQ, CHUS, HMR", "")</f>
      </c>
    </row>
    <row x14ac:dyDescent="0.25" r="189" customHeight="1" ht="19.5">
      <c r="A189" s="27" t="s">
        <v>1783</v>
      </c>
      <c r="B189" s="28">
        <v>2</v>
      </c>
      <c r="C189" s="35">
        <v>782</v>
      </c>
      <c r="D189" s="29" t="s">
        <v>95</v>
      </c>
      <c r="E189" s="30" t="s">
        <v>50</v>
      </c>
      <c r="F189" s="31">
        <v>44304</v>
      </c>
      <c r="G189" s="32">
        <v>4.102083333333333</v>
      </c>
      <c r="H189" s="31">
        <v>44302</v>
      </c>
      <c r="I189" s="32">
        <v>4.258333333333333</v>
      </c>
      <c r="J189" s="33">
        <f>F189-H189</f>
      </c>
      <c r="K189" s="28">
        <v>35</v>
      </c>
      <c r="L189" s="28">
        <v>4</v>
      </c>
      <c r="M189" s="28">
        <v>1</v>
      </c>
      <c r="N189" s="34"/>
      <c r="O189" s="34"/>
      <c r="P189" s="34"/>
      <c r="Q189" s="34"/>
      <c r="R189" s="34"/>
      <c r="S189" s="34"/>
      <c r="T189" s="34"/>
      <c r="U189" s="34"/>
      <c r="V189" s="34"/>
      <c r="W189" s="29"/>
      <c r="X189" s="28">
        <v>31</v>
      </c>
      <c r="Y189" s="28">
        <v>1</v>
      </c>
      <c r="Z189" s="28">
        <v>2</v>
      </c>
      <c r="AA189" s="28">
        <v>2</v>
      </c>
      <c r="AB189" s="28">
        <v>1</v>
      </c>
      <c r="AC189" s="28">
        <v>2</v>
      </c>
      <c r="AD189" s="28">
        <v>2</v>
      </c>
      <c r="AE189" s="28">
        <v>4</v>
      </c>
      <c r="AF189" s="28">
        <v>2</v>
      </c>
      <c r="AG189" s="28">
        <v>2</v>
      </c>
      <c r="AH189" s="29" t="s">
        <v>1784</v>
      </c>
      <c r="AI189" s="36">
        <f>IF(OR(AND(K189&lt;32, J189&lt;2), O189=1, P189=1, Q189=1, R189=1, S189=1, T189=1, U189=1, AND(W189&lt;&gt;"", W189&lt;&gt;"Oxygen", W189&lt;&gt;"LowFlow")), "Intensive", "Intermediate")</f>
      </c>
      <c r="AJ189" s="37">
        <f>IF(OR(LEFT(AH189, 1)="X", LEFT(AH189, 1)="Y", LEFT(AH189, 3)="J58M"), "CUSM", "No Match")</f>
      </c>
      <c r="AK189" s="37">
        <f>IF(AND(OR(O189=3, P189=1, Q189=1, T189=1), AJ189="no Match"), "CUSM, CHU SJ, CHUQ", "")</f>
      </c>
      <c r="AL189" s="37">
        <f>IF(AND(O189=2, ISBLANK(P189), ISBLANK(Q189), ISBLANK(R189), ISBLANK(S189), ISBLANK(T189)), "CUSM, CHU SJ, CHUS, CHUQ", "")</f>
      </c>
      <c r="AM189" s="37">
        <f>IF(AND(AJ189="no match", AK189="", AL189="", K189&lt;26), "CUSM, CHU SJ, HGJ, CHUQ, CHUS", "")</f>
      </c>
      <c r="AN189" s="37">
        <f>IF(AND(AJ189="no match", AK189="", AL189="", K189&gt;26), "CUSM, CHU SJ, HGJ, CHUQ, CHUS, HMR", "")</f>
      </c>
    </row>
    <row x14ac:dyDescent="0.25" r="190" customHeight="1" ht="20.25">
      <c r="A190" s="27" t="s">
        <v>1785</v>
      </c>
      <c r="B190" s="28">
        <v>2</v>
      </c>
      <c r="C190" s="28">
        <v>754</v>
      </c>
      <c r="D190" s="29" t="s">
        <v>504</v>
      </c>
      <c r="E190" s="30" t="s">
        <v>149</v>
      </c>
      <c r="F190" s="31">
        <v>44305</v>
      </c>
      <c r="G190" s="32">
        <v>4.9743055555555555</v>
      </c>
      <c r="H190" s="31">
        <v>44305</v>
      </c>
      <c r="I190" s="32">
        <v>4.694444444444445</v>
      </c>
      <c r="J190" s="33">
        <f>F190-H190</f>
      </c>
      <c r="K190" s="28">
        <v>34</v>
      </c>
      <c r="L190" s="28">
        <v>0</v>
      </c>
      <c r="M190" s="28">
        <v>2</v>
      </c>
      <c r="N190" s="35">
        <v>1</v>
      </c>
      <c r="O190" s="34"/>
      <c r="P190" s="34"/>
      <c r="Q190" s="34"/>
      <c r="R190" s="34"/>
      <c r="S190" s="34"/>
      <c r="T190" s="34"/>
      <c r="U190" s="34"/>
      <c r="V190" s="34"/>
      <c r="W190" s="29" t="s">
        <v>74</v>
      </c>
      <c r="X190" s="28">
        <v>23</v>
      </c>
      <c r="Y190" s="28">
        <v>1</v>
      </c>
      <c r="Z190" s="28">
        <v>2</v>
      </c>
      <c r="AA190" s="28">
        <v>3</v>
      </c>
      <c r="AB190" s="28">
        <v>4</v>
      </c>
      <c r="AC190" s="28">
        <v>2</v>
      </c>
      <c r="AD190" s="28">
        <v>2</v>
      </c>
      <c r="AE190" s="28">
        <v>4</v>
      </c>
      <c r="AF190" s="28">
        <v>3</v>
      </c>
      <c r="AG190" s="28">
        <v>3</v>
      </c>
      <c r="AH190" s="29" t="s">
        <v>1786</v>
      </c>
      <c r="AI190" s="36">
        <f>IF(OR(AND(K190&lt;32, J190&lt;2), O190=1, P190=1, Q190=1, R190=1, S190=1, T190=1, U190=1, AND(W190&lt;&gt;"", W190&lt;&gt;"Oxygen", W190&lt;&gt;"LowFlow")), "Intensive", "Intermediate")</f>
      </c>
      <c r="AJ190" s="37">
        <f>IF(OR(LEFT(AH190, 1)="X", LEFT(AH190, 1)="Y", LEFT(AH190, 3)="J59M"), "CUSM", "No Match")</f>
      </c>
      <c r="AK190" s="37">
        <f>IF(AND(OR(O190=3, P190=1, Q190=1, T190=1), AJ190="no Match"), "CUSM, CHU SJ, CHUQ", "")</f>
      </c>
      <c r="AL190" s="37">
        <f>IF(AND(O190=2, ISBLANK(P190), ISBLANK(Q190), ISBLANK(R190), ISBLANK(S190), ISBLANK(T190)), "CUSM, CHU SJ, CHUS, CHUQ", "")</f>
      </c>
      <c r="AM190" s="37">
        <f>IF(AND(AJ190="no match", AK190="", AL190="", K190&lt;26), "CUSM, CHU SJ, HGJ, CHUQ, CHUS", "")</f>
      </c>
      <c r="AN190" s="37">
        <f>IF(AND(AJ190="no match", AK190="", AL190="", K190&gt;26), "CUSM, CHU SJ, HGJ, CHUQ, CHUS, HMR", "")</f>
      </c>
    </row>
    <row x14ac:dyDescent="0.25" r="191" customHeight="1" ht="28.5">
      <c r="A191" s="27" t="s">
        <v>1787</v>
      </c>
      <c r="B191" s="28">
        <v>2</v>
      </c>
      <c r="C191" s="35">
        <v>796</v>
      </c>
      <c r="D191" s="29" t="s">
        <v>63</v>
      </c>
      <c r="E191" s="30" t="s">
        <v>54</v>
      </c>
      <c r="F191" s="31">
        <v>44305</v>
      </c>
      <c r="G191" s="32">
        <v>4.795138888888889</v>
      </c>
      <c r="H191" s="31">
        <v>44303</v>
      </c>
      <c r="I191" s="32">
        <v>4.889583333333333</v>
      </c>
      <c r="J191" s="33">
        <f>F191-H191</f>
      </c>
      <c r="K191" s="28">
        <v>37</v>
      </c>
      <c r="L191" s="28">
        <v>4</v>
      </c>
      <c r="M191" s="28">
        <v>1</v>
      </c>
      <c r="N191" s="28">
        <v>1</v>
      </c>
      <c r="O191" s="34"/>
      <c r="P191" s="28">
        <v>1</v>
      </c>
      <c r="Q191" s="34"/>
      <c r="R191" s="34"/>
      <c r="S191" s="34"/>
      <c r="T191" s="34"/>
      <c r="U191" s="34"/>
      <c r="V191" s="34"/>
      <c r="W191" s="29" t="s">
        <v>58</v>
      </c>
      <c r="X191" s="28">
        <v>37</v>
      </c>
      <c r="Y191" s="28">
        <v>1</v>
      </c>
      <c r="Z191" s="28">
        <v>2</v>
      </c>
      <c r="AA191" s="28">
        <v>2</v>
      </c>
      <c r="AB191" s="28">
        <v>1</v>
      </c>
      <c r="AC191" s="28">
        <v>1</v>
      </c>
      <c r="AD191" s="28">
        <v>1</v>
      </c>
      <c r="AE191" s="28">
        <v>4</v>
      </c>
      <c r="AF191" s="28">
        <v>2</v>
      </c>
      <c r="AG191" s="28">
        <v>2</v>
      </c>
      <c r="AH191" s="29" t="s">
        <v>1788</v>
      </c>
      <c r="AI191" s="36">
        <f>IF(OR(AND(K191&lt;32, J191&lt;2), O191=1, P191=1, Q191=1, R191=1, S191=1, T191=1, U191=1, AND(W191&lt;&gt;"", W191&lt;&gt;"Oxygen", W191&lt;&gt;"LowFlow")), "Intensive", "Intermediate")</f>
      </c>
      <c r="AJ191" s="37">
        <f>IF(OR(LEFT(AH191, 1)="X", LEFT(AH191, 1)="Y", LEFT(AH191, 3)="J60M"), "CUSM", "No Match")</f>
      </c>
      <c r="AK191" s="37">
        <f>IF(AND(OR(O191=3, P191=1, Q191=1, T191=1), AJ191="no Match"), "CUSM, CHU SJ, CHUQ", "")</f>
      </c>
      <c r="AL191" s="37">
        <f>IF(AND(O191=2, ISBLANK(P191), ISBLANK(Q191), ISBLANK(R191), ISBLANK(S191), ISBLANK(T191)), "CUSM, CHU SJ, CHUS, CHUQ", "")</f>
      </c>
      <c r="AM191" s="37">
        <f>IF(AND(AJ191="no match", AK191="", AL191="", K191&lt;26), "CUSM, CHU SJ, HGJ, CHUQ, CHUS", "")</f>
      </c>
      <c r="AN191" s="37">
        <f>IF(AND(AJ191="no match", AK191="", AL191="", K191&gt;26), "CUSM, CHU SJ, HGJ, CHUQ, CHUS, HMR", "")</f>
      </c>
    </row>
    <row x14ac:dyDescent="0.25" r="192" customHeight="1" ht="19.5">
      <c r="A192" s="27" t="s">
        <v>1789</v>
      </c>
      <c r="B192" s="28">
        <v>2</v>
      </c>
      <c r="C192" s="35">
        <v>815</v>
      </c>
      <c r="D192" s="29" t="s">
        <v>100</v>
      </c>
      <c r="E192" s="30" t="s">
        <v>54</v>
      </c>
      <c r="F192" s="31">
        <v>44305</v>
      </c>
      <c r="G192" s="32">
        <v>4.729166666666666</v>
      </c>
      <c r="H192" s="31">
        <v>44305</v>
      </c>
      <c r="I192" s="32">
        <v>4.267361111111111</v>
      </c>
      <c r="J192" s="33">
        <f>F192-H192</f>
      </c>
      <c r="K192" s="28">
        <v>38</v>
      </c>
      <c r="L192" s="28">
        <v>0</v>
      </c>
      <c r="M192" s="28">
        <v>1</v>
      </c>
      <c r="N192" s="34"/>
      <c r="O192" s="34"/>
      <c r="P192" s="34"/>
      <c r="Q192" s="34"/>
      <c r="R192" s="34"/>
      <c r="S192" s="34"/>
      <c r="T192" s="34"/>
      <c r="U192" s="34"/>
      <c r="V192" s="34"/>
      <c r="W192" s="29" t="s">
        <v>106</v>
      </c>
      <c r="X192" s="28">
        <v>32</v>
      </c>
      <c r="Y192" s="28">
        <v>1</v>
      </c>
      <c r="Z192" s="28">
        <v>1</v>
      </c>
      <c r="AA192" s="28">
        <v>2</v>
      </c>
      <c r="AB192" s="28">
        <v>1</v>
      </c>
      <c r="AC192" s="28">
        <v>2</v>
      </c>
      <c r="AD192" s="28">
        <v>2</v>
      </c>
      <c r="AE192" s="28">
        <v>4</v>
      </c>
      <c r="AF192" s="28">
        <v>2</v>
      </c>
      <c r="AG192" s="28">
        <v>2</v>
      </c>
      <c r="AH192" s="29" t="s">
        <v>143</v>
      </c>
      <c r="AI192" s="36">
        <f>IF(OR(AND(K192&lt;32, J192&lt;2), O192=1, P192=1, Q192=1, R192=1, S192=1, T192=1, U192=1, AND(W192&lt;&gt;"", W192&lt;&gt;"Oxygen", W192&lt;&gt;"LowFlow")), "Intensive", "Intermediate")</f>
      </c>
      <c r="AJ192" s="37">
        <f>IF(OR(LEFT(AH192, 1)="X", LEFT(AH192, 1)="Y", LEFT(AH192, 3)="J61M"), "CUSM", "No Match")</f>
      </c>
      <c r="AK192" s="37">
        <f>IF(AND(OR(O192=3, P192=1, Q192=1, T192=1), AJ192="no Match"), "CUSM, CHU SJ, CHUQ", "")</f>
      </c>
      <c r="AL192" s="37">
        <f>IF(AND(O192=2, ISBLANK(P192), ISBLANK(Q192), ISBLANK(R192), ISBLANK(S192), ISBLANK(T192)), "CUSM, CHU SJ, CHUS, CHUQ", "")</f>
      </c>
      <c r="AM192" s="37">
        <f>IF(AND(AJ192="no match", AK192="", AL192="", K192&lt;26), "CUSM, CHU SJ, HGJ, CHUQ, CHUS", "")</f>
      </c>
      <c r="AN192" s="37">
        <f>IF(AND(AJ192="no match", AK192="", AL192="", K192&gt;26), "CUSM, CHU SJ, HGJ, CHUQ, CHUS, HMR", "")</f>
      </c>
    </row>
    <row x14ac:dyDescent="0.25" r="193" customHeight="1" ht="20.25">
      <c r="A193" s="27" t="s">
        <v>1790</v>
      </c>
      <c r="B193" s="28">
        <v>2</v>
      </c>
      <c r="C193" s="28">
        <v>839</v>
      </c>
      <c r="D193" s="29" t="s">
        <v>53</v>
      </c>
      <c r="E193" s="30" t="s">
        <v>50</v>
      </c>
      <c r="F193" s="31">
        <v>44306</v>
      </c>
      <c r="G193" s="32">
        <v>4.833333333333334</v>
      </c>
      <c r="H193" s="31">
        <v>44306</v>
      </c>
      <c r="I193" s="32">
        <v>4.6722222222222225</v>
      </c>
      <c r="J193" s="33">
        <f>F193-H193</f>
      </c>
      <c r="K193" s="28">
        <v>26</v>
      </c>
      <c r="L193" s="28">
        <v>0</v>
      </c>
      <c r="M193" s="28">
        <v>2</v>
      </c>
      <c r="N193" s="34"/>
      <c r="O193" s="34"/>
      <c r="P193" s="34"/>
      <c r="Q193" s="34"/>
      <c r="R193" s="34"/>
      <c r="S193" s="34"/>
      <c r="T193" s="34"/>
      <c r="U193" s="34"/>
      <c r="V193" s="34"/>
      <c r="W193" s="29" t="s">
        <v>74</v>
      </c>
      <c r="X193" s="28">
        <v>33</v>
      </c>
      <c r="Y193" s="28">
        <v>1</v>
      </c>
      <c r="Z193" s="28">
        <v>2</v>
      </c>
      <c r="AA193" s="28">
        <v>3</v>
      </c>
      <c r="AB193" s="28">
        <v>1</v>
      </c>
      <c r="AC193" s="28">
        <v>2</v>
      </c>
      <c r="AD193" s="28">
        <v>2</v>
      </c>
      <c r="AE193" s="28">
        <v>2</v>
      </c>
      <c r="AF193" s="28">
        <v>3</v>
      </c>
      <c r="AG193" s="28">
        <v>2</v>
      </c>
      <c r="AH193" s="29" t="s">
        <v>1791</v>
      </c>
      <c r="AI193" s="36">
        <f>IF(OR(AND(K193&lt;32, J193&lt;2), O193=1, P193=1, Q193=1, R193=1, S193=1, T193=1, U193=1, AND(W193&lt;&gt;"", W193&lt;&gt;"Oxygen", W193&lt;&gt;"LowFlow")), "Intensive", "Intermediate")</f>
      </c>
      <c r="AJ193" s="37">
        <f>IF(OR(LEFT(AH193, 1)="X", LEFT(AH193, 1)="Y", LEFT(AH193, 3)="J62M"), "CUSM", "No Match")</f>
      </c>
      <c r="AK193" s="37">
        <f>IF(AND(OR(O193=3, P193=1, Q193=1, T193=1), AJ193="no Match"), "CUSM, CHU SJ, CHUQ", "")</f>
      </c>
      <c r="AL193" s="37">
        <f>IF(AND(O193=2, ISBLANK(P193), ISBLANK(Q193), ISBLANK(R193), ISBLANK(S193), ISBLANK(T193)), "CUSM, CHU SJ, CHUS, CHUQ", "")</f>
      </c>
      <c r="AM193" s="37">
        <f>IF(AND(AJ193="no match", AK193="", AL193="", K193&lt;26), "CUSM, CHU SJ, HGJ, CHUQ, CHUS", "")</f>
      </c>
      <c r="AN193" s="37">
        <f>IF(AND(AJ193="no match", AK193="", AL193="", K193&gt;26), "CUSM, CHU SJ, HGJ, CHUQ, CHUS, HMR", "")</f>
      </c>
    </row>
    <row x14ac:dyDescent="0.25" r="194" customHeight="1" ht="19.5">
      <c r="A194" s="27" t="s">
        <v>1792</v>
      </c>
      <c r="B194" s="28">
        <v>2</v>
      </c>
      <c r="C194" s="35">
        <v>806</v>
      </c>
      <c r="D194" s="29" t="s">
        <v>438</v>
      </c>
      <c r="E194" s="30" t="s">
        <v>54</v>
      </c>
      <c r="F194" s="31">
        <v>44307</v>
      </c>
      <c r="G194" s="32">
        <v>4.95</v>
      </c>
      <c r="H194" s="31">
        <v>44307</v>
      </c>
      <c r="I194" s="32">
        <v>4.499305555555555</v>
      </c>
      <c r="J194" s="33">
        <f>F194-H194</f>
      </c>
      <c r="K194" s="28">
        <v>40</v>
      </c>
      <c r="L194" s="28">
        <v>4</v>
      </c>
      <c r="M194" s="28">
        <v>1</v>
      </c>
      <c r="N194" s="34"/>
      <c r="O194" s="34"/>
      <c r="P194" s="34"/>
      <c r="Q194" s="34"/>
      <c r="R194" s="34"/>
      <c r="S194" s="34"/>
      <c r="T194" s="34"/>
      <c r="U194" s="34"/>
      <c r="V194" s="34"/>
      <c r="W194" s="29"/>
      <c r="X194" s="28">
        <v>26</v>
      </c>
      <c r="Y194" s="28">
        <v>1</v>
      </c>
      <c r="Z194" s="28">
        <v>2</v>
      </c>
      <c r="AA194" s="28">
        <v>2</v>
      </c>
      <c r="AB194" s="28">
        <v>1</v>
      </c>
      <c r="AC194" s="28">
        <v>1</v>
      </c>
      <c r="AD194" s="28">
        <v>2</v>
      </c>
      <c r="AE194" s="28">
        <v>4</v>
      </c>
      <c r="AF194" s="28">
        <v>2</v>
      </c>
      <c r="AG194" s="28">
        <v>2</v>
      </c>
      <c r="AH194" s="29" t="s">
        <v>835</v>
      </c>
      <c r="AI194" s="36">
        <f>IF(OR(AND(K194&lt;32, J194&lt;2), O194=1, P194=1, Q194=1, R194=1, S194=1, T194=1, U194=1, AND(W194&lt;&gt;"", W194&lt;&gt;"Oxygen", W194&lt;&gt;"LowFlow")), "Intensive", "Intermediate")</f>
      </c>
      <c r="AJ194" s="37">
        <f>IF(OR(LEFT(AH194, 1)="X", LEFT(AH194, 1)="Y", LEFT(AH194, 3)="J63M"), "CUSM", "No Match")</f>
      </c>
      <c r="AK194" s="37">
        <f>IF(AND(OR(O194=3, P194=1, Q194=1, T194=1), AJ194="no Match"), "CUSM, CHU SJ, CHUQ", "")</f>
      </c>
      <c r="AL194" s="37">
        <f>IF(AND(O194=2, ISBLANK(P194), ISBLANK(Q194), ISBLANK(R194), ISBLANK(S194), ISBLANK(T194)), "CUSM, CHU SJ, CHUS, CHUQ", "")</f>
      </c>
      <c r="AM194" s="37">
        <f>IF(AND(AJ194="no match", AK194="", AL194="", K194&lt;26), "CUSM, CHU SJ, HGJ, CHUQ, CHUS", "")</f>
      </c>
      <c r="AN194" s="37">
        <f>IF(AND(AJ194="no match", AK194="", AL194="", K194&gt;26), "CUSM, CHU SJ, HGJ, CHUQ, CHUS, HMR", "")</f>
      </c>
    </row>
    <row x14ac:dyDescent="0.25" r="195" customHeight="1" ht="19.5">
      <c r="A195" s="27" t="s">
        <v>1793</v>
      </c>
      <c r="B195" s="28">
        <v>2</v>
      </c>
      <c r="C195" s="35">
        <v>779</v>
      </c>
      <c r="D195" s="29" t="s">
        <v>136</v>
      </c>
      <c r="E195" s="30" t="s">
        <v>54</v>
      </c>
      <c r="F195" s="31">
        <v>44307</v>
      </c>
      <c r="G195" s="32">
        <v>4.777777777777778</v>
      </c>
      <c r="H195" s="31">
        <v>44306</v>
      </c>
      <c r="I195" s="32">
        <v>4.1</v>
      </c>
      <c r="J195" s="33">
        <f>F195-H195</f>
      </c>
      <c r="K195" s="28">
        <v>40</v>
      </c>
      <c r="L195" s="28">
        <v>1</v>
      </c>
      <c r="M195" s="28">
        <v>1</v>
      </c>
      <c r="N195" s="34"/>
      <c r="O195" s="34"/>
      <c r="P195" s="34"/>
      <c r="Q195" s="34"/>
      <c r="R195" s="34"/>
      <c r="S195" s="34"/>
      <c r="T195" s="34"/>
      <c r="U195" s="34"/>
      <c r="V195" s="34"/>
      <c r="W195" s="29"/>
      <c r="X195" s="28">
        <v>22</v>
      </c>
      <c r="Y195" s="28">
        <v>1</v>
      </c>
      <c r="Z195" s="28">
        <v>1</v>
      </c>
      <c r="AA195" s="28">
        <v>2</v>
      </c>
      <c r="AB195" s="28">
        <v>1</v>
      </c>
      <c r="AC195" s="28">
        <v>2</v>
      </c>
      <c r="AD195" s="28">
        <v>2</v>
      </c>
      <c r="AE195" s="28">
        <v>4</v>
      </c>
      <c r="AF195" s="28">
        <v>2</v>
      </c>
      <c r="AG195" s="28">
        <v>2</v>
      </c>
      <c r="AH195" s="29" t="s">
        <v>1794</v>
      </c>
      <c r="AI195" s="36">
        <f>IF(OR(AND(K195&lt;32, J195&lt;2), O195=1, P195=1, Q195=1, R195=1, S195=1, T195=1, U195=1, AND(W195&lt;&gt;"", W195&lt;&gt;"Oxygen", W195&lt;&gt;"LowFlow")), "Intensive", "Intermediate")</f>
      </c>
      <c r="AJ195" s="37">
        <f>IF(OR(LEFT(AH195, 1)="X", LEFT(AH195, 1)="Y", LEFT(AH195, 3)="J0M"), "CUSM", "No Match")</f>
      </c>
      <c r="AK195" s="37">
        <f>IF(AND(OR(O195=3, P195=1, Q195=1, T195=1), AJ195="no Match"), "CUSM, CHU SJ, CHUQ", "")</f>
      </c>
      <c r="AL195" s="37">
        <f>IF(AND(O195=2, ISBLANK(P195), ISBLANK(Q195), ISBLANK(R195), ISBLANK(S195), ISBLANK(T195)), "CUSM, CHU SJ, CHUS, CHUQ", "")</f>
      </c>
      <c r="AM195" s="37">
        <f>IF(AND(AJ195="no match", AK195="", AL195="", K195&lt;26), "CUSM, CHU SJ, HGJ, CHUQ, CHUS", "")</f>
      </c>
      <c r="AN195" s="37">
        <f>IF(AND(AJ195="no match", AK195="", AL195="", K195&gt;26), "CUSM, CHU SJ, HGJ, CHUQ, CHUS, HMR", "")</f>
      </c>
    </row>
    <row x14ac:dyDescent="0.25" r="196" customHeight="1" ht="19.5">
      <c r="A196" s="27" t="s">
        <v>1795</v>
      </c>
      <c r="B196" s="28">
        <v>2</v>
      </c>
      <c r="C196" s="35">
        <v>796</v>
      </c>
      <c r="D196" s="29" t="s">
        <v>63</v>
      </c>
      <c r="E196" s="30" t="s">
        <v>50</v>
      </c>
      <c r="F196" s="31">
        <v>44307</v>
      </c>
      <c r="G196" s="32">
        <v>4.75</v>
      </c>
      <c r="H196" s="31">
        <v>44307</v>
      </c>
      <c r="I196" s="32">
        <v>4.565972222222222</v>
      </c>
      <c r="J196" s="33">
        <f>F196-H196</f>
      </c>
      <c r="K196" s="28">
        <v>39</v>
      </c>
      <c r="L196" s="28">
        <v>3</v>
      </c>
      <c r="M196" s="28">
        <v>2</v>
      </c>
      <c r="N196" s="34"/>
      <c r="O196" s="34"/>
      <c r="P196" s="34"/>
      <c r="Q196" s="34"/>
      <c r="R196" s="34"/>
      <c r="S196" s="34"/>
      <c r="T196" s="34"/>
      <c r="U196" s="34"/>
      <c r="V196" s="34"/>
      <c r="W196" s="29" t="s">
        <v>58</v>
      </c>
      <c r="X196" s="28">
        <v>34</v>
      </c>
      <c r="Y196" s="28">
        <v>1</v>
      </c>
      <c r="Z196" s="28">
        <v>2</v>
      </c>
      <c r="AA196" s="28">
        <v>2</v>
      </c>
      <c r="AB196" s="28">
        <v>1</v>
      </c>
      <c r="AC196" s="28">
        <v>2</v>
      </c>
      <c r="AD196" s="28">
        <v>1</v>
      </c>
      <c r="AE196" s="28">
        <v>4</v>
      </c>
      <c r="AF196" s="28">
        <v>2</v>
      </c>
      <c r="AG196" s="28">
        <v>2</v>
      </c>
      <c r="AH196" s="29" t="s">
        <v>1796</v>
      </c>
      <c r="AI196" s="36">
        <f>IF(OR(AND(K196&lt;32, J196&lt;2), O196=1, P196=1, Q196=1, R196=1, S196=1, T196=1, U196=1, AND(W196&lt;&gt;"", W196&lt;&gt;"Oxygen", W196&lt;&gt;"LowFlow")), "Intensive", "Intermediate")</f>
      </c>
      <c r="AJ196" s="37">
        <f>IF(OR(LEFT(AH196, 1)="X", LEFT(AH196, 1)="Y", LEFT(AH196, 3)="J1M"), "CUSM", "No Match")</f>
      </c>
      <c r="AK196" s="37">
        <f>IF(AND(OR(O196=3, P196=1, Q196=1, T196=1), AJ196="no Match"), "CUSM, CHU SJ, CHUQ", "")</f>
      </c>
      <c r="AL196" s="37">
        <f>IF(AND(O196=2, ISBLANK(P196), ISBLANK(Q196), ISBLANK(R196), ISBLANK(S196), ISBLANK(T196)), "CUSM, CHU SJ, CHUS, CHUQ", "")</f>
      </c>
      <c r="AM196" s="37">
        <f>IF(AND(AJ196="no match", AK196="", AL196="", K196&lt;26), "CUSM, CHU SJ, HGJ, CHUQ, CHUS", "")</f>
      </c>
      <c r="AN196" s="37">
        <f>IF(AND(AJ196="no match", AK196="", AL196="", K196&gt;26), "CUSM, CHU SJ, HGJ, CHUQ, CHUS, HMR", "")</f>
      </c>
    </row>
    <row x14ac:dyDescent="0.25" r="197" customHeight="1" ht="19.5">
      <c r="A197" s="27" t="s">
        <v>1797</v>
      </c>
      <c r="B197" s="28">
        <v>2</v>
      </c>
      <c r="C197" s="35">
        <v>794</v>
      </c>
      <c r="D197" s="29" t="s">
        <v>297</v>
      </c>
      <c r="E197" s="30" t="s">
        <v>149</v>
      </c>
      <c r="F197" s="31">
        <v>44308</v>
      </c>
      <c r="G197" s="32">
        <v>4.810416666666667</v>
      </c>
      <c r="H197" s="31">
        <v>44307</v>
      </c>
      <c r="I197" s="32">
        <v>4.9944444444444445</v>
      </c>
      <c r="J197" s="33">
        <f>F197-H197</f>
      </c>
      <c r="K197" s="28">
        <v>33</v>
      </c>
      <c r="L197" s="28">
        <v>0</v>
      </c>
      <c r="M197" s="28">
        <v>1</v>
      </c>
      <c r="N197" s="38"/>
      <c r="O197" s="34"/>
      <c r="P197" s="34"/>
      <c r="Q197" s="34"/>
      <c r="R197" s="34"/>
      <c r="S197" s="34"/>
      <c r="T197" s="34"/>
      <c r="U197" s="34"/>
      <c r="V197" s="34"/>
      <c r="W197" s="29" t="s">
        <v>58</v>
      </c>
      <c r="X197" s="28">
        <v>30</v>
      </c>
      <c r="Y197" s="28">
        <v>2</v>
      </c>
      <c r="Z197" s="28">
        <v>2</v>
      </c>
      <c r="AA197" s="28">
        <v>3</v>
      </c>
      <c r="AB197" s="28">
        <v>2</v>
      </c>
      <c r="AC197" s="28">
        <v>3</v>
      </c>
      <c r="AD197" s="28">
        <v>3</v>
      </c>
      <c r="AE197" s="28">
        <v>4</v>
      </c>
      <c r="AF197" s="28">
        <v>3</v>
      </c>
      <c r="AG197" s="28">
        <v>3</v>
      </c>
      <c r="AH197" s="29" t="s">
        <v>1798</v>
      </c>
      <c r="AI197" s="36">
        <f>IF(OR(AND(K197&lt;32, J197&lt;2), O197=1, P197=1, Q197=1, R197=1, S197=1, T197=1, U197=1, AND(W197&lt;&gt;"", W197&lt;&gt;"Oxygen", W197&lt;&gt;"LowFlow")), "Intensive", "Intermediate")</f>
      </c>
      <c r="AJ197" s="37">
        <f>IF(OR(LEFT(AH197, 1)="X", LEFT(AH197, 1)="Y", LEFT(AH197, 3)="J2M"), "CUSM", "No Match")</f>
      </c>
      <c r="AK197" s="37">
        <f>IF(AND(OR(O197=3, P197=1, Q197=1, T197=1), AJ197="no Match"), "CUSM, CHU SJ, CHUQ", "")</f>
      </c>
      <c r="AL197" s="37">
        <f>IF(AND(O197=2, ISBLANK(P197), ISBLANK(Q197), ISBLANK(R197), ISBLANK(S197), ISBLANK(T197)), "CUSM, CHU SJ, CHUS, CHUQ", "")</f>
      </c>
      <c r="AM197" s="37">
        <f>IF(AND(AJ197="no match", AK197="", AL197="", K197&lt;26), "CUSM, CHU SJ, HGJ, CHUQ, CHUS", "")</f>
      </c>
      <c r="AN197" s="37">
        <f>IF(AND(AJ197="no match", AK197="", AL197="", K197&gt;26), "CUSM, CHU SJ, HGJ, CHUQ, CHUS, HMR", "")</f>
      </c>
    </row>
    <row x14ac:dyDescent="0.25" r="198" customHeight="1" ht="20.25">
      <c r="A198" s="27" t="s">
        <v>1799</v>
      </c>
      <c r="B198" s="28">
        <v>2</v>
      </c>
      <c r="C198" s="28">
        <v>794</v>
      </c>
      <c r="D198" s="29" t="s">
        <v>297</v>
      </c>
      <c r="E198" s="30" t="s">
        <v>149</v>
      </c>
      <c r="F198" s="31">
        <v>44308</v>
      </c>
      <c r="G198" s="32">
        <v>4.659722222222222</v>
      </c>
      <c r="H198" s="31">
        <v>44307</v>
      </c>
      <c r="I198" s="32">
        <v>4.995833333333334</v>
      </c>
      <c r="J198" s="33">
        <f>F198-H198</f>
      </c>
      <c r="K198" s="28">
        <v>33</v>
      </c>
      <c r="L198" s="28">
        <v>0</v>
      </c>
      <c r="M198" s="28">
        <v>1</v>
      </c>
      <c r="N198" s="38"/>
      <c r="O198" s="34"/>
      <c r="P198" s="38"/>
      <c r="Q198" s="34"/>
      <c r="R198" s="34"/>
      <c r="S198" s="34"/>
      <c r="T198" s="34"/>
      <c r="U198" s="34"/>
      <c r="V198" s="34"/>
      <c r="W198" s="29" t="s">
        <v>58</v>
      </c>
      <c r="X198" s="28">
        <v>30</v>
      </c>
      <c r="Y198" s="28">
        <v>2</v>
      </c>
      <c r="Z198" s="28">
        <v>2</v>
      </c>
      <c r="AA198" s="28">
        <v>3</v>
      </c>
      <c r="AB198" s="28">
        <v>2</v>
      </c>
      <c r="AC198" s="28">
        <v>3</v>
      </c>
      <c r="AD198" s="28">
        <v>3</v>
      </c>
      <c r="AE198" s="28">
        <v>4</v>
      </c>
      <c r="AF198" s="28">
        <v>3</v>
      </c>
      <c r="AG198" s="28">
        <v>3</v>
      </c>
      <c r="AH198" s="29" t="s">
        <v>1798</v>
      </c>
      <c r="AI198" s="36">
        <f>IF(OR(AND(K198&lt;32, J198&lt;2), O198=1, P198=1, Q198=1, R198=1, S198=1, T198=1, U198=1, AND(W198&lt;&gt;"", W198&lt;&gt;"Oxygen", W198&lt;&gt;"LowFlow")), "Intensive", "Intermediate")</f>
      </c>
      <c r="AJ198" s="37">
        <f>IF(OR(LEFT(AH198, 1)="X", LEFT(AH198, 1)="Y", LEFT(AH198, 3)="J3M"), "CUSM", "No Match")</f>
      </c>
      <c r="AK198" s="37">
        <f>IF(AND(OR(O198=3, P198=1, Q198=1, T198=1), AJ198="no Match"), "CUSM, CHU SJ, CHUQ", "")</f>
      </c>
      <c r="AL198" s="37">
        <f>IF(AND(O198=2, ISBLANK(P198), ISBLANK(Q198), ISBLANK(R198), ISBLANK(S198), ISBLANK(T198)), "CUSM, CHU SJ, CHUS, CHUQ", "")</f>
      </c>
      <c r="AM198" s="37">
        <f>IF(AND(AJ198="no match", AK198="", AL198="", K198&lt;26), "CUSM, CHU SJ, HGJ, CHUQ, CHUS", "")</f>
      </c>
      <c r="AN198" s="37">
        <f>IF(AND(AJ198="no match", AK198="", AL198="", K198&gt;26), "CUSM, CHU SJ, HGJ, CHUQ, CHUS, HMR", "")</f>
      </c>
    </row>
    <row x14ac:dyDescent="0.25" r="199" customHeight="1" ht="20.25">
      <c r="A199" s="27" t="s">
        <v>1800</v>
      </c>
      <c r="B199" s="28">
        <v>2</v>
      </c>
      <c r="C199" s="28">
        <v>731</v>
      </c>
      <c r="D199" s="29" t="s">
        <v>103</v>
      </c>
      <c r="E199" s="30" t="s">
        <v>118</v>
      </c>
      <c r="F199" s="31">
        <v>44309</v>
      </c>
      <c r="G199" s="32">
        <v>4.003472222222222</v>
      </c>
      <c r="H199" s="31">
        <v>44308</v>
      </c>
      <c r="I199" s="32">
        <v>4.872916666666667</v>
      </c>
      <c r="J199" s="33">
        <f>F199-H199</f>
      </c>
      <c r="K199" s="28">
        <v>31</v>
      </c>
      <c r="L199" s="28">
        <v>3</v>
      </c>
      <c r="M199" s="28">
        <v>1</v>
      </c>
      <c r="N199" s="34"/>
      <c r="O199" s="34"/>
      <c r="P199" s="34"/>
      <c r="Q199" s="34"/>
      <c r="R199" s="34"/>
      <c r="S199" s="34"/>
      <c r="T199" s="34"/>
      <c r="U199" s="34"/>
      <c r="V199" s="34"/>
      <c r="W199" s="29" t="s">
        <v>58</v>
      </c>
      <c r="X199" s="28">
        <v>18</v>
      </c>
      <c r="Y199" s="28">
        <v>1</v>
      </c>
      <c r="Z199" s="28">
        <v>1</v>
      </c>
      <c r="AA199" s="28">
        <v>1</v>
      </c>
      <c r="AB199" s="28">
        <v>2</v>
      </c>
      <c r="AC199" s="28">
        <v>2</v>
      </c>
      <c r="AD199" s="28">
        <v>2</v>
      </c>
      <c r="AE199" s="28">
        <v>4</v>
      </c>
      <c r="AF199" s="35">
        <v>2</v>
      </c>
      <c r="AG199" s="28">
        <v>2</v>
      </c>
      <c r="AH199" s="29" t="s">
        <v>1801</v>
      </c>
      <c r="AI199" s="36">
        <f>if(or(and(K199&lt;32, J199&lt;2), O199=1, P199=1, Q199=1, R199=1, S199=1, T199=1, U199=1, and(W199&lt;&gt;"", W199&lt;&gt;"Oxygen", W199&lt;&gt;"LowFlow")), "Intensive", "Intermediate")</f>
      </c>
      <c r="AJ199" s="37">
        <f>if(or(left(AH199, 1)="X", left(AH199, 1)="Y", left(AH199, 3)="J5M"), "CUSM", "No Match")</f>
      </c>
      <c r="AK199" s="37">
        <f>if(and(or(O199=3, P199=1, Q199=1, T199=1), AJ199="no Match"), "CUSM, CHU SJ, CHUQ", "")</f>
      </c>
      <c r="AL199" s="37">
        <f>IF(AND(O200=2, ISBLANK(P200), ISBLANK(Q200), ISBLANK(R200), ISBLANK(S200), ISBLANK(T200)), "CUSM, CHU SJ, CHUS, CHUQ", "")</f>
      </c>
      <c r="AM199" s="37">
        <f>if(and(AJ199="no match", AK199="", AL199="", K199&lt;26), "CUSM, CHU SJ, HGJ, CHUQ, CHUS", "")</f>
      </c>
      <c r="AN199" s="37">
        <f>if(and(AJ199="no match", AK199="", AL199="", K199&gt;26), "CUSM, CHU SJ, HGJ, CHUQ, CHUS, HMR", "")</f>
      </c>
    </row>
    <row x14ac:dyDescent="0.25" r="200" customHeight="1" ht="28.5">
      <c r="A200" s="27" t="s">
        <v>1802</v>
      </c>
      <c r="B200" s="28">
        <v>2</v>
      </c>
      <c r="C200" s="35">
        <v>839</v>
      </c>
      <c r="D200" s="29" t="s">
        <v>53</v>
      </c>
      <c r="E200" s="30" t="s">
        <v>54</v>
      </c>
      <c r="F200" s="31">
        <v>44309</v>
      </c>
      <c r="G200" s="32">
        <v>4.479166666666666</v>
      </c>
      <c r="H200" s="31">
        <v>44309</v>
      </c>
      <c r="I200" s="32">
        <v>4.320833333333333</v>
      </c>
      <c r="J200" s="33">
        <f>F200-H200</f>
      </c>
      <c r="K200" s="28">
        <v>40</v>
      </c>
      <c r="L200" s="28">
        <v>4</v>
      </c>
      <c r="M200" s="28">
        <v>1</v>
      </c>
      <c r="N200" s="34"/>
      <c r="O200" s="34"/>
      <c r="P200" s="34"/>
      <c r="Q200" s="34"/>
      <c r="R200" s="34"/>
      <c r="S200" s="34"/>
      <c r="T200" s="35">
        <v>1</v>
      </c>
      <c r="U200" s="34"/>
      <c r="V200" s="34"/>
      <c r="W200" s="29" t="s">
        <v>58</v>
      </c>
      <c r="X200" s="28">
        <v>39</v>
      </c>
      <c r="Y200" s="28">
        <v>1</v>
      </c>
      <c r="Z200" s="28">
        <v>1</v>
      </c>
      <c r="AA200" s="28">
        <v>2</v>
      </c>
      <c r="AB200" s="28">
        <v>1</v>
      </c>
      <c r="AC200" s="28">
        <v>2</v>
      </c>
      <c r="AD200" s="28">
        <v>2</v>
      </c>
      <c r="AE200" s="28">
        <v>4</v>
      </c>
      <c r="AF200" s="28">
        <v>2</v>
      </c>
      <c r="AG200" s="28">
        <v>2</v>
      </c>
      <c r="AH200" s="29" t="s">
        <v>1803</v>
      </c>
      <c r="AI200" s="36">
        <f>if(or(and(K200&lt;32, J200&lt;2), O200=1, P200=1, Q200=1, R200=1, S200=1, T200=1, U200=1, and(W200&lt;&gt;"", W200&lt;&gt;"Oxygen", W200&lt;&gt;"LowFlow")), "Intensive", "Intermediate")</f>
      </c>
      <c r="AJ200" s="37">
        <f>if(or(left(AH200, 1)="X", left(AH200, 1)="Y", left(AH200, 3)="J6M"), "CUSM", "No Match")</f>
      </c>
      <c r="AK200" s="37">
        <f>if(and(or(O200=3, P200=1, Q200=1, T200=1), AJ200="no Match"), "CUSM, CHU SJ, CHUQ", "")</f>
      </c>
      <c r="AL200" s="37">
        <f>IF(AND(O201=2, ISBLANK(P201), ISBLANK(Q201), ISBLANK(R201), ISBLANK(S201), ISBLANK(T201)), "CUSM, CHU SJ, CHUS, CHUQ", "")</f>
      </c>
      <c r="AM200" s="37">
        <f>if(and(AJ200="no match", AK200="", AL200="", K200&lt;26), "CUSM, CHU SJ, HGJ, CHUQ, CHUS", "")</f>
      </c>
      <c r="AN200" s="37">
        <f>if(and(AJ200="no match", AK200="", AL200="", K200&gt;26), "CUSM, CHU SJ, HGJ, CHUQ, CHUS, HMR", "")</f>
      </c>
    </row>
    <row x14ac:dyDescent="0.25" r="201" customHeight="1" ht="17.25">
      <c r="A201" s="27" t="s">
        <v>1804</v>
      </c>
      <c r="B201" s="28">
        <v>2</v>
      </c>
      <c r="C201" s="28">
        <v>757</v>
      </c>
      <c r="D201" s="29" t="s">
        <v>124</v>
      </c>
      <c r="E201" s="30" t="s">
        <v>54</v>
      </c>
      <c r="F201" s="31">
        <v>44309</v>
      </c>
      <c r="G201" s="32">
        <v>4.761805555555556</v>
      </c>
      <c r="H201" s="31">
        <v>44304</v>
      </c>
      <c r="I201" s="32">
        <v>4.9006944444444445</v>
      </c>
      <c r="J201" s="33">
        <f>F201-H201</f>
      </c>
      <c r="K201" s="28">
        <v>34</v>
      </c>
      <c r="L201" s="28">
        <v>5</v>
      </c>
      <c r="M201" s="28">
        <v>1</v>
      </c>
      <c r="N201" s="34"/>
      <c r="O201" s="34"/>
      <c r="P201" s="34"/>
      <c r="Q201" s="34"/>
      <c r="R201" s="34"/>
      <c r="S201" s="34"/>
      <c r="T201" s="34"/>
      <c r="U201" s="38"/>
      <c r="V201" s="38"/>
      <c r="W201" s="29"/>
      <c r="X201" s="28">
        <v>18</v>
      </c>
      <c r="Y201" s="28">
        <v>1</v>
      </c>
      <c r="Z201" s="28">
        <v>1</v>
      </c>
      <c r="AA201" s="28">
        <v>1</v>
      </c>
      <c r="AB201" s="28">
        <v>1</v>
      </c>
      <c r="AC201" s="28">
        <v>1</v>
      </c>
      <c r="AD201" s="28">
        <v>1</v>
      </c>
      <c r="AE201" s="28">
        <v>4</v>
      </c>
      <c r="AF201" s="28">
        <v>2</v>
      </c>
      <c r="AG201" s="28">
        <v>2</v>
      </c>
      <c r="AH201" s="29" t="s">
        <v>1805</v>
      </c>
      <c r="AI201" s="36">
        <f>if(or(and(K201&lt;32, J201&lt;2), O201=1, P201=1, Q201=1, R201=1, S201=1, T201=1, U201=1, and(W201&lt;&gt;"", W201&lt;&gt;"Oxygen", W201&lt;&gt;"LowFlow")), "Intensive", "Intermediate")</f>
      </c>
      <c r="AJ201" s="37">
        <f>if(or(left(AH201, 1)="X", left(AH201, 1)="Y", left(AH201, 3)="J7M"), "CUSM", "No Match")</f>
      </c>
      <c r="AK201" s="37">
        <f>if(and(or(O201=3, P201=1, Q201=1, T201=1), AJ201="no Match"), "CUSM, CHU SJ, CHUQ", "")</f>
      </c>
      <c r="AL201" s="37">
        <f>IF(AND(O202=2, ISBLANK(P202), ISBLANK(Q202), ISBLANK(R202), ISBLANK(S202), ISBLANK(T202)), "CUSM, CHU SJ, CHUS, CHUQ", "")</f>
      </c>
      <c r="AM201" s="37">
        <f>if(and(AJ201="no match", AK201="", AL201="", K201&lt;26), "CUSM, CHU SJ, HGJ, CHUQ, CHUS", "")</f>
      </c>
      <c r="AN201" s="37">
        <f>if(and(AJ201="no match", AK201="", AL201="", K201&gt;26), "CUSM, CHU SJ, HGJ, CHUQ, CHUS, HMR", "")</f>
      </c>
    </row>
    <row x14ac:dyDescent="0.25" r="202" customHeight="1" ht="17.25">
      <c r="A202" s="27" t="s">
        <v>1806</v>
      </c>
      <c r="B202" s="28">
        <v>2</v>
      </c>
      <c r="C202" s="28">
        <v>839</v>
      </c>
      <c r="D202" s="29" t="s">
        <v>53</v>
      </c>
      <c r="E202" s="30" t="s">
        <v>50</v>
      </c>
      <c r="F202" s="31">
        <v>44309</v>
      </c>
      <c r="G202" s="32">
        <v>4.708333333333334</v>
      </c>
      <c r="H202" s="31">
        <v>44307</v>
      </c>
      <c r="I202" s="32">
        <v>4.593055555555555</v>
      </c>
      <c r="J202" s="33">
        <f>F202-H202</f>
      </c>
      <c r="K202" s="28">
        <v>37</v>
      </c>
      <c r="L202" s="28">
        <v>5</v>
      </c>
      <c r="M202" s="28">
        <v>2</v>
      </c>
      <c r="N202" s="34"/>
      <c r="O202" s="34"/>
      <c r="P202" s="34"/>
      <c r="Q202" s="34"/>
      <c r="R202" s="34"/>
      <c r="S202" s="34"/>
      <c r="T202" s="34"/>
      <c r="U202" s="34"/>
      <c r="V202" s="34"/>
      <c r="W202" s="29"/>
      <c r="X202" s="28">
        <v>28</v>
      </c>
      <c r="Y202" s="28">
        <v>1</v>
      </c>
      <c r="Z202" s="28">
        <v>1</v>
      </c>
      <c r="AA202" s="28">
        <v>2</v>
      </c>
      <c r="AB202" s="28">
        <v>1</v>
      </c>
      <c r="AC202" s="28">
        <v>2</v>
      </c>
      <c r="AD202" s="28">
        <v>2</v>
      </c>
      <c r="AE202" s="28">
        <v>4</v>
      </c>
      <c r="AF202" s="28">
        <v>2</v>
      </c>
      <c r="AG202" s="28">
        <v>2</v>
      </c>
      <c r="AH202" s="29" t="s">
        <v>1807</v>
      </c>
      <c r="AI202" s="36">
        <f>if(or(and(K202&lt;32, J202&lt;2), O202=1, P202=1, Q202=1, R202=1, S202=1, T202=1, U202=1, and(W202&lt;&gt;"", W202&lt;&gt;"Oxygen", W202&lt;&gt;"LowFlow")), "Intensive", "Intermediate")</f>
      </c>
      <c r="AJ202" s="37">
        <f>if(or(left(AH202, 1)="X", left(AH202, 1)="Y", left(AH202, 3)="J8M"), "CUSM", "No Match")</f>
      </c>
      <c r="AK202" s="37">
        <f>if(and(or(O202=3, P202=1, Q202=1, T202=1), AJ202="no Match"), "CUSM, CHU SJ, CHUQ", "")</f>
      </c>
      <c r="AL202" s="37">
        <f>IF(AND(O203=2, ISBLANK(P203), ISBLANK(Q203), ISBLANK(R203), ISBLANK(S203), ISBLANK(T203)), "CUSM, CHU SJ, CHUS, CHUQ", "")</f>
      </c>
      <c r="AM202" s="37">
        <f>if(and(AJ202="no match", AK202="", AL202="", K202&lt;26), "CUSM, CHU SJ, HGJ, CHUQ, CHUS", "")</f>
      </c>
      <c r="AN202" s="37">
        <f>if(and(AJ202="no match", AK202="", AL202="", K202&gt;26), "CUSM, CHU SJ, HGJ, CHUQ, CHUS, HMR", "")</f>
      </c>
    </row>
    <row x14ac:dyDescent="0.25" r="203" customHeight="1" ht="17.25">
      <c r="A203" s="27" t="s">
        <v>1808</v>
      </c>
      <c r="B203" s="28">
        <v>2</v>
      </c>
      <c r="C203" s="28">
        <v>730</v>
      </c>
      <c r="D203" s="29" t="s">
        <v>81</v>
      </c>
      <c r="E203" s="30" t="s">
        <v>50</v>
      </c>
      <c r="F203" s="31">
        <v>44309</v>
      </c>
      <c r="G203" s="32">
        <v>4.5</v>
      </c>
      <c r="H203" s="31">
        <v>44309</v>
      </c>
      <c r="I203" s="32">
        <v>4.204166666666667</v>
      </c>
      <c r="J203" s="33">
        <f>F203-H203</f>
      </c>
      <c r="K203" s="28">
        <v>41</v>
      </c>
      <c r="L203" s="28">
        <v>3</v>
      </c>
      <c r="M203" s="28">
        <v>2</v>
      </c>
      <c r="N203" s="34"/>
      <c r="O203" s="34"/>
      <c r="P203" s="34"/>
      <c r="Q203" s="34"/>
      <c r="R203" s="34"/>
      <c r="S203" s="34"/>
      <c r="T203" s="35">
        <v>1</v>
      </c>
      <c r="U203" s="34"/>
      <c r="V203" s="34"/>
      <c r="W203" s="29"/>
      <c r="X203" s="28">
        <v>21</v>
      </c>
      <c r="Y203" s="28">
        <v>1</v>
      </c>
      <c r="Z203" s="28">
        <v>1</v>
      </c>
      <c r="AA203" s="28">
        <v>2</v>
      </c>
      <c r="AB203" s="28">
        <v>1</v>
      </c>
      <c r="AC203" s="28">
        <v>2</v>
      </c>
      <c r="AD203" s="28">
        <v>2</v>
      </c>
      <c r="AE203" s="28">
        <v>4</v>
      </c>
      <c r="AF203" s="28">
        <v>2</v>
      </c>
      <c r="AG203" s="28">
        <v>2</v>
      </c>
      <c r="AH203" s="29" t="s">
        <v>1809</v>
      </c>
      <c r="AI203" s="36">
        <f>if(or(and(K203&lt;32, J203&lt;2), O203=1, P203=1, Q203=1, R203=1, S203=1, T203=1, U203=1, and(W203&lt;&gt;"", W203&lt;&gt;"Oxygen", W203&lt;&gt;"LowFlow")), "Intensive", "Intermediate")</f>
      </c>
      <c r="AJ203" s="37">
        <f>if(or(left(AH203, 1)="X", left(AH203, 1)="Y", left(AH203, 3)="J9M"), "CUSM", "No Match")</f>
      </c>
      <c r="AK203" s="37">
        <f>if(and(or(O203=3, P203=1, Q203=1, T203=1), AJ203="no Match"), "CUSM, CHU SJ, CHUQ", "")</f>
      </c>
      <c r="AL203" s="37">
        <f>IF(AND(O204=2, ISBLANK(P204), ISBLANK(Q204), ISBLANK(R204), ISBLANK(S204), ISBLANK(T204)), "CUSM, CHU SJ, CHUS, CHUQ", "")</f>
      </c>
      <c r="AM203" s="37">
        <f>if(and(AJ203="no match", AK203="", AL203="", K203&lt;26), "CUSM, CHU SJ, HGJ, CHUQ, CHUS", "")</f>
      </c>
      <c r="AN203" s="37">
        <f>if(and(AJ203="no match", AK203="", AL203="", K203&gt;26), "CUSM, CHU SJ, HGJ, CHUQ, CHUS, HMR", "")</f>
      </c>
    </row>
    <row x14ac:dyDescent="0.25" r="204" customHeight="1" ht="17.25">
      <c r="A204" s="27" t="s">
        <v>1810</v>
      </c>
      <c r="B204" s="28">
        <v>2</v>
      </c>
      <c r="C204" s="35">
        <v>768</v>
      </c>
      <c r="D204" s="29" t="s">
        <v>160</v>
      </c>
      <c r="E204" s="30" t="s">
        <v>118</v>
      </c>
      <c r="F204" s="31">
        <v>44310</v>
      </c>
      <c r="G204" s="32">
        <v>4.190277777777778</v>
      </c>
      <c r="H204" s="31">
        <v>44309</v>
      </c>
      <c r="I204" s="32">
        <v>4.9625</v>
      </c>
      <c r="J204" s="33">
        <f>F204-H204</f>
      </c>
      <c r="K204" s="28">
        <v>31</v>
      </c>
      <c r="L204" s="28">
        <v>5</v>
      </c>
      <c r="M204" s="28">
        <v>2</v>
      </c>
      <c r="N204" s="34"/>
      <c r="O204" s="34"/>
      <c r="P204" s="34"/>
      <c r="Q204" s="34"/>
      <c r="R204" s="34"/>
      <c r="S204" s="34"/>
      <c r="T204" s="34"/>
      <c r="U204" s="34"/>
      <c r="V204" s="34"/>
      <c r="W204" s="29" t="s">
        <v>74</v>
      </c>
      <c r="X204" s="28">
        <v>31</v>
      </c>
      <c r="Y204" s="28">
        <v>2</v>
      </c>
      <c r="Z204" s="28">
        <v>2</v>
      </c>
      <c r="AA204" s="28">
        <v>1</v>
      </c>
      <c r="AB204" s="28">
        <v>1</v>
      </c>
      <c r="AC204" s="28">
        <v>2</v>
      </c>
      <c r="AD204" s="28">
        <v>2</v>
      </c>
      <c r="AE204" s="28">
        <v>4</v>
      </c>
      <c r="AF204" s="28">
        <v>2</v>
      </c>
      <c r="AG204" s="28">
        <v>2</v>
      </c>
      <c r="AH204" s="29" t="s">
        <v>1811</v>
      </c>
      <c r="AI204" s="36">
        <f>if(or(and(K204&lt;32, J204&lt;2), O204=1, P204=1, Q204=1, R204=1, S204=1, T204=1, U204=1, and(W204&lt;&gt;"", W204&lt;&gt;"Oxygen", W204&lt;&gt;"LowFlow")), "Intensive", "Intermediate")</f>
      </c>
      <c r="AJ204" s="37">
        <f>if(or(left(AH204, 1)="X", left(AH204, 1)="Y", left(AH204, 3)="J10M"), "CUSM", "No Match")</f>
      </c>
      <c r="AK204" s="37">
        <f>if(and(or(O204=3, P204=1, Q204=1, T204=1), AJ204="no Match"), "CUSM, CHU SJ, CHUQ", "")</f>
      </c>
      <c r="AL204" s="37">
        <f>IF(AND(O205=2, ISBLANK(P205), ISBLANK(Q205), ISBLANK(R205), ISBLANK(S205), ISBLANK(T205)), "CUSM, CHU SJ, CHUS, CHUQ", "")</f>
      </c>
      <c r="AM204" s="37">
        <f>if(and(AJ204="no match", AK204="", AL204="", K204&lt;26), "CUSM, CHU SJ, HGJ, CHUQ, CHUS", "")</f>
      </c>
      <c r="AN204" s="37">
        <f>if(and(AJ204="no match", AK204="", AL204="", K204&gt;26), "CUSM, CHU SJ, HGJ, CHUQ, CHUS, HMR", "")</f>
      </c>
    </row>
    <row x14ac:dyDescent="0.25" r="205" customHeight="1" ht="17.25">
      <c r="A205" s="27" t="s">
        <v>1812</v>
      </c>
      <c r="B205" s="28">
        <v>2</v>
      </c>
      <c r="C205" s="28">
        <v>768</v>
      </c>
      <c r="D205" s="29" t="s">
        <v>160</v>
      </c>
      <c r="E205" s="30" t="s">
        <v>118</v>
      </c>
      <c r="F205" s="31">
        <v>44310</v>
      </c>
      <c r="G205" s="32">
        <v>4.163194444444445</v>
      </c>
      <c r="H205" s="31">
        <v>44309</v>
      </c>
      <c r="I205" s="32">
        <v>4.964583333333334</v>
      </c>
      <c r="J205" s="33">
        <f>F205-H205</f>
      </c>
      <c r="K205" s="28">
        <v>31</v>
      </c>
      <c r="L205" s="28">
        <v>5</v>
      </c>
      <c r="M205" s="28">
        <v>1</v>
      </c>
      <c r="N205" s="34"/>
      <c r="O205" s="34"/>
      <c r="P205" s="34"/>
      <c r="Q205" s="34"/>
      <c r="R205" s="34"/>
      <c r="S205" s="34"/>
      <c r="T205" s="34"/>
      <c r="U205" s="34"/>
      <c r="V205" s="34"/>
      <c r="W205" s="29" t="s">
        <v>74</v>
      </c>
      <c r="X205" s="28">
        <v>31</v>
      </c>
      <c r="Y205" s="28">
        <v>2</v>
      </c>
      <c r="Z205" s="28">
        <v>2</v>
      </c>
      <c r="AA205" s="28">
        <v>1</v>
      </c>
      <c r="AB205" s="28">
        <v>1</v>
      </c>
      <c r="AC205" s="28">
        <v>2</v>
      </c>
      <c r="AD205" s="28">
        <v>2</v>
      </c>
      <c r="AE205" s="28">
        <v>4</v>
      </c>
      <c r="AF205" s="28">
        <v>2</v>
      </c>
      <c r="AG205" s="28">
        <v>2</v>
      </c>
      <c r="AH205" s="29" t="s">
        <v>1811</v>
      </c>
      <c r="AI205" s="36">
        <f>if(or(and(K205&lt;32, J205&lt;2), O205=1, P205=1, Q205=1, R205=1, S205=1, T205=1, U205=1, and(W205&lt;&gt;"", W205&lt;&gt;"Oxygen", W205&lt;&gt;"LowFlow")), "Intensive", "Intermediate")</f>
      </c>
      <c r="AJ205" s="37">
        <f>if(or(left(AH205, 1)="X", left(AH205, 1)="Y", left(AH205, 3)="J11M"), "CUSM", "No Match")</f>
      </c>
      <c r="AK205" s="37">
        <f>if(and(or(O205=3, P205=1, Q205=1, T205=1), AJ205="no Match"), "CUSM, CHU SJ, CHUQ", "")</f>
      </c>
      <c r="AL205" s="37">
        <f>IF(AND(O206=2, ISBLANK(P206), ISBLANK(Q206), ISBLANK(R206), ISBLANK(S206), ISBLANK(T206)), "CUSM, CHU SJ, CHUS, CHUQ", "")</f>
      </c>
      <c r="AM205" s="37">
        <f>if(and(AJ205="no match", AK205="", AL205="", K205&lt;26), "CUSM, CHU SJ, HGJ, CHUQ, CHUS", "")</f>
      </c>
      <c r="AN205" s="37">
        <f>if(and(AJ205="no match", AK205="", AL205="", K205&gt;26), "CUSM, CHU SJ, HGJ, CHUQ, CHUS, HMR", "")</f>
      </c>
    </row>
    <row x14ac:dyDescent="0.25" r="206" customHeight="1" ht="17.25">
      <c r="A206" s="27" t="s">
        <v>1813</v>
      </c>
      <c r="B206" s="28">
        <v>2</v>
      </c>
      <c r="C206" s="35">
        <v>731</v>
      </c>
      <c r="D206" s="29" t="s">
        <v>103</v>
      </c>
      <c r="E206" s="30" t="s">
        <v>54</v>
      </c>
      <c r="F206" s="31">
        <v>44310</v>
      </c>
      <c r="G206" s="32">
        <v>4.125</v>
      </c>
      <c r="H206" s="31">
        <v>44309</v>
      </c>
      <c r="I206" s="32">
        <v>4.857638888888889</v>
      </c>
      <c r="J206" s="33">
        <f>F206-H206</f>
      </c>
      <c r="K206" s="28">
        <v>39</v>
      </c>
      <c r="L206" s="28">
        <v>0</v>
      </c>
      <c r="M206" s="28">
        <v>1</v>
      </c>
      <c r="N206" s="34"/>
      <c r="O206" s="34"/>
      <c r="P206" s="34"/>
      <c r="Q206" s="34"/>
      <c r="R206" s="34"/>
      <c r="S206" s="34"/>
      <c r="T206" s="35">
        <v>1</v>
      </c>
      <c r="U206" s="34"/>
      <c r="V206" s="34"/>
      <c r="W206" s="29"/>
      <c r="X206" s="28">
        <v>30</v>
      </c>
      <c r="Y206" s="28">
        <v>1</v>
      </c>
      <c r="Z206" s="28">
        <v>1</v>
      </c>
      <c r="AA206" s="28">
        <v>1</v>
      </c>
      <c r="AB206" s="28">
        <v>1</v>
      </c>
      <c r="AC206" s="28">
        <v>2</v>
      </c>
      <c r="AD206" s="28">
        <v>2</v>
      </c>
      <c r="AE206" s="28">
        <v>4</v>
      </c>
      <c r="AF206" s="28">
        <v>2</v>
      </c>
      <c r="AG206" s="28">
        <v>2</v>
      </c>
      <c r="AH206" s="29" t="s">
        <v>1814</v>
      </c>
      <c r="AI206" s="36">
        <f>if(or(and(K206&lt;32, J206&lt;2), O206=1, P206=1, Q206=1, R206=1, S206=1, T206=1, U206=1, and(W206&lt;&gt;"", W206&lt;&gt;"Oxygen", W206&lt;&gt;"LowFlow")), "Intensive", "Intermediate")</f>
      </c>
      <c r="AJ206" s="37">
        <f>if(or(left(AH206, 1)="X", left(AH206, 1)="Y", left(AH206, 3)="J12M"), "CUSM", "No Match")</f>
      </c>
      <c r="AK206" s="37">
        <f>if(and(or(O206=3, P206=1, Q206=1, T206=1), AJ206="no Match"), "CUSM, CHU SJ, CHUQ", "")</f>
      </c>
      <c r="AL206" s="37">
        <f>IF(AND(O207=2, ISBLANK(P207), ISBLANK(Q207), ISBLANK(R207), ISBLANK(S207), ISBLANK(T207)), "CUSM, CHU SJ, CHUS, CHUQ", "")</f>
      </c>
      <c r="AM206" s="37">
        <f>if(and(AJ206="no match", AK206="", AL206="", K206&lt;26), "CUSM, CHU SJ, HGJ, CHUQ, CHUS", "")</f>
      </c>
      <c r="AN206" s="37">
        <f>if(and(AJ206="no match", AK206="", AL206="", K206&gt;26), "CUSM, CHU SJ, HGJ, CHUQ, CHUS, HMR", "")</f>
      </c>
    </row>
    <row x14ac:dyDescent="0.25" r="207" customHeight="1" ht="17.25">
      <c r="A207" s="27" t="s">
        <v>1815</v>
      </c>
      <c r="B207" s="28">
        <v>2</v>
      </c>
      <c r="C207" s="28">
        <v>756</v>
      </c>
      <c r="D207" s="29" t="s">
        <v>66</v>
      </c>
      <c r="E207" s="30" t="s">
        <v>50</v>
      </c>
      <c r="F207" s="31">
        <v>44310</v>
      </c>
      <c r="G207" s="32">
        <v>4.583333333333334</v>
      </c>
      <c r="H207" s="31">
        <v>44306</v>
      </c>
      <c r="I207" s="32">
        <v>4.059722222222222</v>
      </c>
      <c r="J207" s="33">
        <f>F207-H207</f>
      </c>
      <c r="K207" s="28">
        <v>38</v>
      </c>
      <c r="L207" s="28">
        <v>6</v>
      </c>
      <c r="M207" s="28">
        <v>1</v>
      </c>
      <c r="N207" s="38"/>
      <c r="O207" s="34"/>
      <c r="P207" s="38"/>
      <c r="Q207" s="34"/>
      <c r="R207" s="34"/>
      <c r="S207" s="34"/>
      <c r="T207" s="38"/>
      <c r="U207" s="34"/>
      <c r="V207" s="34"/>
      <c r="W207" s="29"/>
      <c r="X207" s="28">
        <v>32</v>
      </c>
      <c r="Y207" s="28">
        <v>1</v>
      </c>
      <c r="Z207" s="28">
        <v>1</v>
      </c>
      <c r="AA207" s="28">
        <v>2</v>
      </c>
      <c r="AB207" s="28">
        <v>1</v>
      </c>
      <c r="AC207" s="28">
        <v>2</v>
      </c>
      <c r="AD207" s="28">
        <v>2</v>
      </c>
      <c r="AE207" s="28">
        <v>4</v>
      </c>
      <c r="AF207" s="28">
        <v>2</v>
      </c>
      <c r="AG207" s="28">
        <v>2</v>
      </c>
      <c r="AH207" s="29" t="s">
        <v>1816</v>
      </c>
      <c r="AI207" s="36">
        <f>if(or(and(K207&lt;32, J207&lt;2), O207=1, P207=1, Q207=1, R207=1, S207=1, T207=1, U207=1, and(W207&lt;&gt;"", W207&lt;&gt;"Oxygen", W207&lt;&gt;"LowFlow")), "Intensive", "Intermediate")</f>
      </c>
      <c r="AJ207" s="37">
        <f>if(or(left(AH207, 1)="X", left(AH207, 1)="Y", left(AH207, 3)="J13M"), "CUSM", "No Match")</f>
      </c>
      <c r="AK207" s="37">
        <f>if(and(or(O207=3, P207=1, Q207=1, T207=1), AJ207="no Match"), "CUSM, CHU SJ, CHUQ", "")</f>
      </c>
      <c r="AL207" s="37">
        <f>IF(AND(O208=2, ISBLANK(P208), ISBLANK(Q208), ISBLANK(R208), ISBLANK(S208), ISBLANK(T208)), "CUSM, CHU SJ, CHUS, CHUQ", "")</f>
      </c>
      <c r="AM207" s="37">
        <f>if(and(AJ207="no match", AK207="", AL207="", K207&lt;26), "CUSM, CHU SJ, HGJ, CHUQ, CHUS", "")</f>
      </c>
      <c r="AN207" s="37">
        <f>if(and(AJ207="no match", AK207="", AL207="", K207&gt;26), "CUSM, CHU SJ, HGJ, CHUQ, CHUS, HMR", "")</f>
      </c>
    </row>
    <row x14ac:dyDescent="0.25" r="208" customHeight="1" ht="17.25">
      <c r="A208" s="27" t="s">
        <v>1817</v>
      </c>
      <c r="B208" s="28">
        <v>2</v>
      </c>
      <c r="C208" s="35">
        <v>824</v>
      </c>
      <c r="D208" s="29" t="s">
        <v>57</v>
      </c>
      <c r="E208" s="30" t="s">
        <v>50</v>
      </c>
      <c r="F208" s="31">
        <v>44310</v>
      </c>
      <c r="G208" s="32">
        <v>4.927083333333334</v>
      </c>
      <c r="H208" s="31">
        <v>44310</v>
      </c>
      <c r="I208" s="32">
        <v>4.635416666666666</v>
      </c>
      <c r="J208" s="33">
        <f>F208-H208</f>
      </c>
      <c r="K208" s="28">
        <v>41</v>
      </c>
      <c r="L208" s="28">
        <v>0</v>
      </c>
      <c r="M208" s="28">
        <v>2</v>
      </c>
      <c r="N208" s="34"/>
      <c r="O208" s="34"/>
      <c r="P208" s="34"/>
      <c r="Q208" s="34"/>
      <c r="R208" s="34"/>
      <c r="S208" s="34"/>
      <c r="T208" s="34"/>
      <c r="U208" s="34"/>
      <c r="V208" s="34"/>
      <c r="W208" s="29"/>
      <c r="X208" s="28">
        <v>30</v>
      </c>
      <c r="Y208" s="28">
        <v>1</v>
      </c>
      <c r="Z208" s="28">
        <v>2</v>
      </c>
      <c r="AA208" s="28">
        <v>1</v>
      </c>
      <c r="AB208" s="28">
        <v>1</v>
      </c>
      <c r="AC208" s="28">
        <v>2</v>
      </c>
      <c r="AD208" s="28">
        <v>2</v>
      </c>
      <c r="AE208" s="28">
        <v>4</v>
      </c>
      <c r="AF208" s="28">
        <v>1</v>
      </c>
      <c r="AG208" s="28">
        <v>2</v>
      </c>
      <c r="AH208" s="29" t="s">
        <v>1818</v>
      </c>
      <c r="AI208" s="36">
        <f>if(or(and(K208&lt;32, J208&lt;2), O208=1, P208=1, Q208=1, R208=1, S208=1, T208=1, U208=1, and(W208&lt;&gt;"", W208&lt;&gt;"Oxygen", W208&lt;&gt;"LowFlow")), "Intensive", "Intermediate")</f>
      </c>
      <c r="AJ208" s="37">
        <f>if(or(left(AH208, 1)="X", left(AH208, 1)="Y", left(AH208, 3)="J14M"), "CUSM", "No Match")</f>
      </c>
      <c r="AK208" s="37">
        <f>if(and(or(O208=3, P208=1, Q208=1, T208=1), AJ208="no Match"), "CUSM, CHU SJ, CHUQ", "")</f>
      </c>
      <c r="AL208" s="37">
        <f>IF(AND(O209=2, ISBLANK(P209), ISBLANK(Q209), ISBLANK(R209), ISBLANK(S209), ISBLANK(T209)), "CUSM, CHU SJ, CHUS, CHUQ", "")</f>
      </c>
      <c r="AM208" s="37">
        <f>if(and(AJ208="no match", AK208="", AL208="", K208&lt;26), "CUSM, CHU SJ, HGJ, CHUQ, CHUS", "")</f>
      </c>
      <c r="AN208" s="37">
        <f>if(and(AJ208="no match", AK208="", AL208="", K208&gt;26), "CUSM, CHU SJ, HGJ, CHUQ, CHUS, HMR", "")</f>
      </c>
    </row>
    <row x14ac:dyDescent="0.25" r="209" customHeight="1" ht="17.25">
      <c r="A209" s="27" t="s">
        <v>1819</v>
      </c>
      <c r="B209" s="28">
        <v>2</v>
      </c>
      <c r="C209" s="35">
        <v>817</v>
      </c>
      <c r="D209" s="29" t="s">
        <v>163</v>
      </c>
      <c r="E209" s="30" t="s">
        <v>54</v>
      </c>
      <c r="F209" s="31">
        <v>44311</v>
      </c>
      <c r="G209" s="32">
        <v>4.739583333333334</v>
      </c>
      <c r="H209" s="31">
        <v>44310</v>
      </c>
      <c r="I209" s="32">
        <v>4.678472222222222</v>
      </c>
      <c r="J209" s="33">
        <f>F209-H209</f>
      </c>
      <c r="K209" s="28">
        <v>39</v>
      </c>
      <c r="L209" s="28">
        <v>1</v>
      </c>
      <c r="M209" s="28">
        <v>2</v>
      </c>
      <c r="N209" s="38"/>
      <c r="O209" s="34"/>
      <c r="P209" s="34"/>
      <c r="Q209" s="34"/>
      <c r="R209" s="34"/>
      <c r="S209" s="34"/>
      <c r="T209" s="34"/>
      <c r="U209" s="34"/>
      <c r="V209" s="34"/>
      <c r="W209" s="29"/>
      <c r="X209" s="28">
        <v>21</v>
      </c>
      <c r="Y209" s="28">
        <v>1</v>
      </c>
      <c r="Z209" s="28">
        <v>1</v>
      </c>
      <c r="AA209" s="28">
        <v>2</v>
      </c>
      <c r="AB209" s="28">
        <v>1</v>
      </c>
      <c r="AC209" s="28">
        <v>2</v>
      </c>
      <c r="AD209" s="28">
        <v>2</v>
      </c>
      <c r="AE209" s="28">
        <v>4</v>
      </c>
      <c r="AF209" s="28">
        <v>2</v>
      </c>
      <c r="AG209" s="28">
        <v>2</v>
      </c>
      <c r="AH209" s="29" t="s">
        <v>1336</v>
      </c>
      <c r="AI209" s="36">
        <f>if(or(and(K209&lt;32, J209&lt;2), O209=1, P209=1, Q209=1, R209=1, S209=1, T209=1, U209=1, and(W209&lt;&gt;"", W209&lt;&gt;"Oxygen", W209&lt;&gt;"LowFlow")), "Intensive", "Intermediate")</f>
      </c>
      <c r="AJ209" s="37">
        <f>if(or(left(AH209, 1)="X", left(AH209, 1)="Y", left(AH209, 3)="J15M"), "CUSM", "No Match")</f>
      </c>
      <c r="AK209" s="37">
        <f>if(and(or(O209=3, P209=1, Q209=1, T209=1), AJ209="no Match"), "CUSM, CHU SJ, CHUQ", "")</f>
      </c>
      <c r="AL209" s="37">
        <f>IF(AND(O210=2, ISBLANK(P210), ISBLANK(Q210), ISBLANK(R210), ISBLANK(S210), ISBLANK(T210)), "CUSM, CHU SJ, CHUS, CHUQ", "")</f>
      </c>
      <c r="AM209" s="37">
        <f>if(and(AJ209="no match", AK209="", AL209="", K209&lt;26), "CUSM, CHU SJ, HGJ, CHUQ, CHUS", "")</f>
      </c>
      <c r="AN209" s="37">
        <f>if(and(AJ209="no match", AK209="", AL209="", K209&gt;26), "CUSM, CHU SJ, HGJ, CHUQ, CHUS, HMR", "")</f>
      </c>
    </row>
    <row x14ac:dyDescent="0.25" r="210" customHeight="1" ht="17.25">
      <c r="A210" s="27" t="s">
        <v>1820</v>
      </c>
      <c r="B210" s="28">
        <v>2</v>
      </c>
      <c r="C210" s="35">
        <v>856</v>
      </c>
      <c r="D210" s="29" t="s">
        <v>674</v>
      </c>
      <c r="E210" s="30" t="s">
        <v>50</v>
      </c>
      <c r="F210" s="31">
        <v>44312</v>
      </c>
      <c r="G210" s="32">
        <v>4.659722222222222</v>
      </c>
      <c r="H210" s="31">
        <v>44312</v>
      </c>
      <c r="I210" s="32">
        <v>4.526388888888889</v>
      </c>
      <c r="J210" s="33">
        <f>F210-H210</f>
      </c>
      <c r="K210" s="28">
        <v>39</v>
      </c>
      <c r="L210" s="28">
        <v>0</v>
      </c>
      <c r="M210" s="28">
        <v>1</v>
      </c>
      <c r="N210" s="38"/>
      <c r="O210" s="34"/>
      <c r="P210" s="34"/>
      <c r="Q210" s="34"/>
      <c r="R210" s="34"/>
      <c r="S210" s="34"/>
      <c r="T210" s="35">
        <v>1</v>
      </c>
      <c r="U210" s="34"/>
      <c r="V210" s="34"/>
      <c r="W210" s="29" t="s">
        <v>58</v>
      </c>
      <c r="X210" s="28">
        <v>31</v>
      </c>
      <c r="Y210" s="28">
        <v>1</v>
      </c>
      <c r="Z210" s="28">
        <v>2</v>
      </c>
      <c r="AA210" s="28">
        <v>3</v>
      </c>
      <c r="AB210" s="28">
        <v>1</v>
      </c>
      <c r="AC210" s="28">
        <v>2</v>
      </c>
      <c r="AD210" s="28">
        <v>2</v>
      </c>
      <c r="AE210" s="28">
        <v>2</v>
      </c>
      <c r="AF210" s="28">
        <v>2</v>
      </c>
      <c r="AG210" s="28">
        <v>2</v>
      </c>
      <c r="AH210" s="29" t="s">
        <v>1821</v>
      </c>
      <c r="AI210" s="36">
        <f>if(or(and(K210&lt;32, J210&lt;2), O210=1, P210=1, Q210=1, R210=1, S210=1, T210=1, U210=1, and(W210&lt;&gt;"", W210&lt;&gt;"Oxygen", W210&lt;&gt;"LowFlow")), "Intensive", "Intermediate")</f>
      </c>
      <c r="AJ210" s="37">
        <f>if(or(left(AH210, 1)="X", left(AH210, 1)="Y", left(AH210, 3)="J16M"), "CUSM", "No Match")</f>
      </c>
      <c r="AK210" s="37">
        <f>if(and(or(O210=3, P210=1, Q210=1, T210=1), AJ210="no Match"), "CUSM, CHU SJ, CHUQ", "")</f>
      </c>
      <c r="AL210" s="37">
        <f>IF(AND(O211=2, ISBLANK(P211), ISBLANK(Q211), ISBLANK(R211), ISBLANK(S211), ISBLANK(T211)), "CUSM, CHU SJ, CHUS, CHUQ", "")</f>
      </c>
      <c r="AM210" s="37">
        <f>if(and(AJ210="no match", AK210="", AL210="", K210&lt;26), "CUSM, CHU SJ, HGJ, CHUQ, CHUS", "")</f>
      </c>
      <c r="AN210" s="37">
        <f>if(and(AJ210="no match", AK210="", AL210="", K210&gt;26), "CUSM, CHU SJ, HGJ, CHUQ, CHUS, HMR", "")</f>
      </c>
    </row>
    <row x14ac:dyDescent="0.25" r="211" customHeight="1" ht="17.25">
      <c r="A211" s="27" t="s">
        <v>1822</v>
      </c>
      <c r="B211" s="28">
        <v>2</v>
      </c>
      <c r="C211" s="35">
        <v>730</v>
      </c>
      <c r="D211" s="29" t="s">
        <v>81</v>
      </c>
      <c r="E211" s="30" t="s">
        <v>78</v>
      </c>
      <c r="F211" s="31">
        <v>44312</v>
      </c>
      <c r="G211" s="32">
        <v>4.833333333333334</v>
      </c>
      <c r="H211" s="31">
        <v>44312</v>
      </c>
      <c r="I211" s="32">
        <v>4.715277777777778</v>
      </c>
      <c r="J211" s="33">
        <f>F211-H211</f>
      </c>
      <c r="K211" s="28">
        <v>32</v>
      </c>
      <c r="L211" s="28">
        <v>6</v>
      </c>
      <c r="M211" s="28">
        <v>1</v>
      </c>
      <c r="N211" s="34"/>
      <c r="O211" s="34"/>
      <c r="P211" s="34"/>
      <c r="Q211" s="34"/>
      <c r="R211" s="34"/>
      <c r="S211" s="34"/>
      <c r="T211" s="34"/>
      <c r="U211" s="34"/>
      <c r="V211" s="34"/>
      <c r="W211" s="29" t="s">
        <v>58</v>
      </c>
      <c r="X211" s="28">
        <v>37</v>
      </c>
      <c r="Y211" s="28">
        <v>1</v>
      </c>
      <c r="Z211" s="28">
        <v>2</v>
      </c>
      <c r="AA211" s="28">
        <v>2</v>
      </c>
      <c r="AB211" s="28">
        <v>1</v>
      </c>
      <c r="AC211" s="28">
        <v>2</v>
      </c>
      <c r="AD211" s="28">
        <v>2</v>
      </c>
      <c r="AE211" s="28">
        <v>2</v>
      </c>
      <c r="AF211" s="28">
        <v>2</v>
      </c>
      <c r="AG211" s="28">
        <v>2</v>
      </c>
      <c r="AH211" s="29" t="s">
        <v>894</v>
      </c>
      <c r="AI211" s="36">
        <f>if(or(and(K211&lt;32, J211&lt;2), O211=1, P211=1, Q211=1, R211=1, S211=1, T211=1, U211=1, and(W211&lt;&gt;"", W211&lt;&gt;"Oxygen", W211&lt;&gt;"LowFlow")), "Intensive", "Intermediate")</f>
      </c>
      <c r="AJ211" s="37">
        <f>if(or(left(AH211, 1)="X", left(AH211, 1)="Y", left(AH211, 3)="J17M"), "CUSM", "No Match")</f>
      </c>
      <c r="AK211" s="37">
        <f>if(and(or(O211=3, P211=1, Q211=1, T211=1), AJ211="no Match"), "CUSM, CHU SJ, CHUQ", "")</f>
      </c>
      <c r="AL211" s="37">
        <f>IF(AND(O212=2, ISBLANK(P212), ISBLANK(Q212), ISBLANK(R212), ISBLANK(S212), ISBLANK(T212)), "CUSM, CHU SJ, CHUS, CHUQ", "")</f>
      </c>
      <c r="AM211" s="37">
        <f>if(and(AJ211="no match", AK211="", AL211="", K211&lt;26), "CUSM, CHU SJ, HGJ, CHUQ, CHUS", "")</f>
      </c>
      <c r="AN211" s="37">
        <f>if(and(AJ211="no match", AK211="", AL211="", K211&gt;26), "CUSM, CHU SJ, HGJ, CHUQ, CHUS, HMR", "")</f>
      </c>
    </row>
    <row x14ac:dyDescent="0.25" r="212" customHeight="1" ht="17.25">
      <c r="A212" s="27" t="s">
        <v>1823</v>
      </c>
      <c r="B212" s="28">
        <v>2</v>
      </c>
      <c r="C212" s="28">
        <v>831</v>
      </c>
      <c r="D212" s="29" t="s">
        <v>313</v>
      </c>
      <c r="E212" s="30" t="s">
        <v>54</v>
      </c>
      <c r="F212" s="31">
        <v>44313</v>
      </c>
      <c r="G212" s="32">
        <v>4.136111111111111</v>
      </c>
      <c r="H212" s="31">
        <v>44312</v>
      </c>
      <c r="I212" s="32">
        <v>4.847222222222222</v>
      </c>
      <c r="J212" s="33">
        <f>F212-H212</f>
      </c>
      <c r="K212" s="28">
        <v>38</v>
      </c>
      <c r="L212" s="28">
        <v>3</v>
      </c>
      <c r="M212" s="28">
        <v>1</v>
      </c>
      <c r="N212" s="28">
        <v>1</v>
      </c>
      <c r="O212" s="38"/>
      <c r="P212" s="28">
        <v>1</v>
      </c>
      <c r="Q212" s="34"/>
      <c r="R212" s="34"/>
      <c r="S212" s="34"/>
      <c r="T212" s="34"/>
      <c r="U212" s="34"/>
      <c r="V212" s="34"/>
      <c r="W212" s="29" t="s">
        <v>74</v>
      </c>
      <c r="X212" s="28">
        <v>36</v>
      </c>
      <c r="Y212" s="28">
        <v>1</v>
      </c>
      <c r="Z212" s="28">
        <v>2</v>
      </c>
      <c r="AA212" s="28">
        <v>3</v>
      </c>
      <c r="AB212" s="28">
        <v>1</v>
      </c>
      <c r="AC212" s="28">
        <v>2</v>
      </c>
      <c r="AD212" s="28">
        <v>2</v>
      </c>
      <c r="AE212" s="28">
        <v>4</v>
      </c>
      <c r="AF212" s="28">
        <v>2</v>
      </c>
      <c r="AG212" s="28">
        <v>2</v>
      </c>
      <c r="AH212" s="29" t="s">
        <v>1824</v>
      </c>
      <c r="AI212" s="36">
        <f>if(or(and(K212&lt;32, J212&lt;2), O212=1, P212=1, Q212=1, R212=1, S212=1, T212=1, U212=1, and(W212&lt;&gt;"", W212&lt;&gt;"Oxygen", W212&lt;&gt;"LowFlow")), "Intensive", "Intermediate")</f>
      </c>
      <c r="AJ212" s="37">
        <f>if(or(left(AH212, 1)="X", left(AH212, 1)="Y", left(AH212, 3)="J18M"), "CUSM", "No Match")</f>
      </c>
      <c r="AK212" s="37">
        <f>if(and(or(O212=3, P212=1, Q212=1, T212=1), AJ212="no Match"), "CUSM, CHU SJ, CHUQ", "")</f>
      </c>
      <c r="AL212" s="37">
        <f>IF(AND(O213=2, ISBLANK(P213), ISBLANK(Q213), ISBLANK(R213), ISBLANK(S213), ISBLANK(T213)), "CUSM, CHU SJ, CHUS, CHUQ", "")</f>
      </c>
      <c r="AM212" s="37">
        <f>if(and(AJ212="no match", AK212="", AL212="", K212&lt;26), "CUSM, CHU SJ, HGJ, CHUQ, CHUS", "")</f>
      </c>
      <c r="AN212" s="37">
        <f>if(and(AJ212="no match", AK212="", AL212="", K212&gt;26), "CUSM, CHU SJ, HGJ, CHUQ, CHUS, HMR", "")</f>
      </c>
    </row>
    <row x14ac:dyDescent="0.25" r="213" customHeight="1" ht="17.25">
      <c r="A213" s="27" t="s">
        <v>1825</v>
      </c>
      <c r="B213" s="28">
        <v>2</v>
      </c>
      <c r="C213" s="35">
        <v>779</v>
      </c>
      <c r="D213" s="29" t="s">
        <v>136</v>
      </c>
      <c r="E213" s="30" t="s">
        <v>220</v>
      </c>
      <c r="F213" s="31">
        <v>44313</v>
      </c>
      <c r="G213" s="32">
        <v>4.697222222222223</v>
      </c>
      <c r="H213" s="31">
        <v>44313</v>
      </c>
      <c r="I213" s="32">
        <v>4.451388888888889</v>
      </c>
      <c r="J213" s="33">
        <f>F213-H213</f>
      </c>
      <c r="K213" s="28">
        <v>32</v>
      </c>
      <c r="L213" s="28">
        <v>0</v>
      </c>
      <c r="M213" s="28">
        <v>2</v>
      </c>
      <c r="N213" s="34"/>
      <c r="O213" s="34"/>
      <c r="P213" s="34"/>
      <c r="Q213" s="34"/>
      <c r="R213" s="34"/>
      <c r="S213" s="34"/>
      <c r="T213" s="34"/>
      <c r="U213" s="34"/>
      <c r="V213" s="34"/>
      <c r="W213" s="29" t="s">
        <v>164</v>
      </c>
      <c r="X213" s="28">
        <v>44</v>
      </c>
      <c r="Y213" s="28">
        <v>1</v>
      </c>
      <c r="Z213" s="28">
        <v>1</v>
      </c>
      <c r="AA213" s="28">
        <v>2</v>
      </c>
      <c r="AB213" s="28">
        <v>1</v>
      </c>
      <c r="AC213" s="28">
        <v>1</v>
      </c>
      <c r="AD213" s="28">
        <v>2</v>
      </c>
      <c r="AE213" s="28">
        <v>4</v>
      </c>
      <c r="AF213" s="35">
        <v>2</v>
      </c>
      <c r="AG213" s="28">
        <v>2</v>
      </c>
      <c r="AH213" s="29" t="s">
        <v>1826</v>
      </c>
      <c r="AI213" s="36">
        <f>if(or(and(K213&lt;32, J213&lt;2), O213=1, P213=1, Q213=1, R213=1, S213=1, T213=1, U213=1, and(W213&lt;&gt;"", W213&lt;&gt;"Oxygen", W213&lt;&gt;"LowFlow")), "Intensive", "Intermediate")</f>
      </c>
      <c r="AJ213" s="37">
        <f>if(or(left(AH213, 1)="X", left(AH213, 1)="Y", left(AH213, 3)="J19M"), "CUSM", "No Match")</f>
      </c>
      <c r="AK213" s="37">
        <f>if(and(or(O213=3, P213=1, Q213=1, T213=1), AJ213="no Match"), "CUSM, CHU SJ, CHUQ", "")</f>
      </c>
      <c r="AL213" s="37">
        <f>IF(AND(O214=2, ISBLANK(P214), ISBLANK(Q214), ISBLANK(R214), ISBLANK(S214), ISBLANK(T214)), "CUSM, CHU SJ, CHUS, CHUQ", "")</f>
      </c>
      <c r="AM213" s="37">
        <f>if(and(AJ213="no match", AK213="", AL213="", K213&lt;26), "CUSM, CHU SJ, HGJ, CHUQ, CHUS", "")</f>
      </c>
      <c r="AN213" s="37">
        <f>if(and(AJ213="no match", AK213="", AL213="", K213&gt;26), "CUSM, CHU SJ, HGJ, CHUQ, CHUS, HMR", "")</f>
      </c>
    </row>
    <row x14ac:dyDescent="0.25" r="214" customHeight="1" ht="17.25">
      <c r="A214" s="27" t="s">
        <v>1827</v>
      </c>
      <c r="B214" s="28">
        <v>2</v>
      </c>
      <c r="C214" s="35">
        <v>835</v>
      </c>
      <c r="D214" s="29" t="s">
        <v>170</v>
      </c>
      <c r="E214" s="30" t="s">
        <v>54</v>
      </c>
      <c r="F214" s="31">
        <v>44315</v>
      </c>
      <c r="G214" s="32">
        <v>4.833333333333334</v>
      </c>
      <c r="H214" s="31">
        <v>44314</v>
      </c>
      <c r="I214" s="32">
        <v>4.188888888888889</v>
      </c>
      <c r="J214" s="33">
        <f>F214-H214</f>
      </c>
      <c r="K214" s="28">
        <v>38</v>
      </c>
      <c r="L214" s="28">
        <v>6</v>
      </c>
      <c r="M214" s="28">
        <v>2</v>
      </c>
      <c r="N214" s="34"/>
      <c r="O214" s="34"/>
      <c r="P214" s="34"/>
      <c r="Q214" s="34"/>
      <c r="R214" s="34"/>
      <c r="S214" s="34"/>
      <c r="T214" s="34"/>
      <c r="U214" s="34"/>
      <c r="V214" s="34"/>
      <c r="W214" s="29"/>
      <c r="X214" s="28">
        <v>40</v>
      </c>
      <c r="Y214" s="28">
        <v>1</v>
      </c>
      <c r="Z214" s="28">
        <v>1</v>
      </c>
      <c r="AA214" s="28">
        <v>2</v>
      </c>
      <c r="AB214" s="28">
        <v>1</v>
      </c>
      <c r="AC214" s="28">
        <v>2</v>
      </c>
      <c r="AD214" s="28">
        <v>2</v>
      </c>
      <c r="AE214" s="28">
        <v>4</v>
      </c>
      <c r="AF214" s="28">
        <v>2</v>
      </c>
      <c r="AG214" s="28">
        <v>2</v>
      </c>
      <c r="AH214" s="29" t="s">
        <v>1828</v>
      </c>
      <c r="AI214" s="36">
        <f>if(or(and(K214&lt;32, J214&lt;2), O214=1, P214=1, Q214=1, R214=1, S214=1, T214=1, U214=1, and(W214&lt;&gt;"", W214&lt;&gt;"Oxygen", W214&lt;&gt;"LowFlow")), "Intensive", "Intermediate")</f>
      </c>
      <c r="AJ214" s="37">
        <f>if(or(left(AH214, 1)="X", left(AH214, 1)="Y", left(AH214, 3)="J20M"), "CUSM", "No Match")</f>
      </c>
      <c r="AK214" s="37">
        <f>if(and(or(O214=3, P214=1, Q214=1, T214=1), AJ214="no Match"), "CUSM, CHU SJ, CHUQ", "")</f>
      </c>
      <c r="AL214" s="37">
        <f>IF(AND(O215=2, ISBLANK(P215), ISBLANK(Q215), ISBLANK(R215), ISBLANK(S215), ISBLANK(T215)), "CUSM, CHU SJ, CHUS, CHUQ", "")</f>
      </c>
      <c r="AM214" s="37">
        <f>if(and(AJ214="no match", AK214="", AL214="", K214&lt;26), "CUSM, CHU SJ, HGJ, CHUQ, CHUS", "")</f>
      </c>
      <c r="AN214" s="37">
        <f>if(and(AJ214="no match", AK214="", AL214="", K214&gt;26), "CUSM, CHU SJ, HGJ, CHUQ, CHUS, HMR", "")</f>
      </c>
    </row>
    <row x14ac:dyDescent="0.25" r="215" customHeight="1" ht="17.25">
      <c r="A215" s="27" t="s">
        <v>1829</v>
      </c>
      <c r="B215" s="28">
        <v>2</v>
      </c>
      <c r="C215" s="35">
        <v>832</v>
      </c>
      <c r="D215" s="29" t="s">
        <v>308</v>
      </c>
      <c r="E215" s="30" t="s">
        <v>54</v>
      </c>
      <c r="F215" s="31">
        <v>44315</v>
      </c>
      <c r="G215" s="32">
        <v>4.059027777777778</v>
      </c>
      <c r="H215" s="31">
        <v>44313</v>
      </c>
      <c r="I215" s="32">
        <v>4.25</v>
      </c>
      <c r="J215" s="33">
        <f>F215-H215</f>
      </c>
      <c r="K215" s="28">
        <v>38</v>
      </c>
      <c r="L215" s="28">
        <v>5</v>
      </c>
      <c r="M215" s="28">
        <v>2</v>
      </c>
      <c r="N215" s="34"/>
      <c r="O215" s="34"/>
      <c r="P215" s="34"/>
      <c r="Q215" s="34"/>
      <c r="R215" s="34"/>
      <c r="S215" s="34"/>
      <c r="T215" s="34"/>
      <c r="U215" s="34"/>
      <c r="V215" s="34"/>
      <c r="W215" s="29"/>
      <c r="X215" s="28">
        <v>30</v>
      </c>
      <c r="Y215" s="28">
        <v>1</v>
      </c>
      <c r="Z215" s="28">
        <v>1</v>
      </c>
      <c r="AA215" s="28">
        <v>2</v>
      </c>
      <c r="AB215" s="28">
        <v>1</v>
      </c>
      <c r="AC215" s="28">
        <v>2</v>
      </c>
      <c r="AD215" s="28">
        <v>1</v>
      </c>
      <c r="AE215" s="28">
        <v>4</v>
      </c>
      <c r="AF215" s="28">
        <v>2</v>
      </c>
      <c r="AG215" s="28">
        <v>2</v>
      </c>
      <c r="AH215" s="29" t="s">
        <v>1830</v>
      </c>
      <c r="AI215" s="36">
        <f>if(or(and(K215&lt;32, J215&lt;2), O215=1, P215=1, Q215=1, R215=1, S215=1, T215=1, U215=1, and(W215&lt;&gt;"", W215&lt;&gt;"Oxygen", W215&lt;&gt;"LowFlow")), "Intensive", "Intermediate")</f>
      </c>
      <c r="AJ215" s="37">
        <f>if(or(left(AH215, 1)="X", left(AH215, 1)="Y", left(AH215, 3)="J21M"), "CUSM", "No Match")</f>
      </c>
      <c r="AK215" s="37">
        <f>if(and(or(O215=3, P215=1, Q215=1, T215=1), AJ215="no Match"), "CUSM, CHU SJ, CHUQ", "")</f>
      </c>
      <c r="AL215" s="37">
        <f>IF(AND(O216=2, ISBLANK(P216), ISBLANK(Q216), ISBLANK(R216), ISBLANK(S216), ISBLANK(T216)), "CUSM, CHU SJ, CHUS, CHUQ", "")</f>
      </c>
      <c r="AM215" s="37">
        <f>if(and(AJ215="no match", AK215="", AL215="", K215&lt;26), "CUSM, CHU SJ, HGJ, CHUQ, CHUS", "")</f>
      </c>
      <c r="AN215" s="37">
        <f>if(and(AJ215="no match", AK215="", AL215="", K215&gt;26), "CUSM, CHU SJ, HGJ, CHUQ, CHUS, HMR", "")</f>
      </c>
    </row>
    <row x14ac:dyDescent="0.25" r="216" customHeight="1" ht="17.25">
      <c r="A216" s="27" t="s">
        <v>1831</v>
      </c>
      <c r="B216" s="28">
        <v>2</v>
      </c>
      <c r="C216" s="35">
        <v>833</v>
      </c>
      <c r="D216" s="29" t="s">
        <v>376</v>
      </c>
      <c r="E216" s="30" t="s">
        <v>54</v>
      </c>
      <c r="F216" s="31">
        <v>44315</v>
      </c>
      <c r="G216" s="32">
        <v>4.708333333333334</v>
      </c>
      <c r="H216" s="31">
        <v>44314</v>
      </c>
      <c r="I216" s="32">
        <v>4.173611111111111</v>
      </c>
      <c r="J216" s="33">
        <f>F216-H216</f>
      </c>
      <c r="K216" s="28">
        <v>39</v>
      </c>
      <c r="L216" s="28">
        <v>1</v>
      </c>
      <c r="M216" s="28">
        <v>2</v>
      </c>
      <c r="N216" s="35">
        <v>1</v>
      </c>
      <c r="O216" s="35">
        <v>2</v>
      </c>
      <c r="P216" s="35">
        <v>1</v>
      </c>
      <c r="Q216" s="34"/>
      <c r="R216" s="34"/>
      <c r="S216" s="34"/>
      <c r="T216" s="34"/>
      <c r="U216" s="34"/>
      <c r="V216" s="34"/>
      <c r="W216" s="29"/>
      <c r="X216" s="28">
        <v>32</v>
      </c>
      <c r="Y216" s="28">
        <v>1</v>
      </c>
      <c r="Z216" s="28">
        <v>1</v>
      </c>
      <c r="AA216" s="28">
        <v>2</v>
      </c>
      <c r="AB216" s="28">
        <v>1</v>
      </c>
      <c r="AC216" s="28">
        <v>1</v>
      </c>
      <c r="AD216" s="28">
        <v>2</v>
      </c>
      <c r="AE216" s="28">
        <v>4</v>
      </c>
      <c r="AF216" s="28">
        <v>2</v>
      </c>
      <c r="AG216" s="28">
        <v>2</v>
      </c>
      <c r="AH216" s="29" t="s">
        <v>1832</v>
      </c>
      <c r="AI216" s="36">
        <f>if(or(and(K216&lt;32, J216&lt;2), O216=1, P216=1, Q216=1, R216=1, S216=1, T216=1, U216=1, and(W216&lt;&gt;"", W216&lt;&gt;"Oxygen", W216&lt;&gt;"LowFlow")), "Intensive", "Intermediate")</f>
      </c>
      <c r="AJ216" s="37">
        <f>if(or(left(AH216, 1)="X", left(AH216, 1)="Y", left(AH216, 3)="J22M"), "CUSM", "No Match")</f>
      </c>
      <c r="AK216" s="37">
        <f>if(and(or(O216=3, P216=1, Q216=1, T216=1), AJ216="no Match"), "CUSM, CHU SJ, CHUQ", "")</f>
      </c>
      <c r="AL216" s="37">
        <f>IF(AND(O217=2, ISBLANK(P217), ISBLANK(Q217), ISBLANK(R217), ISBLANK(S217), ISBLANK(T217)), "CUSM, CHU SJ, CHUS, CHUQ", "")</f>
      </c>
      <c r="AM216" s="37">
        <f>if(and(AJ216="no match", AK216="", AL216="", K216&lt;26), "CUSM, CHU SJ, HGJ, CHUQ, CHUS", "")</f>
      </c>
      <c r="AN216" s="37">
        <f>if(and(AJ216="no match", AK216="", AL216="", K216&gt;26), "CUSM, CHU SJ, HGJ, CHUQ, CHUS, HMR", "")</f>
      </c>
    </row>
    <row x14ac:dyDescent="0.25" r="217" customHeight="1" ht="17.25">
      <c r="A217" s="27" t="s">
        <v>1833</v>
      </c>
      <c r="B217" s="28">
        <v>2</v>
      </c>
      <c r="C217" s="35">
        <v>833</v>
      </c>
      <c r="D217" s="29" t="s">
        <v>376</v>
      </c>
      <c r="E217" s="30" t="s">
        <v>50</v>
      </c>
      <c r="F217" s="31">
        <v>44315</v>
      </c>
      <c r="G217" s="32">
        <v>4.135416666666666</v>
      </c>
      <c r="H217" s="31">
        <v>44314</v>
      </c>
      <c r="I217" s="32">
        <v>4.856944444444444</v>
      </c>
      <c r="J217" s="33">
        <f>F217-H217</f>
      </c>
      <c r="K217" s="28">
        <v>35</v>
      </c>
      <c r="L217" s="28">
        <v>4</v>
      </c>
      <c r="M217" s="28">
        <v>2</v>
      </c>
      <c r="N217" s="35">
        <v>1</v>
      </c>
      <c r="O217" s="34"/>
      <c r="P217" s="35">
        <v>1</v>
      </c>
      <c r="Q217" s="34"/>
      <c r="R217" s="34"/>
      <c r="S217" s="34"/>
      <c r="T217" s="34"/>
      <c r="U217" s="34"/>
      <c r="V217" s="34"/>
      <c r="W217" s="29" t="s">
        <v>58</v>
      </c>
      <c r="X217" s="28">
        <v>27</v>
      </c>
      <c r="Y217" s="28">
        <v>1</v>
      </c>
      <c r="Z217" s="28">
        <v>2</v>
      </c>
      <c r="AA217" s="28">
        <v>3</v>
      </c>
      <c r="AB217" s="28">
        <v>2</v>
      </c>
      <c r="AC217" s="28">
        <v>1</v>
      </c>
      <c r="AD217" s="28">
        <v>2</v>
      </c>
      <c r="AE217" s="28">
        <v>4</v>
      </c>
      <c r="AF217" s="28">
        <v>2</v>
      </c>
      <c r="AG217" s="28">
        <v>2</v>
      </c>
      <c r="AH217" s="29" t="s">
        <v>519</v>
      </c>
      <c r="AI217" s="36">
        <f>if(or(and(K217&lt;32, J217&lt;2), O217=1, P217=1, Q217=1, R217=1, S217=1, T217=1, U217=1, and(W217&lt;&gt;"", W217&lt;&gt;"Oxygen", W217&lt;&gt;"LowFlow")), "Intensive", "Intermediate")</f>
      </c>
      <c r="AJ217" s="37">
        <f>if(or(left(AH217, 1)="X", left(AH217, 1)="Y", left(AH217, 3)="J23M"), "CUSM", "No Match")</f>
      </c>
      <c r="AK217" s="37">
        <f>if(and(or(O217=3, P217=1, Q217=1, T217=1), AJ217="no Match"), "CUSM, CHU SJ, CHUQ", "")</f>
      </c>
      <c r="AL217" s="37">
        <f>IF(AND(O218=2, ISBLANK(P218), ISBLANK(Q218), ISBLANK(R218), ISBLANK(S218), ISBLANK(T218)), "CUSM, CHU SJ, CHUS, CHUQ", "")</f>
      </c>
      <c r="AM217" s="37">
        <f>if(and(AJ217="no match", AK217="", AL217="", K217&lt;26), "CUSM, CHU SJ, HGJ, CHUQ, CHUS", "")</f>
      </c>
      <c r="AN217" s="37">
        <f>if(and(AJ217="no match", AK217="", AL217="", K217&gt;26), "CUSM, CHU SJ, HGJ, CHUQ, CHUS, HMR", "")</f>
      </c>
    </row>
    <row x14ac:dyDescent="0.25" r="218" customHeight="1" ht="17.25">
      <c r="A218" s="27" t="s">
        <v>1834</v>
      </c>
      <c r="B218" s="28">
        <v>2</v>
      </c>
      <c r="C218" s="35">
        <v>756</v>
      </c>
      <c r="D218" s="29" t="s">
        <v>66</v>
      </c>
      <c r="E218" s="30" t="s">
        <v>50</v>
      </c>
      <c r="F218" s="31">
        <v>44315</v>
      </c>
      <c r="G218" s="32">
        <v>4.722222222222222</v>
      </c>
      <c r="H218" s="31">
        <v>44313</v>
      </c>
      <c r="I218" s="32">
        <v>4.989583333333334</v>
      </c>
      <c r="J218" s="33">
        <f>F218-H218</f>
      </c>
      <c r="K218" s="28">
        <v>37</v>
      </c>
      <c r="L218" s="28">
        <v>0</v>
      </c>
      <c r="M218" s="28">
        <v>2</v>
      </c>
      <c r="N218" s="34"/>
      <c r="O218" s="35">
        <v>2</v>
      </c>
      <c r="P218" s="35">
        <v>1</v>
      </c>
      <c r="Q218" s="34"/>
      <c r="R218" s="34"/>
      <c r="S218" s="34"/>
      <c r="T218" s="34"/>
      <c r="U218" s="34"/>
      <c r="V218" s="34"/>
      <c r="W218" s="29"/>
      <c r="X218" s="28">
        <v>38</v>
      </c>
      <c r="Y218" s="28">
        <v>2</v>
      </c>
      <c r="Z218" s="28">
        <v>2</v>
      </c>
      <c r="AA218" s="28">
        <v>2</v>
      </c>
      <c r="AB218" s="28">
        <v>1</v>
      </c>
      <c r="AC218" s="28">
        <v>2</v>
      </c>
      <c r="AD218" s="28">
        <v>1</v>
      </c>
      <c r="AE218" s="28">
        <v>4</v>
      </c>
      <c r="AF218" s="28">
        <v>2</v>
      </c>
      <c r="AG218" s="28">
        <v>2</v>
      </c>
      <c r="AH218" s="29" t="s">
        <v>1835</v>
      </c>
      <c r="AI218" s="36">
        <f>if(or(and(K218&lt;32, J218&lt;2), O218=1, P218=1, Q218=1, R218=1, S218=1, T218=1, U218=1, and(W218&lt;&gt;"", W218&lt;&gt;"Oxygen", W218&lt;&gt;"LowFlow")), "Intensive", "Intermediate")</f>
      </c>
      <c r="AJ218" s="37">
        <f>if(or(left(AH218, 1)="X", left(AH218, 1)="Y", left(AH218, 3)="J24M"), "CUSM", "No Match")</f>
      </c>
      <c r="AK218" s="37">
        <f>if(and(or(O218=3, P218=1, Q218=1, T218=1), AJ218="no Match"), "CUSM, CHU SJ, CHUQ", "")</f>
      </c>
      <c r="AL218" s="37">
        <f>IF(AND(O219=2, ISBLANK(P219), ISBLANK(Q219), ISBLANK(R219), ISBLANK(S219), ISBLANK(T219)), "CUSM, CHU SJ, CHUS, CHUQ", "")</f>
      </c>
      <c r="AM218" s="37">
        <f>if(and(AJ218="no match", AK218="", AL218="", K218&lt;26), "CUSM, CHU SJ, HGJ, CHUQ, CHUS", "")</f>
      </c>
      <c r="AN218" s="37">
        <f>if(and(AJ218="no match", AK218="", AL218="", K218&gt;26), "CUSM, CHU SJ, HGJ, CHUQ, CHUS, HMR", "")</f>
      </c>
    </row>
    <row x14ac:dyDescent="0.25" r="219" customHeight="1" ht="17.25">
      <c r="A219" s="27" t="s">
        <v>1836</v>
      </c>
      <c r="B219" s="28">
        <v>2</v>
      </c>
      <c r="C219" s="35">
        <v>782</v>
      </c>
      <c r="D219" s="29" t="s">
        <v>95</v>
      </c>
      <c r="E219" s="30" t="s">
        <v>50</v>
      </c>
      <c r="F219" s="31">
        <v>44316</v>
      </c>
      <c r="G219" s="32">
        <v>4.569444444444445</v>
      </c>
      <c r="H219" s="31">
        <v>44316</v>
      </c>
      <c r="I219" s="32">
        <v>4.426388888888889</v>
      </c>
      <c r="J219" s="33">
        <f>F219-H219</f>
      </c>
      <c r="K219" s="28">
        <v>36</v>
      </c>
      <c r="L219" s="28">
        <v>3</v>
      </c>
      <c r="M219" s="28">
        <v>1</v>
      </c>
      <c r="N219" s="34"/>
      <c r="O219" s="34"/>
      <c r="P219" s="34"/>
      <c r="Q219" s="34"/>
      <c r="R219" s="34"/>
      <c r="S219" s="34"/>
      <c r="T219" s="34"/>
      <c r="U219" s="38"/>
      <c r="V219" s="38"/>
      <c r="W219" s="29" t="s">
        <v>58</v>
      </c>
      <c r="X219" s="28">
        <v>43</v>
      </c>
      <c r="Y219" s="28">
        <v>1</v>
      </c>
      <c r="Z219" s="28">
        <v>2</v>
      </c>
      <c r="AA219" s="28">
        <v>1</v>
      </c>
      <c r="AB219" s="28">
        <v>1</v>
      </c>
      <c r="AC219" s="28">
        <v>1</v>
      </c>
      <c r="AD219" s="28">
        <v>1</v>
      </c>
      <c r="AE219" s="28">
        <v>4</v>
      </c>
      <c r="AF219" s="28">
        <v>2</v>
      </c>
      <c r="AG219" s="28">
        <v>2</v>
      </c>
      <c r="AH219" s="29" t="s">
        <v>1837</v>
      </c>
      <c r="AI219" s="36">
        <f>if(or(and(K219&lt;32, J219&lt;2), O219=1, P219=1, Q219=1, R219=1, S219=1, T219=1, U219=1, and(W219&lt;&gt;"", W219&lt;&gt;"Oxygen", W219&lt;&gt;"LowFlow")), "Intensive", "Intermediate")</f>
      </c>
      <c r="AJ219" s="37">
        <f>if(or(left(AH219, 1)="X", left(AH219, 1)="Y", left(AH219, 3)="J25M"), "CUSM", "No Match")</f>
      </c>
      <c r="AK219" s="37">
        <f>if(and(or(O219=3, P219=1, Q219=1, T219=1), AJ219="no Match"), "CUSM, CHU SJ, CHUQ", "")</f>
      </c>
      <c r="AL219" s="37">
        <f>IF(AND(O220=2, ISBLANK(P220), ISBLANK(Q220), ISBLANK(R220), ISBLANK(S220), ISBLANK(T220)), "CUSM, CHU SJ, CHUS, CHUQ", "")</f>
      </c>
      <c r="AM219" s="37">
        <f>if(and(AJ219="no match", AK219="", AL219="", K219&lt;26), "CUSM, CHU SJ, HGJ, CHUQ, CHUS", "")</f>
      </c>
      <c r="AN219" s="37">
        <f>if(and(AJ219="no match", AK219="", AL219="", K219&gt;26), "CUSM, CHU SJ, HGJ, CHUQ, CHUS, HMR", "")</f>
      </c>
    </row>
    <row x14ac:dyDescent="0.25" r="220" customHeight="1" ht="17.25">
      <c r="A220" s="27" t="s">
        <v>1838</v>
      </c>
      <c r="B220" s="28">
        <v>2</v>
      </c>
      <c r="C220" s="28">
        <v>734</v>
      </c>
      <c r="D220" s="29" t="s">
        <v>264</v>
      </c>
      <c r="E220" s="30" t="s">
        <v>50</v>
      </c>
      <c r="F220" s="31">
        <v>44317</v>
      </c>
      <c r="G220" s="32">
        <v>4.677083333333334</v>
      </c>
      <c r="H220" s="31">
        <v>44314</v>
      </c>
      <c r="I220" s="32">
        <v>4.985416666666667</v>
      </c>
      <c r="J220" s="33">
        <f>F220-H220</f>
      </c>
      <c r="K220" s="28">
        <v>36</v>
      </c>
      <c r="L220" s="28">
        <v>4</v>
      </c>
      <c r="M220" s="28">
        <v>1</v>
      </c>
      <c r="N220" s="34"/>
      <c r="O220" s="34"/>
      <c r="P220" s="34"/>
      <c r="Q220" s="34"/>
      <c r="R220" s="34"/>
      <c r="S220" s="34"/>
      <c r="T220" s="34"/>
      <c r="U220" s="34"/>
      <c r="V220" s="34"/>
      <c r="W220" s="29"/>
      <c r="X220" s="28">
        <v>28</v>
      </c>
      <c r="Y220" s="28">
        <v>1</v>
      </c>
      <c r="Z220" s="28">
        <v>1</v>
      </c>
      <c r="AA220" s="28">
        <v>2</v>
      </c>
      <c r="AB220" s="28">
        <v>2</v>
      </c>
      <c r="AC220" s="28">
        <v>2</v>
      </c>
      <c r="AD220" s="28">
        <v>2</v>
      </c>
      <c r="AE220" s="28">
        <v>4</v>
      </c>
      <c r="AF220" s="28">
        <v>3</v>
      </c>
      <c r="AG220" s="28">
        <v>3</v>
      </c>
      <c r="AH220" s="29" t="s">
        <v>1839</v>
      </c>
      <c r="AI220" s="36">
        <f>if(or(and(K220&lt;32, J220&lt;2), O220=1, P220=1, Q220=1, R220=1, S220=1, T220=1, U220=1, and(W220&lt;&gt;"", W220&lt;&gt;"Oxygen", W220&lt;&gt;"LowFlow")), "Intensive", "Intermediate")</f>
      </c>
      <c r="AJ220" s="37">
        <f>if(or(left(AH220, 1)="X", left(AH220, 1)="Y", left(AH220, 3)="J26M"), "CUSM", "No Match")</f>
      </c>
      <c r="AK220" s="37">
        <f>if(and(or(O220=3, P220=1, Q220=1, T220=1), AJ220="no Match"), "CUSM, CHU SJ, CHUQ", "")</f>
      </c>
      <c r="AL220" s="37">
        <f>IF(AND(O221=2, ISBLANK(P221), ISBLANK(Q221), ISBLANK(R221), ISBLANK(S221), ISBLANK(T221)), "CUSM, CHU SJ, CHUS, CHUQ", "")</f>
      </c>
      <c r="AM220" s="37">
        <f>if(and(AJ220="no match", AK220="", AL220="", K220&lt;26), "CUSM, CHU SJ, HGJ, CHUQ, CHUS", "")</f>
      </c>
      <c r="AN220" s="37">
        <f>if(and(AJ220="no match", AK220="", AL220="", K220&gt;26), "CUSM, CHU SJ, HGJ, CHUQ, CHUS, HMR", "")</f>
      </c>
    </row>
    <row x14ac:dyDescent="0.25" r="221" customHeight="1" ht="17.25">
      <c r="A221" s="27" t="s">
        <v>1840</v>
      </c>
      <c r="B221" s="28">
        <v>2</v>
      </c>
      <c r="C221" s="35">
        <v>795</v>
      </c>
      <c r="D221" s="29" t="s">
        <v>73</v>
      </c>
      <c r="E221" s="30" t="s">
        <v>54</v>
      </c>
      <c r="F221" s="31">
        <v>44318</v>
      </c>
      <c r="G221" s="32">
        <v>4.3909722222222225</v>
      </c>
      <c r="H221" s="31">
        <v>44317</v>
      </c>
      <c r="I221" s="32">
        <v>4.95</v>
      </c>
      <c r="J221" s="33">
        <f>F221-H221</f>
      </c>
      <c r="K221" s="28">
        <v>40</v>
      </c>
      <c r="L221" s="28">
        <v>4</v>
      </c>
      <c r="M221" s="28">
        <v>1</v>
      </c>
      <c r="N221" s="35">
        <v>1</v>
      </c>
      <c r="O221" s="35">
        <v>2</v>
      </c>
      <c r="P221" s="35">
        <v>1</v>
      </c>
      <c r="Q221" s="34"/>
      <c r="R221" s="34"/>
      <c r="S221" s="34"/>
      <c r="T221" s="34"/>
      <c r="U221" s="34"/>
      <c r="V221" s="38"/>
      <c r="W221" s="29" t="s">
        <v>74</v>
      </c>
      <c r="X221" s="28">
        <v>22</v>
      </c>
      <c r="Y221" s="28">
        <v>1</v>
      </c>
      <c r="Z221" s="28">
        <v>1</v>
      </c>
      <c r="AA221" s="28">
        <v>3</v>
      </c>
      <c r="AB221" s="28">
        <v>4</v>
      </c>
      <c r="AC221" s="28">
        <v>2</v>
      </c>
      <c r="AD221" s="28">
        <v>2</v>
      </c>
      <c r="AE221" s="28">
        <v>4</v>
      </c>
      <c r="AF221" s="28">
        <v>2</v>
      </c>
      <c r="AG221" s="28">
        <v>2</v>
      </c>
      <c r="AH221" s="29" t="s">
        <v>1841</v>
      </c>
      <c r="AI221" s="36">
        <f>if(or(and(K221&lt;32, J221&lt;2), O221=1, P221=1, Q221=1, R221=1, S221=1, T221=1, U221=1, and(W221&lt;&gt;"", W221&lt;&gt;"Oxygen", W221&lt;&gt;"LowFlow")), "Intensive", "Intermediate")</f>
      </c>
      <c r="AJ221" s="37">
        <f>if(or(left(AH221, 1)="X", left(AH221, 1)="Y", left(AH221, 3)="J27M"), "CUSM", "No Match")</f>
      </c>
      <c r="AK221" s="37">
        <f>if(and(or(O221=3, P221=1, Q221=1, T221=1), AJ221="no Match"), "CUSM, CHU SJ, CHUQ", "")</f>
      </c>
      <c r="AL221" s="37">
        <f>IF(AND(O222=2, ISBLANK(P222), ISBLANK(Q222), ISBLANK(R222), ISBLANK(S222), ISBLANK(T222)), "CUSM, CHU SJ, CHUS, CHUQ", "")</f>
      </c>
      <c r="AM221" s="37">
        <f>if(and(AJ221="no match", AK221="", AL221="", K221&lt;26), "CUSM, CHU SJ, HGJ, CHUQ, CHUS", "")</f>
      </c>
      <c r="AN221" s="37">
        <f>if(and(AJ221="no match", AK221="", AL221="", K221&gt;26), "CUSM, CHU SJ, HGJ, CHUQ, CHUS, HMR", "")</f>
      </c>
    </row>
    <row x14ac:dyDescent="0.25" r="222" customHeight="1" ht="17.25">
      <c r="A222" s="27" t="s">
        <v>1842</v>
      </c>
      <c r="B222" s="28">
        <v>2</v>
      </c>
      <c r="C222" s="35">
        <v>796</v>
      </c>
      <c r="D222" s="29" t="s">
        <v>63</v>
      </c>
      <c r="E222" s="30" t="s">
        <v>78</v>
      </c>
      <c r="F222" s="31">
        <v>44318</v>
      </c>
      <c r="G222" s="32">
        <v>4.701388888888889</v>
      </c>
      <c r="H222" s="31">
        <v>44316</v>
      </c>
      <c r="I222" s="32">
        <v>4.799305555555556</v>
      </c>
      <c r="J222" s="33">
        <f>F222-H222</f>
      </c>
      <c r="K222" s="28">
        <v>39</v>
      </c>
      <c r="L222" s="28">
        <v>0</v>
      </c>
      <c r="M222" s="28">
        <v>2</v>
      </c>
      <c r="N222" s="34"/>
      <c r="O222" s="34"/>
      <c r="P222" s="34"/>
      <c r="Q222" s="34"/>
      <c r="R222" s="34"/>
      <c r="S222" s="34"/>
      <c r="T222" s="34"/>
      <c r="U222" s="34"/>
      <c r="V222" s="34"/>
      <c r="W222" s="29"/>
      <c r="X222" s="28">
        <v>29</v>
      </c>
      <c r="Y222" s="28">
        <v>1</v>
      </c>
      <c r="Z222" s="28">
        <v>2</v>
      </c>
      <c r="AA222" s="28">
        <v>3</v>
      </c>
      <c r="AB222" s="28">
        <v>1</v>
      </c>
      <c r="AC222" s="28">
        <v>2</v>
      </c>
      <c r="AD222" s="28">
        <v>2</v>
      </c>
      <c r="AE222" s="28">
        <v>4</v>
      </c>
      <c r="AF222" s="28">
        <v>3</v>
      </c>
      <c r="AG222" s="28">
        <v>2</v>
      </c>
      <c r="AH222" s="29" t="s">
        <v>1843</v>
      </c>
      <c r="AI222" s="36">
        <f>if(or(and(K222&lt;32, J222&lt;2), O222=1, P222=1, Q222=1, R222=1, S222=1, T222=1, U222=1, and(W222&lt;&gt;"", W222&lt;&gt;"Oxygen", W222&lt;&gt;"LowFlow")), "Intensive", "Intermediate")</f>
      </c>
      <c r="AJ222" s="37">
        <f>if(or(left(AH222, 1)="X", left(AH222, 1)="Y", left(AH222, 3)="J28M"), "CUSM", "No Match")</f>
      </c>
      <c r="AK222" s="37">
        <f>if(and(or(O222=3, P222=1, Q222=1, T222=1), AJ222="no Match"), "CUSM, CHU SJ, CHUQ", "")</f>
      </c>
      <c r="AL222" s="37">
        <f>IF(AND(O223=2, ISBLANK(P223), ISBLANK(Q223), ISBLANK(R223), ISBLANK(S223), ISBLANK(T223)), "CUSM, CHU SJ, CHUS, CHUQ", "")</f>
      </c>
      <c r="AM222" s="37">
        <f>if(and(AJ222="no match", AK222="", AL222="", K222&lt;26), "CUSM, CHU SJ, HGJ, CHUQ, CHUS", "")</f>
      </c>
      <c r="AN222" s="37">
        <f>if(and(AJ222="no match", AK222="", AL222="", K222&gt;26), "CUSM, CHU SJ, HGJ, CHUQ, CHUS, HMR", "")</f>
      </c>
    </row>
    <row x14ac:dyDescent="0.25" r="223" customHeight="1" ht="17.25">
      <c r="A223" s="27" t="s">
        <v>1844</v>
      </c>
      <c r="B223" s="28">
        <v>2</v>
      </c>
      <c r="C223" s="35">
        <v>734</v>
      </c>
      <c r="D223" s="29" t="s">
        <v>264</v>
      </c>
      <c r="E223" s="30" t="s">
        <v>54</v>
      </c>
      <c r="F223" s="31">
        <v>44319</v>
      </c>
      <c r="G223" s="32">
        <v>4.034027777777778</v>
      </c>
      <c r="H223" s="31">
        <v>44318</v>
      </c>
      <c r="I223" s="32">
        <v>4.8625</v>
      </c>
      <c r="J223" s="33">
        <f>F223-H223</f>
      </c>
      <c r="K223" s="28">
        <v>39</v>
      </c>
      <c r="L223" s="28">
        <v>0</v>
      </c>
      <c r="M223" s="28">
        <v>2</v>
      </c>
      <c r="N223" s="34"/>
      <c r="O223" s="34"/>
      <c r="P223" s="34"/>
      <c r="Q223" s="34"/>
      <c r="R223" s="34"/>
      <c r="S223" s="34"/>
      <c r="T223" s="35">
        <v>1</v>
      </c>
      <c r="U223" s="35">
        <v>1</v>
      </c>
      <c r="V223" s="35">
        <v>1</v>
      </c>
      <c r="W223" s="29" t="s">
        <v>70</v>
      </c>
      <c r="X223" s="28">
        <v>42</v>
      </c>
      <c r="Y223" s="28">
        <v>1</v>
      </c>
      <c r="Z223" s="28">
        <v>1</v>
      </c>
      <c r="AA223" s="28">
        <v>1</v>
      </c>
      <c r="AB223" s="28">
        <v>1</v>
      </c>
      <c r="AC223" s="28">
        <v>2</v>
      </c>
      <c r="AD223" s="28">
        <v>2</v>
      </c>
      <c r="AE223" s="28">
        <v>4</v>
      </c>
      <c r="AF223" s="28">
        <v>1</v>
      </c>
      <c r="AG223" s="28">
        <v>2</v>
      </c>
      <c r="AH223" s="29" t="s">
        <v>1845</v>
      </c>
      <c r="AI223" s="36">
        <f>if(or(and(K223&lt;32, J223&lt;2), O223=1, P223=1, Q223=1, R223=1, S223=1, T223=1, U223=1, and(W223&lt;&gt;"", W223&lt;&gt;"Oxygen", W223&lt;&gt;"LowFlow")), "Intensive", "Intermediate")</f>
      </c>
      <c r="AJ223" s="37">
        <f>if(or(left(AH223, 1)="X", left(AH223, 1)="Y", left(AH223, 3)="J29M"), "CUSM", "No Match")</f>
      </c>
      <c r="AK223" s="37">
        <f>if(and(or(O223=3, P223=1, Q223=1, T223=1), AJ223="no Match"), "CUSM, CHU SJ, CHUQ", "")</f>
      </c>
      <c r="AL223" s="37">
        <f>IF(AND(O224=2, ISBLANK(P224), ISBLANK(Q224), ISBLANK(R224), ISBLANK(S224), ISBLANK(T224)), "CUSM, CHU SJ, CHUS, CHUQ", "")</f>
      </c>
      <c r="AM223" s="37">
        <f>if(and(AJ223="no match", AK223="", AL223="", K223&lt;26), "CUSM, CHU SJ, HGJ, CHUQ, CHUS", "")</f>
      </c>
      <c r="AN223" s="37">
        <f>if(and(AJ223="no match", AK223="", AL223="", K223&gt;26), "CUSM, CHU SJ, HGJ, CHUQ, CHUS, HMR", "")</f>
      </c>
    </row>
    <row x14ac:dyDescent="0.25" r="224" customHeight="1" ht="17.25">
      <c r="A224" s="27" t="s">
        <v>1846</v>
      </c>
      <c r="B224" s="28">
        <v>2</v>
      </c>
      <c r="C224" s="35">
        <v>806</v>
      </c>
      <c r="D224" s="29" t="s">
        <v>438</v>
      </c>
      <c r="E224" s="30" t="s">
        <v>78</v>
      </c>
      <c r="F224" s="31">
        <v>44319</v>
      </c>
      <c r="G224" s="32">
        <v>4.597222222222222</v>
      </c>
      <c r="H224" s="31">
        <v>44318</v>
      </c>
      <c r="I224" s="32">
        <v>4.675694444444444</v>
      </c>
      <c r="J224" s="33">
        <f>F224-H224</f>
      </c>
      <c r="K224" s="28">
        <v>41</v>
      </c>
      <c r="L224" s="28">
        <v>3</v>
      </c>
      <c r="M224" s="28">
        <v>1</v>
      </c>
      <c r="N224" s="34"/>
      <c r="O224" s="34"/>
      <c r="P224" s="34"/>
      <c r="Q224" s="34"/>
      <c r="R224" s="34"/>
      <c r="S224" s="34"/>
      <c r="T224" s="34"/>
      <c r="U224" s="34"/>
      <c r="V224" s="34"/>
      <c r="W224" s="29" t="s">
        <v>106</v>
      </c>
      <c r="X224" s="28">
        <v>18</v>
      </c>
      <c r="Y224" s="28">
        <v>1</v>
      </c>
      <c r="Z224" s="28">
        <v>1</v>
      </c>
      <c r="AA224" s="28">
        <v>2</v>
      </c>
      <c r="AB224" s="28">
        <v>4</v>
      </c>
      <c r="AC224" s="28">
        <v>2</v>
      </c>
      <c r="AD224" s="28">
        <v>2</v>
      </c>
      <c r="AE224" s="28">
        <v>2</v>
      </c>
      <c r="AF224" s="28">
        <v>2</v>
      </c>
      <c r="AG224" s="28">
        <v>2</v>
      </c>
      <c r="AH224" s="29" t="s">
        <v>1847</v>
      </c>
      <c r="AI224" s="36">
        <f>if(or(and(K224&lt;32, J224&lt;2), O224=1, P224=1, Q224=1, R224=1, S224=1, T224=1, U224=1, and(W224&lt;&gt;"", W224&lt;&gt;"Oxygen", W224&lt;&gt;"LowFlow")), "Intensive", "Intermediate")</f>
      </c>
      <c r="AJ224" s="37">
        <f>if(or(left(AH224, 1)="X", left(AH224, 1)="Y", left(AH224, 3)="J30M"), "CUSM", "No Match")</f>
      </c>
      <c r="AK224" s="37">
        <f>if(and(or(O224=3, P224=1, Q224=1, T224=1), AJ224="no Match"), "CUSM, CHU SJ, CHUQ", "")</f>
      </c>
      <c r="AL224" s="37">
        <f>IF(AND(O225=2, ISBLANK(P225), ISBLANK(Q225), ISBLANK(R225), ISBLANK(S225), ISBLANK(T225)), "CUSM, CHU SJ, CHUS, CHUQ", "")</f>
      </c>
      <c r="AM224" s="37">
        <f>if(and(AJ224="no match", AK224="", AL224="", K224&lt;26), "CUSM, CHU SJ, HGJ, CHUQ, CHUS", "")</f>
      </c>
      <c r="AN224" s="37">
        <f>if(and(AJ224="no match", AK224="", AL224="", K224&gt;26), "CUSM, CHU SJ, HGJ, CHUQ, CHUS, HMR", "")</f>
      </c>
    </row>
    <row x14ac:dyDescent="0.25" r="225" customHeight="1" ht="17.25">
      <c r="A225" s="27" t="s">
        <v>1848</v>
      </c>
      <c r="B225" s="28">
        <v>2</v>
      </c>
      <c r="C225" s="28">
        <v>839</v>
      </c>
      <c r="D225" s="29" t="s">
        <v>53</v>
      </c>
      <c r="E225" s="30" t="s">
        <v>50</v>
      </c>
      <c r="F225" s="31">
        <v>44319</v>
      </c>
      <c r="G225" s="32">
        <v>4.25</v>
      </c>
      <c r="H225" s="31">
        <v>44319</v>
      </c>
      <c r="I225" s="32">
        <v>4.038888888888889</v>
      </c>
      <c r="J225" s="33">
        <f>F225-H225</f>
      </c>
      <c r="K225" s="28">
        <v>39</v>
      </c>
      <c r="L225" s="28">
        <v>1</v>
      </c>
      <c r="M225" s="28">
        <v>1</v>
      </c>
      <c r="N225" s="35">
        <v>1</v>
      </c>
      <c r="O225" s="35">
        <v>2</v>
      </c>
      <c r="P225" s="34"/>
      <c r="Q225" s="34"/>
      <c r="R225" s="34"/>
      <c r="S225" s="34"/>
      <c r="T225" s="34"/>
      <c r="U225" s="34"/>
      <c r="V225" s="34"/>
      <c r="W225" s="29"/>
      <c r="X225" s="28">
        <v>35</v>
      </c>
      <c r="Y225" s="28">
        <v>1</v>
      </c>
      <c r="Z225" s="28">
        <v>1</v>
      </c>
      <c r="AA225" s="28">
        <v>1</v>
      </c>
      <c r="AB225" s="28">
        <v>1</v>
      </c>
      <c r="AC225" s="28">
        <v>2</v>
      </c>
      <c r="AD225" s="28">
        <v>2</v>
      </c>
      <c r="AE225" s="28">
        <v>1</v>
      </c>
      <c r="AF225" s="28">
        <v>2</v>
      </c>
      <c r="AG225" s="28">
        <v>2</v>
      </c>
      <c r="AH225" s="29" t="s">
        <v>1849</v>
      </c>
      <c r="AI225" s="36">
        <f>if(or(and(K225&lt;32, J225&lt;2), O225=1, P225=1, Q225=1, R225=1, S225=1, T225=1, U225=1, and(W225&lt;&gt;"", W225&lt;&gt;"Oxygen", W225&lt;&gt;"LowFlow")), "Intensive", "Intermediate")</f>
      </c>
      <c r="AJ225" s="37">
        <f>if(or(left(AH225, 1)="X", left(AH225, 1)="Y", left(AH225, 3)="J31M"), "CUSM", "No Match")</f>
      </c>
      <c r="AK225" s="37">
        <f>if(and(or(O225=3, P225=1, Q225=1, T225=1), AJ225="no Match"), "CUSM, CHU SJ, CHUQ", "")</f>
      </c>
      <c r="AL225" s="37">
        <f>IF(AND(O226=2, ISBLANK(P226), ISBLANK(Q226), ISBLANK(R226), ISBLANK(S226), ISBLANK(T226)), "CUSM, CHU SJ, CHUS, CHUQ", "")</f>
      </c>
      <c r="AM225" s="37">
        <f>if(and(AJ225="no match", AK225="", AL225="", K225&lt;26), "CUSM, CHU SJ, HGJ, CHUQ, CHUS", "")</f>
      </c>
      <c r="AN225" s="37">
        <f>if(and(AJ225="no match", AK225="", AL225="", K225&gt;26), "CUSM, CHU SJ, HGJ, CHUQ, CHUS, HMR", "")</f>
      </c>
    </row>
    <row x14ac:dyDescent="0.25" r="226" customHeight="1" ht="17.25">
      <c r="A226" s="27" t="s">
        <v>1850</v>
      </c>
      <c r="B226" s="28">
        <v>2</v>
      </c>
      <c r="C226" s="35">
        <v>776</v>
      </c>
      <c r="D226" s="29" t="s">
        <v>84</v>
      </c>
      <c r="E226" s="30" t="s">
        <v>50</v>
      </c>
      <c r="F226" s="31">
        <v>44319</v>
      </c>
      <c r="G226" s="32">
        <v>4.725694444444445</v>
      </c>
      <c r="H226" s="31">
        <v>44316</v>
      </c>
      <c r="I226" s="32">
        <v>4.183333333333334</v>
      </c>
      <c r="J226" s="33">
        <f>F226-H226</f>
      </c>
      <c r="K226" s="28">
        <v>41</v>
      </c>
      <c r="L226" s="28">
        <v>6</v>
      </c>
      <c r="M226" s="28">
        <v>2</v>
      </c>
      <c r="N226" s="34"/>
      <c r="O226" s="38"/>
      <c r="P226" s="38"/>
      <c r="Q226" s="34"/>
      <c r="R226" s="34"/>
      <c r="S226" s="34"/>
      <c r="T226" s="34"/>
      <c r="U226" s="34"/>
      <c r="V226" s="34"/>
      <c r="W226" s="29"/>
      <c r="X226" s="28">
        <v>24</v>
      </c>
      <c r="Y226" s="28">
        <v>1</v>
      </c>
      <c r="Z226" s="28">
        <v>2</v>
      </c>
      <c r="AA226" s="28">
        <v>2</v>
      </c>
      <c r="AB226" s="28">
        <v>1</v>
      </c>
      <c r="AC226" s="28">
        <v>3</v>
      </c>
      <c r="AD226" s="28">
        <v>3</v>
      </c>
      <c r="AE226" s="28">
        <v>4</v>
      </c>
      <c r="AF226" s="28">
        <v>3</v>
      </c>
      <c r="AG226" s="28">
        <v>3</v>
      </c>
      <c r="AH226" s="29" t="s">
        <v>1851</v>
      </c>
      <c r="AI226" s="36">
        <f>if(or(and(K226&lt;32, J226&lt;2), O226=1, P226=1, Q226=1, R226=1, S226=1, T226=1, U226=1, and(W226&lt;&gt;"", W226&lt;&gt;"Oxygen", W226&lt;&gt;"LowFlow")), "Intensive", "Intermediate")</f>
      </c>
      <c r="AJ226" s="37">
        <f>if(or(left(AH226, 1)="X", left(AH226, 1)="Y", left(AH226, 3)="J32M"), "CUSM", "No Match")</f>
      </c>
      <c r="AK226" s="37">
        <f>if(and(or(O226=3, P226=1, Q226=1, T226=1), AJ226="no Match"), "CUSM, CHU SJ, CHUQ", "")</f>
      </c>
      <c r="AL226" s="37">
        <f>IF(AND(O227=2, ISBLANK(P227), ISBLANK(Q227), ISBLANK(R227), ISBLANK(S227), ISBLANK(T227)), "CUSM, CHU SJ, CHUS, CHUQ", "")</f>
      </c>
      <c r="AM226" s="37">
        <f>if(and(AJ226="no match", AK226="", AL226="", K226&lt;26), "CUSM, CHU SJ, HGJ, CHUQ, CHUS", "")</f>
      </c>
      <c r="AN226" s="37">
        <f>if(and(AJ226="no match", AK226="", AL226="", K226&gt;26), "CUSM, CHU SJ, HGJ, CHUQ, CHUS, HMR", "")</f>
      </c>
    </row>
    <row x14ac:dyDescent="0.25" r="227" customHeight="1" ht="17.25">
      <c r="A227" s="27" t="s">
        <v>1852</v>
      </c>
      <c r="B227" s="28">
        <v>2</v>
      </c>
      <c r="C227" s="28">
        <v>782</v>
      </c>
      <c r="D227" s="29" t="s">
        <v>95</v>
      </c>
      <c r="E227" s="30" t="s">
        <v>54</v>
      </c>
      <c r="F227" s="31">
        <v>44320</v>
      </c>
      <c r="G227" s="32">
        <v>4.011805555555556</v>
      </c>
      <c r="H227" s="31">
        <v>44319</v>
      </c>
      <c r="I227" s="32">
        <v>4.804861111111111</v>
      </c>
      <c r="J227" s="33">
        <f>F227-H227</f>
      </c>
      <c r="K227" s="28">
        <v>40</v>
      </c>
      <c r="L227" s="28">
        <v>2</v>
      </c>
      <c r="M227" s="28">
        <v>1</v>
      </c>
      <c r="N227" s="34"/>
      <c r="O227" s="34"/>
      <c r="P227" s="34"/>
      <c r="Q227" s="34"/>
      <c r="R227" s="34"/>
      <c r="S227" s="34"/>
      <c r="T227" s="35">
        <v>1</v>
      </c>
      <c r="U227" s="34"/>
      <c r="V227" s="34"/>
      <c r="W227" s="29"/>
      <c r="X227" s="28">
        <v>32</v>
      </c>
      <c r="Y227" s="28">
        <v>1</v>
      </c>
      <c r="Z227" s="28">
        <v>1</v>
      </c>
      <c r="AA227" s="28">
        <v>2</v>
      </c>
      <c r="AB227" s="28">
        <v>1</v>
      </c>
      <c r="AC227" s="28">
        <v>2</v>
      </c>
      <c r="AD227" s="28">
        <v>2</v>
      </c>
      <c r="AE227" s="28">
        <v>2</v>
      </c>
      <c r="AF227" s="28">
        <v>2</v>
      </c>
      <c r="AG227" s="28">
        <v>2</v>
      </c>
      <c r="AH227" s="29" t="s">
        <v>1853</v>
      </c>
      <c r="AI227" s="36">
        <f>if(or(and(K227&lt;32, J227&lt;2), O227=1, P227=1, Q227=1, R227=1, S227=1, T227=1, U227=1, and(W227&lt;&gt;"", W227&lt;&gt;"Oxygen", W227&lt;&gt;"LowFlow")), "Intensive", "Intermediate")</f>
      </c>
      <c r="AJ227" s="37">
        <f>if(or(left(AH227, 1)="X", left(AH227, 1)="Y", left(AH227, 3)="J33M"), "CUSM", "No Match")</f>
      </c>
      <c r="AK227" s="37">
        <f>if(and(or(O227=3, P227=1, Q227=1, T227=1), AJ227="no Match"), "CUSM, CHU SJ, CHUQ", "")</f>
      </c>
      <c r="AL227" s="37">
        <f>IF(AND(O228=2, ISBLANK(P228), ISBLANK(Q228), ISBLANK(R228), ISBLANK(S228), ISBLANK(T228)), "CUSM, CHU SJ, CHUS, CHUQ", "")</f>
      </c>
      <c r="AM227" s="37">
        <f>if(and(AJ227="no match", AK227="", AL227="", K227&lt;26), "CUSM, CHU SJ, HGJ, CHUQ, CHUS", "")</f>
      </c>
      <c r="AN227" s="37">
        <f>if(and(AJ227="no match", AK227="", AL227="", K227&gt;26), "CUSM, CHU SJ, HGJ, CHUQ, CHUS, HMR", "")</f>
      </c>
    </row>
    <row x14ac:dyDescent="0.25" r="228" customHeight="1" ht="17.25">
      <c r="A228" s="27" t="s">
        <v>1854</v>
      </c>
      <c r="B228" s="28">
        <v>2</v>
      </c>
      <c r="C228" s="28">
        <v>825</v>
      </c>
      <c r="D228" s="29" t="s">
        <v>77</v>
      </c>
      <c r="E228" s="30" t="s">
        <v>50</v>
      </c>
      <c r="F228" s="31">
        <v>44320</v>
      </c>
      <c r="G228" s="32">
        <v>4.8069444444444445</v>
      </c>
      <c r="H228" s="31">
        <v>44319</v>
      </c>
      <c r="I228" s="32">
        <v>4.0368055555555555</v>
      </c>
      <c r="J228" s="33">
        <f>F228-H228</f>
      </c>
      <c r="K228" s="28">
        <v>39</v>
      </c>
      <c r="L228" s="28">
        <v>0</v>
      </c>
      <c r="M228" s="28">
        <v>1</v>
      </c>
      <c r="N228" s="35">
        <v>1</v>
      </c>
      <c r="O228" s="34"/>
      <c r="P228" s="34"/>
      <c r="Q228" s="34"/>
      <c r="R228" s="34"/>
      <c r="S228" s="34"/>
      <c r="T228" s="34"/>
      <c r="U228" s="34"/>
      <c r="V228" s="34"/>
      <c r="W228" s="29"/>
      <c r="X228" s="28">
        <v>31</v>
      </c>
      <c r="Y228" s="28">
        <v>1</v>
      </c>
      <c r="Z228" s="28">
        <v>2</v>
      </c>
      <c r="AA228" s="28">
        <v>1</v>
      </c>
      <c r="AB228" s="28">
        <v>1</v>
      </c>
      <c r="AC228" s="28">
        <v>2</v>
      </c>
      <c r="AD228" s="28">
        <v>2</v>
      </c>
      <c r="AE228" s="28">
        <v>4</v>
      </c>
      <c r="AF228" s="28">
        <v>3</v>
      </c>
      <c r="AG228" s="28">
        <v>2</v>
      </c>
      <c r="AH228" s="29" t="s">
        <v>1855</v>
      </c>
      <c r="AI228" s="36">
        <f>if(or(and(K228&lt;32, J228&lt;2), O228=1, P228=1, Q228=1, R228=1, S228=1, T228=1, U228=1, and(W228&lt;&gt;"", W228&lt;&gt;"Oxygen", W228&lt;&gt;"LowFlow")), "Intensive", "Intermediate")</f>
      </c>
      <c r="AJ228" s="37">
        <f>if(or(left(AH228, 1)="X", left(AH228, 1)="Y", left(AH228, 3)="J34M"), "CUSM", "No Match")</f>
      </c>
      <c r="AK228" s="37">
        <f>if(and(or(O228=3, P228=1, Q228=1, T228=1), AJ228="no Match"), "CUSM, CHU SJ, CHUQ", "")</f>
      </c>
      <c r="AL228" s="37">
        <f>IF(AND(O229=2, ISBLANK(P229), ISBLANK(Q229), ISBLANK(R229), ISBLANK(S229), ISBLANK(T229)), "CUSM, CHU SJ, CHUS, CHUQ", "")</f>
      </c>
      <c r="AM228" s="37">
        <f>if(and(AJ228="no match", AK228="", AL228="", K228&lt;26), "CUSM, CHU SJ, HGJ, CHUQ, CHUS", "")</f>
      </c>
      <c r="AN228" s="37">
        <f>if(and(AJ228="no match", AK228="", AL228="", K228&gt;26), "CUSM, CHU SJ, HGJ, CHUQ, CHUS, HMR", "")</f>
      </c>
    </row>
    <row x14ac:dyDescent="0.25" r="229" customHeight="1" ht="17.25">
      <c r="A229" s="27" t="s">
        <v>1856</v>
      </c>
      <c r="B229" s="28">
        <v>2</v>
      </c>
      <c r="C229" s="28">
        <v>831</v>
      </c>
      <c r="D229" s="29" t="s">
        <v>313</v>
      </c>
      <c r="E229" s="30" t="s">
        <v>50</v>
      </c>
      <c r="F229" s="31">
        <v>44320</v>
      </c>
      <c r="G229" s="32">
        <v>4.636805555555556</v>
      </c>
      <c r="H229" s="31">
        <v>44299</v>
      </c>
      <c r="I229" s="32">
        <v>4.524305555555555</v>
      </c>
      <c r="J229" s="33">
        <f>F229-H229</f>
      </c>
      <c r="K229" s="28">
        <v>33</v>
      </c>
      <c r="L229" s="28">
        <v>0</v>
      </c>
      <c r="M229" s="28">
        <v>1</v>
      </c>
      <c r="N229" s="34"/>
      <c r="O229" s="34"/>
      <c r="P229" s="34"/>
      <c r="Q229" s="34"/>
      <c r="R229" s="34"/>
      <c r="S229" s="34"/>
      <c r="T229" s="34"/>
      <c r="U229" s="34"/>
      <c r="V229" s="34"/>
      <c r="W229" s="29"/>
      <c r="X229" s="28">
        <v>36</v>
      </c>
      <c r="Y229" s="28">
        <v>1</v>
      </c>
      <c r="Z229" s="28">
        <v>1</v>
      </c>
      <c r="AA229" s="28">
        <v>1</v>
      </c>
      <c r="AB229" s="28">
        <v>1</v>
      </c>
      <c r="AC229" s="28">
        <v>2</v>
      </c>
      <c r="AD229" s="28">
        <v>1</v>
      </c>
      <c r="AE229" s="28">
        <v>3</v>
      </c>
      <c r="AF229" s="28">
        <v>3</v>
      </c>
      <c r="AG229" s="28">
        <v>3</v>
      </c>
      <c r="AH229" s="29" t="s">
        <v>1857</v>
      </c>
      <c r="AI229" s="36">
        <f>if(or(and(K229&lt;32, J229&lt;2), O229=1, P229=1, Q229=1, R229=1, S229=1, T229=1, U229=1, and(W229&lt;&gt;"", W229&lt;&gt;"Oxygen", W229&lt;&gt;"LowFlow")), "Intensive", "Intermediate")</f>
      </c>
      <c r="AJ229" s="37">
        <f>if(or(left(AH229, 1)="X", left(AH229, 1)="Y", left(AH229, 3)="J35M"), "CUSM", "No Match")</f>
      </c>
      <c r="AK229" s="37">
        <f>if(and(or(O229=3, P229=1, Q229=1, T229=1), AJ229="no Match"), "CUSM, CHU SJ, CHUQ", "")</f>
      </c>
      <c r="AL229" s="37">
        <f>IF(AND(O230=2, ISBLANK(P230), ISBLANK(Q230), ISBLANK(R230), ISBLANK(S230), ISBLANK(T230)), "CUSM, CHU SJ, CHUS, CHUQ", "")</f>
      </c>
      <c r="AM229" s="37">
        <f>if(and(AJ229="no match", AK229="", AL229="", K229&lt;26), "CUSM, CHU SJ, HGJ, CHUQ, CHUS", "")</f>
      </c>
      <c r="AN229" s="37">
        <f>if(and(AJ229="no match", AK229="", AL229="", K229&gt;26), "CUSM, CHU SJ, HGJ, CHUQ, CHUS, HMR", "")</f>
      </c>
    </row>
    <row x14ac:dyDescent="0.25" r="230" customHeight="1" ht="17.25">
      <c r="A230" s="27" t="s">
        <v>1858</v>
      </c>
      <c r="B230" s="28">
        <v>2</v>
      </c>
      <c r="C230" s="35">
        <v>832</v>
      </c>
      <c r="D230" s="29" t="s">
        <v>308</v>
      </c>
      <c r="E230" s="30" t="s">
        <v>50</v>
      </c>
      <c r="F230" s="31">
        <v>44321</v>
      </c>
      <c r="G230" s="40">
        <v>4.940972222222222</v>
      </c>
      <c r="H230" s="31">
        <v>44321</v>
      </c>
      <c r="I230" s="32">
        <v>4.710416666666667</v>
      </c>
      <c r="J230" s="33">
        <f>F230-H230</f>
      </c>
      <c r="K230" s="28">
        <v>40</v>
      </c>
      <c r="L230" s="28">
        <v>2</v>
      </c>
      <c r="M230" s="28">
        <v>2</v>
      </c>
      <c r="N230" s="35">
        <v>1</v>
      </c>
      <c r="O230" s="34"/>
      <c r="P230" s="35">
        <v>1</v>
      </c>
      <c r="Q230" s="34"/>
      <c r="R230" s="34"/>
      <c r="S230" s="34"/>
      <c r="T230" s="34"/>
      <c r="U230" s="34"/>
      <c r="V230" s="34"/>
      <c r="W230" s="29" t="s">
        <v>58</v>
      </c>
      <c r="X230" s="28">
        <v>26</v>
      </c>
      <c r="Y230" s="28">
        <v>1</v>
      </c>
      <c r="Z230" s="28">
        <v>1</v>
      </c>
      <c r="AA230" s="28">
        <v>2</v>
      </c>
      <c r="AB230" s="35">
        <v>1</v>
      </c>
      <c r="AC230" s="28">
        <v>2</v>
      </c>
      <c r="AD230" s="28">
        <v>2</v>
      </c>
      <c r="AE230" s="28">
        <v>4</v>
      </c>
      <c r="AF230" s="35">
        <v>3</v>
      </c>
      <c r="AG230" s="28">
        <v>2</v>
      </c>
      <c r="AH230" s="29" t="s">
        <v>1774</v>
      </c>
      <c r="AI230" s="36">
        <f>if(or(and(K230&lt;32, J230&lt;2), O230=1, P230=1, Q230=1, R230=1, S230=1, T230=1, U230=1, and(W230&lt;&gt;"", W230&lt;&gt;"Oxygen", W230&lt;&gt;"LowFlow")), "Intensive", "Intermediate")</f>
      </c>
      <c r="AJ230" s="37">
        <f>if(or(left(AH230, 1)="X", left(AH230, 1)="Y", left(AH230, 3)="J36M"), "CUSM", "No Match")</f>
      </c>
      <c r="AK230" s="37">
        <f>if(and(or(O230=3, P230=1, Q230=1, T230=1), AJ230="no Match"), "CUSM, CHU SJ, CHUQ", "")</f>
      </c>
      <c r="AL230" s="37">
        <f>IF(AND(O231=2, ISBLANK(P231), ISBLANK(Q231), ISBLANK(R231), ISBLANK(S231), ISBLANK(T231)), "CUSM, CHU SJ, CHUS, CHUQ", "")</f>
      </c>
      <c r="AM230" s="37">
        <f>if(and(AJ230="no match", AK230="", AL230="", K230&lt;26), "CUSM, CHU SJ, HGJ, CHUQ, CHUS", "")</f>
      </c>
      <c r="AN230" s="37">
        <f>if(and(AJ230="no match", AK230="", AL230="", K230&gt;26), "CUSM, CHU SJ, HGJ, CHUQ, CHUS, HMR", "")</f>
      </c>
    </row>
    <row x14ac:dyDescent="0.25" r="231" customHeight="1" ht="17.25">
      <c r="A231" s="27" t="s">
        <v>1859</v>
      </c>
      <c r="B231" s="28">
        <v>2</v>
      </c>
      <c r="C231" s="35">
        <v>761</v>
      </c>
      <c r="D231" s="29" t="s">
        <v>746</v>
      </c>
      <c r="E231" s="30" t="s">
        <v>149</v>
      </c>
      <c r="F231" s="31">
        <v>44322</v>
      </c>
      <c r="G231" s="32">
        <v>4.926388888888889</v>
      </c>
      <c r="H231" s="31">
        <v>44320</v>
      </c>
      <c r="I231" s="32">
        <v>4.604861111111111</v>
      </c>
      <c r="J231" s="33">
        <f>F231-H231</f>
      </c>
      <c r="K231" s="28">
        <v>36</v>
      </c>
      <c r="L231" s="28">
        <v>0</v>
      </c>
      <c r="M231" s="28">
        <v>2</v>
      </c>
      <c r="N231" s="34"/>
      <c r="O231" s="34"/>
      <c r="P231" s="34"/>
      <c r="Q231" s="34"/>
      <c r="R231" s="34"/>
      <c r="S231" s="34"/>
      <c r="T231" s="34"/>
      <c r="U231" s="34"/>
      <c r="V231" s="34"/>
      <c r="W231" s="29" t="s">
        <v>600</v>
      </c>
      <c r="X231" s="28">
        <v>34</v>
      </c>
      <c r="Y231" s="28">
        <v>1</v>
      </c>
      <c r="Z231" s="28">
        <v>1</v>
      </c>
      <c r="AA231" s="28">
        <v>1</v>
      </c>
      <c r="AB231" s="28">
        <v>4</v>
      </c>
      <c r="AC231" s="28">
        <v>3</v>
      </c>
      <c r="AD231" s="28">
        <v>3</v>
      </c>
      <c r="AE231" s="28">
        <v>4</v>
      </c>
      <c r="AF231" s="35">
        <v>3</v>
      </c>
      <c r="AG231" s="28">
        <v>1</v>
      </c>
      <c r="AH231" s="29" t="s">
        <v>1860</v>
      </c>
      <c r="AI231" s="36">
        <f>if(or(and(K231&lt;32, J231&lt;2), O231=1, P231=1, Q231=1, R231=1, S231=1, T231=1, U231=1, and(W231&lt;&gt;"", W231&lt;&gt;"Oxygen", W231&lt;&gt;"LowFlow")), "Intensive", "Intermediate")</f>
      </c>
      <c r="AJ231" s="37">
        <f>if(or(left(AH231, 1)="X", left(AH231, 1)="Y", left(AH231, 3)="J37M"), "CUSM", "No Match")</f>
      </c>
      <c r="AK231" s="37">
        <f>if(and(or(O231=3, P231=1, Q231=1, T231=1), AJ231="no Match"), "CUSM, CHU SJ, CHUQ", "")</f>
      </c>
      <c r="AL231" s="37">
        <f>IF(AND(O232=2, ISBLANK(P232), ISBLANK(Q232), ISBLANK(R232), ISBLANK(S232), ISBLANK(T232)), "CUSM, CHU SJ, CHUS, CHUQ", "")</f>
      </c>
      <c r="AM231" s="37">
        <f>if(and(AJ231="no match", AK231="", AL231="", K231&lt;26), "CUSM, CHU SJ, HGJ, CHUQ, CHUS", "")</f>
      </c>
      <c r="AN231" s="37">
        <f>if(and(AJ231="no match", AK231="", AL231="", K231&gt;26), "CUSM, CHU SJ, HGJ, CHUQ, CHUS, HMR", "")</f>
      </c>
    </row>
    <row x14ac:dyDescent="0.25" r="232" customHeight="1" ht="17.25">
      <c r="A232" s="27" t="s">
        <v>1861</v>
      </c>
      <c r="B232" s="28">
        <v>2</v>
      </c>
      <c r="C232" s="35">
        <v>730</v>
      </c>
      <c r="D232" s="29" t="s">
        <v>81</v>
      </c>
      <c r="E232" s="30" t="s">
        <v>78</v>
      </c>
      <c r="F232" s="31">
        <v>44322</v>
      </c>
      <c r="G232" s="32">
        <v>4.604166666666666</v>
      </c>
      <c r="H232" s="31">
        <v>44322</v>
      </c>
      <c r="I232" s="32">
        <v>4.394444444444444</v>
      </c>
      <c r="J232" s="33">
        <f>F232-H232</f>
      </c>
      <c r="K232" s="28">
        <v>35</v>
      </c>
      <c r="L232" s="28">
        <v>0</v>
      </c>
      <c r="M232" s="28">
        <v>1</v>
      </c>
      <c r="N232" s="38"/>
      <c r="O232" s="34"/>
      <c r="P232" s="38"/>
      <c r="Q232" s="34"/>
      <c r="R232" s="34"/>
      <c r="S232" s="34"/>
      <c r="T232" s="34"/>
      <c r="U232" s="34"/>
      <c r="V232" s="34"/>
      <c r="W232" s="29" t="s">
        <v>58</v>
      </c>
      <c r="X232" s="28">
        <v>43</v>
      </c>
      <c r="Y232" s="28">
        <v>1</v>
      </c>
      <c r="Z232" s="28">
        <v>2</v>
      </c>
      <c r="AA232" s="28">
        <v>2</v>
      </c>
      <c r="AB232" s="28">
        <v>1</v>
      </c>
      <c r="AC232" s="28">
        <v>2</v>
      </c>
      <c r="AD232" s="28">
        <v>2</v>
      </c>
      <c r="AE232" s="28">
        <v>4</v>
      </c>
      <c r="AF232" s="28">
        <v>3</v>
      </c>
      <c r="AG232" s="28">
        <v>2</v>
      </c>
      <c r="AH232" s="29" t="s">
        <v>1862</v>
      </c>
      <c r="AI232" s="36">
        <f>if(or(and(K232&lt;32, J232&lt;2), O232=1, P232=1, Q232=1, R232=1, S232=1, T232=1, U232=1, and(W232&lt;&gt;"", W232&lt;&gt;"Oxygen", W232&lt;&gt;"LowFlow")), "Intensive", "Intermediate")</f>
      </c>
      <c r="AJ232" s="37">
        <f>if(or(left(AH232, 1)="X", left(AH232, 1)="Y", left(AH232, 3)="J38M"), "CUSM", "No Match")</f>
      </c>
      <c r="AK232" s="37">
        <f>if(and(or(O232=3, P232=1, Q232=1, T232=1), AJ232="no Match"), "CUSM, CHU SJ, CHUQ", "")</f>
      </c>
      <c r="AL232" s="37">
        <f>IF(AND(O233=2, ISBLANK(P233), ISBLANK(Q233), ISBLANK(R233), ISBLANK(S233), ISBLANK(T233)), "CUSM, CHU SJ, CHUS, CHUQ", "")</f>
      </c>
      <c r="AM232" s="37">
        <f>if(and(AJ232="no match", AK232="", AL232="", K232&lt;26), "CUSM, CHU SJ, HGJ, CHUQ, CHUS", "")</f>
      </c>
      <c r="AN232" s="37">
        <f>if(and(AJ232="no match", AK232="", AL232="", K232&gt;26), "CUSM, CHU SJ, HGJ, CHUQ, CHUS, HMR", "")</f>
      </c>
    </row>
    <row x14ac:dyDescent="0.25" r="233" customHeight="1" ht="17.25">
      <c r="A233" s="27" t="s">
        <v>1863</v>
      </c>
      <c r="B233" s="28">
        <v>2</v>
      </c>
      <c r="C233" s="35">
        <v>815</v>
      </c>
      <c r="D233" s="29" t="s">
        <v>100</v>
      </c>
      <c r="E233" s="30" t="s">
        <v>50</v>
      </c>
      <c r="F233" s="31">
        <v>44322</v>
      </c>
      <c r="G233" s="32">
        <v>4.954861111111111</v>
      </c>
      <c r="H233" s="31">
        <v>44321</v>
      </c>
      <c r="I233" s="32">
        <v>4.368055555555555</v>
      </c>
      <c r="J233" s="33">
        <f>F233-H233</f>
      </c>
      <c r="K233" s="28">
        <v>39</v>
      </c>
      <c r="L233" s="28">
        <v>2</v>
      </c>
      <c r="M233" s="28">
        <v>1</v>
      </c>
      <c r="N233" s="28">
        <v>1</v>
      </c>
      <c r="O233" s="34"/>
      <c r="P233" s="38"/>
      <c r="Q233" s="34"/>
      <c r="R233" s="34"/>
      <c r="S233" s="34"/>
      <c r="T233" s="34"/>
      <c r="U233" s="34"/>
      <c r="V233" s="34"/>
      <c r="W233" s="29"/>
      <c r="X233" s="28">
        <v>36</v>
      </c>
      <c r="Y233" s="28">
        <v>1</v>
      </c>
      <c r="Z233" s="28">
        <v>2</v>
      </c>
      <c r="AA233" s="28">
        <v>2</v>
      </c>
      <c r="AB233" s="28">
        <v>1</v>
      </c>
      <c r="AC233" s="28">
        <v>2</v>
      </c>
      <c r="AD233" s="28">
        <v>2</v>
      </c>
      <c r="AE233" s="28">
        <v>4</v>
      </c>
      <c r="AF233" s="28">
        <v>3</v>
      </c>
      <c r="AG233" s="28">
        <v>2</v>
      </c>
      <c r="AH233" s="29" t="s">
        <v>143</v>
      </c>
      <c r="AI233" s="36">
        <f>if(or(and(K233&lt;32, J233&lt;2), O233=1, P233=1, Q233=1, R233=1, S233=1, T233=1, U233=1, and(W233&lt;&gt;"", W233&lt;&gt;"Oxygen", W233&lt;&gt;"LowFlow")), "Intensive", "Intermediate")</f>
      </c>
      <c r="AJ233" s="37">
        <f>if(or(left(AH233, 1)="X", left(AH233, 1)="Y", left(AH233, 3)="J39M"), "CUSM", "No Match")</f>
      </c>
      <c r="AK233" s="37">
        <f>if(and(or(O233=3, P233=1, Q233=1, T233=1), AJ233="no Match"), "CUSM, CHU SJ, CHUQ", "")</f>
      </c>
      <c r="AL233" s="37">
        <f>IF(AND(O234=2, ISBLANK(P234), ISBLANK(Q234), ISBLANK(R234), ISBLANK(S234), ISBLANK(T234)), "CUSM, CHU SJ, CHUS, CHUQ", "")</f>
      </c>
      <c r="AM233" s="37">
        <f>if(and(AJ233="no match", AK233="", AL233="", K233&lt;26), "CUSM, CHU SJ, HGJ, CHUQ, CHUS", "")</f>
      </c>
      <c r="AN233" s="37">
        <f>if(and(AJ233="no match", AK233="", AL233="", K233&gt;26), "CUSM, CHU SJ, HGJ, CHUQ, CHUS, HMR", "")</f>
      </c>
    </row>
    <row x14ac:dyDescent="0.25" r="234" customHeight="1" ht="17.25">
      <c r="A234" s="27" t="s">
        <v>1864</v>
      </c>
      <c r="B234" s="28">
        <v>2</v>
      </c>
      <c r="C234" s="28">
        <v>822</v>
      </c>
      <c r="D234" s="29" t="s">
        <v>167</v>
      </c>
      <c r="E234" s="30" t="s">
        <v>50</v>
      </c>
      <c r="F234" s="31">
        <v>44322</v>
      </c>
      <c r="G234" s="32">
        <v>4.8125</v>
      </c>
      <c r="H234" s="31">
        <v>44321</v>
      </c>
      <c r="I234" s="32">
        <v>4.495833333333334</v>
      </c>
      <c r="J234" s="33">
        <f>F234-H234</f>
      </c>
      <c r="K234" s="28">
        <v>39</v>
      </c>
      <c r="L234" s="28">
        <v>0</v>
      </c>
      <c r="M234" s="28">
        <v>1</v>
      </c>
      <c r="N234" s="35">
        <v>1</v>
      </c>
      <c r="O234" s="35">
        <v>2</v>
      </c>
      <c r="P234" s="35">
        <v>1</v>
      </c>
      <c r="Q234" s="35">
        <v>1</v>
      </c>
      <c r="R234" s="34"/>
      <c r="S234" s="34"/>
      <c r="T234" s="34"/>
      <c r="U234" s="34"/>
      <c r="V234" s="34"/>
      <c r="W234" s="29"/>
      <c r="X234" s="28">
        <v>25</v>
      </c>
      <c r="Y234" s="28">
        <v>1</v>
      </c>
      <c r="Z234" s="28">
        <v>1</v>
      </c>
      <c r="AA234" s="28">
        <v>2</v>
      </c>
      <c r="AB234" s="28">
        <v>1</v>
      </c>
      <c r="AC234" s="28">
        <v>2</v>
      </c>
      <c r="AD234" s="28">
        <v>2</v>
      </c>
      <c r="AE234" s="28">
        <v>4</v>
      </c>
      <c r="AF234" s="28">
        <v>3</v>
      </c>
      <c r="AG234" s="28">
        <v>2</v>
      </c>
      <c r="AH234" s="29" t="s">
        <v>1865</v>
      </c>
      <c r="AI234" s="36">
        <f>if(or(and(K234&lt;32, J234&lt;2), O234=1, P234=1, Q234=1, R234=1, S234=1, T234=1, U234=1, and(W234&lt;&gt;"", W234&lt;&gt;"Oxygen", W234&lt;&gt;"LowFlow")), "Intensive", "Intermediate")</f>
      </c>
      <c r="AJ234" s="37">
        <f>if(or(left(AH234, 1)="X", left(AH234, 1)="Y", left(AH234, 3)="J40M"), "CUSM", "No Match")</f>
      </c>
      <c r="AK234" s="37">
        <f>if(and(or(O234=3, P234=1, Q234=1, T234=1), AJ234="no Match"), "CUSM, CHU SJ, CHUQ", "")</f>
      </c>
      <c r="AL234" s="37">
        <f>IF(AND(O235=2, ISBLANK(P235), ISBLANK(Q235), ISBLANK(R235), ISBLANK(S235), ISBLANK(T235)), "CUSM, CHU SJ, CHUS, CHUQ", "")</f>
      </c>
      <c r="AM234" s="37">
        <f>if(and(AJ234="no match", AK234="", AL234="", K234&lt;26), "CUSM, CHU SJ, HGJ, CHUQ, CHUS", "")</f>
      </c>
      <c r="AN234" s="37">
        <f>if(and(AJ234="no match", AK234="", AL234="", K234&gt;26), "CUSM, CHU SJ, HGJ, CHUQ, CHUS, HMR", "")</f>
      </c>
    </row>
    <row x14ac:dyDescent="0.25" r="235" customHeight="1" ht="17.25">
      <c r="A235" s="27" t="s">
        <v>1866</v>
      </c>
      <c r="B235" s="28">
        <v>2</v>
      </c>
      <c r="C235" s="35">
        <v>839</v>
      </c>
      <c r="D235" s="29" t="s">
        <v>53</v>
      </c>
      <c r="E235" s="30" t="s">
        <v>54</v>
      </c>
      <c r="F235" s="31">
        <v>44323</v>
      </c>
      <c r="G235" s="32">
        <v>4.704861111111111</v>
      </c>
      <c r="H235" s="31">
        <v>44321</v>
      </c>
      <c r="I235" s="32">
        <v>4.836111111111111</v>
      </c>
      <c r="J235" s="33">
        <f>F235-H235</f>
      </c>
      <c r="K235" s="28">
        <v>38</v>
      </c>
      <c r="L235" s="28">
        <v>3</v>
      </c>
      <c r="M235" s="28">
        <v>1</v>
      </c>
      <c r="N235" s="28">
        <v>1</v>
      </c>
      <c r="O235" s="38"/>
      <c r="P235" s="28">
        <v>1</v>
      </c>
      <c r="Q235" s="34"/>
      <c r="R235" s="34"/>
      <c r="S235" s="34"/>
      <c r="T235" s="34"/>
      <c r="U235" s="34"/>
      <c r="V235" s="34"/>
      <c r="W235" s="29"/>
      <c r="X235" s="28">
        <v>28</v>
      </c>
      <c r="Y235" s="28">
        <v>1</v>
      </c>
      <c r="Z235" s="28">
        <v>2</v>
      </c>
      <c r="AA235" s="28">
        <v>2</v>
      </c>
      <c r="AB235" s="28">
        <v>1</v>
      </c>
      <c r="AC235" s="28">
        <v>2</v>
      </c>
      <c r="AD235" s="28">
        <v>1</v>
      </c>
      <c r="AE235" s="28">
        <v>4</v>
      </c>
      <c r="AF235" s="28">
        <v>2</v>
      </c>
      <c r="AG235" s="28">
        <v>2</v>
      </c>
      <c r="AH235" s="29" t="s">
        <v>1867</v>
      </c>
      <c r="AI235" s="36">
        <f>if(or(and(K235&lt;32, J235&lt;2), O235=1, P235=1, Q235=1, R235=1, S235=1, T235=1, U235=1, and(W235&lt;&gt;"", W235&lt;&gt;"Oxygen", W235&lt;&gt;"LowFlow")), "Intensive", "Intermediate")</f>
      </c>
      <c r="AJ235" s="37">
        <f>if(or(left(AH235, 1)="X", left(AH235, 1)="Y", left(AH235, 3)="J41M"), "CUSM", "No Match")</f>
      </c>
      <c r="AK235" s="37">
        <f>if(and(or(O235=3, P235=1, Q235=1, T235=1), AJ235="no Match"), "CUSM, CHU SJ, CHUQ", "")</f>
      </c>
      <c r="AL235" s="37">
        <f>IF(AND(O236=2, ISBLANK(P236), ISBLANK(Q236), ISBLANK(R236), ISBLANK(S236), ISBLANK(T236)), "CUSM, CHU SJ, CHUS, CHUQ", "")</f>
      </c>
      <c r="AM235" s="37">
        <f>if(and(AJ235="no match", AK235="", AL235="", K235&lt;26), "CUSM, CHU SJ, HGJ, CHUQ, CHUS", "")</f>
      </c>
      <c r="AN235" s="37">
        <f>if(and(AJ235="no match", AK235="", AL235="", K235&gt;26), "CUSM, CHU SJ, HGJ, CHUQ, CHUS, HMR", "")</f>
      </c>
    </row>
    <row x14ac:dyDescent="0.25" r="236" customHeight="1" ht="17.25">
      <c r="A236" s="27" t="s">
        <v>1868</v>
      </c>
      <c r="B236" s="28">
        <v>2</v>
      </c>
      <c r="C236" s="35">
        <v>740</v>
      </c>
      <c r="D236" s="29" t="s">
        <v>409</v>
      </c>
      <c r="E236" s="30" t="s">
        <v>149</v>
      </c>
      <c r="F236" s="31">
        <v>44324</v>
      </c>
      <c r="G236" s="32">
        <v>4.086805555555555</v>
      </c>
      <c r="H236" s="31">
        <v>44323</v>
      </c>
      <c r="I236" s="32">
        <v>4.876388888888889</v>
      </c>
      <c r="J236" s="33">
        <f>F236-H236</f>
      </c>
      <c r="K236" s="28">
        <v>35</v>
      </c>
      <c r="L236" s="28">
        <v>0</v>
      </c>
      <c r="M236" s="28">
        <v>1</v>
      </c>
      <c r="N236" s="38"/>
      <c r="O236" s="34"/>
      <c r="P236" s="34"/>
      <c r="Q236" s="34"/>
      <c r="R236" s="34"/>
      <c r="S236" s="34"/>
      <c r="T236" s="34"/>
      <c r="U236" s="34"/>
      <c r="V236" s="35">
        <v>1</v>
      </c>
      <c r="W236" s="29" t="s">
        <v>164</v>
      </c>
      <c r="X236" s="28">
        <v>30</v>
      </c>
      <c r="Y236" s="28">
        <v>1</v>
      </c>
      <c r="Z236" s="28">
        <v>2</v>
      </c>
      <c r="AA236" s="28">
        <v>2</v>
      </c>
      <c r="AB236" s="28">
        <v>1</v>
      </c>
      <c r="AC236" s="28">
        <v>2</v>
      </c>
      <c r="AD236" s="28">
        <v>1</v>
      </c>
      <c r="AE236" s="28">
        <v>4</v>
      </c>
      <c r="AF236" s="28">
        <v>3</v>
      </c>
      <c r="AG236" s="28">
        <v>3</v>
      </c>
      <c r="AH236" s="29" t="s">
        <v>1869</v>
      </c>
      <c r="AI236" s="36">
        <f>if(or(and(K236&lt;32, J236&lt;2), O236=1, P236=1, Q236=1, R236=1, S236=1, T236=1, U236=1, and(W236&lt;&gt;"", W236&lt;&gt;"Oxygen", W236&lt;&gt;"LowFlow")), "Intensive", "Intermediate")</f>
      </c>
      <c r="AJ236" s="37">
        <f>if(or(left(AH236, 1)="X", left(AH236, 1)="Y", left(AH236, 3)="J42M"), "CUSM", "No Match")</f>
      </c>
      <c r="AK236" s="37">
        <f>if(and(or(O236=3, P236=1, Q236=1, T236=1), AJ236="no Match"), "CUSM, CHU SJ, CHUQ", "")</f>
      </c>
      <c r="AL236" s="37">
        <f>IF(AND(O237=2, ISBLANK(P237), ISBLANK(Q237), ISBLANK(R237), ISBLANK(S237), ISBLANK(T237)), "CUSM, CHU SJ, CHUS, CHUQ", "")</f>
      </c>
      <c r="AM236" s="37">
        <f>if(and(AJ236="no match", AK236="", AL236="", K236&lt;26), "CUSM, CHU SJ, HGJ, CHUQ, CHUS", "")</f>
      </c>
      <c r="AN236" s="37">
        <f>if(and(AJ236="no match", AK236="", AL236="", K236&gt;26), "CUSM, CHU SJ, HGJ, CHUQ, CHUS, HMR", "")</f>
      </c>
    </row>
    <row x14ac:dyDescent="0.25" r="237" customHeight="1" ht="17.25">
      <c r="A237" s="27" t="s">
        <v>1870</v>
      </c>
      <c r="B237" s="28">
        <v>2</v>
      </c>
      <c r="C237" s="35">
        <v>795</v>
      </c>
      <c r="D237" s="29" t="s">
        <v>73</v>
      </c>
      <c r="E237" s="30" t="s">
        <v>50</v>
      </c>
      <c r="F237" s="31">
        <v>44324</v>
      </c>
      <c r="G237" s="32">
        <v>4.739583333333334</v>
      </c>
      <c r="H237" s="31">
        <v>44324</v>
      </c>
      <c r="I237" s="32">
        <v>4.075</v>
      </c>
      <c r="J237" s="33">
        <f>F237-H237</f>
      </c>
      <c r="K237" s="28">
        <v>37</v>
      </c>
      <c r="L237" s="28">
        <v>6</v>
      </c>
      <c r="M237" s="28">
        <v>2</v>
      </c>
      <c r="N237" s="34"/>
      <c r="O237" s="34"/>
      <c r="P237" s="34"/>
      <c r="Q237" s="34"/>
      <c r="R237" s="34"/>
      <c r="S237" s="34"/>
      <c r="T237" s="34"/>
      <c r="U237" s="34"/>
      <c r="V237" s="34"/>
      <c r="W237" s="29" t="s">
        <v>74</v>
      </c>
      <c r="X237" s="28">
        <v>30</v>
      </c>
      <c r="Y237" s="28">
        <v>1</v>
      </c>
      <c r="Z237" s="28">
        <v>1</v>
      </c>
      <c r="AA237" s="28">
        <v>2</v>
      </c>
      <c r="AB237" s="28">
        <v>1</v>
      </c>
      <c r="AC237" s="28">
        <v>2</v>
      </c>
      <c r="AD237" s="28">
        <v>2</v>
      </c>
      <c r="AE237" s="28">
        <v>4</v>
      </c>
      <c r="AF237" s="28">
        <v>3</v>
      </c>
      <c r="AG237" s="28">
        <v>2</v>
      </c>
      <c r="AH237" s="29" t="s">
        <v>1871</v>
      </c>
      <c r="AI237" s="36">
        <f>if(or(and(K237&lt;32, J237&lt;2), O237=1, P237=1, Q237=1, R237=1, S237=1, T237=1, U237=1, and(W237&lt;&gt;"", W237&lt;&gt;"Oxygen", W237&lt;&gt;"LowFlow")), "Intensive", "Intermediate")</f>
      </c>
      <c r="AJ237" s="37">
        <f>if(or(left(AH237, 1)="X", left(AH237, 1)="Y", left(AH237, 3)="J43M"), "CUSM", "No Match")</f>
      </c>
      <c r="AK237" s="37">
        <f>if(and(or(O237=3, P237=1, Q237=1, T237=1), AJ237="no Match"), "CUSM, CHU SJ, CHUQ", "")</f>
      </c>
      <c r="AL237" s="37">
        <f>IF(AND(O238=2, ISBLANK(P238), ISBLANK(Q238), ISBLANK(R238), ISBLANK(S238), ISBLANK(T238)), "CUSM, CHU SJ, CHUS, CHUQ", "")</f>
      </c>
      <c r="AM237" s="37">
        <f>if(and(AJ237="no match", AK237="", AL237="", K237&lt;26), "CUSM, CHU SJ, HGJ, CHUQ, CHUS", "")</f>
      </c>
      <c r="AN237" s="37">
        <f>if(and(AJ237="no match", AK237="", AL237="", K237&gt;26), "CUSM, CHU SJ, HGJ, CHUQ, CHUS, HMR", "")</f>
      </c>
    </row>
    <row x14ac:dyDescent="0.25" r="238" customHeight="1" ht="17.25">
      <c r="A238" s="27" t="s">
        <v>1872</v>
      </c>
      <c r="B238" s="28">
        <v>2</v>
      </c>
      <c r="C238" s="35">
        <v>815</v>
      </c>
      <c r="D238" s="29" t="s">
        <v>100</v>
      </c>
      <c r="E238" s="30" t="s">
        <v>50</v>
      </c>
      <c r="F238" s="31">
        <v>44324</v>
      </c>
      <c r="G238" s="32">
        <v>4.225694444444445</v>
      </c>
      <c r="H238" s="31">
        <v>44322</v>
      </c>
      <c r="I238" s="32">
        <v>4.8069444444444445</v>
      </c>
      <c r="J238" s="33">
        <f>F238-H238</f>
      </c>
      <c r="K238" s="28">
        <v>37</v>
      </c>
      <c r="L238" s="28">
        <v>2</v>
      </c>
      <c r="M238" s="28">
        <v>1</v>
      </c>
      <c r="N238" s="34"/>
      <c r="O238" s="34"/>
      <c r="P238" s="34"/>
      <c r="Q238" s="34"/>
      <c r="R238" s="34"/>
      <c r="S238" s="34"/>
      <c r="T238" s="34"/>
      <c r="U238" s="34"/>
      <c r="V238" s="34"/>
      <c r="W238" s="29" t="s">
        <v>58</v>
      </c>
      <c r="X238" s="28">
        <v>28</v>
      </c>
      <c r="Y238" s="28">
        <v>1</v>
      </c>
      <c r="Z238" s="28">
        <v>1</v>
      </c>
      <c r="AA238" s="28">
        <v>2</v>
      </c>
      <c r="AB238" s="28">
        <v>1</v>
      </c>
      <c r="AC238" s="28">
        <v>2</v>
      </c>
      <c r="AD238" s="28">
        <v>2</v>
      </c>
      <c r="AE238" s="28">
        <v>4</v>
      </c>
      <c r="AF238" s="28">
        <v>3</v>
      </c>
      <c r="AG238" s="28">
        <v>2</v>
      </c>
      <c r="AH238" s="29" t="s">
        <v>727</v>
      </c>
      <c r="AI238" s="36">
        <f>if(or(and(K238&lt;32, J238&lt;2), O238=1, P238=1, Q238=1, R238=1, S238=1, T238=1, U238=1, and(W238&lt;&gt;"", W238&lt;&gt;"Oxygen", W238&lt;&gt;"LowFlow")), "Intensive", "Intermediate")</f>
      </c>
      <c r="AJ238" s="37">
        <f>if(or(left(AH238, 1)="X", left(AH238, 1)="Y", left(AH238, 3)="J44M"), "CUSM", "No Match")</f>
      </c>
      <c r="AK238" s="37">
        <f>if(and(or(O238=3, P238=1, Q238=1, T238=1), AJ238="no Match"), "CUSM, CHU SJ, CHUQ", "")</f>
      </c>
      <c r="AL238" s="37">
        <f>IF(AND(O239=2, ISBLANK(P239), ISBLANK(Q239), ISBLANK(R239), ISBLANK(S239), ISBLANK(T239)), "CUSM, CHU SJ, CHUS, CHUQ", "")</f>
      </c>
      <c r="AM238" s="37">
        <f>if(and(AJ238="no match", AK238="", AL238="", K238&lt;26), "CUSM, CHU SJ, HGJ, CHUQ, CHUS", "")</f>
      </c>
      <c r="AN238" s="37">
        <f>if(and(AJ238="no match", AK238="", AL238="", K238&gt;26), "CUSM, CHU SJ, HGJ, CHUQ, CHUS, HMR", "")</f>
      </c>
    </row>
    <row x14ac:dyDescent="0.25" r="239" customHeight="1" ht="17.25">
      <c r="A239" s="27" t="s">
        <v>1873</v>
      </c>
      <c r="B239" s="28">
        <v>2</v>
      </c>
      <c r="C239" s="35">
        <v>804</v>
      </c>
      <c r="D239" s="29" t="s">
        <v>1874</v>
      </c>
      <c r="E239" s="30" t="s">
        <v>220</v>
      </c>
      <c r="F239" s="31">
        <v>44324</v>
      </c>
      <c r="G239" s="32">
        <v>4.202083333333333</v>
      </c>
      <c r="H239" s="31">
        <v>44323</v>
      </c>
      <c r="I239" s="32">
        <v>4.843055555555555</v>
      </c>
      <c r="J239" s="33">
        <f>F239-H239</f>
      </c>
      <c r="K239" s="28">
        <v>31</v>
      </c>
      <c r="L239" s="28">
        <v>0</v>
      </c>
      <c r="M239" s="28">
        <v>1</v>
      </c>
      <c r="N239" s="34"/>
      <c r="O239" s="34"/>
      <c r="P239" s="34"/>
      <c r="Q239" s="34"/>
      <c r="R239" s="34"/>
      <c r="S239" s="34"/>
      <c r="T239" s="34"/>
      <c r="U239" s="34"/>
      <c r="V239" s="34"/>
      <c r="W239" s="29" t="s">
        <v>164</v>
      </c>
      <c r="X239" s="28">
        <v>26</v>
      </c>
      <c r="Y239" s="28">
        <v>1</v>
      </c>
      <c r="Z239" s="28">
        <v>2</v>
      </c>
      <c r="AA239" s="35">
        <v>2</v>
      </c>
      <c r="AB239" s="28">
        <v>1</v>
      </c>
      <c r="AC239" s="28">
        <v>2</v>
      </c>
      <c r="AD239" s="28">
        <v>1</v>
      </c>
      <c r="AE239" s="35">
        <v>4</v>
      </c>
      <c r="AF239" s="35">
        <v>2</v>
      </c>
      <c r="AG239" s="28">
        <v>2</v>
      </c>
      <c r="AH239" s="29" t="s">
        <v>1875</v>
      </c>
      <c r="AI239" s="36">
        <f>if(or(and(K239&lt;32, J239&lt;2), O239=1, P239=1, Q239=1, R239=1, S239=1, T239=1, U239=1, and(W239&lt;&gt;"", W239&lt;&gt;"Oxygen", W239&lt;&gt;"LowFlow")), "Intensive", "Intermediate")</f>
      </c>
      <c r="AJ239" s="37">
        <f>if(or(left(AH239, 1)="X", left(AH239, 1)="Y", left(AH239, 3)="J45M"), "CUSM", "No Match")</f>
      </c>
      <c r="AK239" s="37">
        <f>if(and(or(O239=3, P239=1, Q239=1, T239=1), AJ239="no Match"), "CUSM, CHU SJ, CHUQ", "")</f>
      </c>
      <c r="AL239" s="37">
        <f>IF(AND(O240=2, ISBLANK(P240), ISBLANK(Q240), ISBLANK(R240), ISBLANK(S240), ISBLANK(T240)), "CUSM, CHU SJ, CHUS, CHUQ", "")</f>
      </c>
      <c r="AM239" s="37">
        <f>if(and(AJ239="no match", AK239="", AL239="", K239&lt;26), "CUSM, CHU SJ, HGJ, CHUQ, CHUS", "")</f>
      </c>
      <c r="AN239" s="37">
        <f>if(and(AJ239="no match", AK239="", AL239="", K239&gt;26), "CUSM, CHU SJ, HGJ, CHUQ, CHUS, HMR", "")</f>
      </c>
    </row>
    <row x14ac:dyDescent="0.25" r="240" customHeight="1" ht="17.25">
      <c r="A240" s="27" t="s">
        <v>1876</v>
      </c>
      <c r="B240" s="28">
        <v>2</v>
      </c>
      <c r="C240" s="35">
        <v>824</v>
      </c>
      <c r="D240" s="29" t="s">
        <v>57</v>
      </c>
      <c r="E240" s="30" t="s">
        <v>54</v>
      </c>
      <c r="F240" s="31">
        <v>44326</v>
      </c>
      <c r="G240" s="32">
        <v>4.315972222222222</v>
      </c>
      <c r="H240" s="31">
        <v>44325</v>
      </c>
      <c r="I240" s="32">
        <v>4.29375</v>
      </c>
      <c r="J240" s="33">
        <f>F240-H240</f>
      </c>
      <c r="K240" s="28">
        <v>36</v>
      </c>
      <c r="L240" s="28">
        <v>0</v>
      </c>
      <c r="M240" s="28">
        <v>1</v>
      </c>
      <c r="N240" s="28">
        <v>1</v>
      </c>
      <c r="O240" s="35">
        <v>2</v>
      </c>
      <c r="P240" s="28">
        <v>1</v>
      </c>
      <c r="Q240" s="34"/>
      <c r="R240" s="34"/>
      <c r="S240" s="34"/>
      <c r="T240" s="34"/>
      <c r="U240" s="34"/>
      <c r="V240" s="34"/>
      <c r="W240" s="29" t="s">
        <v>106</v>
      </c>
      <c r="X240" s="28">
        <v>24</v>
      </c>
      <c r="Y240" s="28">
        <v>1</v>
      </c>
      <c r="Z240" s="28">
        <v>1</v>
      </c>
      <c r="AA240" s="28">
        <v>2</v>
      </c>
      <c r="AB240" s="28">
        <v>1</v>
      </c>
      <c r="AC240" s="28">
        <v>2</v>
      </c>
      <c r="AD240" s="28">
        <v>2</v>
      </c>
      <c r="AE240" s="28">
        <v>2</v>
      </c>
      <c r="AF240" s="28">
        <v>3</v>
      </c>
      <c r="AG240" s="28">
        <v>2</v>
      </c>
      <c r="AH240" s="29" t="s">
        <v>1513</v>
      </c>
      <c r="AI240" s="36">
        <f>if(or(and(K240&lt;32, J240&lt;2), O240=1, P240=1, Q240=1, R240=1, S240=1, T240=1, U240=1, and(W240&lt;&gt;"", W240&lt;&gt;"Oxygen", W240&lt;&gt;"LowFlow")), "Intensive", "Intermediate")</f>
      </c>
      <c r="AJ240" s="37">
        <f>if(or(left(AH240, 1)="X", left(AH240, 1)="Y", left(AH240, 3)="J46M"), "CUSM", "No Match")</f>
      </c>
      <c r="AK240" s="37">
        <f>if(and(or(O240=3, P240=1, Q240=1, T240=1), AJ240="no Match"), "CUSM, CHU SJ, CHUQ", "")</f>
      </c>
      <c r="AL240" s="37">
        <f>IF(AND(O241=2, ISBLANK(P241), ISBLANK(Q241), ISBLANK(R241), ISBLANK(S241), ISBLANK(T241)), "CUSM, CHU SJ, CHUS, CHUQ", "")</f>
      </c>
      <c r="AM240" s="37">
        <f>if(and(AJ240="no match", AK240="", AL240="", K240&lt;26), "CUSM, CHU SJ, HGJ, CHUQ, CHUS", "")</f>
      </c>
      <c r="AN240" s="37">
        <f>if(and(AJ240="no match", AK240="", AL240="", K240&gt;26), "CUSM, CHU SJ, HGJ, CHUQ, CHUS, HMR", "")</f>
      </c>
    </row>
    <row x14ac:dyDescent="0.25" r="241" customHeight="1" ht="17.25">
      <c r="A241" s="27" t="s">
        <v>1877</v>
      </c>
      <c r="B241" s="28">
        <v>2</v>
      </c>
      <c r="C241" s="35">
        <v>832</v>
      </c>
      <c r="D241" s="29" t="s">
        <v>308</v>
      </c>
      <c r="E241" s="30" t="s">
        <v>78</v>
      </c>
      <c r="F241" s="31">
        <v>44326</v>
      </c>
      <c r="G241" s="32">
        <v>4.635416666666666</v>
      </c>
      <c r="H241" s="31">
        <v>44326</v>
      </c>
      <c r="I241" s="32">
        <v>4.373611111111111</v>
      </c>
      <c r="J241" s="33">
        <f>F241-H241</f>
      </c>
      <c r="K241" s="28">
        <v>38</v>
      </c>
      <c r="L241" s="28">
        <v>0</v>
      </c>
      <c r="M241" s="28">
        <v>2</v>
      </c>
      <c r="N241" s="34"/>
      <c r="O241" s="34"/>
      <c r="P241" s="34"/>
      <c r="Q241" s="34"/>
      <c r="R241" s="34"/>
      <c r="S241" s="34"/>
      <c r="T241" s="34"/>
      <c r="U241" s="34"/>
      <c r="V241" s="34"/>
      <c r="W241" s="29" t="s">
        <v>600</v>
      </c>
      <c r="X241" s="28">
        <v>40</v>
      </c>
      <c r="Y241" s="28">
        <v>1</v>
      </c>
      <c r="Z241" s="28">
        <v>2</v>
      </c>
      <c r="AA241" s="28">
        <v>2</v>
      </c>
      <c r="AB241" s="28">
        <v>1</v>
      </c>
      <c r="AC241" s="28">
        <v>2</v>
      </c>
      <c r="AD241" s="28">
        <v>2</v>
      </c>
      <c r="AE241" s="28">
        <v>2</v>
      </c>
      <c r="AF241" s="28">
        <v>2</v>
      </c>
      <c r="AG241" s="28">
        <v>2</v>
      </c>
      <c r="AH241" s="29" t="s">
        <v>1878</v>
      </c>
      <c r="AI241" s="36">
        <f>if(or(and(K241&lt;32, J241&lt;2), O241=1, P241=1, Q241=1, R241=1, S241=1, T241=1, U241=1, and(W241&lt;&gt;"", W241&lt;&gt;"Oxygen", W241&lt;&gt;"LowFlow")), "Intensive", "Intermediate")</f>
      </c>
      <c r="AJ241" s="37">
        <f>if(or(left(AH241, 1)="X", left(AH241, 1)="Y", left(AH241, 3)="J47M"), "CUSM", "No Match")</f>
      </c>
      <c r="AK241" s="37">
        <f>if(and(or(O241=3, P241=1, Q241=1, T241=1), AJ241="no Match"), "CUSM, CHU SJ, CHUQ", "")</f>
      </c>
      <c r="AL241" s="37">
        <f>IF(AND(O242=2, ISBLANK(P242), ISBLANK(Q242), ISBLANK(R242), ISBLANK(S242), ISBLANK(T242)), "CUSM, CHU SJ, CHUS, CHUQ", "")</f>
      </c>
      <c r="AM241" s="37">
        <f>if(and(AJ241="no match", AK241="", AL241="", K241&lt;26), "CUSM, CHU SJ, HGJ, CHUQ, CHUS", "")</f>
      </c>
      <c r="AN241" s="37">
        <f>if(and(AJ241="no match", AK241="", AL241="", K241&gt;26), "CUSM, CHU SJ, HGJ, CHUQ, CHUS, HMR", "")</f>
      </c>
    </row>
    <row x14ac:dyDescent="0.25" r="242" customHeight="1" ht="17.25">
      <c r="A242" s="27" t="s">
        <v>1879</v>
      </c>
      <c r="B242" s="28">
        <v>2</v>
      </c>
      <c r="C242" s="35">
        <v>779</v>
      </c>
      <c r="D242" s="29" t="s">
        <v>136</v>
      </c>
      <c r="E242" s="30" t="s">
        <v>78</v>
      </c>
      <c r="F242" s="31">
        <v>44326</v>
      </c>
      <c r="G242" s="32">
        <v>4.840277777777778</v>
      </c>
      <c r="H242" s="31">
        <v>44325</v>
      </c>
      <c r="I242" s="32">
        <v>4.324305555555556</v>
      </c>
      <c r="J242" s="33">
        <f>F242-H242</f>
      </c>
      <c r="K242" s="28">
        <v>33</v>
      </c>
      <c r="L242" s="28">
        <v>4</v>
      </c>
      <c r="M242" s="28">
        <v>1</v>
      </c>
      <c r="N242" s="35">
        <v>1</v>
      </c>
      <c r="O242" s="34"/>
      <c r="P242" s="34"/>
      <c r="Q242" s="34"/>
      <c r="R242" s="34"/>
      <c r="S242" s="34"/>
      <c r="T242" s="34"/>
      <c r="U242" s="34"/>
      <c r="V242" s="34"/>
      <c r="W242" s="29" t="s">
        <v>74</v>
      </c>
      <c r="X242" s="28">
        <v>42</v>
      </c>
      <c r="Y242" s="28">
        <v>1</v>
      </c>
      <c r="Z242" s="28">
        <v>2</v>
      </c>
      <c r="AA242" s="28">
        <v>1</v>
      </c>
      <c r="AB242" s="28">
        <v>1</v>
      </c>
      <c r="AC242" s="28">
        <v>2</v>
      </c>
      <c r="AD242" s="28">
        <v>2</v>
      </c>
      <c r="AE242" s="28">
        <v>2</v>
      </c>
      <c r="AF242" s="35">
        <v>2</v>
      </c>
      <c r="AG242" s="28">
        <v>2</v>
      </c>
      <c r="AH242" s="29" t="s">
        <v>1880</v>
      </c>
      <c r="AI242" s="36">
        <f>if(or(and(K242&lt;32, J242&lt;2), O242=1, P242=1, Q242=1, R242=1, S242=1, T242=1, U242=1, and(W242&lt;&gt;"", W242&lt;&gt;"Oxygen", W242&lt;&gt;"LowFlow")), "Intensive", "Intermediate")</f>
      </c>
      <c r="AJ242" s="37">
        <f>if(or(left(AH242, 1)="X", left(AH242, 1)="Y", left(AH242, 3)="J48M"), "CUSM", "No Match")</f>
      </c>
      <c r="AK242" s="37">
        <f>if(and(or(O242=3, P242=1, Q242=1, T242=1), AJ242="no Match"), "CUSM, CHU SJ, CHUQ", "")</f>
      </c>
      <c r="AL242" s="37">
        <f>IF(AND(O243=2, ISBLANK(P243), ISBLANK(Q243), ISBLANK(R243), ISBLANK(S243), ISBLANK(T243)), "CUSM, CHU SJ, CHUS, CHUQ", "")</f>
      </c>
      <c r="AM242" s="37">
        <f>if(and(AJ242="no match", AK242="", AL242="", K242&lt;26), "CUSM, CHU SJ, HGJ, CHUQ, CHUS", "")</f>
      </c>
      <c r="AN242" s="37">
        <f>if(and(AJ242="no match", AK242="", AL242="", K242&gt;26), "CUSM, CHU SJ, HGJ, CHUQ, CHUS, HMR", "")</f>
      </c>
    </row>
    <row x14ac:dyDescent="0.25" r="243" customHeight="1" ht="17.25">
      <c r="A243" s="27" t="s">
        <v>1881</v>
      </c>
      <c r="B243" s="28">
        <v>2</v>
      </c>
      <c r="C243" s="35">
        <v>731</v>
      </c>
      <c r="D243" s="29" t="s">
        <v>103</v>
      </c>
      <c r="E243" s="30" t="s">
        <v>54</v>
      </c>
      <c r="F243" s="31">
        <v>44327</v>
      </c>
      <c r="G243" s="32">
        <v>4.381944444444445</v>
      </c>
      <c r="H243" s="31">
        <v>44327</v>
      </c>
      <c r="I243" s="32">
        <v>4.091666666666667</v>
      </c>
      <c r="J243" s="33">
        <f>F243-H243</f>
      </c>
      <c r="K243" s="28">
        <v>38</v>
      </c>
      <c r="L243" s="28">
        <v>3</v>
      </c>
      <c r="M243" s="28">
        <v>1</v>
      </c>
      <c r="N243" s="34"/>
      <c r="O243" s="34"/>
      <c r="P243" s="34"/>
      <c r="Q243" s="34"/>
      <c r="R243" s="34"/>
      <c r="S243" s="34"/>
      <c r="T243" s="35">
        <v>1</v>
      </c>
      <c r="U243" s="34"/>
      <c r="V243" s="34"/>
      <c r="W243" s="29"/>
      <c r="X243" s="28">
        <v>20</v>
      </c>
      <c r="Y243" s="28">
        <v>1</v>
      </c>
      <c r="Z243" s="28">
        <v>1</v>
      </c>
      <c r="AA243" s="28">
        <v>1</v>
      </c>
      <c r="AB243" s="28">
        <v>1</v>
      </c>
      <c r="AC243" s="28">
        <v>2</v>
      </c>
      <c r="AD243" s="28">
        <v>2</v>
      </c>
      <c r="AE243" s="28">
        <v>4</v>
      </c>
      <c r="AF243" s="28">
        <v>1</v>
      </c>
      <c r="AG243" s="28">
        <v>2</v>
      </c>
      <c r="AH243" s="29" t="s">
        <v>1882</v>
      </c>
      <c r="AI243" s="36">
        <f>if(or(and(K243&lt;32, J243&lt;2), O243=1, P243=1, Q243=1, R243=1, S243=1, T243=1, U243=1, and(W243&lt;&gt;"", W243&lt;&gt;"Oxygen", W243&lt;&gt;"LowFlow")), "Intensive", "Intermediate")</f>
      </c>
      <c r="AJ243" s="37">
        <f>if(or(left(AH243, 1)="X", left(AH243, 1)="Y", left(AH243, 3)="J49M"), "CUSM", "No Match")</f>
      </c>
      <c r="AK243" s="37">
        <f>if(and(or(O243=3, P243=1, Q243=1, T243=1), AJ243="no Match"), "CUSM, CHU SJ, CHUQ", "")</f>
      </c>
      <c r="AL243" s="37">
        <f>IF(AND(O244=2, ISBLANK(P244), ISBLANK(Q244), ISBLANK(R244), ISBLANK(S244), ISBLANK(T244)), "CUSM, CHU SJ, CHUS, CHUQ", "")</f>
      </c>
      <c r="AM243" s="37">
        <f>if(and(AJ243="no match", AK243="", AL243="", K243&lt;26), "CUSM, CHU SJ, HGJ, CHUQ, CHUS", "")</f>
      </c>
      <c r="AN243" s="37">
        <f>if(and(AJ243="no match", AK243="", AL243="", K243&gt;26), "CUSM, CHU SJ, HGJ, CHUQ, CHUS, HMR", "")</f>
      </c>
    </row>
    <row x14ac:dyDescent="0.25" r="244" customHeight="1" ht="17.25">
      <c r="A244" s="27" t="s">
        <v>1883</v>
      </c>
      <c r="B244" s="28">
        <v>2</v>
      </c>
      <c r="C244" s="35">
        <v>839</v>
      </c>
      <c r="D244" s="29" t="s">
        <v>53</v>
      </c>
      <c r="E244" s="30" t="s">
        <v>50</v>
      </c>
      <c r="F244" s="31">
        <v>44327</v>
      </c>
      <c r="G244" s="32">
        <v>4.9944444444444445</v>
      </c>
      <c r="H244" s="31">
        <v>44327</v>
      </c>
      <c r="I244" s="32">
        <v>4.8597222222222225</v>
      </c>
      <c r="J244" s="33">
        <f>F244-H244</f>
      </c>
      <c r="K244" s="28">
        <v>25</v>
      </c>
      <c r="L244" s="28">
        <v>6</v>
      </c>
      <c r="M244" s="28">
        <v>2</v>
      </c>
      <c r="N244" s="28">
        <v>1</v>
      </c>
      <c r="O244" s="34"/>
      <c r="P244" s="28">
        <v>1</v>
      </c>
      <c r="Q244" s="35">
        <v>1</v>
      </c>
      <c r="R244" s="34"/>
      <c r="S244" s="34"/>
      <c r="T244" s="34"/>
      <c r="U244" s="34"/>
      <c r="V244" s="35">
        <v>1</v>
      </c>
      <c r="W244" s="29" t="s">
        <v>74</v>
      </c>
      <c r="X244" s="28">
        <v>30</v>
      </c>
      <c r="Y244" s="28">
        <v>1</v>
      </c>
      <c r="Z244" s="28">
        <v>2</v>
      </c>
      <c r="AA244" s="28">
        <v>1</v>
      </c>
      <c r="AB244" s="28">
        <v>1</v>
      </c>
      <c r="AC244" s="28">
        <v>2</v>
      </c>
      <c r="AD244" s="28">
        <v>2</v>
      </c>
      <c r="AE244" s="28">
        <v>2</v>
      </c>
      <c r="AF244" s="28">
        <v>2</v>
      </c>
      <c r="AG244" s="28">
        <v>2</v>
      </c>
      <c r="AH244" s="29" t="s">
        <v>1884</v>
      </c>
      <c r="AI244" s="36">
        <f>if(or(and(K244&lt;32, J244&lt;2), O244=1, P244=1, Q244=1, R244=1, S244=1, T244=1, U244=1, and(W244&lt;&gt;"", W244&lt;&gt;"Oxygen", W244&lt;&gt;"LowFlow")), "Intensive", "Intermediate")</f>
      </c>
      <c r="AJ244" s="37">
        <f>if(or(left(AH244, 1)="X", left(AH244, 1)="Y", left(AH244, 3)="J50M"), "CUSM", "No Match")</f>
      </c>
      <c r="AK244" s="37">
        <f>if(and(or(O244=3, P244=1, Q244=1, T244=1), AJ244="no Match"), "CUSM, CHU SJ, CHUQ", "")</f>
      </c>
      <c r="AL244" s="37">
        <f>IF(AND(O245=2, ISBLANK(P245), ISBLANK(Q245), ISBLANK(R245), ISBLANK(S245), ISBLANK(T245)), "CUSM, CHU SJ, CHUS, CHUQ", "")</f>
      </c>
      <c r="AM244" s="37">
        <f>if(and(AJ244="no match", AK244="", AL244="", K244&lt;26), "CUSM, CHU SJ, HGJ, CHUQ, CHUS", "")</f>
      </c>
      <c r="AN244" s="37">
        <f>if(and(AJ244="no match", AK244="", AL244="", K244&gt;26), "CUSM, CHU SJ, HGJ, CHUQ, CHUS, HMR", "")</f>
      </c>
    </row>
    <row x14ac:dyDescent="0.25" r="245" customHeight="1" ht="17.25">
      <c r="A245" s="27" t="s">
        <v>1885</v>
      </c>
      <c r="B245" s="28">
        <v>2</v>
      </c>
      <c r="C245" s="35">
        <v>796</v>
      </c>
      <c r="D245" s="29" t="s">
        <v>63</v>
      </c>
      <c r="E245" s="30" t="s">
        <v>50</v>
      </c>
      <c r="F245" s="31">
        <v>44328</v>
      </c>
      <c r="G245" s="32">
        <v>4.65625</v>
      </c>
      <c r="H245" s="31">
        <v>44328</v>
      </c>
      <c r="I245" s="32">
        <v>4.457638888888889</v>
      </c>
      <c r="J245" s="33">
        <f>F245-H245</f>
      </c>
      <c r="K245" s="28">
        <v>37</v>
      </c>
      <c r="L245" s="28">
        <v>6</v>
      </c>
      <c r="M245" s="28">
        <v>1</v>
      </c>
      <c r="N245" s="34"/>
      <c r="O245" s="34"/>
      <c r="P245" s="34"/>
      <c r="Q245" s="34"/>
      <c r="R245" s="34"/>
      <c r="S245" s="34"/>
      <c r="T245" s="34"/>
      <c r="U245" s="34"/>
      <c r="V245" s="34"/>
      <c r="W245" s="29"/>
      <c r="X245" s="28">
        <v>23</v>
      </c>
      <c r="Y245" s="28">
        <v>1</v>
      </c>
      <c r="Z245" s="28">
        <v>2</v>
      </c>
      <c r="AA245" s="28">
        <v>2</v>
      </c>
      <c r="AB245" s="28">
        <v>1</v>
      </c>
      <c r="AC245" s="28">
        <v>1</v>
      </c>
      <c r="AD245" s="28">
        <v>1</v>
      </c>
      <c r="AE245" s="28">
        <v>4</v>
      </c>
      <c r="AF245" s="28">
        <v>2</v>
      </c>
      <c r="AG245" s="28">
        <v>2</v>
      </c>
      <c r="AH245" s="29" t="s">
        <v>1886</v>
      </c>
      <c r="AI245" s="36">
        <f>if(or(and(K245&lt;32, J245&lt;2), O245=1, P245=1, Q245=1, R245=1, S245=1, T245=1, U245=1, and(W245&lt;&gt;"", W245&lt;&gt;"Oxygen", W245&lt;&gt;"LowFlow")), "Intensive", "Intermediate")</f>
      </c>
      <c r="AJ245" s="37">
        <f>if(or(left(AH245, 1)="X", left(AH245, 1)="Y", left(AH245, 3)="J51M"), "CUSM", "No Match")</f>
      </c>
      <c r="AK245" s="37">
        <f>if(and(or(O245=3, P245=1, Q245=1, T245=1), AJ245="no Match"), "CUSM, CHU SJ, CHUQ", "")</f>
      </c>
      <c r="AL245" s="37">
        <f>IF(AND(O246=2, ISBLANK(P246), ISBLANK(Q246), ISBLANK(R246), ISBLANK(S246), ISBLANK(T246)), "CUSM, CHU SJ, CHUS, CHUQ", "")</f>
      </c>
      <c r="AM245" s="37">
        <f>if(and(AJ245="no match", AK245="", AL245="", K245&lt;26), "CUSM, CHU SJ, HGJ, CHUQ, CHUS", "")</f>
      </c>
      <c r="AN245" s="37">
        <f>if(and(AJ245="no match", AK245="", AL245="", K245&gt;26), "CUSM, CHU SJ, HGJ, CHUQ, CHUS, HMR", "")</f>
      </c>
    </row>
    <row x14ac:dyDescent="0.25" r="246" customHeight="1" ht="17.25">
      <c r="A246" s="27" t="s">
        <v>1887</v>
      </c>
      <c r="B246" s="28">
        <v>2</v>
      </c>
      <c r="C246" s="35">
        <v>734</v>
      </c>
      <c r="D246" s="29" t="s">
        <v>264</v>
      </c>
      <c r="E246" s="30" t="s">
        <v>54</v>
      </c>
      <c r="F246" s="31">
        <v>44329</v>
      </c>
      <c r="G246" s="32">
        <v>4.048611111111111</v>
      </c>
      <c r="H246" s="31">
        <v>44326</v>
      </c>
      <c r="I246" s="32">
        <v>4.902083333333334</v>
      </c>
      <c r="J246" s="33">
        <f>F246-H246</f>
      </c>
      <c r="K246" s="28">
        <v>38</v>
      </c>
      <c r="L246" s="28">
        <v>4</v>
      </c>
      <c r="M246" s="28">
        <v>1</v>
      </c>
      <c r="N246" s="34"/>
      <c r="O246" s="35">
        <v>2</v>
      </c>
      <c r="P246" s="34"/>
      <c r="Q246" s="34"/>
      <c r="R246" s="34"/>
      <c r="S246" s="34"/>
      <c r="T246" s="34"/>
      <c r="U246" s="34"/>
      <c r="V246" s="34"/>
      <c r="W246" s="29"/>
      <c r="X246" s="28">
        <v>34</v>
      </c>
      <c r="Y246" s="28">
        <v>1</v>
      </c>
      <c r="Z246" s="28">
        <v>1</v>
      </c>
      <c r="AA246" s="28">
        <v>2</v>
      </c>
      <c r="AB246" s="28">
        <v>1</v>
      </c>
      <c r="AC246" s="28">
        <v>2</v>
      </c>
      <c r="AD246" s="28">
        <v>2</v>
      </c>
      <c r="AE246" s="28">
        <v>4</v>
      </c>
      <c r="AF246" s="35">
        <v>1</v>
      </c>
      <c r="AG246" s="28">
        <v>2</v>
      </c>
      <c r="AH246" s="29" t="s">
        <v>1888</v>
      </c>
      <c r="AI246" s="36">
        <f>if(or(and(K246&lt;32, J246&lt;2), O246=1, P246=1, Q246=1, R246=1, S246=1, T246=1, U246=1, and(W246&lt;&gt;"", W246&lt;&gt;"Oxygen", W246&lt;&gt;"LowFlow")), "Intensive", "Intermediate")</f>
      </c>
      <c r="AJ246" s="37">
        <f>if(or(left(AH246, 1)="X", left(AH246, 1)="Y", left(AH246, 3)="J52M"), "CUSM", "No Match")</f>
      </c>
      <c r="AK246" s="37">
        <f>if(and(or(O246=3, P246=1, Q246=1, T246=1), AJ246="no Match"), "CUSM, CHU SJ, CHUQ", "")</f>
      </c>
      <c r="AL246" s="37">
        <f>IF(AND(O247=2, ISBLANK(P247), ISBLANK(Q247), ISBLANK(R247), ISBLANK(S247), ISBLANK(T247)), "CUSM, CHU SJ, CHUS, CHUQ", "")</f>
      </c>
      <c r="AM246" s="37">
        <f>if(and(AJ246="no match", AK246="", AL246="", K246&lt;26), "CUSM, CHU SJ, HGJ, CHUQ, CHUS", "")</f>
      </c>
      <c r="AN246" s="37">
        <f>if(and(AJ246="no match", AK246="", AL246="", K246&gt;26), "CUSM, CHU SJ, HGJ, CHUQ, CHUS, HMR", "")</f>
      </c>
    </row>
    <row x14ac:dyDescent="0.25" r="247" customHeight="1" ht="17.25">
      <c r="A247" s="27" t="s">
        <v>1889</v>
      </c>
      <c r="B247" s="28">
        <v>2</v>
      </c>
      <c r="C247" s="28">
        <v>839</v>
      </c>
      <c r="D247" s="29" t="s">
        <v>53</v>
      </c>
      <c r="E247" s="30" t="s">
        <v>50</v>
      </c>
      <c r="F247" s="31">
        <v>44329</v>
      </c>
      <c r="G247" s="32">
        <v>4.118055555555555</v>
      </c>
      <c r="H247" s="31">
        <v>44328</v>
      </c>
      <c r="I247" s="32">
        <v>4.966666666666667</v>
      </c>
      <c r="J247" s="33">
        <f>F247-H247</f>
      </c>
      <c r="K247" s="28">
        <v>38</v>
      </c>
      <c r="L247" s="28">
        <v>6</v>
      </c>
      <c r="M247" s="28">
        <v>1</v>
      </c>
      <c r="N247" s="35">
        <v>1</v>
      </c>
      <c r="O247" s="34"/>
      <c r="P247" s="35">
        <v>1</v>
      </c>
      <c r="Q247" s="34"/>
      <c r="R247" s="34"/>
      <c r="S247" s="34"/>
      <c r="T247" s="35">
        <v>1</v>
      </c>
      <c r="U247" s="34"/>
      <c r="V247" s="34"/>
      <c r="W247" s="29" t="s">
        <v>74</v>
      </c>
      <c r="X247" s="28">
        <v>25</v>
      </c>
      <c r="Y247" s="28">
        <v>1</v>
      </c>
      <c r="Z247" s="28">
        <v>1</v>
      </c>
      <c r="AA247" s="28">
        <v>1</v>
      </c>
      <c r="AB247" s="28">
        <v>1</v>
      </c>
      <c r="AC247" s="28">
        <v>2</v>
      </c>
      <c r="AD247" s="28">
        <v>2</v>
      </c>
      <c r="AE247" s="28">
        <v>1</v>
      </c>
      <c r="AF247" s="28">
        <v>2</v>
      </c>
      <c r="AG247" s="28">
        <v>2</v>
      </c>
      <c r="AH247" s="29" t="s">
        <v>1890</v>
      </c>
      <c r="AI247" s="36">
        <f>if(or(and(K247&lt;32, J247&lt;2), O247=1, P247=1, Q247=1, R247=1, S247=1, T247=1, U247=1, and(W247&lt;&gt;"", W247&lt;&gt;"Oxygen", W247&lt;&gt;"LowFlow")), "Intensive", "Intermediate")</f>
      </c>
      <c r="AJ247" s="37">
        <f>if(or(left(AH247, 1)="X", left(AH247, 1)="Y", left(AH247, 3)="J53M"), "CUSM", "No Match")</f>
      </c>
      <c r="AK247" s="37">
        <f>if(and(or(O247=3, P247=1, Q247=1, T247=1), AJ247="no Match"), "CUSM, CHU SJ, CHUQ", "")</f>
      </c>
      <c r="AL247" s="37">
        <f>IF(AND(O248=2, ISBLANK(P248), ISBLANK(Q248), ISBLANK(R248), ISBLANK(S248), ISBLANK(T248)), "CUSM, CHU SJ, CHUS, CHUQ", "")</f>
      </c>
      <c r="AM247" s="37">
        <f>if(and(AJ247="no match", AK247="", AL247="", K247&lt;26), "CUSM, CHU SJ, HGJ, CHUQ, CHUS", "")</f>
      </c>
      <c r="AN247" s="37">
        <f>if(and(AJ247="no match", AK247="", AL247="", K247&gt;26), "CUSM, CHU SJ, HGJ, CHUQ, CHUS, HMR", "")</f>
      </c>
    </row>
    <row x14ac:dyDescent="0.25" r="248" customHeight="1" ht="17.25">
      <c r="A248" s="27" t="s">
        <v>1891</v>
      </c>
      <c r="B248" s="28">
        <v>2</v>
      </c>
      <c r="C248" s="28">
        <v>6</v>
      </c>
      <c r="D248" s="29" t="s">
        <v>131</v>
      </c>
      <c r="E248" s="30" t="s">
        <v>50</v>
      </c>
      <c r="F248" s="31">
        <v>44329</v>
      </c>
      <c r="G248" s="32">
        <v>4.8125</v>
      </c>
      <c r="H248" s="31">
        <v>44327</v>
      </c>
      <c r="I248" s="32">
        <v>4.623611111111111</v>
      </c>
      <c r="J248" s="33">
        <f>F248-H248</f>
      </c>
      <c r="K248" s="28">
        <v>39</v>
      </c>
      <c r="L248" s="28">
        <v>0</v>
      </c>
      <c r="M248" s="28">
        <v>2</v>
      </c>
      <c r="N248" s="34"/>
      <c r="O248" s="34"/>
      <c r="P248" s="34"/>
      <c r="Q248" s="34"/>
      <c r="R248" s="34"/>
      <c r="S248" s="34"/>
      <c r="T248" s="34"/>
      <c r="U248" s="34"/>
      <c r="V248" s="34"/>
      <c r="W248" s="29"/>
      <c r="X248" s="28">
        <v>25</v>
      </c>
      <c r="Y248" s="28">
        <v>1</v>
      </c>
      <c r="Z248" s="28">
        <v>1</v>
      </c>
      <c r="AA248" s="28">
        <v>3</v>
      </c>
      <c r="AB248" s="28">
        <v>1</v>
      </c>
      <c r="AC248" s="28">
        <v>2</v>
      </c>
      <c r="AD248" s="28">
        <v>2</v>
      </c>
      <c r="AE248" s="28">
        <v>4</v>
      </c>
      <c r="AF248" s="28">
        <v>3</v>
      </c>
      <c r="AG248" s="28">
        <v>2</v>
      </c>
      <c r="AH248" s="29" t="s">
        <v>1892</v>
      </c>
      <c r="AI248" s="36">
        <f>if(or(and(K248&lt;32, J248&lt;2), O248=1, P248=1, Q248=1, R248=1, S248=1, T248=1, U248=1, and(W248&lt;&gt;"", W248&lt;&gt;"Oxygen", W248&lt;&gt;"LowFlow")), "Intensive", "Intermediate")</f>
      </c>
      <c r="AJ248" s="37">
        <f>if(or(left(AH248, 1)="X", left(AH248, 1)="Y", left(AH248, 3)="J54M"), "CUSM", "No Match")</f>
      </c>
      <c r="AK248" s="37">
        <f>if(and(or(O248=3, P248=1, Q248=1, T248=1), AJ248="no Match"), "CUSM, CHU SJ, CHUQ", "")</f>
      </c>
      <c r="AL248" s="37">
        <f>IF(AND(O249=2, ISBLANK(P249), ISBLANK(Q249), ISBLANK(R249), ISBLANK(S249), ISBLANK(T249)), "CUSM, CHU SJ, CHUS, CHUQ", "")</f>
      </c>
      <c r="AM248" s="37">
        <f>if(and(AJ248="no match", AK248="", AL248="", K248&lt;26), "CUSM, CHU SJ, HGJ, CHUQ, CHUS", "")</f>
      </c>
      <c r="AN248" s="37">
        <f>if(and(AJ248="no match", AK248="", AL248="", K248&gt;26), "CUSM, CHU SJ, HGJ, CHUQ, CHUS, HMR", "")</f>
      </c>
    </row>
    <row x14ac:dyDescent="0.25" r="249" customHeight="1" ht="17.25">
      <c r="A249" s="27" t="s">
        <v>1893</v>
      </c>
      <c r="B249" s="28">
        <v>2</v>
      </c>
      <c r="C249" s="35">
        <v>815</v>
      </c>
      <c r="D249" s="29" t="s">
        <v>100</v>
      </c>
      <c r="E249" s="30" t="s">
        <v>54</v>
      </c>
      <c r="F249" s="31">
        <v>44330</v>
      </c>
      <c r="G249" s="32">
        <v>4.236111111111111</v>
      </c>
      <c r="H249" s="31">
        <v>44329</v>
      </c>
      <c r="I249" s="32">
        <v>4.123611111111111</v>
      </c>
      <c r="J249" s="33">
        <f>F249-H249</f>
      </c>
      <c r="K249" s="28">
        <v>39</v>
      </c>
      <c r="L249" s="28">
        <v>5</v>
      </c>
      <c r="M249" s="28">
        <v>1</v>
      </c>
      <c r="N249" s="34"/>
      <c r="O249" s="34"/>
      <c r="P249" s="34"/>
      <c r="Q249" s="34"/>
      <c r="R249" s="34"/>
      <c r="S249" s="34"/>
      <c r="T249" s="34"/>
      <c r="U249" s="34"/>
      <c r="V249" s="34"/>
      <c r="W249" s="29"/>
      <c r="X249" s="28">
        <v>30</v>
      </c>
      <c r="Y249" s="28">
        <v>1</v>
      </c>
      <c r="Z249" s="28">
        <v>1</v>
      </c>
      <c r="AA249" s="28">
        <v>1</v>
      </c>
      <c r="AB249" s="28">
        <v>1</v>
      </c>
      <c r="AC249" s="28">
        <v>2</v>
      </c>
      <c r="AD249" s="28">
        <v>1</v>
      </c>
      <c r="AE249" s="28">
        <v>4</v>
      </c>
      <c r="AF249" s="35">
        <v>2</v>
      </c>
      <c r="AG249" s="28">
        <v>2</v>
      </c>
      <c r="AH249" s="29" t="s">
        <v>143</v>
      </c>
      <c r="AI249" s="36">
        <f>if(or(and(K249&lt;32, J249&lt;2), O249=1, P249=1, Q249=1, R249=1, S249=1, T249=1, U249=1, and(W249&lt;&gt;"", W249&lt;&gt;"Oxygen", W249&lt;&gt;"LowFlow")), "Intensive", "Intermediate")</f>
      </c>
      <c r="AJ249" s="37">
        <f>if(or(left(AH249, 1)="X", left(AH249, 1)="Y", left(AH249, 3)="J55M"), "CUSM", "No Match")</f>
      </c>
      <c r="AK249" s="37">
        <f>if(and(or(O249=3, P249=1, Q249=1, T249=1), AJ249="no Match"), "CUSM, CHU SJ, CHUQ", "")</f>
      </c>
      <c r="AL249" s="37">
        <f>IF(AND(O250=2, ISBLANK(P250), ISBLANK(Q250), ISBLANK(R250), ISBLANK(S250), ISBLANK(T250)), "CUSM, CHU SJ, CHUS, CHUQ", "")</f>
      </c>
      <c r="AM249" s="37">
        <f>if(and(AJ249="no match", AK249="", AL249="", K249&lt;26), "CUSM, CHU SJ, HGJ, CHUQ, CHUS", "")</f>
      </c>
      <c r="AN249" s="37">
        <f>if(and(AJ249="no match", AK249="", AL249="", K249&gt;26), "CUSM, CHU SJ, HGJ, CHUQ, CHUS, HMR", "")</f>
      </c>
    </row>
    <row x14ac:dyDescent="0.25" r="250" customHeight="1" ht="17.25">
      <c r="A250" s="27" t="s">
        <v>1894</v>
      </c>
      <c r="B250" s="28">
        <v>2</v>
      </c>
      <c r="C250" s="28">
        <v>820</v>
      </c>
      <c r="D250" s="29" t="s">
        <v>69</v>
      </c>
      <c r="E250" s="30" t="s">
        <v>54</v>
      </c>
      <c r="F250" s="31">
        <v>44330</v>
      </c>
      <c r="G250" s="32">
        <v>4.861111111111111</v>
      </c>
      <c r="H250" s="31">
        <v>44330</v>
      </c>
      <c r="I250" s="32">
        <v>4.697916666666666</v>
      </c>
      <c r="J250" s="33">
        <f>F250-H250</f>
      </c>
      <c r="K250" s="28">
        <v>41</v>
      </c>
      <c r="L250" s="28">
        <v>3</v>
      </c>
      <c r="M250" s="28">
        <v>1</v>
      </c>
      <c r="N250" s="34"/>
      <c r="O250" s="34"/>
      <c r="P250" s="34"/>
      <c r="Q250" s="34"/>
      <c r="R250" s="34"/>
      <c r="S250" s="34"/>
      <c r="T250" s="35">
        <v>1</v>
      </c>
      <c r="U250" s="35">
        <v>1</v>
      </c>
      <c r="V250" s="35">
        <v>1</v>
      </c>
      <c r="W250" s="29" t="s">
        <v>74</v>
      </c>
      <c r="X250" s="28">
        <v>35</v>
      </c>
      <c r="Y250" s="28">
        <v>1</v>
      </c>
      <c r="Z250" s="28">
        <v>2</v>
      </c>
      <c r="AA250" s="28">
        <v>2</v>
      </c>
      <c r="AB250" s="28">
        <v>1</v>
      </c>
      <c r="AC250" s="28">
        <v>2</v>
      </c>
      <c r="AD250" s="28">
        <v>2</v>
      </c>
      <c r="AE250" s="28">
        <v>4</v>
      </c>
      <c r="AF250" s="28">
        <v>2</v>
      </c>
      <c r="AG250" s="28">
        <v>2</v>
      </c>
      <c r="AH250" s="29" t="s">
        <v>1895</v>
      </c>
      <c r="AI250" s="36">
        <f>if(or(and(K250&lt;32, J250&lt;2), O250=1, P250=1, Q250=1, R250=1, S250=1, T250=1, U250=1, and(W250&lt;&gt;"", W250&lt;&gt;"Oxygen", W250&lt;&gt;"LowFlow")), "Intensive", "Intermediate")</f>
      </c>
      <c r="AJ250" s="37">
        <f>if(or(left(AH250, 1)="X", left(AH250, 1)="Y", left(AH250, 3)="J56M"), "CUSM", "No Match")</f>
      </c>
      <c r="AK250" s="37">
        <f>if(and(or(O250=3, P250=1, Q250=1, T250=1), AJ250="no Match"), "CUSM, CHU SJ, CHUQ", "")</f>
      </c>
      <c r="AL250" s="37">
        <f>IF(AND(O251=2, ISBLANK(P251), ISBLANK(Q251), ISBLANK(R251), ISBLANK(S251), ISBLANK(T251)), "CUSM, CHU SJ, CHUS, CHUQ", "")</f>
      </c>
      <c r="AM250" s="37">
        <f>if(and(AJ250="no match", AK250="", AL250="", K250&lt;26), "CUSM, CHU SJ, HGJ, CHUQ, CHUS", "")</f>
      </c>
      <c r="AN250" s="37">
        <f>if(and(AJ250="no match", AK250="", AL250="", K250&gt;26), "CUSM, CHU SJ, HGJ, CHUQ, CHUS, HMR", "")</f>
      </c>
    </row>
    <row x14ac:dyDescent="0.25" r="251" customHeight="1" ht="17.25">
      <c r="A251" s="27" t="s">
        <v>1896</v>
      </c>
      <c r="B251" s="28">
        <v>2</v>
      </c>
      <c r="C251" s="28">
        <v>782</v>
      </c>
      <c r="D251" s="29" t="s">
        <v>95</v>
      </c>
      <c r="E251" s="30" t="s">
        <v>50</v>
      </c>
      <c r="F251" s="31">
        <v>44330</v>
      </c>
      <c r="G251" s="32">
        <v>4.395833333333334</v>
      </c>
      <c r="H251" s="31">
        <v>44330</v>
      </c>
      <c r="I251" s="32">
        <v>4.260416666666666</v>
      </c>
      <c r="J251" s="33">
        <f>F251-H251</f>
      </c>
      <c r="K251" s="28">
        <v>39</v>
      </c>
      <c r="L251" s="28">
        <v>2</v>
      </c>
      <c r="M251" s="28">
        <v>1</v>
      </c>
      <c r="N251" s="35">
        <v>1</v>
      </c>
      <c r="O251" s="34"/>
      <c r="P251" s="35">
        <v>1</v>
      </c>
      <c r="Q251" s="34"/>
      <c r="R251" s="34"/>
      <c r="S251" s="34"/>
      <c r="T251" s="34"/>
      <c r="U251" s="34"/>
      <c r="V251" s="34"/>
      <c r="W251" s="29" t="s">
        <v>58</v>
      </c>
      <c r="X251" s="28">
        <v>39</v>
      </c>
      <c r="Y251" s="28">
        <v>1</v>
      </c>
      <c r="Z251" s="28">
        <v>1</v>
      </c>
      <c r="AA251" s="28">
        <v>2</v>
      </c>
      <c r="AB251" s="28">
        <v>1</v>
      </c>
      <c r="AC251" s="28">
        <v>2</v>
      </c>
      <c r="AD251" s="28">
        <v>2</v>
      </c>
      <c r="AE251" s="28">
        <v>1</v>
      </c>
      <c r="AF251" s="28">
        <v>3</v>
      </c>
      <c r="AG251" s="28">
        <v>2</v>
      </c>
      <c r="AH251" s="29" t="s">
        <v>1897</v>
      </c>
      <c r="AI251" s="36">
        <f>if(or(and(K251&lt;32, J251&lt;2), O251=1, P251=1, Q251=1, R251=1, S251=1, T251=1, U251=1, and(W251&lt;&gt;"", W251&lt;&gt;"Oxygen", W251&lt;&gt;"LowFlow")), "Intensive", "Intermediate")</f>
      </c>
      <c r="AJ251" s="37">
        <f>if(or(left(AH251, 1)="X", left(AH251, 1)="Y", left(AH251, 3)="J57M"), "CUSM", "No Match")</f>
      </c>
      <c r="AK251" s="37">
        <f>if(and(or(O251=3, P251=1, Q251=1, T251=1), AJ251="no Match"), "CUSM, CHU SJ, CHUQ", "")</f>
      </c>
      <c r="AL251" s="37">
        <f>IF(AND(O252=2, ISBLANK(P252), ISBLANK(Q252), ISBLANK(R252), ISBLANK(S252), ISBLANK(T252)), "CUSM, CHU SJ, CHUS, CHUQ", "")</f>
      </c>
      <c r="AM251" s="37">
        <f>if(and(AJ251="no match", AK251="", AL251="", K251&lt;26), "CUSM, CHU SJ, HGJ, CHUQ, CHUS", "")</f>
      </c>
      <c r="AN251" s="37">
        <f>if(and(AJ251="no match", AK251="", AL251="", K251&gt;26), "CUSM, CHU SJ, HGJ, CHUQ, CHUS, HMR", "")</f>
      </c>
    </row>
    <row x14ac:dyDescent="0.25" r="252" customHeight="1" ht="17.25">
      <c r="A252" s="27" t="s">
        <v>1898</v>
      </c>
      <c r="B252" s="28">
        <v>2</v>
      </c>
      <c r="C252" s="28">
        <v>817</v>
      </c>
      <c r="D252" s="29" t="s">
        <v>163</v>
      </c>
      <c r="E252" s="30" t="s">
        <v>50</v>
      </c>
      <c r="F252" s="31">
        <v>44331</v>
      </c>
      <c r="G252" s="32">
        <v>4.759027777777778</v>
      </c>
      <c r="H252" s="31">
        <v>44331</v>
      </c>
      <c r="I252" s="32">
        <v>4.534722222222222</v>
      </c>
      <c r="J252" s="33">
        <f>F252-H252</f>
      </c>
      <c r="K252" s="28">
        <v>37</v>
      </c>
      <c r="L252" s="28">
        <v>0</v>
      </c>
      <c r="M252" s="28">
        <v>1</v>
      </c>
      <c r="N252" s="34"/>
      <c r="O252" s="34"/>
      <c r="P252" s="34"/>
      <c r="Q252" s="34"/>
      <c r="R252" s="34"/>
      <c r="S252" s="34"/>
      <c r="T252" s="35">
        <v>1</v>
      </c>
      <c r="U252" s="34"/>
      <c r="V252" s="34"/>
      <c r="W252" s="29" t="s">
        <v>58</v>
      </c>
      <c r="X252" s="28">
        <v>36</v>
      </c>
      <c r="Y252" s="28">
        <v>1</v>
      </c>
      <c r="Z252" s="28">
        <v>2</v>
      </c>
      <c r="AA252" s="28">
        <v>2</v>
      </c>
      <c r="AB252" s="28">
        <v>1</v>
      </c>
      <c r="AC252" s="28">
        <v>2</v>
      </c>
      <c r="AD252" s="28">
        <v>1</v>
      </c>
      <c r="AE252" s="28">
        <v>4</v>
      </c>
      <c r="AF252" s="28">
        <v>3</v>
      </c>
      <c r="AG252" s="28">
        <v>3</v>
      </c>
      <c r="AH252" s="29" t="s">
        <v>1899</v>
      </c>
      <c r="AI252" s="36">
        <f>if(or(and(K252&lt;32, J252&lt;2), O252=1, P252=1, Q252=1, R252=1, S252=1, T252=1, U252=1, and(W252&lt;&gt;"", W252&lt;&gt;"Oxygen", W252&lt;&gt;"LowFlow")), "Intensive", "Intermediate")</f>
      </c>
      <c r="AJ252" s="37">
        <f>if(or(left(AH252, 1)="X", left(AH252, 1)="Y", left(AH252, 3)="J58M"), "CUSM", "No Match")</f>
      </c>
      <c r="AK252" s="37">
        <f>if(and(or(O252=3, P252=1, Q252=1, T252=1), AJ252="no Match"), "CUSM, CHU SJ, CHUQ", "")</f>
      </c>
      <c r="AL252" s="37">
        <f>IF(AND(O253=2, ISBLANK(P253), ISBLANK(Q253), ISBLANK(R253), ISBLANK(S253), ISBLANK(T253)), "CUSM, CHU SJ, CHUS, CHUQ", "")</f>
      </c>
      <c r="AM252" s="37">
        <f>if(and(AJ252="no match", AK252="", AL252="", K252&lt;26), "CUSM, CHU SJ, HGJ, CHUQ, CHUS", "")</f>
      </c>
      <c r="AN252" s="37">
        <f>if(and(AJ252="no match", AK252="", AL252="", K252&gt;26), "CUSM, CHU SJ, HGJ, CHUQ, CHUS, HMR", "")</f>
      </c>
    </row>
    <row x14ac:dyDescent="0.25" r="253" customHeight="1" ht="17.25">
      <c r="A253" s="27" t="s">
        <v>1900</v>
      </c>
      <c r="B253" s="28">
        <v>2</v>
      </c>
      <c r="C253" s="28">
        <v>817</v>
      </c>
      <c r="D253" s="29" t="s">
        <v>163</v>
      </c>
      <c r="E253" s="30" t="s">
        <v>54</v>
      </c>
      <c r="F253" s="31">
        <v>44333</v>
      </c>
      <c r="G253" s="32">
        <v>4.861111111111111</v>
      </c>
      <c r="H253" s="31">
        <v>44323</v>
      </c>
      <c r="I253" s="32">
        <v>4.733333333333333</v>
      </c>
      <c r="J253" s="33">
        <f>F253-H253</f>
      </c>
      <c r="K253" s="28">
        <v>39</v>
      </c>
      <c r="L253" s="28">
        <v>6</v>
      </c>
      <c r="M253" s="28">
        <v>2</v>
      </c>
      <c r="N253" s="38"/>
      <c r="O253" s="34"/>
      <c r="P253" s="38"/>
      <c r="Q253" s="34"/>
      <c r="R253" s="34"/>
      <c r="S253" s="34"/>
      <c r="T253" s="34"/>
      <c r="U253" s="34"/>
      <c r="V253" s="34"/>
      <c r="W253" s="29"/>
      <c r="X253" s="28">
        <v>15</v>
      </c>
      <c r="Y253" s="28">
        <v>1</v>
      </c>
      <c r="Z253" s="28">
        <v>2</v>
      </c>
      <c r="AA253" s="28">
        <v>3</v>
      </c>
      <c r="AB253" s="28">
        <v>1</v>
      </c>
      <c r="AC253" s="28">
        <v>1</v>
      </c>
      <c r="AD253" s="28">
        <v>1</v>
      </c>
      <c r="AE253" s="28">
        <v>4</v>
      </c>
      <c r="AF253" s="28">
        <v>2</v>
      </c>
      <c r="AG253" s="28">
        <v>2</v>
      </c>
      <c r="AH253" s="29" t="s">
        <v>1901</v>
      </c>
      <c r="AI253" s="36">
        <f>if(or(and(K253&lt;32, J253&lt;2), O253=1, P253=1, Q253=1, R253=1, S253=1, T253=1, U253=1, and(W253&lt;&gt;"", W253&lt;&gt;"Oxygen", W253&lt;&gt;"LowFlow")), "Intensive", "Intermediate")</f>
      </c>
      <c r="AJ253" s="37">
        <f>if(or(left(AH253, 1)="X", left(AH253, 1)="Y", left(AH253, 3)="J59M"), "CUSM", "No Match")</f>
      </c>
      <c r="AK253" s="37">
        <f>if(and(or(O253=3, P253=1, Q253=1, T253=1), AJ253="no Match"), "CUSM, CHU SJ, CHUQ", "")</f>
      </c>
      <c r="AL253" s="37">
        <f>IF(AND(O254=2, ISBLANK(P254), ISBLANK(Q254), ISBLANK(R254), ISBLANK(S254), ISBLANK(T254)), "CUSM, CHU SJ, CHUS, CHUQ", "")</f>
      </c>
      <c r="AM253" s="37">
        <f>if(and(AJ253="no match", AK253="", AL253="", K253&lt;26), "CUSM, CHU SJ, HGJ, CHUQ, CHUS", "")</f>
      </c>
      <c r="AN253" s="37">
        <f>if(and(AJ253="no match", AK253="", AL253="", K253&gt;26), "CUSM, CHU SJ, HGJ, CHUQ, CHUS, HMR", "")</f>
      </c>
    </row>
    <row x14ac:dyDescent="0.25" r="254" customHeight="1" ht="17.25">
      <c r="A254" s="27" t="s">
        <v>1902</v>
      </c>
      <c r="B254" s="28">
        <v>2</v>
      </c>
      <c r="C254" s="35">
        <v>730</v>
      </c>
      <c r="D254" s="29" t="s">
        <v>81</v>
      </c>
      <c r="E254" s="30" t="s">
        <v>50</v>
      </c>
      <c r="F254" s="31">
        <v>44333</v>
      </c>
      <c r="G254" s="32">
        <v>4.854166666666666</v>
      </c>
      <c r="H254" s="31">
        <v>44333</v>
      </c>
      <c r="I254" s="32">
        <v>4.688194444444445</v>
      </c>
      <c r="J254" s="33">
        <f>F254-H254</f>
      </c>
      <c r="K254" s="28">
        <v>41</v>
      </c>
      <c r="L254" s="28">
        <v>0</v>
      </c>
      <c r="M254" s="28">
        <v>1</v>
      </c>
      <c r="N254" s="34"/>
      <c r="O254" s="34"/>
      <c r="P254" s="34"/>
      <c r="Q254" s="34"/>
      <c r="R254" s="34"/>
      <c r="S254" s="34"/>
      <c r="T254" s="35">
        <v>1</v>
      </c>
      <c r="U254" s="34"/>
      <c r="V254" s="34"/>
      <c r="W254" s="29" t="s">
        <v>58</v>
      </c>
      <c r="X254" s="28">
        <v>35</v>
      </c>
      <c r="Y254" s="28">
        <v>1</v>
      </c>
      <c r="Z254" s="28">
        <v>2</v>
      </c>
      <c r="AA254" s="28">
        <v>1</v>
      </c>
      <c r="AB254" s="28">
        <v>1</v>
      </c>
      <c r="AC254" s="28">
        <v>2</v>
      </c>
      <c r="AD254" s="28">
        <v>2</v>
      </c>
      <c r="AE254" s="28">
        <v>1</v>
      </c>
      <c r="AF254" s="28">
        <v>3</v>
      </c>
      <c r="AG254" s="28">
        <v>2</v>
      </c>
      <c r="AH254" s="29" t="s">
        <v>1903</v>
      </c>
      <c r="AI254" s="36">
        <f>if(or(and(K254&lt;32, J254&lt;2), O254=1, P254=1, Q254=1, R254=1, S254=1, T254=1, U254=1, and(W254&lt;&gt;"", W254&lt;&gt;"Oxygen", W254&lt;&gt;"LowFlow")), "Intensive", "Intermediate")</f>
      </c>
      <c r="AJ254" s="37">
        <f>if(or(left(AH254, 1)="X", left(AH254, 1)="Y", left(AH254, 3)="J60M"), "CUSM", "No Match")</f>
      </c>
      <c r="AK254" s="37">
        <f>if(and(or(O254=3, P254=1, Q254=1, T254=1), AJ254="no Match"), "CUSM, CHU SJ, CHUQ", "")</f>
      </c>
      <c r="AL254" s="37">
        <f>IF(AND(O255=2, ISBLANK(P255), ISBLANK(Q255), ISBLANK(R255), ISBLANK(S255), ISBLANK(T255)), "CUSM, CHU SJ, CHUS, CHUQ", "")</f>
      </c>
      <c r="AM254" s="37">
        <f>if(and(AJ254="no match", AK254="", AL254="", K254&lt;26), "CUSM, CHU SJ, HGJ, CHUQ, CHUS", "")</f>
      </c>
      <c r="AN254" s="37">
        <f>if(and(AJ254="no match", AK254="", AL254="", K254&gt;26), "CUSM, CHU SJ, HGJ, CHUQ, CHUS, HMR", "")</f>
      </c>
    </row>
    <row x14ac:dyDescent="0.25" r="255" customHeight="1" ht="17.25">
      <c r="A255" s="27" t="s">
        <v>1904</v>
      </c>
      <c r="B255" s="28">
        <v>2</v>
      </c>
      <c r="C255" s="35">
        <v>756</v>
      </c>
      <c r="D255" s="29" t="s">
        <v>66</v>
      </c>
      <c r="E255" s="30" t="s">
        <v>78</v>
      </c>
      <c r="F255" s="31">
        <v>44334</v>
      </c>
      <c r="G255" s="32">
        <v>4.625</v>
      </c>
      <c r="H255" s="31">
        <v>44332</v>
      </c>
      <c r="I255" s="32">
        <v>4.440277777777778</v>
      </c>
      <c r="J255" s="33">
        <f>F255-H255</f>
      </c>
      <c r="K255" s="28">
        <v>41</v>
      </c>
      <c r="L255" s="28">
        <v>3</v>
      </c>
      <c r="M255" s="28">
        <v>1</v>
      </c>
      <c r="N255" s="34"/>
      <c r="O255" s="34"/>
      <c r="P255" s="34"/>
      <c r="Q255" s="34"/>
      <c r="R255" s="34"/>
      <c r="S255" s="34"/>
      <c r="T255" s="34"/>
      <c r="U255" s="34"/>
      <c r="V255" s="38"/>
      <c r="W255" s="29"/>
      <c r="X255" s="28">
        <v>36</v>
      </c>
      <c r="Y255" s="28">
        <v>1</v>
      </c>
      <c r="Z255" s="28">
        <v>2</v>
      </c>
      <c r="AA255" s="28">
        <v>2</v>
      </c>
      <c r="AB255" s="28">
        <v>1</v>
      </c>
      <c r="AC255" s="28">
        <v>2</v>
      </c>
      <c r="AD255" s="28">
        <v>2</v>
      </c>
      <c r="AE255" s="28">
        <v>2</v>
      </c>
      <c r="AF255" s="35">
        <v>2</v>
      </c>
      <c r="AG255" s="28">
        <v>2</v>
      </c>
      <c r="AH255" s="29" t="s">
        <v>1905</v>
      </c>
      <c r="AI255" s="36">
        <f>if(or(and(K255&lt;32, J255&lt;2), O255=1, P255=1, Q255=1, R255=1, S255=1, T255=1, U255=1, and(W255&lt;&gt;"", W255&lt;&gt;"Oxygen", W255&lt;&gt;"LowFlow")), "Intensive", "Intermediate")</f>
      </c>
      <c r="AJ255" s="37">
        <f>if(or(left(AH255, 1)="X", left(AH255, 1)="Y", left(AH255, 3)="J61M"), "CUSM", "No Match")</f>
      </c>
      <c r="AK255" s="37">
        <f>if(and(or(O255=3, P255=1, Q255=1, T255=1), AJ255="no Match"), "CUSM, CHU SJ, CHUQ", "")</f>
      </c>
      <c r="AL255" s="37">
        <f>IF(AND(O256=2, ISBLANK(P256), ISBLANK(Q256), ISBLANK(R256), ISBLANK(S256), ISBLANK(T256)), "CUSM, CHU SJ, CHUS, CHUQ", "")</f>
      </c>
      <c r="AM255" s="37">
        <f>if(and(AJ255="no match", AK255="", AL255="", K255&lt;26), "CUSM, CHU SJ, HGJ, CHUQ, CHUS", "")</f>
      </c>
      <c r="AN255" s="37">
        <f>if(and(AJ255="no match", AK255="", AL255="", K255&gt;26), "CUSM, CHU SJ, HGJ, CHUQ, CHUS, HMR", "")</f>
      </c>
    </row>
    <row x14ac:dyDescent="0.25" r="256" customHeight="1" ht="17.25">
      <c r="A256" s="27" t="s">
        <v>1906</v>
      </c>
      <c r="B256" s="28">
        <v>2</v>
      </c>
      <c r="C256" s="35">
        <v>839</v>
      </c>
      <c r="D256" s="29" t="s">
        <v>53</v>
      </c>
      <c r="E256" s="30" t="s">
        <v>50</v>
      </c>
      <c r="F256" s="31">
        <v>44335</v>
      </c>
      <c r="G256" s="32">
        <v>4.618055555555555</v>
      </c>
      <c r="H256" s="31">
        <v>44330</v>
      </c>
      <c r="I256" s="32">
        <v>4.6090277777777775</v>
      </c>
      <c r="J256" s="33">
        <f>F256-H256</f>
      </c>
      <c r="K256" s="28">
        <v>40</v>
      </c>
      <c r="L256" s="28">
        <v>0</v>
      </c>
      <c r="M256" s="28">
        <v>1</v>
      </c>
      <c r="N256" s="38"/>
      <c r="O256" s="38"/>
      <c r="P256" s="38"/>
      <c r="Q256" s="34"/>
      <c r="R256" s="34"/>
      <c r="S256" s="34"/>
      <c r="T256" s="34"/>
      <c r="U256" s="34"/>
      <c r="V256" s="34"/>
      <c r="W256" s="29"/>
      <c r="X256" s="28">
        <v>30</v>
      </c>
      <c r="Y256" s="28">
        <v>1</v>
      </c>
      <c r="Z256" s="28">
        <v>1</v>
      </c>
      <c r="AA256" s="28">
        <v>1</v>
      </c>
      <c r="AB256" s="28">
        <v>1</v>
      </c>
      <c r="AC256" s="28">
        <v>2</v>
      </c>
      <c r="AD256" s="28">
        <v>2</v>
      </c>
      <c r="AE256" s="28">
        <v>4</v>
      </c>
      <c r="AF256" s="28">
        <v>3</v>
      </c>
      <c r="AG256" s="28">
        <v>2</v>
      </c>
      <c r="AH256" s="29" t="s">
        <v>1907</v>
      </c>
      <c r="AI256" s="36">
        <f>if(or(and(K256&lt;32, J256&lt;2), O256=1, P256=1, Q256=1, R256=1, S256=1, T256=1, U256=1, and(W256&lt;&gt;"", W256&lt;&gt;"Oxygen", W256&lt;&gt;"LowFlow")), "Intensive", "Intermediate")</f>
      </c>
      <c r="AJ256" s="37">
        <f>if(or(left(AH256, 1)="X", left(AH256, 1)="Y", left(AH256, 3)="J62M"), "CUSM", "No Match")</f>
      </c>
      <c r="AK256" s="37">
        <f>if(and(or(O256=3, P256=1, Q256=1, T256=1), AJ256="no Match"), "CUSM, CHU SJ, CHUQ", "")</f>
      </c>
      <c r="AL256" s="37">
        <f>IF(AND(O257=2, ISBLANK(P257), ISBLANK(Q257), ISBLANK(R257), ISBLANK(S257), ISBLANK(T257)), "CUSM, CHU SJ, CHUS, CHUQ", "")</f>
      </c>
      <c r="AM256" s="37">
        <f>if(and(AJ256="no match", AK256="", AL256="", K256&lt;26), "CUSM, CHU SJ, HGJ, CHUQ, CHUS", "")</f>
      </c>
      <c r="AN256" s="37">
        <f>if(and(AJ256="no match", AK256="", AL256="", K256&gt;26), "CUSM, CHU SJ, HGJ, CHUQ, CHUS, HMR", "")</f>
      </c>
    </row>
    <row x14ac:dyDescent="0.25" r="257" customHeight="1" ht="17.25">
      <c r="A257" s="27" t="s">
        <v>1908</v>
      </c>
      <c r="B257" s="28">
        <v>2</v>
      </c>
      <c r="C257" s="35">
        <v>780</v>
      </c>
      <c r="D257" s="29" t="s">
        <v>190</v>
      </c>
      <c r="E257" s="30" t="s">
        <v>54</v>
      </c>
      <c r="F257" s="31">
        <v>44336</v>
      </c>
      <c r="G257" s="32">
        <v>4.767361111111111</v>
      </c>
      <c r="H257" s="31">
        <v>44336</v>
      </c>
      <c r="I257" s="32">
        <v>4.617361111111111</v>
      </c>
      <c r="J257" s="33">
        <f>F257-H257</f>
      </c>
      <c r="K257" s="28">
        <v>24</v>
      </c>
      <c r="L257" s="28">
        <v>2</v>
      </c>
      <c r="M257" s="28">
        <v>1</v>
      </c>
      <c r="N257" s="35">
        <v>1</v>
      </c>
      <c r="O257" s="34"/>
      <c r="P257" s="35">
        <v>1</v>
      </c>
      <c r="Q257" s="34"/>
      <c r="R257" s="34"/>
      <c r="S257" s="34"/>
      <c r="T257" s="34"/>
      <c r="U257" s="34"/>
      <c r="V257" s="35">
        <v>1</v>
      </c>
      <c r="W257" s="29" t="s">
        <v>74</v>
      </c>
      <c r="X257" s="28">
        <v>30</v>
      </c>
      <c r="Y257" s="28">
        <v>1</v>
      </c>
      <c r="Z257" s="28">
        <v>2</v>
      </c>
      <c r="AA257" s="28">
        <v>2</v>
      </c>
      <c r="AB257" s="28">
        <v>1</v>
      </c>
      <c r="AC257" s="28">
        <v>2</v>
      </c>
      <c r="AD257" s="28">
        <v>3</v>
      </c>
      <c r="AE257" s="28">
        <v>4</v>
      </c>
      <c r="AF257" s="28">
        <v>2</v>
      </c>
      <c r="AG257" s="28">
        <v>2</v>
      </c>
      <c r="AH257" s="29" t="s">
        <v>1909</v>
      </c>
      <c r="AI257" s="36">
        <f>if(or(and(K257&lt;32, J257&lt;2), O257=1, P257=1, Q257=1, R257=1, S257=1, T257=1, U257=1, and(W257&lt;&gt;"", W257&lt;&gt;"Oxygen", W257&lt;&gt;"LowFlow")), "Intensive", "Intermediate")</f>
      </c>
      <c r="AJ257" s="37">
        <f>if(or(left(AH257, 1)="X", left(AH257, 1)="Y", left(AH257, 3)="J63M"), "CUSM", "No Match")</f>
      </c>
      <c r="AK257" s="37">
        <f>if(and(or(O257=3, P257=1, Q257=1, T257=1), AJ257="no Match"), "CUSM, CHU SJ, CHUQ", "")</f>
      </c>
      <c r="AL257" s="37">
        <f>IF(AND(O258=2, ISBLANK(P258), ISBLANK(Q258), ISBLANK(R258), ISBLANK(S258), ISBLANK(T258)), "CUSM, CHU SJ, CHUS, CHUQ", "")</f>
      </c>
      <c r="AM257" s="37">
        <f>if(and(AJ257="no match", AK257="", AL257="", K257&lt;26), "CUSM, CHU SJ, HGJ, CHUQ, CHUS", "")</f>
      </c>
      <c r="AN257" s="37">
        <f>if(and(AJ257="no match", AK257="", AL257="", K257&gt;26), "CUSM, CHU SJ, HGJ, CHUQ, CHUS, HMR", "")</f>
      </c>
    </row>
    <row x14ac:dyDescent="0.25" r="258" customHeight="1" ht="17.25">
      <c r="A258" s="27" t="s">
        <v>1910</v>
      </c>
      <c r="B258" s="28">
        <v>2</v>
      </c>
      <c r="C258" s="35">
        <v>735</v>
      </c>
      <c r="D258" s="29" t="s">
        <v>49</v>
      </c>
      <c r="E258" s="30" t="s">
        <v>50</v>
      </c>
      <c r="F258" s="31">
        <v>44336</v>
      </c>
      <c r="G258" s="32">
        <v>4.555555555555555</v>
      </c>
      <c r="H258" s="31">
        <v>44334</v>
      </c>
      <c r="I258" s="32">
        <v>4.613194444444444</v>
      </c>
      <c r="J258" s="33">
        <f>F258-H258</f>
      </c>
      <c r="K258" s="28">
        <v>36</v>
      </c>
      <c r="L258" s="28">
        <v>2</v>
      </c>
      <c r="M258" s="28">
        <v>1</v>
      </c>
      <c r="N258" s="34"/>
      <c r="O258" s="34"/>
      <c r="P258" s="34"/>
      <c r="Q258" s="34"/>
      <c r="R258" s="34"/>
      <c r="S258" s="34"/>
      <c r="T258" s="35">
        <v>1</v>
      </c>
      <c r="U258" s="34"/>
      <c r="V258" s="34"/>
      <c r="W258" s="29" t="s">
        <v>70</v>
      </c>
      <c r="X258" s="28">
        <v>28</v>
      </c>
      <c r="Y258" s="28">
        <v>1</v>
      </c>
      <c r="Z258" s="28">
        <v>2</v>
      </c>
      <c r="AA258" s="28">
        <v>2</v>
      </c>
      <c r="AB258" s="28">
        <v>1</v>
      </c>
      <c r="AC258" s="28">
        <v>2</v>
      </c>
      <c r="AD258" s="28">
        <v>2</v>
      </c>
      <c r="AE258" s="28">
        <v>2</v>
      </c>
      <c r="AF258" s="28">
        <v>2</v>
      </c>
      <c r="AG258" s="28">
        <v>2</v>
      </c>
      <c r="AH258" s="29" t="s">
        <v>1911</v>
      </c>
      <c r="AI258" s="36">
        <f>if(or(and(K258&lt;32, J258&lt;2), O258=1, P258=1, Q258=1, R258=1, S258=1, T258=1, U258=1, and(W258&lt;&gt;"", W258&lt;&gt;"Oxygen", W258&lt;&gt;"LowFlow")), "Intensive", "Intermediate")</f>
      </c>
      <c r="AJ258" s="37">
        <f>if(or(left(AH258, 1)="X", left(AH258, 1)="Y", left(AH258, 3)="J0M"), "CUSM", "No Match")</f>
      </c>
      <c r="AK258" s="37">
        <f>if(and(or(O258=3, P258=1, Q258=1, T258=1), AJ258="no Match"), "CUSM, CHU SJ, CHUQ", "")</f>
      </c>
      <c r="AL258" s="37">
        <f>IF(AND(O259=2, ISBLANK(P259), ISBLANK(Q259), ISBLANK(R259), ISBLANK(S259), ISBLANK(T259)), "CUSM, CHU SJ, CHUS, CHUQ", "")</f>
      </c>
      <c r="AM258" s="37">
        <f>if(and(AJ258="no match", AK258="", AL258="", K258&lt;26), "CUSM, CHU SJ, HGJ, CHUQ, CHUS", "")</f>
      </c>
      <c r="AN258" s="37">
        <f>if(and(AJ258="no match", AK258="", AL258="", K258&gt;26), "CUSM, CHU SJ, HGJ, CHUQ, CHUS, HMR", "")</f>
      </c>
    </row>
    <row x14ac:dyDescent="0.25" r="259" customHeight="1" ht="17.25">
      <c r="A259" s="27" t="s">
        <v>1912</v>
      </c>
      <c r="B259" s="28">
        <v>2</v>
      </c>
      <c r="C259" s="35">
        <v>3</v>
      </c>
      <c r="D259" s="29" t="s">
        <v>537</v>
      </c>
      <c r="E259" s="30" t="s">
        <v>149</v>
      </c>
      <c r="F259" s="31">
        <v>44338</v>
      </c>
      <c r="G259" s="32">
        <v>4.388888888888889</v>
      </c>
      <c r="H259" s="31">
        <v>44338</v>
      </c>
      <c r="I259" s="32">
        <v>4.319444444444445</v>
      </c>
      <c r="J259" s="33">
        <f>F259-H259</f>
      </c>
      <c r="K259" s="28">
        <v>36</v>
      </c>
      <c r="L259" s="28">
        <v>0</v>
      </c>
      <c r="M259" s="28">
        <v>2</v>
      </c>
      <c r="N259" s="34"/>
      <c r="O259" s="34"/>
      <c r="P259" s="34"/>
      <c r="Q259" s="34"/>
      <c r="R259" s="34"/>
      <c r="S259" s="34"/>
      <c r="T259" s="34"/>
      <c r="U259" s="34"/>
      <c r="V259" s="34"/>
      <c r="W259" s="29" t="s">
        <v>600</v>
      </c>
      <c r="X259" s="28">
        <v>29</v>
      </c>
      <c r="Y259" s="28">
        <v>1</v>
      </c>
      <c r="Z259" s="28">
        <v>1</v>
      </c>
      <c r="AA259" s="28">
        <v>3</v>
      </c>
      <c r="AB259" s="28">
        <v>3</v>
      </c>
      <c r="AC259" s="28">
        <v>2</v>
      </c>
      <c r="AD259" s="28">
        <v>1</v>
      </c>
      <c r="AE259" s="28">
        <v>4</v>
      </c>
      <c r="AF259" s="28">
        <v>3</v>
      </c>
      <c r="AG259" s="28">
        <v>2</v>
      </c>
      <c r="AH259" s="29" t="s">
        <v>1913</v>
      </c>
      <c r="AI259" s="36">
        <f>if(or(and(K259&lt;32, J259&lt;2), O259=1, P259=1, Q259=1, R259=1, S259=1, T259=1, U259=1, and(W259&lt;&gt;"", W259&lt;&gt;"Oxygen", W259&lt;&gt;"LowFlow")), "Intensive", "Intermediate")</f>
      </c>
      <c r="AJ259" s="37">
        <f>if(or(left(AH259, 1)="X", left(AH259, 1)="Y", left(AH259, 3)="J1M"), "CUSM", "No Match")</f>
      </c>
      <c r="AK259" s="37">
        <f>if(and(or(O259=3, P259=1, Q259=1, T259=1), AJ259="no Match"), "CUSM, CHU SJ, CHUQ", "")</f>
      </c>
      <c r="AL259" s="37">
        <f>IF(AND(O260=2, ISBLANK(P260), ISBLANK(Q260), ISBLANK(R260), ISBLANK(S260), ISBLANK(T260)), "CUSM, CHU SJ, CHUS, CHUQ", "")</f>
      </c>
      <c r="AM259" s="37">
        <f>if(and(AJ259="no match", AK259="", AL259="", K259&lt;26), "CUSM, CHU SJ, HGJ, CHUQ, CHUS", "")</f>
      </c>
      <c r="AN259" s="37">
        <f>if(and(AJ259="no match", AK259="", AL259="", K259&gt;26), "CUSM, CHU SJ, HGJ, CHUQ, CHUS, HMR", "")</f>
      </c>
    </row>
    <row x14ac:dyDescent="0.25" r="260" customHeight="1" ht="17.25">
      <c r="A260" s="27" t="s">
        <v>1914</v>
      </c>
      <c r="B260" s="28">
        <v>2</v>
      </c>
      <c r="C260" s="28">
        <v>756</v>
      </c>
      <c r="D260" s="29" t="s">
        <v>66</v>
      </c>
      <c r="E260" s="30" t="s">
        <v>78</v>
      </c>
      <c r="F260" s="31">
        <v>44338</v>
      </c>
      <c r="G260" s="32">
        <v>4.635416666666666</v>
      </c>
      <c r="H260" s="31">
        <v>44337</v>
      </c>
      <c r="I260" s="32">
        <v>4.932638888888889</v>
      </c>
      <c r="J260" s="33">
        <f>F260-H260</f>
      </c>
      <c r="K260" s="28">
        <v>32</v>
      </c>
      <c r="L260" s="28">
        <v>3</v>
      </c>
      <c r="M260" s="28">
        <v>1</v>
      </c>
      <c r="N260" s="34"/>
      <c r="O260" s="34"/>
      <c r="P260" s="34"/>
      <c r="Q260" s="34"/>
      <c r="R260" s="34"/>
      <c r="S260" s="34"/>
      <c r="T260" s="34"/>
      <c r="U260" s="38"/>
      <c r="V260" s="38"/>
      <c r="W260" s="29" t="s">
        <v>74</v>
      </c>
      <c r="X260" s="28">
        <v>33</v>
      </c>
      <c r="Y260" s="28">
        <v>1</v>
      </c>
      <c r="Z260" s="28">
        <v>2</v>
      </c>
      <c r="AA260" s="28">
        <v>2</v>
      </c>
      <c r="AB260" s="28">
        <v>1</v>
      </c>
      <c r="AC260" s="28">
        <v>2</v>
      </c>
      <c r="AD260" s="28">
        <v>2</v>
      </c>
      <c r="AE260" s="28">
        <v>2</v>
      </c>
      <c r="AF260" s="28">
        <v>2</v>
      </c>
      <c r="AG260" s="28">
        <v>2</v>
      </c>
      <c r="AH260" s="29" t="s">
        <v>1915</v>
      </c>
      <c r="AI260" s="36">
        <f>if(or(and(K260&lt;32, J260&lt;2), O260=1, P260=1, Q260=1, R260=1, S260=1, T260=1, U260=1, and(W260&lt;&gt;"", W260&lt;&gt;"Oxygen", W260&lt;&gt;"LowFlow")), "Intensive", "Intermediate")</f>
      </c>
      <c r="AJ260" s="37">
        <f>if(or(left(AH260, 1)="X", left(AH260, 1)="Y", left(AH260, 3)="J2M"), "CUSM", "No Match")</f>
      </c>
      <c r="AK260" s="37">
        <f>if(and(or(O260=3, P260=1, Q260=1, T260=1), AJ260="no Match"), "CUSM, CHU SJ, CHUQ", "")</f>
      </c>
      <c r="AL260" s="37">
        <f>IF(AND(O261=2, ISBLANK(P261), ISBLANK(Q261), ISBLANK(R261), ISBLANK(S261), ISBLANK(T261)), "CUSM, CHU SJ, CHUS, CHUQ", "")</f>
      </c>
      <c r="AM260" s="37">
        <f>if(and(AJ260="no match", AK260="", AL260="", K260&lt;26), "CUSM, CHU SJ, HGJ, CHUQ, CHUS", "")</f>
      </c>
      <c r="AN260" s="37">
        <f>if(and(AJ260="no match", AK260="", AL260="", K260&gt;26), "CUSM, CHU SJ, HGJ, CHUQ, CHUS, HMR", "")</f>
      </c>
    </row>
    <row x14ac:dyDescent="0.25" r="261" customHeight="1" ht="17.25">
      <c r="A261" s="27" t="s">
        <v>1916</v>
      </c>
      <c r="B261" s="28">
        <v>2</v>
      </c>
      <c r="C261" s="35">
        <v>761</v>
      </c>
      <c r="D261" s="29" t="s">
        <v>746</v>
      </c>
      <c r="E261" s="30" t="s">
        <v>50</v>
      </c>
      <c r="F261" s="31">
        <v>44338</v>
      </c>
      <c r="G261" s="32">
        <v>4.160416666666666</v>
      </c>
      <c r="H261" s="31">
        <v>44337</v>
      </c>
      <c r="I261" s="32">
        <v>4.794444444444444</v>
      </c>
      <c r="J261" s="33">
        <f>F261-H261</f>
      </c>
      <c r="K261" s="28">
        <v>34</v>
      </c>
      <c r="L261" s="28">
        <v>5</v>
      </c>
      <c r="M261" s="28">
        <v>1</v>
      </c>
      <c r="N261" s="28">
        <v>1</v>
      </c>
      <c r="O261" s="34"/>
      <c r="P261" s="34"/>
      <c r="Q261" s="34"/>
      <c r="R261" s="34"/>
      <c r="S261" s="34"/>
      <c r="T261" s="34"/>
      <c r="U261" s="34"/>
      <c r="V261" s="34"/>
      <c r="W261" s="29" t="s">
        <v>74</v>
      </c>
      <c r="X261" s="28">
        <v>34</v>
      </c>
      <c r="Y261" s="28">
        <v>1</v>
      </c>
      <c r="Z261" s="28">
        <v>2</v>
      </c>
      <c r="AA261" s="28">
        <v>3</v>
      </c>
      <c r="AB261" s="28">
        <v>1</v>
      </c>
      <c r="AC261" s="28">
        <v>2</v>
      </c>
      <c r="AD261" s="28">
        <v>1</v>
      </c>
      <c r="AE261" s="28">
        <v>4</v>
      </c>
      <c r="AF261" s="28">
        <v>3</v>
      </c>
      <c r="AG261" s="28">
        <v>2</v>
      </c>
      <c r="AH261" s="29" t="s">
        <v>1917</v>
      </c>
      <c r="AI261" s="36">
        <f>if(or(and(K261&lt;32, J261&lt;2), O261=1, P261=1, Q261=1, R261=1, S261=1, T261=1, U261=1, and(W261&lt;&gt;"", W261&lt;&gt;"Oxygen", W261&lt;&gt;"LowFlow")), "Intensive", "Intermediate")</f>
      </c>
      <c r="AJ261" s="37">
        <f>if(or(left(AH261, 1)="X", left(AH261, 1)="Y", left(AH261, 3)="J3M"), "CUSM", "No Match")</f>
      </c>
      <c r="AK261" s="37">
        <f>if(and(or(O261=3, P261=1, Q261=1, T261=1), AJ261="no Match"), "CUSM, CHU SJ, CHUQ", "")</f>
      </c>
      <c r="AL261" s="37">
        <f>IF(AND(O262=2, ISBLANK(P262), ISBLANK(Q262), ISBLANK(R262), ISBLANK(S262), ISBLANK(T262)), "CUSM, CHU SJ, CHUS, CHUQ", "")</f>
      </c>
      <c r="AM261" s="37">
        <f>if(and(AJ261="no match", AK261="", AL261="", K261&lt;26), "CUSM, CHU SJ, HGJ, CHUQ, CHUS", "")</f>
      </c>
      <c r="AN261" s="37">
        <f>if(and(AJ261="no match", AK261="", AL261="", K261&gt;26), "CUSM, CHU SJ, HGJ, CHUQ, CHUS, HMR", "")</f>
      </c>
    </row>
    <row x14ac:dyDescent="0.25" r="262" customHeight="1" ht="17.25">
      <c r="A262" s="27" t="s">
        <v>1918</v>
      </c>
      <c r="B262" s="28">
        <v>2</v>
      </c>
      <c r="C262" s="35">
        <v>796</v>
      </c>
      <c r="D262" s="29" t="s">
        <v>63</v>
      </c>
      <c r="E262" s="30" t="s">
        <v>50</v>
      </c>
      <c r="F262" s="31">
        <v>44338</v>
      </c>
      <c r="G262" s="32">
        <v>4.0159722222222225</v>
      </c>
      <c r="H262" s="31">
        <v>44337</v>
      </c>
      <c r="I262" s="32">
        <v>4.89375</v>
      </c>
      <c r="J262" s="33">
        <f>F262-H262</f>
      </c>
      <c r="K262" s="28">
        <v>28</v>
      </c>
      <c r="L262" s="28">
        <v>2</v>
      </c>
      <c r="M262" s="28">
        <v>1</v>
      </c>
      <c r="N262" s="35">
        <v>1</v>
      </c>
      <c r="O262" s="34"/>
      <c r="P262" s="35">
        <v>1</v>
      </c>
      <c r="Q262" s="34"/>
      <c r="R262" s="34"/>
      <c r="S262" s="34"/>
      <c r="T262" s="34"/>
      <c r="U262" s="34"/>
      <c r="V262" s="34"/>
      <c r="W262" s="29" t="s">
        <v>74</v>
      </c>
      <c r="X262" s="28">
        <v>30</v>
      </c>
      <c r="Y262" s="28">
        <v>1</v>
      </c>
      <c r="Z262" s="28">
        <v>2</v>
      </c>
      <c r="AA262" s="28">
        <v>2</v>
      </c>
      <c r="AB262" s="28">
        <v>1</v>
      </c>
      <c r="AC262" s="28">
        <v>1</v>
      </c>
      <c r="AD262" s="28">
        <v>2</v>
      </c>
      <c r="AE262" s="28">
        <v>2</v>
      </c>
      <c r="AF262" s="28">
        <v>3</v>
      </c>
      <c r="AG262" s="28">
        <v>2</v>
      </c>
      <c r="AH262" s="29" t="s">
        <v>1919</v>
      </c>
      <c r="AI262" s="36">
        <f>if(or(and(K262&lt;32, J262&lt;2), O262=1, P262=1, Q262=1, R262=1, S262=1, T262=1, U262=1, and(W262&lt;&gt;"", W262&lt;&gt;"Oxygen", W262&lt;&gt;"LowFlow")), "Intensive", "Intermediate")</f>
      </c>
      <c r="AJ262" s="37">
        <f>if(or(left(AH262, 1)="X", left(AH262, 1)="Y", left(AH262, 3)="J4M"), "CUSM", "No Match")</f>
      </c>
      <c r="AK262" s="37">
        <f>if(and(or(O262=3, P262=1, Q262=1, T262=1), AJ262="no Match"), "CUSM, CHU SJ, CHUQ", "")</f>
      </c>
      <c r="AL262" s="37">
        <f>IF(AND(O263=2, ISBLANK(P263), ISBLANK(Q263), ISBLANK(R263), ISBLANK(S263), ISBLANK(T263)), "CUSM, CHU SJ, CHUS, CHUQ", "")</f>
      </c>
      <c r="AM262" s="37">
        <f>if(and(AJ262="no match", AK262="", AL262="", K262&lt;26), "CUSM, CHU SJ, HGJ, CHUQ, CHUS", "")</f>
      </c>
      <c r="AN262" s="37">
        <f>if(and(AJ262="no match", AK262="", AL262="", K262&gt;26), "CUSM, CHU SJ, HGJ, CHUQ, CHUS, HMR", "")</f>
      </c>
    </row>
    <row x14ac:dyDescent="0.25" r="263" customHeight="1" ht="17.25">
      <c r="A263" s="27" t="s">
        <v>1920</v>
      </c>
      <c r="B263" s="28">
        <v>2</v>
      </c>
      <c r="C263" s="35">
        <v>768</v>
      </c>
      <c r="D263" s="29" t="s">
        <v>160</v>
      </c>
      <c r="E263" s="30" t="s">
        <v>54</v>
      </c>
      <c r="F263" s="31">
        <v>44339</v>
      </c>
      <c r="G263" s="32">
        <v>4.548611111111111</v>
      </c>
      <c r="H263" s="31">
        <v>44337</v>
      </c>
      <c r="I263" s="32">
        <v>4.213888888888889</v>
      </c>
      <c r="J263" s="33">
        <f>F263-H263</f>
      </c>
      <c r="K263" s="28">
        <v>39</v>
      </c>
      <c r="L263" s="28">
        <v>6</v>
      </c>
      <c r="M263" s="28">
        <v>2</v>
      </c>
      <c r="N263" s="34"/>
      <c r="O263" s="34"/>
      <c r="P263" s="34"/>
      <c r="Q263" s="34"/>
      <c r="R263" s="34"/>
      <c r="S263" s="34"/>
      <c r="T263" s="34"/>
      <c r="U263" s="34"/>
      <c r="V263" s="34"/>
      <c r="W263" s="29"/>
      <c r="X263" s="28">
        <v>35</v>
      </c>
      <c r="Y263" s="28">
        <v>1</v>
      </c>
      <c r="Z263" s="28">
        <v>1</v>
      </c>
      <c r="AA263" s="28">
        <v>2</v>
      </c>
      <c r="AB263" s="28">
        <v>1</v>
      </c>
      <c r="AC263" s="28">
        <v>2</v>
      </c>
      <c r="AD263" s="28">
        <v>2</v>
      </c>
      <c r="AE263" s="28">
        <v>4</v>
      </c>
      <c r="AF263" s="28">
        <v>2</v>
      </c>
      <c r="AG263" s="28">
        <v>2</v>
      </c>
      <c r="AH263" s="29" t="s">
        <v>1921</v>
      </c>
      <c r="AI263" s="36">
        <f>if(or(and(K263&lt;32, J263&lt;2), O263=1, P263=1, Q263=1, R263=1, S263=1, T263=1, U263=1, and(W263&lt;&gt;"", W263&lt;&gt;"Oxygen", W263&lt;&gt;"LowFlow")), "Intensive", "Intermediate")</f>
      </c>
      <c r="AJ263" s="37">
        <f>if(or(left(AH263, 1)="X", left(AH263, 1)="Y", left(AH263, 3)="J5M"), "CUSM", "No Match")</f>
      </c>
      <c r="AK263" s="37">
        <f>if(and(or(O263=3, P263=1, Q263=1, T263=1), AJ263="no Match"), "CUSM, CHU SJ, CHUQ", "")</f>
      </c>
      <c r="AL263" s="37">
        <f>IF(AND(O264=2, ISBLANK(P264), ISBLANK(Q264), ISBLANK(R264), ISBLANK(S264), ISBLANK(T264)), "CUSM, CHU SJ, CHUS, CHUQ", "")</f>
      </c>
      <c r="AM263" s="37">
        <f>if(and(AJ263="no match", AK263="", AL263="", K263&lt;26), "CUSM, CHU SJ, HGJ, CHUQ, CHUS", "")</f>
      </c>
      <c r="AN263" s="37">
        <f>if(and(AJ263="no match", AK263="", AL263="", K263&gt;26), "CUSM, CHU SJ, HGJ, CHUQ, CHUS, HMR", "")</f>
      </c>
    </row>
    <row x14ac:dyDescent="0.25" r="264" customHeight="1" ht="17.25">
      <c r="A264" s="27" t="s">
        <v>1922</v>
      </c>
      <c r="B264" s="28">
        <v>2</v>
      </c>
      <c r="C264" s="28">
        <v>828</v>
      </c>
      <c r="D264" s="29" t="s">
        <v>518</v>
      </c>
      <c r="E264" s="30" t="s">
        <v>54</v>
      </c>
      <c r="F264" s="31">
        <v>44339</v>
      </c>
      <c r="G264" s="32">
        <v>4.947916666666666</v>
      </c>
      <c r="H264" s="31">
        <v>44338</v>
      </c>
      <c r="I264" s="32">
        <v>4.131944444444445</v>
      </c>
      <c r="J264" s="33">
        <f>F264-H264</f>
      </c>
      <c r="K264" s="28">
        <v>37</v>
      </c>
      <c r="L264" s="28">
        <v>2</v>
      </c>
      <c r="M264" s="28">
        <v>2</v>
      </c>
      <c r="N264" s="34"/>
      <c r="O264" s="34"/>
      <c r="P264" s="34"/>
      <c r="Q264" s="34"/>
      <c r="R264" s="34"/>
      <c r="S264" s="34"/>
      <c r="T264" s="38"/>
      <c r="U264" s="34"/>
      <c r="V264" s="34"/>
      <c r="W264" s="29"/>
      <c r="X264" s="28">
        <v>23</v>
      </c>
      <c r="Y264" s="28">
        <v>1</v>
      </c>
      <c r="Z264" s="28">
        <v>1</v>
      </c>
      <c r="AA264" s="28">
        <v>3</v>
      </c>
      <c r="AB264" s="28">
        <v>4</v>
      </c>
      <c r="AC264" s="28">
        <v>2</v>
      </c>
      <c r="AD264" s="28">
        <v>2</v>
      </c>
      <c r="AE264" s="28">
        <v>4</v>
      </c>
      <c r="AF264" s="28">
        <v>2</v>
      </c>
      <c r="AG264" s="28">
        <v>2</v>
      </c>
      <c r="AH264" s="29" t="s">
        <v>1923</v>
      </c>
      <c r="AI264" s="36">
        <f>if(or(and(K264&lt;32, J264&lt;2), O264=1, P264=1, Q264=1, R264=1, S264=1, T264=1, U264=1, and(W264&lt;&gt;"", W264&lt;&gt;"Oxygen", W264&lt;&gt;"LowFlow")), "Intensive", "Intermediate")</f>
      </c>
      <c r="AJ264" s="37">
        <f>if(or(left(AH264, 1)="X", left(AH264, 1)="Y", left(AH264, 3)="J6M"), "CUSM", "No Match")</f>
      </c>
      <c r="AK264" s="37">
        <f>if(and(or(O264=3, P264=1, Q264=1, T264=1), AJ264="no Match"), "CUSM, CHU SJ, CHUQ", "")</f>
      </c>
      <c r="AL264" s="37">
        <f>IF(AND(O265=2, ISBLANK(P265), ISBLANK(Q265), ISBLANK(R265), ISBLANK(S265), ISBLANK(T265)), "CUSM, CHU SJ, CHUS, CHUQ", "")</f>
      </c>
      <c r="AM264" s="37">
        <f>if(and(AJ264="no match", AK264="", AL264="", K264&lt;26), "CUSM, CHU SJ, HGJ, CHUQ, CHUS", "")</f>
      </c>
      <c r="AN264" s="37">
        <f>if(and(AJ264="no match", AK264="", AL264="", K264&gt;26), "CUSM, CHU SJ, HGJ, CHUQ, CHUS, HMR", "")</f>
      </c>
    </row>
    <row x14ac:dyDescent="0.25" r="265" customHeight="1" ht="17.25">
      <c r="A265" s="27" t="s">
        <v>1924</v>
      </c>
      <c r="B265" s="28">
        <v>2</v>
      </c>
      <c r="C265" s="28">
        <v>756</v>
      </c>
      <c r="D265" s="29" t="s">
        <v>66</v>
      </c>
      <c r="E265" s="30" t="s">
        <v>50</v>
      </c>
      <c r="F265" s="31">
        <v>44339</v>
      </c>
      <c r="G265" s="32">
        <v>4.6875</v>
      </c>
      <c r="H265" s="31">
        <v>44329</v>
      </c>
      <c r="I265" s="32">
        <v>4.9375</v>
      </c>
      <c r="J265" s="33">
        <f>F265-H265</f>
      </c>
      <c r="K265" s="28">
        <v>37</v>
      </c>
      <c r="L265" s="28">
        <v>6</v>
      </c>
      <c r="M265" s="28">
        <v>1</v>
      </c>
      <c r="N265" s="34"/>
      <c r="O265" s="34"/>
      <c r="P265" s="34"/>
      <c r="Q265" s="34"/>
      <c r="R265" s="34"/>
      <c r="S265" s="34"/>
      <c r="T265" s="34"/>
      <c r="U265" s="34"/>
      <c r="V265" s="34"/>
      <c r="W265" s="29" t="s">
        <v>106</v>
      </c>
      <c r="X265" s="28">
        <v>33</v>
      </c>
      <c r="Y265" s="28">
        <v>1</v>
      </c>
      <c r="Z265" s="28">
        <v>1</v>
      </c>
      <c r="AA265" s="28">
        <v>2</v>
      </c>
      <c r="AB265" s="28">
        <v>1</v>
      </c>
      <c r="AC265" s="28">
        <v>2</v>
      </c>
      <c r="AD265" s="28">
        <v>2</v>
      </c>
      <c r="AE265" s="28">
        <v>4</v>
      </c>
      <c r="AF265" s="28">
        <v>3</v>
      </c>
      <c r="AG265" s="28">
        <v>2</v>
      </c>
      <c r="AH265" s="29" t="s">
        <v>1925</v>
      </c>
      <c r="AI265" s="36">
        <f>if(or(and(K265&lt;32, J265&lt;2), O265=1, P265=1, Q265=1, R265=1, S265=1, T265=1, U265=1, and(W265&lt;&gt;"", W265&lt;&gt;"Oxygen", W265&lt;&gt;"LowFlow")), "Intensive", "Intermediate")</f>
      </c>
      <c r="AJ265" s="37">
        <f>if(or(left(AH265, 1)="X", left(AH265, 1)="Y", left(AH265, 3)="J7M"), "CUSM", "No Match")</f>
      </c>
      <c r="AK265" s="37">
        <f>if(and(or(O265=3, P265=1, Q265=1, T265=1), AJ265="no Match"), "CUSM, CHU SJ, CHUQ", "")</f>
      </c>
      <c r="AL265" s="37">
        <f>IF(AND(O266=2, ISBLANK(P266), ISBLANK(Q266), ISBLANK(R266), ISBLANK(S266), ISBLANK(T266)), "CUSM, CHU SJ, CHUS, CHUQ", "")</f>
      </c>
      <c r="AM265" s="37">
        <f>if(and(AJ265="no match", AK265="", AL265="", K265&lt;26), "CUSM, CHU SJ, HGJ, CHUQ, CHUS", "")</f>
      </c>
      <c r="AN265" s="37">
        <f>if(and(AJ265="no match", AK265="", AL265="", K265&gt;26), "CUSM, CHU SJ, HGJ, CHUQ, CHUS, HMR", "")</f>
      </c>
    </row>
    <row x14ac:dyDescent="0.25" r="266" customHeight="1" ht="17.25">
      <c r="A266" s="27" t="s">
        <v>1926</v>
      </c>
      <c r="B266" s="28">
        <v>2</v>
      </c>
      <c r="C266" s="28">
        <v>1019</v>
      </c>
      <c r="D266" s="29" t="s">
        <v>354</v>
      </c>
      <c r="E266" s="30" t="s">
        <v>54</v>
      </c>
      <c r="F266" s="31">
        <v>44340</v>
      </c>
      <c r="G266" s="32">
        <v>4.263888888888889</v>
      </c>
      <c r="H266" s="31">
        <v>44340</v>
      </c>
      <c r="I266" s="32">
        <v>4.067361111111111</v>
      </c>
      <c r="J266" s="33">
        <f>F266-H266</f>
      </c>
      <c r="K266" s="28">
        <v>31</v>
      </c>
      <c r="L266" s="28">
        <v>3</v>
      </c>
      <c r="M266" s="28">
        <v>2</v>
      </c>
      <c r="N266" s="34"/>
      <c r="O266" s="35">
        <v>2</v>
      </c>
      <c r="P266" s="34"/>
      <c r="Q266" s="34"/>
      <c r="R266" s="35">
        <v>1</v>
      </c>
      <c r="S266" s="34"/>
      <c r="T266" s="34"/>
      <c r="U266" s="35">
        <v>1</v>
      </c>
      <c r="V266" s="35">
        <v>1</v>
      </c>
      <c r="W266" s="29" t="s">
        <v>74</v>
      </c>
      <c r="X266" s="28">
        <v>29</v>
      </c>
      <c r="Y266" s="28">
        <v>1</v>
      </c>
      <c r="Z266" s="28">
        <v>2</v>
      </c>
      <c r="AA266" s="28">
        <v>2</v>
      </c>
      <c r="AB266" s="28">
        <v>1</v>
      </c>
      <c r="AC266" s="28">
        <v>2</v>
      </c>
      <c r="AD266" s="28">
        <v>2</v>
      </c>
      <c r="AE266" s="28">
        <v>4</v>
      </c>
      <c r="AF266" s="28">
        <v>2</v>
      </c>
      <c r="AG266" s="28">
        <v>2</v>
      </c>
      <c r="AH266" s="29" t="s">
        <v>1927</v>
      </c>
      <c r="AI266" s="36">
        <f>if(or(and(K266&lt;32, J266&lt;2), O266=1, P266=1, Q266=1, R266=1, S266=1, T266=1, U266=1, and(W266&lt;&gt;"", W266&lt;&gt;"Oxygen", W266&lt;&gt;"LowFlow")), "Intensive", "Intermediate")</f>
      </c>
      <c r="AJ266" s="37">
        <f>if(or(left(AH266, 1)="X", left(AH266, 1)="Y", left(AH266, 3)="J8M"), "CUSM", "No Match")</f>
      </c>
      <c r="AK266" s="37">
        <f>if(and(or(O266=3, P266=1, Q266=1, T266=1), AJ266="no Match"), "CUSM, CHU SJ, CHUQ", "")</f>
      </c>
      <c r="AL266" s="37">
        <f>IF(AND(O267=2, ISBLANK(P267), ISBLANK(Q267), ISBLANK(R267), ISBLANK(S267), ISBLANK(T267)), "CUSM, CHU SJ, CHUS, CHUQ", "")</f>
      </c>
      <c r="AM266" s="37">
        <f>if(and(AJ266="no match", AK266="", AL266="", K266&lt;26), "CUSM, CHU SJ, HGJ, CHUQ, CHUS", "")</f>
      </c>
      <c r="AN266" s="37">
        <f>if(and(AJ266="no match", AK266="", AL266="", K266&gt;26), "CUSM, CHU SJ, HGJ, CHUQ, CHUS, HMR", "")</f>
      </c>
    </row>
    <row x14ac:dyDescent="0.25" r="267" customHeight="1" ht="17.25">
      <c r="A267" s="27" t="s">
        <v>1928</v>
      </c>
      <c r="B267" s="28">
        <v>2</v>
      </c>
      <c r="C267" s="28">
        <v>779</v>
      </c>
      <c r="D267" s="29" t="s">
        <v>136</v>
      </c>
      <c r="E267" s="30" t="s">
        <v>54</v>
      </c>
      <c r="F267" s="31">
        <v>44342</v>
      </c>
      <c r="G267" s="32">
        <v>4.607638888888889</v>
      </c>
      <c r="H267" s="31">
        <v>44342</v>
      </c>
      <c r="I267" s="32">
        <v>4.475694444444445</v>
      </c>
      <c r="J267" s="33">
        <f>F267-H267</f>
      </c>
      <c r="K267" s="28">
        <v>38</v>
      </c>
      <c r="L267" s="28">
        <v>6</v>
      </c>
      <c r="M267" s="28">
        <v>1</v>
      </c>
      <c r="N267" s="28">
        <v>1</v>
      </c>
      <c r="O267" s="34"/>
      <c r="P267" s="35">
        <v>1</v>
      </c>
      <c r="Q267" s="34"/>
      <c r="R267" s="34"/>
      <c r="S267" s="34"/>
      <c r="T267" s="34"/>
      <c r="U267" s="35">
        <v>1</v>
      </c>
      <c r="V267" s="35">
        <v>1</v>
      </c>
      <c r="W267" s="29" t="s">
        <v>74</v>
      </c>
      <c r="X267" s="28">
        <v>32</v>
      </c>
      <c r="Y267" s="28">
        <v>1</v>
      </c>
      <c r="Z267" s="28">
        <v>2</v>
      </c>
      <c r="AA267" s="28">
        <v>3</v>
      </c>
      <c r="AB267" s="28">
        <v>1</v>
      </c>
      <c r="AC267" s="28">
        <v>2</v>
      </c>
      <c r="AD267" s="28">
        <v>2</v>
      </c>
      <c r="AE267" s="28">
        <v>4</v>
      </c>
      <c r="AF267" s="28">
        <v>2</v>
      </c>
      <c r="AG267" s="28">
        <v>2</v>
      </c>
      <c r="AH267" s="29" t="s">
        <v>1929</v>
      </c>
      <c r="AI267" s="36">
        <f>if(or(and(K267&lt;32, J267&lt;2), O267=1, P267=1, Q267=1, R267=1, S267=1, T267=1, U267=1, and(W267&lt;&gt;"", W267&lt;&gt;"Oxygen", W267&lt;&gt;"LowFlow")), "Intensive", "Intermediate")</f>
      </c>
      <c r="AJ267" s="37">
        <f>if(or(left(AH267, 1)="X", left(AH267, 1)="Y", left(AH267, 3)="J9M"), "CUSM", "No Match")</f>
      </c>
      <c r="AK267" s="37">
        <f>if(and(or(O267=3, P267=1, Q267=1, T267=1), AJ267="no Match"), "CUSM, CHU SJ, CHUQ", "")</f>
      </c>
      <c r="AL267" s="37">
        <f>IF(AND(O268=2, ISBLANK(P268), ISBLANK(Q268), ISBLANK(R268), ISBLANK(S268), ISBLANK(T268)), "CUSM, CHU SJ, CHUS, CHUQ", "")</f>
      </c>
      <c r="AM267" s="37">
        <f>if(and(AJ267="no match", AK267="", AL267="", K267&lt;26), "CUSM, CHU SJ, HGJ, CHUQ, CHUS", "")</f>
      </c>
      <c r="AN267" s="37">
        <f>if(and(AJ267="no match", AK267="", AL267="", K267&gt;26), "CUSM, CHU SJ, HGJ, CHUQ, CHUS, HMR", "")</f>
      </c>
    </row>
    <row x14ac:dyDescent="0.25" r="268" customHeight="1" ht="17.25">
      <c r="A268" s="27" t="s">
        <v>1930</v>
      </c>
      <c r="B268" s="28">
        <v>2</v>
      </c>
      <c r="C268" s="28">
        <v>779</v>
      </c>
      <c r="D268" s="29" t="s">
        <v>136</v>
      </c>
      <c r="E268" s="30" t="s">
        <v>50</v>
      </c>
      <c r="F268" s="31">
        <v>44342</v>
      </c>
      <c r="G268" s="32">
        <v>4.270833333333334</v>
      </c>
      <c r="H268" s="31">
        <v>44342</v>
      </c>
      <c r="I268" s="32">
        <v>4.072916666666666</v>
      </c>
      <c r="J268" s="33">
        <f>F268-H268</f>
      </c>
      <c r="K268" s="28">
        <v>40</v>
      </c>
      <c r="L268" s="28">
        <v>4</v>
      </c>
      <c r="M268" s="28">
        <v>1</v>
      </c>
      <c r="N268" s="35">
        <v>1</v>
      </c>
      <c r="O268" s="34"/>
      <c r="P268" s="35">
        <v>1</v>
      </c>
      <c r="Q268" s="34"/>
      <c r="R268" s="34"/>
      <c r="S268" s="34"/>
      <c r="T268" s="35">
        <v>1</v>
      </c>
      <c r="U268" s="35">
        <v>1</v>
      </c>
      <c r="V268" s="35">
        <v>1</v>
      </c>
      <c r="W268" s="29" t="s">
        <v>70</v>
      </c>
      <c r="X268" s="28">
        <v>30</v>
      </c>
      <c r="Y268" s="28">
        <v>1</v>
      </c>
      <c r="Z268" s="28">
        <v>2</v>
      </c>
      <c r="AA268" s="28">
        <v>1</v>
      </c>
      <c r="AB268" s="28">
        <v>1</v>
      </c>
      <c r="AC268" s="28">
        <v>2</v>
      </c>
      <c r="AD268" s="28">
        <v>2</v>
      </c>
      <c r="AE268" s="28">
        <v>1</v>
      </c>
      <c r="AF268" s="38"/>
      <c r="AG268" s="28">
        <v>2</v>
      </c>
      <c r="AH268" s="29" t="s">
        <v>1931</v>
      </c>
      <c r="AI268" s="36">
        <f>if(or(and(K268&lt;32, J268&lt;2), O268=1, P268=1, Q268=1, R268=1, S268=1, T268=1, U268=1, and(W268&lt;&gt;"", W268&lt;&gt;"Oxygen", W268&lt;&gt;"LowFlow")), "Intensive", "Intermediate")</f>
      </c>
      <c r="AJ268" s="37">
        <f>if(or(left(AH268, 1)="X", left(AH268, 1)="Y", left(AH268, 3)="J10M"), "CUSM", "No Match")</f>
      </c>
      <c r="AK268" s="37">
        <f>if(and(or(O268=3, P268=1, Q268=1, T268=1), AJ268="no Match"), "CUSM, CHU SJ, CHUQ", "")</f>
      </c>
      <c r="AL268" s="37">
        <f>IF(AND(O269=2, ISBLANK(P269), ISBLANK(Q269), ISBLANK(R269), ISBLANK(S269), ISBLANK(T269)), "CUSM, CHU SJ, CHUS, CHUQ", "")</f>
      </c>
      <c r="AM268" s="37">
        <f>if(and(AJ268="no match", AK268="", AL268="", K268&lt;26), "CUSM, CHU SJ, HGJ, CHUQ, CHUS", "")</f>
      </c>
      <c r="AN268" s="37">
        <f>if(and(AJ268="no match", AK268="", AL268="", K268&gt;26), "CUSM, CHU SJ, HGJ, CHUQ, CHUS, HMR", "")</f>
      </c>
    </row>
    <row x14ac:dyDescent="0.25" r="269" customHeight="1" ht="17.25">
      <c r="A269" s="27" t="s">
        <v>1932</v>
      </c>
      <c r="B269" s="28">
        <v>2</v>
      </c>
      <c r="C269" s="35">
        <v>779</v>
      </c>
      <c r="D269" s="29" t="s">
        <v>136</v>
      </c>
      <c r="E269" s="30" t="s">
        <v>54</v>
      </c>
      <c r="F269" s="31">
        <v>44343</v>
      </c>
      <c r="G269" s="32">
        <v>4.607638888888889</v>
      </c>
      <c r="H269" s="31">
        <v>44343</v>
      </c>
      <c r="I269" s="32">
        <v>4.477777777777778</v>
      </c>
      <c r="J269" s="33">
        <f>F269-H269</f>
      </c>
      <c r="K269" s="28">
        <v>40</v>
      </c>
      <c r="L269" s="28">
        <v>1</v>
      </c>
      <c r="M269" s="28">
        <v>2</v>
      </c>
      <c r="N269" s="34"/>
      <c r="O269" s="34"/>
      <c r="P269" s="34"/>
      <c r="Q269" s="34"/>
      <c r="R269" s="34"/>
      <c r="S269" s="34"/>
      <c r="T269" s="34"/>
      <c r="U269" s="34"/>
      <c r="V269" s="34"/>
      <c r="W269" s="29"/>
      <c r="X269" s="28">
        <v>30</v>
      </c>
      <c r="Y269" s="28">
        <v>1</v>
      </c>
      <c r="Z269" s="28">
        <v>1</v>
      </c>
      <c r="AA269" s="28">
        <v>2</v>
      </c>
      <c r="AB269" s="28">
        <v>1</v>
      </c>
      <c r="AC269" s="28">
        <v>2</v>
      </c>
      <c r="AD269" s="28">
        <v>2</v>
      </c>
      <c r="AE269" s="28">
        <v>4</v>
      </c>
      <c r="AF269" s="28">
        <v>2</v>
      </c>
      <c r="AG269" s="28">
        <v>2</v>
      </c>
      <c r="AH269" s="29" t="s">
        <v>1933</v>
      </c>
      <c r="AI269" s="36">
        <f>if(or(and(K269&lt;32, J269&lt;2), O269=1, P269=1, Q269=1, R269=1, S269=1, T269=1, U269=1, and(W269&lt;&gt;"", W269&lt;&gt;"Oxygen", W269&lt;&gt;"LowFlow")), "Intensive", "Intermediate")</f>
      </c>
      <c r="AJ269" s="37">
        <f>if(or(left(AH269, 1)="X", left(AH269, 1)="Y", left(AH269, 3)="J11M"), "CUSM", "No Match")</f>
      </c>
      <c r="AK269" s="37">
        <f>if(and(or(O269=3, P269=1, Q269=1, T269=1), AJ269="no Match"), "CUSM, CHU SJ, CHUQ", "")</f>
      </c>
      <c r="AL269" s="37">
        <f>IF(AND(O270=2, ISBLANK(P270), ISBLANK(Q270), ISBLANK(R270), ISBLANK(S270), ISBLANK(T270)), "CUSM, CHU SJ, CHUS, CHUQ", "")</f>
      </c>
      <c r="AM269" s="37">
        <f>if(and(AJ269="no match", AK269="", AL269="", K269&lt;26), "CUSM, CHU SJ, HGJ, CHUQ, CHUS", "")</f>
      </c>
      <c r="AN269" s="37">
        <f>if(and(AJ269="no match", AK269="", AL269="", K269&gt;26), "CUSM, CHU SJ, HGJ, CHUQ, CHUS, HMR", "")</f>
      </c>
    </row>
    <row x14ac:dyDescent="0.25" r="270" customHeight="1" ht="17.25">
      <c r="A270" s="27" t="s">
        <v>1934</v>
      </c>
      <c r="B270" s="28">
        <v>2</v>
      </c>
      <c r="C270" s="35">
        <v>820</v>
      </c>
      <c r="D270" s="29" t="s">
        <v>69</v>
      </c>
      <c r="E270" s="30" t="s">
        <v>54</v>
      </c>
      <c r="F270" s="31">
        <v>44344</v>
      </c>
      <c r="G270" s="32">
        <v>4.041666666666666</v>
      </c>
      <c r="H270" s="31">
        <v>44343</v>
      </c>
      <c r="I270" s="32">
        <v>4.536111111111111</v>
      </c>
      <c r="J270" s="33">
        <f>F270-H270</f>
      </c>
      <c r="K270" s="28">
        <v>40</v>
      </c>
      <c r="L270" s="28">
        <v>0</v>
      </c>
      <c r="M270" s="28">
        <v>1</v>
      </c>
      <c r="N270" s="38"/>
      <c r="O270" s="34"/>
      <c r="P270" s="38"/>
      <c r="Q270" s="34"/>
      <c r="R270" s="34"/>
      <c r="S270" s="34"/>
      <c r="T270" s="34"/>
      <c r="U270" s="34"/>
      <c r="V270" s="34"/>
      <c r="W270" s="29"/>
      <c r="X270" s="28">
        <v>22</v>
      </c>
      <c r="Y270" s="28">
        <v>1</v>
      </c>
      <c r="Z270" s="28">
        <v>1</v>
      </c>
      <c r="AA270" s="28">
        <v>2</v>
      </c>
      <c r="AB270" s="28">
        <v>1</v>
      </c>
      <c r="AC270" s="28">
        <v>2</v>
      </c>
      <c r="AD270" s="28">
        <v>2</v>
      </c>
      <c r="AE270" s="28">
        <v>4</v>
      </c>
      <c r="AF270" s="28">
        <v>2</v>
      </c>
      <c r="AG270" s="28">
        <v>2</v>
      </c>
      <c r="AH270" s="29" t="s">
        <v>1935</v>
      </c>
      <c r="AI270" s="36">
        <f>if(or(and(K270&lt;32, J270&lt;2), O270=1, P270=1, Q270=1, R270=1, S270=1, T270=1, U270=1, and(W270&lt;&gt;"", W270&lt;&gt;"Oxygen", W270&lt;&gt;"LowFlow")), "Intensive", "Intermediate")</f>
      </c>
      <c r="AJ270" s="37">
        <f>if(or(left(AH270, 1)="X", left(AH270, 1)="Y", left(AH270, 3)="J12M"), "CUSM", "No Match")</f>
      </c>
      <c r="AK270" s="37">
        <f>if(and(or(O270=3, P270=1, Q270=1, T270=1), AJ270="no Match"), "CUSM, CHU SJ, CHUQ", "")</f>
      </c>
      <c r="AL270" s="37">
        <f>IF(AND(O271=2, ISBLANK(P271), ISBLANK(Q271), ISBLANK(R271), ISBLANK(S271), ISBLANK(T271)), "CUSM, CHU SJ, CHUS, CHUQ", "")</f>
      </c>
      <c r="AM270" s="37">
        <f>if(and(AJ270="no match", AK270="", AL270="", K270&lt;26), "CUSM, CHU SJ, HGJ, CHUQ, CHUS", "")</f>
      </c>
      <c r="AN270" s="37">
        <f>if(and(AJ270="no match", AK270="", AL270="", K270&gt;26), "CUSM, CHU SJ, HGJ, CHUQ, CHUS, HMR", "")</f>
      </c>
    </row>
    <row x14ac:dyDescent="0.25" r="271" customHeight="1" ht="17.25">
      <c r="A271" s="27" t="s">
        <v>1936</v>
      </c>
      <c r="B271" s="28">
        <v>2</v>
      </c>
      <c r="C271" s="35">
        <v>815</v>
      </c>
      <c r="D271" s="29" t="s">
        <v>100</v>
      </c>
      <c r="E271" s="30" t="s">
        <v>50</v>
      </c>
      <c r="F271" s="31">
        <v>44344</v>
      </c>
      <c r="G271" s="32">
        <v>4.59375</v>
      </c>
      <c r="H271" s="31">
        <v>44343</v>
      </c>
      <c r="I271" s="32">
        <v>4.802083333333334</v>
      </c>
      <c r="J271" s="33">
        <f>F271-H271</f>
      </c>
      <c r="K271" s="28">
        <v>38</v>
      </c>
      <c r="L271" s="28">
        <v>6</v>
      </c>
      <c r="M271" s="28">
        <v>1</v>
      </c>
      <c r="N271" s="34"/>
      <c r="O271" s="34"/>
      <c r="P271" s="34"/>
      <c r="Q271" s="34"/>
      <c r="R271" s="34"/>
      <c r="S271" s="34"/>
      <c r="T271" s="34"/>
      <c r="U271" s="34"/>
      <c r="V271" s="34"/>
      <c r="W271" s="29" t="s">
        <v>58</v>
      </c>
      <c r="X271" s="28">
        <v>30</v>
      </c>
      <c r="Y271" s="28">
        <v>1</v>
      </c>
      <c r="Z271" s="28">
        <v>1</v>
      </c>
      <c r="AA271" s="28">
        <v>2</v>
      </c>
      <c r="AB271" s="28">
        <v>1</v>
      </c>
      <c r="AC271" s="28">
        <v>2</v>
      </c>
      <c r="AD271" s="28">
        <v>2</v>
      </c>
      <c r="AE271" s="28">
        <v>4</v>
      </c>
      <c r="AF271" s="28">
        <v>3</v>
      </c>
      <c r="AG271" s="28">
        <v>2</v>
      </c>
      <c r="AH271" s="29" t="s">
        <v>1937</v>
      </c>
      <c r="AI271" s="36">
        <f>if(or(and(K271&lt;32, J271&lt;2), O271=1, P271=1, Q271=1, R271=1, S271=1, T271=1, U271=1, and(W271&lt;&gt;"", W271&lt;&gt;"Oxygen", W271&lt;&gt;"LowFlow")), "Intensive", "Intermediate")</f>
      </c>
      <c r="AJ271" s="37">
        <f>if(or(left(AH271, 1)="X", left(AH271, 1)="Y", left(AH271, 3)="J13M"), "CUSM", "No Match")</f>
      </c>
      <c r="AK271" s="37">
        <f>if(and(or(O271=3, P271=1, Q271=1, T271=1), AJ271="no Match"), "CUSM, CHU SJ, CHUQ", "")</f>
      </c>
      <c r="AL271" s="37">
        <f>IF(AND(O272=2, ISBLANK(P272), ISBLANK(Q272), ISBLANK(R272), ISBLANK(S272), ISBLANK(T272)), "CUSM, CHU SJ, CHUS, CHUQ", "")</f>
      </c>
      <c r="AM271" s="37">
        <f>if(and(AJ271="no match", AK271="", AL271="", K271&lt;26), "CUSM, CHU SJ, HGJ, CHUQ, CHUS", "")</f>
      </c>
      <c r="AN271" s="37">
        <f>if(and(AJ271="no match", AK271="", AL271="", K271&gt;26), "CUSM, CHU SJ, HGJ, CHUQ, CHUS, HMR", "")</f>
      </c>
    </row>
    <row x14ac:dyDescent="0.25" r="272" customHeight="1" ht="17.25">
      <c r="A272" s="27" t="s">
        <v>1938</v>
      </c>
      <c r="B272" s="28">
        <v>2</v>
      </c>
      <c r="C272" s="35">
        <v>756</v>
      </c>
      <c r="D272" s="29" t="s">
        <v>66</v>
      </c>
      <c r="E272" s="30" t="s">
        <v>50</v>
      </c>
      <c r="F272" s="31">
        <v>44344</v>
      </c>
      <c r="G272" s="32">
        <v>4.086805555555555</v>
      </c>
      <c r="H272" s="31">
        <v>44342</v>
      </c>
      <c r="I272" s="32">
        <v>4.907638888888889</v>
      </c>
      <c r="J272" s="33">
        <f>F272-H272</f>
      </c>
      <c r="K272" s="28">
        <v>36</v>
      </c>
      <c r="L272" s="28">
        <v>4</v>
      </c>
      <c r="M272" s="28">
        <v>2</v>
      </c>
      <c r="N272" s="35">
        <v>1</v>
      </c>
      <c r="O272" s="34"/>
      <c r="P272" s="35">
        <v>1</v>
      </c>
      <c r="Q272" s="34"/>
      <c r="R272" s="34"/>
      <c r="S272" s="34"/>
      <c r="T272" s="34"/>
      <c r="U272" s="34"/>
      <c r="V272" s="34"/>
      <c r="W272" s="29" t="s">
        <v>58</v>
      </c>
      <c r="X272" s="28">
        <v>31</v>
      </c>
      <c r="Y272" s="28">
        <v>2</v>
      </c>
      <c r="Z272" s="28">
        <v>1</v>
      </c>
      <c r="AA272" s="28">
        <v>2</v>
      </c>
      <c r="AB272" s="28">
        <v>1</v>
      </c>
      <c r="AC272" s="28">
        <v>2</v>
      </c>
      <c r="AD272" s="28">
        <v>2</v>
      </c>
      <c r="AE272" s="28">
        <v>4</v>
      </c>
      <c r="AF272" s="28">
        <v>3</v>
      </c>
      <c r="AG272" s="28">
        <v>2</v>
      </c>
      <c r="AH272" s="29" t="s">
        <v>1939</v>
      </c>
      <c r="AI272" s="36">
        <f>if(or(and(K272&lt;32, J272&lt;2), O272=1, P272=1, Q272=1, R272=1, S272=1, T272=1, U272=1, and(W272&lt;&gt;"", W272&lt;&gt;"Oxygen", W272&lt;&gt;"LowFlow")), "Intensive", "Intermediate")</f>
      </c>
      <c r="AJ272" s="37">
        <f>if(or(left(AH272, 1)="X", left(AH272, 1)="Y", left(AH272, 3)="J14M"), "CUSM", "No Match")</f>
      </c>
      <c r="AK272" s="37">
        <f>if(and(or(O272=3, P272=1, Q272=1, T272=1), AJ272="no Match"), "CUSM, CHU SJ, CHUQ", "")</f>
      </c>
      <c r="AL272" s="37">
        <f>IF(AND(O273=2, ISBLANK(P273), ISBLANK(Q273), ISBLANK(R273), ISBLANK(S273), ISBLANK(T273)), "CUSM, CHU SJ, CHUS, CHUQ", "")</f>
      </c>
      <c r="AM272" s="37">
        <f>if(and(AJ272="no match", AK272="", AL272="", K272&lt;26), "CUSM, CHU SJ, HGJ, CHUQ, CHUS", "")</f>
      </c>
      <c r="AN272" s="37">
        <f>if(and(AJ272="no match", AK272="", AL272="", K272&gt;26), "CUSM, CHU SJ, HGJ, CHUQ, CHUS, HMR", "")</f>
      </c>
    </row>
    <row x14ac:dyDescent="0.25" r="273" customHeight="1" ht="17.25">
      <c r="A273" s="27" t="s">
        <v>1940</v>
      </c>
      <c r="B273" s="28">
        <v>2</v>
      </c>
      <c r="C273" s="35">
        <v>796</v>
      </c>
      <c r="D273" s="29" t="s">
        <v>63</v>
      </c>
      <c r="E273" s="30" t="s">
        <v>50</v>
      </c>
      <c r="F273" s="31">
        <v>44346</v>
      </c>
      <c r="G273" s="32">
        <v>4.53125</v>
      </c>
      <c r="H273" s="31">
        <v>44346</v>
      </c>
      <c r="I273" s="32">
        <v>4.28125</v>
      </c>
      <c r="J273" s="33">
        <f>F273-H273</f>
      </c>
      <c r="K273" s="28">
        <v>33</v>
      </c>
      <c r="L273" s="28">
        <v>1</v>
      </c>
      <c r="M273" s="28">
        <v>1</v>
      </c>
      <c r="N273" s="34"/>
      <c r="O273" s="34"/>
      <c r="P273" s="34"/>
      <c r="Q273" s="34"/>
      <c r="R273" s="34"/>
      <c r="S273" s="34"/>
      <c r="T273" s="35">
        <v>1</v>
      </c>
      <c r="U273" s="34"/>
      <c r="V273" s="34"/>
      <c r="W273" s="29" t="s">
        <v>164</v>
      </c>
      <c r="X273" s="28">
        <v>31</v>
      </c>
      <c r="Y273" s="28">
        <v>1</v>
      </c>
      <c r="Z273" s="28">
        <v>1</v>
      </c>
      <c r="AA273" s="28">
        <v>2</v>
      </c>
      <c r="AB273" s="28">
        <v>2</v>
      </c>
      <c r="AC273" s="28">
        <v>2</v>
      </c>
      <c r="AD273" s="28">
        <v>2</v>
      </c>
      <c r="AE273" s="28">
        <v>2</v>
      </c>
      <c r="AF273" s="28">
        <v>2</v>
      </c>
      <c r="AG273" s="28">
        <v>2</v>
      </c>
      <c r="AH273" s="29" t="s">
        <v>1515</v>
      </c>
      <c r="AI273" s="36">
        <f>if(or(and(K273&lt;32, J273&lt;2), O273=1, P273=1, Q273=1, R273=1, S273=1, T273=1, U273=1, and(W273&lt;&gt;"", W273&lt;&gt;"Oxygen", W273&lt;&gt;"LowFlow")), "Intensive", "Intermediate")</f>
      </c>
      <c r="AJ273" s="37">
        <f>if(or(left(AH273, 1)="X", left(AH273, 1)="Y", left(AH273, 3)="J15M"), "CUSM", "No Match")</f>
      </c>
      <c r="AK273" s="37">
        <f>if(and(or(O273=3, P273=1, Q273=1, T273=1), AJ273="no Match"), "CUSM, CHU SJ, CHUQ", "")</f>
      </c>
      <c r="AL273" s="37">
        <f>IF(AND(O274=2, ISBLANK(P274), ISBLANK(Q274), ISBLANK(R274), ISBLANK(S274), ISBLANK(T274)), "CUSM, CHU SJ, CHUS, CHUQ", "")</f>
      </c>
      <c r="AM273" s="37">
        <f>if(and(AJ273="no match", AK273="", AL273="", K273&lt;26), "CUSM, CHU SJ, HGJ, CHUQ, CHUS", "")</f>
      </c>
      <c r="AN273" s="37">
        <f>if(and(AJ273="no match", AK273="", AL273="", K273&gt;26), "CUSM, CHU SJ, HGJ, CHUQ, CHUS, HMR", "")</f>
      </c>
    </row>
    <row x14ac:dyDescent="0.25" r="274" customHeight="1" ht="17.25">
      <c r="A274" s="27" t="s">
        <v>1941</v>
      </c>
      <c r="B274" s="35">
        <v>2</v>
      </c>
      <c r="C274" s="35">
        <v>731</v>
      </c>
      <c r="D274" s="29" t="s">
        <v>103</v>
      </c>
      <c r="E274" s="30" t="s">
        <v>50</v>
      </c>
      <c r="F274" s="31">
        <v>44347</v>
      </c>
      <c r="G274" s="32">
        <v>4.904861111111111</v>
      </c>
      <c r="H274" s="31">
        <v>44345</v>
      </c>
      <c r="I274" s="32">
        <v>4.635416666666666</v>
      </c>
      <c r="J274" s="33">
        <f>F274-H274</f>
      </c>
      <c r="K274" s="28">
        <v>41</v>
      </c>
      <c r="L274" s="28">
        <v>1</v>
      </c>
      <c r="M274" s="28">
        <v>1</v>
      </c>
      <c r="N274" s="34"/>
      <c r="O274" s="34"/>
      <c r="P274" s="34"/>
      <c r="Q274" s="34"/>
      <c r="R274" s="34"/>
      <c r="S274" s="34"/>
      <c r="T274" s="34"/>
      <c r="U274" s="34"/>
      <c r="V274" s="34"/>
      <c r="W274" s="29"/>
      <c r="X274" s="28">
        <v>31</v>
      </c>
      <c r="Y274" s="28">
        <v>1</v>
      </c>
      <c r="Z274" s="28">
        <v>1</v>
      </c>
      <c r="AA274" s="28">
        <v>2</v>
      </c>
      <c r="AB274" s="28">
        <v>4</v>
      </c>
      <c r="AC274" s="28">
        <v>2</v>
      </c>
      <c r="AD274" s="28">
        <v>2</v>
      </c>
      <c r="AE274" s="28">
        <v>4</v>
      </c>
      <c r="AF274" s="28">
        <v>3</v>
      </c>
      <c r="AG274" s="28">
        <v>3</v>
      </c>
      <c r="AH274" s="29" t="s">
        <v>1942</v>
      </c>
      <c r="AI274" s="36">
        <f>if(or(and(K274&lt;32, J274&lt;2), O274=1, P274=1, Q274=1, R274=1, S274=1, T274=1, U274=1, and(W274&lt;&gt;"", W274&lt;&gt;"Oxygen", W274&lt;&gt;"LowFlow")), "Intensive", "Intermediate")</f>
      </c>
      <c r="AJ274" s="37">
        <f>if(or(left(AH274, 1)="X", left(AH274, 1)="Y", left(AH274, 3)="J16M"), "CUSM", "No Match")</f>
      </c>
      <c r="AK274" s="37">
        <f>if(and(or(O274=3, P274=1, Q274=1, T274=1), AJ274="no Match"), "CUSM, CHU SJ, CHUQ", "")</f>
      </c>
      <c r="AL274" s="37">
        <f>IF(AND(O275=2, ISBLANK(P275), ISBLANK(Q275), ISBLANK(R275), ISBLANK(S275), ISBLANK(T275)), "CUSM, CHU SJ, CHUS, CHUQ", "")</f>
      </c>
      <c r="AM274" s="37">
        <f>if(and(AJ274="no match", AK274="", AL274="", K274&lt;26), "CUSM, CHU SJ, HGJ, CHUQ, CHUS", "")</f>
      </c>
      <c r="AN274" s="37">
        <f>if(and(AJ274="no match", AK274="", AL274="", K274&gt;26), "CUSM, CHU SJ, HGJ, CHUQ, CHUS, HMR", "")</f>
      </c>
    </row>
    <row x14ac:dyDescent="0.25" r="275" customHeight="1" ht="17.25">
      <c r="A275" s="27" t="s">
        <v>1943</v>
      </c>
      <c r="B275" s="28">
        <v>2</v>
      </c>
      <c r="C275" s="35">
        <v>824</v>
      </c>
      <c r="D275" s="29" t="s">
        <v>57</v>
      </c>
      <c r="E275" s="30" t="s">
        <v>50</v>
      </c>
      <c r="F275" s="31">
        <v>44348</v>
      </c>
      <c r="G275" s="32">
        <v>4.861111111111111</v>
      </c>
      <c r="H275" s="31">
        <v>44348</v>
      </c>
      <c r="I275" s="32">
        <v>4.1305555555555555</v>
      </c>
      <c r="J275" s="33">
        <f>F275-H275</f>
      </c>
      <c r="K275" s="28">
        <v>40</v>
      </c>
      <c r="L275" s="28">
        <v>2</v>
      </c>
      <c r="M275" s="28">
        <v>1</v>
      </c>
      <c r="N275" s="38"/>
      <c r="O275" s="34"/>
      <c r="P275" s="34"/>
      <c r="Q275" s="34"/>
      <c r="R275" s="34"/>
      <c r="S275" s="34"/>
      <c r="T275" s="34"/>
      <c r="U275" s="34"/>
      <c r="V275" s="34"/>
      <c r="W275" s="29"/>
      <c r="X275" s="28">
        <v>30</v>
      </c>
      <c r="Y275" s="28">
        <v>1</v>
      </c>
      <c r="Z275" s="28">
        <v>1</v>
      </c>
      <c r="AA275" s="28">
        <v>2</v>
      </c>
      <c r="AB275" s="28">
        <v>1</v>
      </c>
      <c r="AC275" s="28">
        <v>2</v>
      </c>
      <c r="AD275" s="28">
        <v>2</v>
      </c>
      <c r="AE275" s="28">
        <v>4</v>
      </c>
      <c r="AF275" s="28">
        <v>2</v>
      </c>
      <c r="AG275" s="28">
        <v>2</v>
      </c>
      <c r="AH275" s="29" t="s">
        <v>1944</v>
      </c>
      <c r="AI275" s="36">
        <f>if(or(and(K275&lt;32, J275&lt;2), O275=1, P275=1, Q275=1, R275=1, S275=1, T275=1, U275=1, and(W275&lt;&gt;"", W275&lt;&gt;"Oxygen", W275&lt;&gt;"LowFlow")), "Intensive", "Intermediate")</f>
      </c>
      <c r="AJ275" s="37">
        <f>if(or(left(AH275, 1)="X", left(AH275, 1)="Y", left(AH275, 3)="J17M"), "CUSM", "No Match")</f>
      </c>
      <c r="AK275" s="37">
        <f>if(and(or(O275=3, P275=1, Q275=1, T275=1), AJ275="no Match"), "CUSM, CHU SJ, CHUQ", "")</f>
      </c>
      <c r="AL275" s="37">
        <f>IF(AND(O276=2, ISBLANK(P276), ISBLANK(Q276), ISBLANK(R276), ISBLANK(S276), ISBLANK(T276)), "CUSM, CHU SJ, CHUS, CHUQ", "")</f>
      </c>
      <c r="AM275" s="37">
        <f>if(and(AJ275="no match", AK275="", AL275="", K275&lt;26), "CUSM, CHU SJ, HGJ, CHUQ, CHUS", "")</f>
      </c>
      <c r="AN275" s="37">
        <f>if(and(AJ275="no match", AK275="", AL275="", K275&gt;26), "CUSM, CHU SJ, HGJ, CHUQ, CHUS, HMR", "")</f>
      </c>
    </row>
    <row x14ac:dyDescent="0.25" r="276" customHeight="1" ht="17.25">
      <c r="A276" s="27" t="s">
        <v>1945</v>
      </c>
      <c r="B276" s="28">
        <v>2</v>
      </c>
      <c r="C276" s="28">
        <v>796</v>
      </c>
      <c r="D276" s="29" t="s">
        <v>63</v>
      </c>
      <c r="E276" s="30" t="s">
        <v>50</v>
      </c>
      <c r="F276" s="31">
        <v>44349</v>
      </c>
      <c r="G276" s="32">
        <v>4.611111111111111</v>
      </c>
      <c r="H276" s="31">
        <v>44349</v>
      </c>
      <c r="I276" s="32">
        <v>4.022222222222222</v>
      </c>
      <c r="J276" s="33">
        <f>F276-H276</f>
      </c>
      <c r="K276" s="28">
        <v>40</v>
      </c>
      <c r="L276" s="28">
        <v>6</v>
      </c>
      <c r="M276" s="28">
        <v>1</v>
      </c>
      <c r="N276" s="35">
        <v>1</v>
      </c>
      <c r="O276" s="34"/>
      <c r="P276" s="35">
        <v>1</v>
      </c>
      <c r="Q276" s="34"/>
      <c r="R276" s="34"/>
      <c r="S276" s="34"/>
      <c r="T276" s="35">
        <v>1</v>
      </c>
      <c r="U276" s="34"/>
      <c r="V276" s="34"/>
      <c r="W276" s="29" t="s">
        <v>600</v>
      </c>
      <c r="X276" s="28">
        <v>32</v>
      </c>
      <c r="Y276" s="28">
        <v>1</v>
      </c>
      <c r="Z276" s="28">
        <v>1</v>
      </c>
      <c r="AA276" s="28">
        <v>2</v>
      </c>
      <c r="AB276" s="28">
        <v>1</v>
      </c>
      <c r="AC276" s="28">
        <v>2</v>
      </c>
      <c r="AD276" s="28">
        <v>2</v>
      </c>
      <c r="AE276" s="28">
        <v>4</v>
      </c>
      <c r="AF276" s="28">
        <v>2</v>
      </c>
      <c r="AG276" s="28">
        <v>2</v>
      </c>
      <c r="AH276" s="29" t="s">
        <v>1946</v>
      </c>
      <c r="AI276" s="36">
        <f>if(or(and(K276&lt;32, J276&lt;2), O276=1, P276=1, Q276=1, R276=1, S276=1, T276=1, U276=1, and(W276&lt;&gt;"", W276&lt;&gt;"Oxygen", W276&lt;&gt;"LowFlow")), "Intensive", "Intermediate")</f>
      </c>
      <c r="AJ276" s="37">
        <f>if(or(left(AH276, 1)="X", left(AH276, 1)="Y", left(AH276, 3)="J18M"), "CUSM", "No Match")</f>
      </c>
      <c r="AK276" s="37">
        <f>if(and(or(O276=3, P276=1, Q276=1, T276=1), AJ276="no Match"), "CUSM, CHU SJ, CHUQ", "")</f>
      </c>
      <c r="AL276" s="37">
        <f>IF(AND(O277=2, ISBLANK(P277), ISBLANK(Q277), ISBLANK(R277), ISBLANK(S277), ISBLANK(T277)), "CUSM, CHU SJ, CHUS, CHUQ", "")</f>
      </c>
      <c r="AM276" s="37">
        <f>if(and(AJ276="no match", AK276="", AL276="", K276&lt;26), "CUSM, CHU SJ, HGJ, CHUQ, CHUS", "")</f>
      </c>
      <c r="AN276" s="37">
        <f>if(and(AJ276="no match", AK276="", AL276="", K276&gt;26), "CUSM, CHU SJ, HGJ, CHUQ, CHUS, HMR", "")</f>
      </c>
    </row>
    <row x14ac:dyDescent="0.25" r="277" customHeight="1" ht="17.25">
      <c r="A277" s="27" t="s">
        <v>1947</v>
      </c>
      <c r="B277" s="28">
        <v>2</v>
      </c>
      <c r="C277" s="35">
        <v>779</v>
      </c>
      <c r="D277" s="29" t="s">
        <v>136</v>
      </c>
      <c r="E277" s="30" t="s">
        <v>54</v>
      </c>
      <c r="F277" s="31">
        <v>44351</v>
      </c>
      <c r="G277" s="32">
        <v>4.527777777777778</v>
      </c>
      <c r="H277" s="31">
        <v>44351</v>
      </c>
      <c r="I277" s="32">
        <v>4.307638888888889</v>
      </c>
      <c r="J277" s="33">
        <f>F277-H277</f>
      </c>
      <c r="K277" s="28">
        <v>40</v>
      </c>
      <c r="L277" s="28">
        <v>4</v>
      </c>
      <c r="M277" s="28">
        <v>1</v>
      </c>
      <c r="N277" s="38"/>
      <c r="O277" s="34"/>
      <c r="P277" s="38"/>
      <c r="Q277" s="34"/>
      <c r="R277" s="34"/>
      <c r="S277" s="34"/>
      <c r="T277" s="35">
        <v>1</v>
      </c>
      <c r="U277" s="34"/>
      <c r="V277" s="34"/>
      <c r="W277" s="29" t="s">
        <v>106</v>
      </c>
      <c r="X277" s="28">
        <v>31</v>
      </c>
      <c r="Y277" s="28">
        <v>1</v>
      </c>
      <c r="Z277" s="28">
        <v>1</v>
      </c>
      <c r="AA277" s="28">
        <v>2</v>
      </c>
      <c r="AB277" s="28">
        <v>1</v>
      </c>
      <c r="AC277" s="28">
        <v>2</v>
      </c>
      <c r="AD277" s="28">
        <v>2</v>
      </c>
      <c r="AE277" s="28">
        <v>4</v>
      </c>
      <c r="AF277" s="28">
        <v>2</v>
      </c>
      <c r="AG277" s="28">
        <v>2</v>
      </c>
      <c r="AH277" s="29" t="s">
        <v>1948</v>
      </c>
      <c r="AI277" s="36">
        <f>if(or(and(K277&lt;32, J277&lt;2), O277=1, P277=1, Q277=1, R277=1, S277=1, T277=1, U277=1, and(W277&lt;&gt;"", W277&lt;&gt;"Oxygen", W277&lt;&gt;"LowFlow")), "Intensive", "Intermediate")</f>
      </c>
      <c r="AJ277" s="37">
        <f>if(or(left(AH277, 1)="X", left(AH277, 1)="Y", left(AH277, 3)="J19M"), "CUSM", "No Match")</f>
      </c>
      <c r="AK277" s="37">
        <f>if(and(or(O277=3, P277=1, Q277=1, T277=1), AJ277="no Match"), "CUSM, CHU SJ, CHUQ", "")</f>
      </c>
      <c r="AL277" s="37">
        <f>IF(AND(O278=2, ISBLANK(P278), ISBLANK(Q278), ISBLANK(R278), ISBLANK(S278), ISBLANK(T278)), "CUSM, CHU SJ, CHUS, CHUQ", "")</f>
      </c>
      <c r="AM277" s="37">
        <f>if(and(AJ277="no match", AK277="", AL277="", K277&lt;26), "CUSM, CHU SJ, HGJ, CHUQ, CHUS", "")</f>
      </c>
      <c r="AN277" s="37">
        <f>if(and(AJ277="no match", AK277="", AL277="", K277&gt;26), "CUSM, CHU SJ, HGJ, CHUQ, CHUS, HMR", "")</f>
      </c>
    </row>
    <row x14ac:dyDescent="0.25" r="278" customHeight="1" ht="17.25">
      <c r="A278" s="27" t="s">
        <v>1949</v>
      </c>
      <c r="B278" s="28">
        <v>2</v>
      </c>
      <c r="C278" s="35">
        <v>835</v>
      </c>
      <c r="D278" s="29" t="s">
        <v>170</v>
      </c>
      <c r="E278" s="30" t="s">
        <v>50</v>
      </c>
      <c r="F278" s="31">
        <v>44351</v>
      </c>
      <c r="G278" s="32">
        <v>4.628472222222222</v>
      </c>
      <c r="H278" s="31">
        <v>44351</v>
      </c>
      <c r="I278" s="32">
        <v>4.118055555555555</v>
      </c>
      <c r="J278" s="33">
        <f>F278-H278</f>
      </c>
      <c r="K278" s="28">
        <v>39</v>
      </c>
      <c r="L278" s="28">
        <v>2</v>
      </c>
      <c r="M278" s="28">
        <v>1</v>
      </c>
      <c r="N278" s="28">
        <v>1</v>
      </c>
      <c r="O278" s="34"/>
      <c r="P278" s="28">
        <v>1</v>
      </c>
      <c r="Q278" s="34"/>
      <c r="R278" s="34"/>
      <c r="S278" s="34"/>
      <c r="T278" s="34"/>
      <c r="U278" s="34"/>
      <c r="V278" s="34"/>
      <c r="W278" s="29" t="s">
        <v>58</v>
      </c>
      <c r="X278" s="28">
        <v>44</v>
      </c>
      <c r="Y278" s="28">
        <v>1</v>
      </c>
      <c r="Z278" s="28">
        <v>1</v>
      </c>
      <c r="AA278" s="28">
        <v>3</v>
      </c>
      <c r="AB278" s="28">
        <v>1</v>
      </c>
      <c r="AC278" s="28">
        <v>2</v>
      </c>
      <c r="AD278" s="28">
        <v>2</v>
      </c>
      <c r="AE278" s="28">
        <v>4</v>
      </c>
      <c r="AF278" s="28">
        <v>2</v>
      </c>
      <c r="AG278" s="28">
        <v>2</v>
      </c>
      <c r="AH278" s="29" t="s">
        <v>1950</v>
      </c>
      <c r="AI278" s="36">
        <f>if(or(and(K278&lt;32, J278&lt;2), O278=1, P278=1, Q278=1, R278=1, S278=1, T278=1, U278=1, and(W278&lt;&gt;"", W278&lt;&gt;"Oxygen", W278&lt;&gt;"LowFlow")), "Intensive", "Intermediate")</f>
      </c>
      <c r="AJ278" s="37">
        <f>if(or(left(AH278, 1)="X", left(AH278, 1)="Y", left(AH278, 3)="J20M"), "CUSM", "No Match")</f>
      </c>
      <c r="AK278" s="37">
        <f>if(and(or(O278=3, P278=1, Q278=1, T278=1), AJ278="no Match"), "CUSM, CHU SJ, CHUQ", "")</f>
      </c>
      <c r="AL278" s="37">
        <f>IF(AND(O279=2, ISBLANK(P279), ISBLANK(Q279), ISBLANK(R279), ISBLANK(S279), ISBLANK(T279)), "CUSM, CHU SJ, CHUS, CHUQ", "")</f>
      </c>
      <c r="AM278" s="37">
        <f>if(and(AJ278="no match", AK278="", AL278="", K278&lt;26), "CUSM, CHU SJ, HGJ, CHUQ, CHUS", "")</f>
      </c>
      <c r="AN278" s="37">
        <f>if(and(AJ278="no match", AK278="", AL278="", K278&gt;26), "CUSM, CHU SJ, HGJ, CHUQ, CHUS, HMR", "")</f>
      </c>
    </row>
    <row x14ac:dyDescent="0.25" r="279" customHeight="1" ht="17.25">
      <c r="A279" s="27" t="s">
        <v>1951</v>
      </c>
      <c r="B279" s="28">
        <v>2</v>
      </c>
      <c r="C279" s="35">
        <v>824</v>
      </c>
      <c r="D279" s="29" t="s">
        <v>57</v>
      </c>
      <c r="E279" s="30" t="s">
        <v>50</v>
      </c>
      <c r="F279" s="31">
        <v>44351</v>
      </c>
      <c r="G279" s="32">
        <v>4.381944444444445</v>
      </c>
      <c r="H279" s="31">
        <v>44350</v>
      </c>
      <c r="I279" s="32">
        <v>4.094444444444445</v>
      </c>
      <c r="J279" s="33">
        <f>F279-H279</f>
      </c>
      <c r="K279" s="28">
        <v>40</v>
      </c>
      <c r="L279" s="28">
        <v>0</v>
      </c>
      <c r="M279" s="28">
        <v>1</v>
      </c>
      <c r="N279" s="35">
        <v>1</v>
      </c>
      <c r="O279" s="38"/>
      <c r="P279" s="28">
        <v>1</v>
      </c>
      <c r="Q279" s="34"/>
      <c r="R279" s="34"/>
      <c r="S279" s="34"/>
      <c r="T279" s="34"/>
      <c r="U279" s="34"/>
      <c r="V279" s="34"/>
      <c r="W279" s="29" t="s">
        <v>58</v>
      </c>
      <c r="X279" s="28">
        <v>25</v>
      </c>
      <c r="Y279" s="28">
        <v>1</v>
      </c>
      <c r="Z279" s="28">
        <v>1</v>
      </c>
      <c r="AA279" s="28">
        <v>2</v>
      </c>
      <c r="AB279" s="28">
        <v>1</v>
      </c>
      <c r="AC279" s="28">
        <v>2</v>
      </c>
      <c r="AD279" s="28">
        <v>1</v>
      </c>
      <c r="AE279" s="28">
        <v>4</v>
      </c>
      <c r="AF279" s="28">
        <v>2</v>
      </c>
      <c r="AG279" s="28">
        <v>2</v>
      </c>
      <c r="AH279" s="29" t="s">
        <v>1952</v>
      </c>
      <c r="AI279" s="36">
        <f>if(or(and(K279&lt;32, J279&lt;2), O279=1, P279=1, Q279=1, R279=1, S279=1, T279=1, U279=1, and(W279&lt;&gt;"", W279&lt;&gt;"Oxygen", W279&lt;&gt;"LowFlow")), "Intensive", "Intermediate")</f>
      </c>
      <c r="AJ279" s="37">
        <f>if(or(left(AH279, 1)="X", left(AH279, 1)="Y", left(AH279, 3)="J21M"), "CUSM", "No Match")</f>
      </c>
      <c r="AK279" s="37">
        <f>if(and(or(O279=3, P279=1, Q279=1, T279=1), AJ279="no Match"), "CUSM, CHU SJ, CHUQ", "")</f>
      </c>
      <c r="AL279" s="37">
        <f>IF(AND(O280=2, ISBLANK(P280), ISBLANK(Q280), ISBLANK(R280), ISBLANK(S280), ISBLANK(T280)), "CUSM, CHU SJ, CHUS, CHUQ", "")</f>
      </c>
      <c r="AM279" s="37">
        <f>if(and(AJ279="no match", AK279="", AL279="", K279&lt;26), "CUSM, CHU SJ, HGJ, CHUQ, CHUS", "")</f>
      </c>
      <c r="AN279" s="37">
        <f>if(and(AJ279="no match", AK279="", AL279="", K279&gt;26), "CUSM, CHU SJ, HGJ, CHUQ, CHUS, HMR", "")</f>
      </c>
    </row>
    <row x14ac:dyDescent="0.25" r="280" customHeight="1" ht="17.25">
      <c r="A280" s="27" t="s">
        <v>1953</v>
      </c>
      <c r="B280" s="28">
        <v>2</v>
      </c>
      <c r="C280" s="35">
        <v>827</v>
      </c>
      <c r="D280" s="29" t="s">
        <v>525</v>
      </c>
      <c r="E280" s="30" t="s">
        <v>118</v>
      </c>
      <c r="F280" s="31">
        <v>44352</v>
      </c>
      <c r="G280" s="32">
        <v>4.211111111111111</v>
      </c>
      <c r="H280" s="31">
        <v>44352</v>
      </c>
      <c r="I280" s="32">
        <v>4.072222222222223</v>
      </c>
      <c r="J280" s="33">
        <f>F280-H280</f>
      </c>
      <c r="K280" s="28">
        <v>35</v>
      </c>
      <c r="L280" s="28">
        <v>0</v>
      </c>
      <c r="M280" s="28">
        <v>1</v>
      </c>
      <c r="N280" s="34"/>
      <c r="O280" s="34"/>
      <c r="P280" s="34"/>
      <c r="Q280" s="34"/>
      <c r="R280" s="34"/>
      <c r="S280" s="34"/>
      <c r="T280" s="34"/>
      <c r="U280" s="34"/>
      <c r="V280" s="34"/>
      <c r="W280" s="29" t="s">
        <v>58</v>
      </c>
      <c r="X280" s="28">
        <v>41</v>
      </c>
      <c r="Y280" s="28">
        <v>1</v>
      </c>
      <c r="Z280" s="28">
        <v>1</v>
      </c>
      <c r="AA280" s="28">
        <v>2</v>
      </c>
      <c r="AB280" s="28">
        <v>1</v>
      </c>
      <c r="AC280" s="28">
        <v>3</v>
      </c>
      <c r="AD280" s="28">
        <v>3</v>
      </c>
      <c r="AE280" s="28">
        <v>4</v>
      </c>
      <c r="AF280" s="28">
        <v>2</v>
      </c>
      <c r="AG280" s="28">
        <v>2</v>
      </c>
      <c r="AH280" s="29" t="s">
        <v>326</v>
      </c>
      <c r="AI280" s="36">
        <f>if(or(and(K280&lt;32, J280&lt;2), O280=1, P280=1, Q280=1, R280=1, S280=1, T280=1, U280=1, and(W280&lt;&gt;"", W280&lt;&gt;"Oxygen", W280&lt;&gt;"LowFlow")), "Intensive", "Intermediate")</f>
      </c>
      <c r="AJ280" s="37">
        <f>if(or(left(AH280, 1)="X", left(AH280, 1)="Y", left(AH280, 3)="J22M"), "CUSM", "No Match")</f>
      </c>
      <c r="AK280" s="37">
        <f>if(and(or(O280=3, P280=1, Q280=1, T280=1), AJ280="no Match"), "CUSM, CHU SJ, CHUQ", "")</f>
      </c>
      <c r="AL280" s="37">
        <f>IF(AND(O281=2, ISBLANK(P281), ISBLANK(Q281), ISBLANK(R281), ISBLANK(S281), ISBLANK(T281)), "CUSM, CHU SJ, CHUS, CHUQ", "")</f>
      </c>
      <c r="AM280" s="37">
        <f>if(and(AJ280="no match", AK280="", AL280="", K280&lt;26), "CUSM, CHU SJ, HGJ, CHUQ, CHUS", "")</f>
      </c>
      <c r="AN280" s="37">
        <f>if(and(AJ280="no match", AK280="", AL280="", K280&gt;26), "CUSM, CHU SJ, HGJ, CHUQ, CHUS, HMR", "")</f>
      </c>
    </row>
    <row x14ac:dyDescent="0.25" r="281" customHeight="1" ht="17.25">
      <c r="A281" s="27" t="s">
        <v>1954</v>
      </c>
      <c r="B281" s="28">
        <v>2</v>
      </c>
      <c r="C281" s="35">
        <v>730</v>
      </c>
      <c r="D281" s="29" t="s">
        <v>81</v>
      </c>
      <c r="E281" s="30" t="s">
        <v>78</v>
      </c>
      <c r="F281" s="31">
        <v>44352</v>
      </c>
      <c r="G281" s="32">
        <v>4.527777777777778</v>
      </c>
      <c r="H281" s="31">
        <v>44352</v>
      </c>
      <c r="I281" s="32">
        <v>4.121527777777778</v>
      </c>
      <c r="J281" s="33">
        <f>F281-H281</f>
      </c>
      <c r="K281" s="28">
        <v>41</v>
      </c>
      <c r="L281" s="28">
        <v>0</v>
      </c>
      <c r="M281" s="28">
        <v>2</v>
      </c>
      <c r="N281" s="34"/>
      <c r="O281" s="34"/>
      <c r="P281" s="34"/>
      <c r="Q281" s="34"/>
      <c r="R281" s="34"/>
      <c r="S281" s="34"/>
      <c r="T281" s="34"/>
      <c r="U281" s="34"/>
      <c r="V281" s="34"/>
      <c r="W281" s="29" t="s">
        <v>58</v>
      </c>
      <c r="X281" s="28">
        <v>28</v>
      </c>
      <c r="Y281" s="28">
        <v>1</v>
      </c>
      <c r="Z281" s="28">
        <v>2</v>
      </c>
      <c r="AA281" s="28">
        <v>1</v>
      </c>
      <c r="AB281" s="28">
        <v>1</v>
      </c>
      <c r="AC281" s="28">
        <v>2</v>
      </c>
      <c r="AD281" s="28">
        <v>2</v>
      </c>
      <c r="AE281" s="28">
        <v>2</v>
      </c>
      <c r="AF281" s="28">
        <v>2</v>
      </c>
      <c r="AG281" s="28">
        <v>2</v>
      </c>
      <c r="AH281" s="29"/>
      <c r="AI281" s="36">
        <f>if(or(and(K281&lt;32, J281&lt;2), O281=1, P281=1, Q281=1, R281=1, S281=1, T281=1, U281=1, and(W281&lt;&gt;"", W281&lt;&gt;"Oxygen", W281&lt;&gt;"LowFlow")), "Intensive", "Intermediate")</f>
      </c>
      <c r="AJ281" s="37">
        <f>if(or(left(AH281, 1)="X", left(AH281, 1)="Y", left(AH281, 3)="J23M"), "CUSM", "No Match")</f>
      </c>
      <c r="AK281" s="37">
        <f>if(and(or(O281=3, P281=1, Q281=1, T281=1), AJ281="no Match"), "CUSM, CHU SJ, CHUQ", "")</f>
      </c>
      <c r="AL281" s="37">
        <f>IF(AND(O282=2, ISBLANK(P282), ISBLANK(Q282), ISBLANK(R282), ISBLANK(S282), ISBLANK(T282)), "CUSM, CHU SJ, CHUS, CHUQ", "")</f>
      </c>
      <c r="AM281" s="37">
        <f>if(and(AJ281="no match", AK281="", AL281="", K281&lt;26), "CUSM, CHU SJ, HGJ, CHUQ, CHUS", "")</f>
      </c>
      <c r="AN281" s="37">
        <f>if(and(AJ281="no match", AK281="", AL281="", K281&gt;26), "CUSM, CHU SJ, HGJ, CHUQ, CHUS, HMR", "")</f>
      </c>
    </row>
    <row x14ac:dyDescent="0.25" r="282" customHeight="1" ht="17.25">
      <c r="A282" s="27" t="s">
        <v>1955</v>
      </c>
      <c r="B282" s="28">
        <v>2</v>
      </c>
      <c r="C282" s="28">
        <v>796</v>
      </c>
      <c r="D282" s="29" t="s">
        <v>63</v>
      </c>
      <c r="E282" s="30" t="s">
        <v>78</v>
      </c>
      <c r="F282" s="31">
        <v>44352</v>
      </c>
      <c r="G282" s="32">
        <v>4.524305555555555</v>
      </c>
      <c r="H282" s="31">
        <v>44352</v>
      </c>
      <c r="I282" s="32">
        <v>4.202083333333333</v>
      </c>
      <c r="J282" s="33">
        <f>F282-H282</f>
      </c>
      <c r="K282" s="28">
        <v>39</v>
      </c>
      <c r="L282" s="28">
        <v>0</v>
      </c>
      <c r="M282" s="28">
        <v>2</v>
      </c>
      <c r="N282" s="34"/>
      <c r="O282" s="38"/>
      <c r="P282" s="34"/>
      <c r="Q282" s="34"/>
      <c r="R282" s="34"/>
      <c r="S282" s="34"/>
      <c r="T282" s="34"/>
      <c r="U282" s="34"/>
      <c r="V282" s="34"/>
      <c r="W282" s="29" t="s">
        <v>58</v>
      </c>
      <c r="X282" s="28">
        <v>34</v>
      </c>
      <c r="Y282" s="28">
        <v>1</v>
      </c>
      <c r="Z282" s="28">
        <v>1</v>
      </c>
      <c r="AA282" s="28">
        <v>2</v>
      </c>
      <c r="AB282" s="28">
        <v>4</v>
      </c>
      <c r="AC282" s="28">
        <v>2</v>
      </c>
      <c r="AD282" s="28">
        <v>2</v>
      </c>
      <c r="AE282" s="28">
        <v>4</v>
      </c>
      <c r="AF282" s="28">
        <v>2</v>
      </c>
      <c r="AG282" s="28">
        <v>2</v>
      </c>
      <c r="AH282" s="29" t="s">
        <v>1956</v>
      </c>
      <c r="AI282" s="36">
        <f>if(or(and(K282&lt;32, J282&lt;2), O282=1, P282=1, Q282=1, R282=1, S282=1, T282=1, U282=1, and(W282&lt;&gt;"", W282&lt;&gt;"Oxygen", W282&lt;&gt;"LowFlow")), "Intensive", "Intermediate")</f>
      </c>
      <c r="AJ282" s="37">
        <f>if(or(left(AH282, 1)="X", left(AH282, 1)="Y", left(AH282, 3)="J24M"), "CUSM", "No Match")</f>
      </c>
      <c r="AK282" s="37">
        <f>if(and(or(O282=3, P282=1, Q282=1, T282=1), AJ282="no Match"), "CUSM, CHU SJ, CHUQ", "")</f>
      </c>
      <c r="AL282" s="37">
        <f>IF(AND(O283=2, ISBLANK(P283), ISBLANK(Q283), ISBLANK(R283), ISBLANK(S283), ISBLANK(T283)), "CUSM, CHU SJ, CHUS, CHUQ", "")</f>
      </c>
      <c r="AM282" s="37">
        <f>if(and(AJ282="no match", AK282="", AL282="", K282&lt;26), "CUSM, CHU SJ, HGJ, CHUQ, CHUS", "")</f>
      </c>
      <c r="AN282" s="37">
        <f>if(and(AJ282="no match", AK282="", AL282="", K282&gt;26), "CUSM, CHU SJ, HGJ, CHUQ, CHUS, HMR", "")</f>
      </c>
    </row>
    <row x14ac:dyDescent="0.25" r="283" customHeight="1" ht="17.25">
      <c r="A283" s="27" t="s">
        <v>1957</v>
      </c>
      <c r="B283" s="28">
        <v>2</v>
      </c>
      <c r="C283" s="28">
        <v>776</v>
      </c>
      <c r="D283" s="29" t="s">
        <v>84</v>
      </c>
      <c r="E283" s="30" t="s">
        <v>50</v>
      </c>
      <c r="F283" s="31">
        <v>44352</v>
      </c>
      <c r="G283" s="32">
        <v>4.868055555555555</v>
      </c>
      <c r="H283" s="31">
        <v>44352</v>
      </c>
      <c r="I283" s="32">
        <v>4.454861111111111</v>
      </c>
      <c r="J283" s="33">
        <f>F283-H283</f>
      </c>
      <c r="K283" s="28">
        <v>38</v>
      </c>
      <c r="L283" s="28">
        <v>0</v>
      </c>
      <c r="M283" s="28">
        <v>1</v>
      </c>
      <c r="N283" s="28">
        <v>1</v>
      </c>
      <c r="O283" s="34"/>
      <c r="P283" s="28">
        <v>1</v>
      </c>
      <c r="Q283" s="34"/>
      <c r="R283" s="34"/>
      <c r="S283" s="34"/>
      <c r="T283" s="34"/>
      <c r="U283" s="34"/>
      <c r="V283" s="34"/>
      <c r="W283" s="29" t="s">
        <v>74</v>
      </c>
      <c r="X283" s="28">
        <v>33</v>
      </c>
      <c r="Y283" s="28">
        <v>1</v>
      </c>
      <c r="Z283" s="28">
        <v>2</v>
      </c>
      <c r="AA283" s="28">
        <v>3</v>
      </c>
      <c r="AB283" s="28">
        <v>1</v>
      </c>
      <c r="AC283" s="28">
        <v>2</v>
      </c>
      <c r="AD283" s="28">
        <v>1</v>
      </c>
      <c r="AE283" s="28">
        <v>4</v>
      </c>
      <c r="AF283" s="28">
        <v>2</v>
      </c>
      <c r="AG283" s="28">
        <v>2</v>
      </c>
      <c r="AH283" s="29" t="s">
        <v>85</v>
      </c>
      <c r="AI283" s="36">
        <f>if(or(and(K283&lt;32, J283&lt;2), O283=1, P283=1, Q283=1, R283=1, S283=1, T283=1, U283=1, and(W283&lt;&gt;"", W283&lt;&gt;"Oxygen", W283&lt;&gt;"LowFlow")), "Intensive", "Intermediate")</f>
      </c>
      <c r="AJ283" s="37">
        <f>if(or(left(AH283, 1)="X", left(AH283, 1)="Y", left(AH283, 3)="J25M"), "CUSM", "No Match")</f>
      </c>
      <c r="AK283" s="37">
        <f>if(and(or(O283=3, P283=1, Q283=1, T283=1), AJ283="no Match"), "CUSM, CHU SJ, CHUQ", "")</f>
      </c>
      <c r="AL283" s="37">
        <f>IF(AND(O284=2, ISBLANK(P284), ISBLANK(Q284), ISBLANK(R284), ISBLANK(S284), ISBLANK(T284)), "CUSM, CHU SJ, CHUS, CHUQ", "")</f>
      </c>
      <c r="AM283" s="37">
        <f>if(and(AJ283="no match", AK283="", AL283="", K283&lt;26), "CUSM, CHU SJ, HGJ, CHUQ, CHUS", "")</f>
      </c>
      <c r="AN283" s="37">
        <f>if(and(AJ283="no match", AK283="", AL283="", K283&gt;26), "CUSM, CHU SJ, HGJ, CHUQ, CHUS, HMR", "")</f>
      </c>
    </row>
    <row x14ac:dyDescent="0.25" r="284" customHeight="1" ht="17.25">
      <c r="A284" s="27" t="s">
        <v>1958</v>
      </c>
      <c r="B284" s="28">
        <v>2</v>
      </c>
      <c r="C284" s="35">
        <v>824</v>
      </c>
      <c r="D284" s="29" t="s">
        <v>57</v>
      </c>
      <c r="E284" s="30" t="s">
        <v>50</v>
      </c>
      <c r="F284" s="31">
        <v>44353</v>
      </c>
      <c r="G284" s="32">
        <v>4.743055555555555</v>
      </c>
      <c r="H284" s="31">
        <v>44351</v>
      </c>
      <c r="I284" s="32">
        <v>4.155555555555555</v>
      </c>
      <c r="J284" s="33">
        <f>F284-H284</f>
      </c>
      <c r="K284" s="28">
        <v>39</v>
      </c>
      <c r="L284" s="28">
        <v>5</v>
      </c>
      <c r="M284" s="28">
        <v>1</v>
      </c>
      <c r="N284" s="34"/>
      <c r="O284" s="34"/>
      <c r="P284" s="34"/>
      <c r="Q284" s="34"/>
      <c r="R284" s="34"/>
      <c r="S284" s="34"/>
      <c r="T284" s="34"/>
      <c r="U284" s="34"/>
      <c r="V284" s="34"/>
      <c r="W284" s="29" t="s">
        <v>74</v>
      </c>
      <c r="X284" s="28">
        <v>23</v>
      </c>
      <c r="Y284" s="28">
        <v>1</v>
      </c>
      <c r="Z284" s="28">
        <v>1</v>
      </c>
      <c r="AA284" s="28">
        <v>2</v>
      </c>
      <c r="AB284" s="28">
        <v>1</v>
      </c>
      <c r="AC284" s="28">
        <v>2</v>
      </c>
      <c r="AD284" s="28">
        <v>2</v>
      </c>
      <c r="AE284" s="28">
        <v>4</v>
      </c>
      <c r="AF284" s="28">
        <v>2</v>
      </c>
      <c r="AG284" s="28">
        <v>2</v>
      </c>
      <c r="AH284" s="29" t="s">
        <v>1959</v>
      </c>
      <c r="AI284" s="36">
        <f>if(or(and(K284&lt;32, J284&lt;2), O284=1, P284=1, Q284=1, R284=1, S284=1, T284=1, U284=1, and(W284&lt;&gt;"", W284&lt;&gt;"Oxygen", W284&lt;&gt;"LowFlow")), "Intensive", "Intermediate")</f>
      </c>
      <c r="AJ284" s="37">
        <f>if(or(left(AH284, 1)="X", left(AH284, 1)="Y", left(AH284, 3)="J26M"), "CUSM", "No Match")</f>
      </c>
      <c r="AK284" s="37">
        <f>if(and(or(O284=3, P284=1, Q284=1, T284=1), AJ284="no Match"), "CUSM, CHU SJ, CHUQ", "")</f>
      </c>
      <c r="AL284" s="37">
        <f>IF(AND(O285=2, ISBLANK(P285), ISBLANK(Q285), ISBLANK(R285), ISBLANK(S285), ISBLANK(T285)), "CUSM, CHU SJ, CHUS, CHUQ", "")</f>
      </c>
      <c r="AM284" s="37">
        <f>if(and(AJ284="no match", AK284="", AL284="", K284&lt;26), "CUSM, CHU SJ, HGJ, CHUQ, CHUS", "")</f>
      </c>
      <c r="AN284" s="37">
        <f>if(and(AJ284="no match", AK284="", AL284="", K284&gt;26), "CUSM, CHU SJ, HGJ, CHUQ, CHUS, HMR", "")</f>
      </c>
    </row>
    <row x14ac:dyDescent="0.25" r="285" customHeight="1" ht="17.25">
      <c r="A285" s="27" t="s">
        <v>1960</v>
      </c>
      <c r="B285" s="28">
        <v>2</v>
      </c>
      <c r="C285" s="35">
        <v>782</v>
      </c>
      <c r="D285" s="29" t="s">
        <v>95</v>
      </c>
      <c r="E285" s="30" t="s">
        <v>220</v>
      </c>
      <c r="F285" s="31">
        <v>44353</v>
      </c>
      <c r="G285" s="32">
        <v>4.8125</v>
      </c>
      <c r="H285" s="31">
        <v>44353</v>
      </c>
      <c r="I285" s="32">
        <v>4.731944444444444</v>
      </c>
      <c r="J285" s="33">
        <f>F285-H285</f>
      </c>
      <c r="K285" s="28">
        <v>31</v>
      </c>
      <c r="L285" s="28">
        <v>0</v>
      </c>
      <c r="M285" s="28">
        <v>1</v>
      </c>
      <c r="N285" s="34"/>
      <c r="O285" s="34"/>
      <c r="P285" s="34"/>
      <c r="Q285" s="34"/>
      <c r="R285" s="34"/>
      <c r="S285" s="34"/>
      <c r="T285" s="34"/>
      <c r="U285" s="34"/>
      <c r="V285" s="34"/>
      <c r="W285" s="29" t="s">
        <v>164</v>
      </c>
      <c r="X285" s="28">
        <v>38</v>
      </c>
      <c r="Y285" s="28">
        <v>1</v>
      </c>
      <c r="Z285" s="28">
        <v>1</v>
      </c>
      <c r="AA285" s="28">
        <v>2</v>
      </c>
      <c r="AB285" s="28">
        <v>1</v>
      </c>
      <c r="AC285" s="28">
        <v>2</v>
      </c>
      <c r="AD285" s="28">
        <v>2</v>
      </c>
      <c r="AE285" s="28">
        <v>4</v>
      </c>
      <c r="AF285" s="28">
        <v>2</v>
      </c>
      <c r="AG285" s="28">
        <v>2</v>
      </c>
      <c r="AH285" s="29" t="s">
        <v>1961</v>
      </c>
      <c r="AI285" s="36">
        <f>if(or(and(K285&lt;32, J285&lt;2), O285=1, P285=1, Q285=1, R285=1, S285=1, T285=1, U285=1, and(W285&lt;&gt;"", W285&lt;&gt;"Oxygen", W285&lt;&gt;"LowFlow")), "Intensive", "Intermediate")</f>
      </c>
      <c r="AJ285" s="37">
        <f>if(or(left(AH285, 1)="X", left(AH285, 1)="Y", left(AH285, 3)="J27M"), "CUSM", "No Match")</f>
      </c>
      <c r="AK285" s="37">
        <f>if(and(or(O285=3, P285=1, Q285=1, T285=1), AJ285="no Match"), "CUSM, CHU SJ, CHUQ", "")</f>
      </c>
      <c r="AL285" s="37">
        <f>IF(AND(O286=2, ISBLANK(P286), ISBLANK(Q286), ISBLANK(R286), ISBLANK(S286), ISBLANK(T286)), "CUSM, CHU SJ, CHUS, CHUQ", "")</f>
      </c>
      <c r="AM285" s="37">
        <f>if(and(AJ285="no match", AK285="", AL285="", K285&lt;26), "CUSM, CHU SJ, HGJ, CHUQ, CHUS", "")</f>
      </c>
      <c r="AN285" s="37">
        <f>if(and(AJ285="no match", AK285="", AL285="", K285&gt;26), "CUSM, CHU SJ, HGJ, CHUQ, CHUS, HMR", "")</f>
      </c>
    </row>
    <row x14ac:dyDescent="0.25" r="286" customHeight="1" ht="17.25">
      <c r="A286" s="27" t="s">
        <v>1962</v>
      </c>
      <c r="B286" s="28">
        <v>2</v>
      </c>
      <c r="C286" s="28">
        <v>779</v>
      </c>
      <c r="D286" s="29" t="s">
        <v>136</v>
      </c>
      <c r="E286" s="30" t="s">
        <v>54</v>
      </c>
      <c r="F286" s="31">
        <v>44354</v>
      </c>
      <c r="G286" s="32">
        <v>4.534722222222222</v>
      </c>
      <c r="H286" s="31">
        <v>44354</v>
      </c>
      <c r="I286" s="32">
        <v>4.163194444444445</v>
      </c>
      <c r="J286" s="33">
        <f>F286-H286</f>
      </c>
      <c r="K286" s="28">
        <v>32</v>
      </c>
      <c r="L286" s="28">
        <v>1</v>
      </c>
      <c r="M286" s="28">
        <v>2</v>
      </c>
      <c r="N286" s="35">
        <v>1</v>
      </c>
      <c r="O286" s="35">
        <v>2</v>
      </c>
      <c r="P286" s="34"/>
      <c r="Q286" s="34"/>
      <c r="R286" s="34"/>
      <c r="S286" s="34"/>
      <c r="T286" s="34"/>
      <c r="U286" s="34"/>
      <c r="V286" s="34"/>
      <c r="W286" s="29" t="s">
        <v>58</v>
      </c>
      <c r="X286" s="28">
        <v>19</v>
      </c>
      <c r="Y286" s="28">
        <v>1</v>
      </c>
      <c r="Z286" s="28">
        <v>1</v>
      </c>
      <c r="AA286" s="28">
        <v>1</v>
      </c>
      <c r="AB286" s="28">
        <v>1</v>
      </c>
      <c r="AC286" s="28">
        <v>1</v>
      </c>
      <c r="AD286" s="28">
        <v>2</v>
      </c>
      <c r="AE286" s="28">
        <v>4</v>
      </c>
      <c r="AF286" s="28">
        <v>2</v>
      </c>
      <c r="AG286" s="28">
        <v>2</v>
      </c>
      <c r="AH286" s="29" t="s">
        <v>1963</v>
      </c>
      <c r="AI286" s="36">
        <f>if(or(and(K286&lt;32, J286&lt;2), O286=1, P286=1, Q286=1, R286=1, S286=1, T286=1, U286=1, and(W286&lt;&gt;"", W286&lt;&gt;"Oxygen", W286&lt;&gt;"LowFlow")), "Intensive", "Intermediate")</f>
      </c>
      <c r="AJ286" s="37">
        <f>if(or(left(AH286, 1)="X", left(AH286, 1)="Y", left(AH286, 3)="J28M"), "CUSM", "No Match")</f>
      </c>
      <c r="AK286" s="37">
        <f>if(and(or(O286=3, P286=1, Q286=1, T286=1), AJ286="no Match"), "CUSM, CHU SJ, CHUQ", "")</f>
      </c>
      <c r="AL286" s="37">
        <f>IF(AND(O287=2, ISBLANK(P287), ISBLANK(Q287), ISBLANK(R287), ISBLANK(S287), ISBLANK(T287)), "CUSM, CHU SJ, CHUS, CHUQ", "")</f>
      </c>
      <c r="AM286" s="37">
        <f>if(and(AJ286="no match", AK286="", AL286="", K286&lt;26), "CUSM, CHU SJ, HGJ, CHUQ, CHUS", "")</f>
      </c>
      <c r="AN286" s="37">
        <f>if(and(AJ286="no match", AK286="", AL286="", K286&gt;26), "CUSM, CHU SJ, HGJ, CHUQ, CHUS, HMR", "")</f>
      </c>
    </row>
    <row x14ac:dyDescent="0.25" r="287" customHeight="1" ht="17.25">
      <c r="A287" s="27" t="s">
        <v>1964</v>
      </c>
      <c r="B287" s="28">
        <v>2</v>
      </c>
      <c r="C287" s="35">
        <v>835</v>
      </c>
      <c r="D287" s="29" t="s">
        <v>170</v>
      </c>
      <c r="E287" s="30" t="s">
        <v>54</v>
      </c>
      <c r="F287" s="31">
        <v>44354</v>
      </c>
      <c r="G287" s="32">
        <v>4.659722222222222</v>
      </c>
      <c r="H287" s="31">
        <v>44354</v>
      </c>
      <c r="I287" s="32">
        <v>4.358333333333333</v>
      </c>
      <c r="J287" s="33">
        <f>F287-H287</f>
      </c>
      <c r="K287" s="28">
        <v>37</v>
      </c>
      <c r="L287" s="28">
        <v>2</v>
      </c>
      <c r="M287" s="28">
        <v>1</v>
      </c>
      <c r="N287" s="35">
        <v>1</v>
      </c>
      <c r="O287" s="34"/>
      <c r="P287" s="35">
        <v>1</v>
      </c>
      <c r="Q287" s="34"/>
      <c r="R287" s="34"/>
      <c r="S287" s="34"/>
      <c r="T287" s="34"/>
      <c r="U287" s="34"/>
      <c r="V287" s="34"/>
      <c r="W287" s="29" t="s">
        <v>58</v>
      </c>
      <c r="X287" s="28">
        <v>31</v>
      </c>
      <c r="Y287" s="28">
        <v>1</v>
      </c>
      <c r="Z287" s="28">
        <v>2</v>
      </c>
      <c r="AA287" s="28">
        <v>2</v>
      </c>
      <c r="AB287" s="28">
        <v>1</v>
      </c>
      <c r="AC287" s="28">
        <v>1</v>
      </c>
      <c r="AD287" s="28">
        <v>1</v>
      </c>
      <c r="AE287" s="28">
        <v>4</v>
      </c>
      <c r="AF287" s="28">
        <v>2</v>
      </c>
      <c r="AG287" s="28">
        <v>2</v>
      </c>
      <c r="AH287" s="29" t="s">
        <v>1965</v>
      </c>
      <c r="AI287" s="36">
        <f>if(or(and(K287&lt;32, J287&lt;2), O287=1, P287=1, Q287=1, R287=1, S287=1, T287=1, U287=1, and(W287&lt;&gt;"", W287&lt;&gt;"Oxygen", W287&lt;&gt;"LowFlow")), "Intensive", "Intermediate")</f>
      </c>
      <c r="AJ287" s="37">
        <f>if(or(left(AH287, 1)="X", left(AH287, 1)="Y", left(AH287, 3)="J29M"), "CUSM", "No Match")</f>
      </c>
      <c r="AK287" s="37">
        <f>if(and(or(O287=3, P287=1, Q287=1, T287=1), AJ287="no Match"), "CUSM, CHU SJ, CHUQ", "")</f>
      </c>
      <c r="AL287" s="37">
        <f>IF(AND(O288=2, ISBLANK(P288), ISBLANK(Q288), ISBLANK(R288), ISBLANK(S288), ISBLANK(T288)), "CUSM, CHU SJ, CHUS, CHUQ", "")</f>
      </c>
      <c r="AM287" s="37">
        <f>if(and(AJ287="no match", AK287="", AL287="", K287&lt;26), "CUSM, CHU SJ, HGJ, CHUQ, CHUS", "")</f>
      </c>
      <c r="AN287" s="37">
        <f>if(and(AJ287="no match", AK287="", AL287="", K287&gt;26), "CUSM, CHU SJ, HGJ, CHUQ, CHUS, HMR", "")</f>
      </c>
    </row>
    <row x14ac:dyDescent="0.25" r="288" customHeight="1" ht="17.25">
      <c r="A288" s="27" t="s">
        <v>1966</v>
      </c>
      <c r="B288" s="28">
        <v>2</v>
      </c>
      <c r="C288" s="35">
        <v>815</v>
      </c>
      <c r="D288" s="29" t="s">
        <v>100</v>
      </c>
      <c r="E288" s="30" t="s">
        <v>54</v>
      </c>
      <c r="F288" s="31">
        <v>44354</v>
      </c>
      <c r="G288" s="32">
        <v>4.538194444444445</v>
      </c>
      <c r="H288" s="31">
        <v>44352</v>
      </c>
      <c r="I288" s="32">
        <v>4.927777777777777</v>
      </c>
      <c r="J288" s="33">
        <f>F288-H288</f>
      </c>
      <c r="K288" s="28">
        <v>36</v>
      </c>
      <c r="L288" s="28">
        <v>4</v>
      </c>
      <c r="M288" s="28">
        <v>1</v>
      </c>
      <c r="N288" s="35">
        <v>1</v>
      </c>
      <c r="O288" s="34"/>
      <c r="P288" s="34"/>
      <c r="Q288" s="34"/>
      <c r="R288" s="34"/>
      <c r="S288" s="34"/>
      <c r="T288" s="34"/>
      <c r="U288" s="34"/>
      <c r="V288" s="34"/>
      <c r="W288" s="29"/>
      <c r="X288" s="28">
        <v>32</v>
      </c>
      <c r="Y288" s="28">
        <v>1</v>
      </c>
      <c r="Z288" s="28">
        <v>2</v>
      </c>
      <c r="AA288" s="28">
        <v>1</v>
      </c>
      <c r="AB288" s="28">
        <v>1</v>
      </c>
      <c r="AC288" s="28">
        <v>1</v>
      </c>
      <c r="AD288" s="28">
        <v>2</v>
      </c>
      <c r="AE288" s="28">
        <v>4</v>
      </c>
      <c r="AF288" s="28">
        <v>2</v>
      </c>
      <c r="AG288" s="28">
        <v>2</v>
      </c>
      <c r="AH288" s="29" t="s">
        <v>1967</v>
      </c>
      <c r="AI288" s="36">
        <f>if(or(and(K288&lt;32, J288&lt;2), O288=1, P288=1, Q288=1, R288=1, S288=1, T288=1, U288=1, and(W288&lt;&gt;"", W288&lt;&gt;"Oxygen", W288&lt;&gt;"LowFlow")), "Intensive", "Intermediate")</f>
      </c>
      <c r="AJ288" s="37">
        <f>if(or(left(AH288, 1)="X", left(AH288, 1)="Y", left(AH288, 3)="J30M"), "CUSM", "No Match")</f>
      </c>
      <c r="AK288" s="37">
        <f>if(and(or(O288=3, P288=1, Q288=1, T288=1), AJ288="no Match"), "CUSM, CHU SJ, CHUQ", "")</f>
      </c>
      <c r="AL288" s="37">
        <f>IF(AND(O289=2, ISBLANK(P289), ISBLANK(Q289), ISBLANK(R289), ISBLANK(S289), ISBLANK(T289)), "CUSM, CHU SJ, CHUS, CHUQ", "")</f>
      </c>
      <c r="AM288" s="37">
        <f>if(and(AJ288="no match", AK288="", AL288="", K288&lt;26), "CUSM, CHU SJ, HGJ, CHUQ, CHUS", "")</f>
      </c>
      <c r="AN288" s="37">
        <f>if(and(AJ288="no match", AK288="", AL288="", K288&gt;26), "CUSM, CHU SJ, HGJ, CHUQ, CHUS, HMR", "")</f>
      </c>
    </row>
    <row x14ac:dyDescent="0.25" r="289" customHeight="1" ht="17.25">
      <c r="A289" s="27" t="s">
        <v>1968</v>
      </c>
      <c r="B289" s="28">
        <v>2</v>
      </c>
      <c r="C289" s="35">
        <v>779</v>
      </c>
      <c r="D289" s="29" t="s">
        <v>136</v>
      </c>
      <c r="E289" s="30" t="s">
        <v>54</v>
      </c>
      <c r="F289" s="31">
        <v>44354</v>
      </c>
      <c r="G289" s="32">
        <v>4.7625</v>
      </c>
      <c r="H289" s="31">
        <v>44348</v>
      </c>
      <c r="I289" s="32">
        <v>4.535416666666666</v>
      </c>
      <c r="J289" s="33">
        <f>F289-H289</f>
      </c>
      <c r="K289" s="28">
        <v>32</v>
      </c>
      <c r="L289" s="28">
        <v>2</v>
      </c>
      <c r="M289" s="28">
        <v>1</v>
      </c>
      <c r="N289" s="35">
        <v>1</v>
      </c>
      <c r="O289" s="34"/>
      <c r="P289" s="34"/>
      <c r="Q289" s="34"/>
      <c r="R289" s="34"/>
      <c r="S289" s="34"/>
      <c r="T289" s="34"/>
      <c r="U289" s="34"/>
      <c r="V289" s="34"/>
      <c r="W289" s="29"/>
      <c r="X289" s="28">
        <v>38</v>
      </c>
      <c r="Y289" s="28">
        <v>1</v>
      </c>
      <c r="Z289" s="28">
        <v>1</v>
      </c>
      <c r="AA289" s="28">
        <v>3</v>
      </c>
      <c r="AB289" s="28">
        <v>4</v>
      </c>
      <c r="AC289" s="28">
        <v>1</v>
      </c>
      <c r="AD289" s="28">
        <v>3</v>
      </c>
      <c r="AE289" s="28">
        <v>4</v>
      </c>
      <c r="AF289" s="28">
        <v>3</v>
      </c>
      <c r="AG289" s="28">
        <v>2</v>
      </c>
      <c r="AH289" s="29" t="s">
        <v>1969</v>
      </c>
      <c r="AI289" s="36">
        <f>if(or(and(K289&lt;32, J289&lt;2), O289=1, P289=1, Q289=1, R289=1, S289=1, T289=1, U289=1, and(W289&lt;&gt;"", W289&lt;&gt;"Oxygen", W289&lt;&gt;"LowFlow")), "Intensive", "Intermediate")</f>
      </c>
      <c r="AJ289" s="37">
        <f>if(or(left(AH289, 1)="X", left(AH289, 1)="Y", left(AH289, 3)="J31M"), "CUSM", "No Match")</f>
      </c>
      <c r="AK289" s="37">
        <f>if(and(or(O289=3, P289=1, Q289=1, T289=1), AJ289="no Match"), "CUSM, CHU SJ, CHUQ", "")</f>
      </c>
      <c r="AL289" s="37">
        <f>IF(AND(O290=2, ISBLANK(P290), ISBLANK(Q290), ISBLANK(R290), ISBLANK(S290), ISBLANK(T290)), "CUSM, CHU SJ, CHUS, CHUQ", "")</f>
      </c>
      <c r="AM289" s="37">
        <f>if(and(AJ289="no match", AK289="", AL289="", K289&lt;26), "CUSM, CHU SJ, HGJ, CHUQ, CHUS", "")</f>
      </c>
      <c r="AN289" s="37">
        <f>if(and(AJ289="no match", AK289="", AL289="", K289&gt;26), "CUSM, CHU SJ, HGJ, CHUQ, CHUS, HMR", "")</f>
      </c>
    </row>
    <row x14ac:dyDescent="0.25" r="290" customHeight="1" ht="17.25">
      <c r="A290" s="27" t="s">
        <v>1970</v>
      </c>
      <c r="B290" s="28">
        <v>2</v>
      </c>
      <c r="C290" s="35">
        <v>820</v>
      </c>
      <c r="D290" s="29" t="s">
        <v>69</v>
      </c>
      <c r="E290" s="30" t="s">
        <v>50</v>
      </c>
      <c r="F290" s="31">
        <v>44354</v>
      </c>
      <c r="G290" s="32">
        <v>4.78125</v>
      </c>
      <c r="H290" s="31">
        <v>44354</v>
      </c>
      <c r="I290" s="32">
        <v>4.602777777777778</v>
      </c>
      <c r="J290" s="33">
        <f>F290-H290</f>
      </c>
      <c r="K290" s="28">
        <v>27</v>
      </c>
      <c r="L290" s="28">
        <v>3</v>
      </c>
      <c r="M290" s="28">
        <v>1</v>
      </c>
      <c r="N290" s="35">
        <v>1</v>
      </c>
      <c r="O290" s="34"/>
      <c r="P290" s="35">
        <v>1</v>
      </c>
      <c r="Q290" s="34"/>
      <c r="R290" s="34"/>
      <c r="S290" s="34"/>
      <c r="T290" s="34"/>
      <c r="U290" s="34"/>
      <c r="V290" s="34"/>
      <c r="W290" s="29" t="s">
        <v>74</v>
      </c>
      <c r="X290" s="28">
        <v>27</v>
      </c>
      <c r="Y290" s="28">
        <v>1</v>
      </c>
      <c r="Z290" s="28">
        <v>2</v>
      </c>
      <c r="AA290" s="28">
        <v>3</v>
      </c>
      <c r="AB290" s="28">
        <v>1</v>
      </c>
      <c r="AC290" s="28">
        <v>1</v>
      </c>
      <c r="AD290" s="28">
        <v>2</v>
      </c>
      <c r="AE290" s="28">
        <v>4</v>
      </c>
      <c r="AF290" s="28">
        <v>3</v>
      </c>
      <c r="AG290" s="28">
        <v>2</v>
      </c>
      <c r="AH290" s="29" t="s">
        <v>1971</v>
      </c>
      <c r="AI290" s="36">
        <f>if(or(and(K290&lt;32, J290&lt;2), O290=1, P290=1, Q290=1, R290=1, S290=1, T290=1, U290=1, and(W290&lt;&gt;"", W290&lt;&gt;"Oxygen", W290&lt;&gt;"LowFlow")), "Intensive", "Intermediate")</f>
      </c>
      <c r="AJ290" s="37">
        <f>if(or(left(AH290, 1)="X", left(AH290, 1)="Y", left(AH290, 3)="J32M"), "CUSM", "No Match")</f>
      </c>
      <c r="AK290" s="37">
        <f>if(and(or(O290=3, P290=1, Q290=1, T290=1), AJ290="no Match"), "CUSM, CHU SJ, CHUQ", "")</f>
      </c>
      <c r="AL290" s="37">
        <f>IF(AND(O291=2, ISBLANK(P291), ISBLANK(Q291), ISBLANK(R291), ISBLANK(S291), ISBLANK(T291)), "CUSM, CHU SJ, CHUS, CHUQ", "")</f>
      </c>
      <c r="AM290" s="37">
        <f>if(and(AJ290="no match", AK290="", AL290="", K290&lt;26), "CUSM, CHU SJ, HGJ, CHUQ, CHUS", "")</f>
      </c>
      <c r="AN290" s="37">
        <f>if(and(AJ290="no match", AK290="", AL290="", K290&gt;26), "CUSM, CHU SJ, HGJ, CHUQ, CHUS, HMR", "")</f>
      </c>
    </row>
    <row x14ac:dyDescent="0.25" r="291" customHeight="1" ht="17.25">
      <c r="A291" s="27" t="s">
        <v>1972</v>
      </c>
      <c r="B291" s="28">
        <v>2</v>
      </c>
      <c r="C291" s="28">
        <v>824</v>
      </c>
      <c r="D291" s="29" t="s">
        <v>57</v>
      </c>
      <c r="E291" s="30" t="s">
        <v>50</v>
      </c>
      <c r="F291" s="31">
        <v>44354</v>
      </c>
      <c r="G291" s="32">
        <v>4.918055555555556</v>
      </c>
      <c r="H291" s="31">
        <v>44354</v>
      </c>
      <c r="I291" s="32">
        <v>4.754861111111111</v>
      </c>
      <c r="J291" s="33">
        <f>F291-H291</f>
      </c>
      <c r="K291" s="28">
        <v>32</v>
      </c>
      <c r="L291" s="28">
        <v>0</v>
      </c>
      <c r="M291" s="28">
        <v>2</v>
      </c>
      <c r="N291" s="34"/>
      <c r="O291" s="34"/>
      <c r="P291" s="34"/>
      <c r="Q291" s="34"/>
      <c r="R291" s="34"/>
      <c r="S291" s="34"/>
      <c r="T291" s="34"/>
      <c r="U291" s="34"/>
      <c r="V291" s="34"/>
      <c r="W291" s="29" t="s">
        <v>58</v>
      </c>
      <c r="X291" s="28">
        <v>26</v>
      </c>
      <c r="Y291" s="28">
        <v>1</v>
      </c>
      <c r="Z291" s="28">
        <v>1</v>
      </c>
      <c r="AA291" s="28">
        <v>1</v>
      </c>
      <c r="AB291" s="28">
        <v>2</v>
      </c>
      <c r="AC291" s="28">
        <v>1</v>
      </c>
      <c r="AD291" s="28">
        <v>2</v>
      </c>
      <c r="AE291" s="28">
        <v>4</v>
      </c>
      <c r="AF291" s="28">
        <v>3</v>
      </c>
      <c r="AG291" s="28">
        <v>1</v>
      </c>
      <c r="AH291" s="29" t="s">
        <v>1973</v>
      </c>
      <c r="AI291" s="36">
        <f>if(or(and(K291&lt;32, J291&lt;2), O291=1, P291=1, Q291=1, R291=1, S291=1, T291=1, U291=1, and(W291&lt;&gt;"", W291&lt;&gt;"Oxygen", W291&lt;&gt;"LowFlow")), "Intensive", "Intermediate")</f>
      </c>
      <c r="AJ291" s="37">
        <f>if(or(left(AH291, 1)="X", left(AH291, 1)="Y", left(AH291, 3)="J33M"), "CUSM", "No Match")</f>
      </c>
      <c r="AK291" s="37">
        <f>if(and(or(O291=3, P291=1, Q291=1, T291=1), AJ291="no Match"), "CUSM, CHU SJ, CHUQ", "")</f>
      </c>
      <c r="AL291" s="37">
        <f>IF(AND(O292=2, ISBLANK(P292), ISBLANK(Q292), ISBLANK(R292), ISBLANK(S292), ISBLANK(T292)), "CUSM, CHU SJ, CHUS, CHUQ", "")</f>
      </c>
      <c r="AM291" s="37">
        <f>if(and(AJ291="no match", AK291="", AL291="", K291&lt;26), "CUSM, CHU SJ, HGJ, CHUQ, CHUS", "")</f>
      </c>
      <c r="AN291" s="37">
        <f>if(and(AJ291="no match", AK291="", AL291="", K291&gt;26), "CUSM, CHU SJ, HGJ, CHUQ, CHUS, HMR", "")</f>
      </c>
    </row>
    <row x14ac:dyDescent="0.25" r="292" customHeight="1" ht="17.25">
      <c r="A292" s="27" t="s">
        <v>1974</v>
      </c>
      <c r="B292" s="28">
        <v>2</v>
      </c>
      <c r="C292" s="35">
        <v>824</v>
      </c>
      <c r="D292" s="29" t="s">
        <v>57</v>
      </c>
      <c r="E292" s="30" t="s">
        <v>54</v>
      </c>
      <c r="F292" s="31">
        <v>44355</v>
      </c>
      <c r="G292" s="32">
        <v>4.65625</v>
      </c>
      <c r="H292" s="31">
        <v>44353</v>
      </c>
      <c r="I292" s="32">
        <v>4.876388888888889</v>
      </c>
      <c r="J292" s="33">
        <f>F292-H292</f>
      </c>
      <c r="K292" s="28">
        <v>36</v>
      </c>
      <c r="L292" s="28">
        <v>6</v>
      </c>
      <c r="M292" s="28">
        <v>2</v>
      </c>
      <c r="N292" s="35">
        <v>1</v>
      </c>
      <c r="O292" s="34"/>
      <c r="P292" s="34"/>
      <c r="Q292" s="34"/>
      <c r="R292" s="34"/>
      <c r="S292" s="34"/>
      <c r="T292" s="34"/>
      <c r="U292" s="34"/>
      <c r="V292" s="34"/>
      <c r="W292" s="29"/>
      <c r="X292" s="28">
        <v>30</v>
      </c>
      <c r="Y292" s="28">
        <v>1</v>
      </c>
      <c r="Z292" s="28">
        <v>1</v>
      </c>
      <c r="AA292" s="28">
        <v>2</v>
      </c>
      <c r="AB292" s="28">
        <v>1</v>
      </c>
      <c r="AC292" s="28">
        <v>2</v>
      </c>
      <c r="AD292" s="28">
        <v>1</v>
      </c>
      <c r="AE292" s="28">
        <v>4</v>
      </c>
      <c r="AF292" s="35">
        <v>2</v>
      </c>
      <c r="AG292" s="28">
        <v>2</v>
      </c>
      <c r="AH292" s="29" t="s">
        <v>1975</v>
      </c>
      <c r="AI292" s="36">
        <f>if(or(and(K292&lt;32, J292&lt;2), O292=1, P292=1, Q292=1, R292=1, S292=1, T292=1, U292=1, and(W292&lt;&gt;"", W292&lt;&gt;"Oxygen", W292&lt;&gt;"LowFlow")), "Intensive", "Intermediate")</f>
      </c>
      <c r="AJ292" s="37">
        <f>if(or(left(AH292, 1)="X", left(AH292, 1)="Y", left(AH292, 3)="J34M"), "CUSM", "No Match")</f>
      </c>
      <c r="AK292" s="37">
        <f>if(and(or(O292=3, P292=1, Q292=1, T292=1), AJ292="no Match"), "CUSM, CHU SJ, CHUQ", "")</f>
      </c>
      <c r="AL292" s="37">
        <f>IF(AND(O293=2, ISBLANK(P293), ISBLANK(Q293), ISBLANK(R293), ISBLANK(S293), ISBLANK(T293)), "CUSM, CHU SJ, CHUS, CHUQ", "")</f>
      </c>
      <c r="AM292" s="37">
        <f>if(and(AJ292="no match", AK292="", AL292="", K292&lt;26), "CUSM, CHU SJ, HGJ, CHUQ, CHUS", "")</f>
      </c>
      <c r="AN292" s="37">
        <f>if(and(AJ292="no match", AK292="", AL292="", K292&gt;26), "CUSM, CHU SJ, HGJ, CHUQ, CHUS, HMR", "")</f>
      </c>
    </row>
    <row x14ac:dyDescent="0.25" r="293" customHeight="1" ht="17.25">
      <c r="A293" s="27" t="s">
        <v>1976</v>
      </c>
      <c r="B293" s="28">
        <v>2</v>
      </c>
      <c r="C293" s="28">
        <v>769</v>
      </c>
      <c r="D293" s="29" t="s">
        <v>1977</v>
      </c>
      <c r="E293" s="30" t="s">
        <v>149</v>
      </c>
      <c r="F293" s="31">
        <v>44356</v>
      </c>
      <c r="G293" s="32">
        <v>4.754166666666666</v>
      </c>
      <c r="H293" s="31">
        <v>44356</v>
      </c>
      <c r="I293" s="32">
        <v>4.58125</v>
      </c>
      <c r="J293" s="33">
        <f>F293-H293</f>
      </c>
      <c r="K293" s="28">
        <v>26</v>
      </c>
      <c r="L293" s="28">
        <v>0</v>
      </c>
      <c r="M293" s="28">
        <v>1</v>
      </c>
      <c r="N293" s="38"/>
      <c r="O293" s="34"/>
      <c r="P293" s="34"/>
      <c r="Q293" s="34"/>
      <c r="R293" s="34"/>
      <c r="S293" s="34"/>
      <c r="T293" s="34"/>
      <c r="U293" s="34"/>
      <c r="V293" s="35">
        <v>1</v>
      </c>
      <c r="W293" s="29" t="s">
        <v>74</v>
      </c>
      <c r="X293" s="28">
        <v>30</v>
      </c>
      <c r="Y293" s="28">
        <v>1</v>
      </c>
      <c r="Z293" s="28">
        <v>1</v>
      </c>
      <c r="AA293" s="28">
        <v>1</v>
      </c>
      <c r="AB293" s="28">
        <v>1</v>
      </c>
      <c r="AC293" s="28">
        <v>2</v>
      </c>
      <c r="AD293" s="28">
        <v>1</v>
      </c>
      <c r="AE293" s="28">
        <v>4</v>
      </c>
      <c r="AF293" s="35">
        <v>3</v>
      </c>
      <c r="AG293" s="28">
        <v>3</v>
      </c>
      <c r="AH293" s="29" t="s">
        <v>1978</v>
      </c>
      <c r="AI293" s="36">
        <f>if(or(and(K293&lt;32, J293&lt;2), O293=1, P293=1, Q293=1, R293=1, S293=1, T293=1, U293=1, and(W293&lt;&gt;"", W293&lt;&gt;"Oxygen", W293&lt;&gt;"LowFlow")), "Intensive", "Intermediate")</f>
      </c>
      <c r="AJ293" s="37">
        <f>if(or(left(AH293, 1)="X", left(AH293, 1)="Y", left(AH293, 3)="J35M"), "CUSM", "No Match")</f>
      </c>
      <c r="AK293" s="37">
        <f>if(and(or(O293=3, P293=1, Q293=1, T293=1), AJ293="no Match"), "CUSM, CHU SJ, CHUQ", "")</f>
      </c>
      <c r="AL293" s="37">
        <f>IF(AND(O294=2, ISBLANK(P294), ISBLANK(Q294), ISBLANK(R294), ISBLANK(S294), ISBLANK(T294)), "CUSM, CHU SJ, CHUS, CHUQ", "")</f>
      </c>
      <c r="AM293" s="37">
        <f>if(and(AJ293="no match", AK293="", AL293="", K293&lt;26), "CUSM, CHU SJ, HGJ, CHUQ, CHUS", "")</f>
      </c>
      <c r="AN293" s="37">
        <f>if(and(AJ293="no match", AK293="", AL293="", K293&gt;26), "CUSM, CHU SJ, HGJ, CHUQ, CHUS, HMR", "")</f>
      </c>
    </row>
    <row x14ac:dyDescent="0.25" r="294" customHeight="1" ht="17.25">
      <c r="A294" s="27" t="s">
        <v>1979</v>
      </c>
      <c r="B294" s="28">
        <v>2</v>
      </c>
      <c r="C294" s="35">
        <v>796</v>
      </c>
      <c r="D294" s="29" t="s">
        <v>63</v>
      </c>
      <c r="E294" s="30" t="s">
        <v>78</v>
      </c>
      <c r="F294" s="31">
        <v>44356</v>
      </c>
      <c r="G294" s="32">
        <v>4.055555555555555</v>
      </c>
      <c r="H294" s="31">
        <v>44355</v>
      </c>
      <c r="I294" s="32">
        <v>4.7972222222222225</v>
      </c>
      <c r="J294" s="33">
        <f>F294-H294</f>
      </c>
      <c r="K294" s="28">
        <v>41</v>
      </c>
      <c r="L294" s="28">
        <v>0</v>
      </c>
      <c r="M294" s="28">
        <v>1</v>
      </c>
      <c r="N294" s="38"/>
      <c r="O294" s="34"/>
      <c r="P294" s="34"/>
      <c r="Q294" s="34"/>
      <c r="R294" s="34"/>
      <c r="S294" s="34"/>
      <c r="T294" s="34"/>
      <c r="U294" s="38"/>
      <c r="V294" s="38"/>
      <c r="W294" s="29"/>
      <c r="X294" s="28">
        <v>22</v>
      </c>
      <c r="Y294" s="28">
        <v>1</v>
      </c>
      <c r="Z294" s="28">
        <v>1</v>
      </c>
      <c r="AA294" s="28">
        <v>2</v>
      </c>
      <c r="AB294" s="28">
        <v>1</v>
      </c>
      <c r="AC294" s="28">
        <v>2</v>
      </c>
      <c r="AD294" s="28">
        <v>2</v>
      </c>
      <c r="AE294" s="28">
        <v>2</v>
      </c>
      <c r="AF294" s="35">
        <v>2</v>
      </c>
      <c r="AG294" s="28">
        <v>2</v>
      </c>
      <c r="AH294" s="29" t="s">
        <v>1980</v>
      </c>
      <c r="AI294" s="36">
        <f>if(or(and(K294&lt;32, J294&lt;2), O294=1, P294=1, Q294=1, R294=1, S294=1, T294=1, U294=1, and(W294&lt;&gt;"", W294&lt;&gt;"Oxygen", W294&lt;&gt;"LowFlow")), "Intensive", "Intermediate")</f>
      </c>
      <c r="AJ294" s="37">
        <f>if(or(left(AH294, 1)="X", left(AH294, 1)="Y", left(AH294, 3)="J36M"), "CUSM", "No Match")</f>
      </c>
      <c r="AK294" s="37">
        <f>if(and(or(O294=3, P294=1, Q294=1, T294=1), AJ294="no Match"), "CUSM, CHU SJ, CHUQ", "")</f>
      </c>
      <c r="AL294" s="37">
        <f>IF(AND(O295=2, ISBLANK(P295), ISBLANK(Q295), ISBLANK(R295), ISBLANK(S295), ISBLANK(T295)), "CUSM, CHU SJ, CHUS, CHUQ", "")</f>
      </c>
      <c r="AM294" s="37">
        <f>if(and(AJ294="no match", AK294="", AL294="", K294&lt;26), "CUSM, CHU SJ, HGJ, CHUQ, CHUS", "")</f>
      </c>
      <c r="AN294" s="37">
        <f>if(and(AJ294="no match", AK294="", AL294="", K294&gt;26), "CUSM, CHU SJ, HGJ, CHUQ, CHUS, HMR", "")</f>
      </c>
    </row>
    <row x14ac:dyDescent="0.25" r="295" customHeight="1" ht="17.25">
      <c r="A295" s="27" t="s">
        <v>1981</v>
      </c>
      <c r="B295" s="28">
        <v>2</v>
      </c>
      <c r="C295" s="28">
        <v>782</v>
      </c>
      <c r="D295" s="29" t="s">
        <v>95</v>
      </c>
      <c r="E295" s="30" t="s">
        <v>50</v>
      </c>
      <c r="F295" s="31">
        <v>44356</v>
      </c>
      <c r="G295" s="32">
        <v>4.201388888888889</v>
      </c>
      <c r="H295" s="31">
        <v>44352</v>
      </c>
      <c r="I295" s="32">
        <v>4.614583333333334</v>
      </c>
      <c r="J295" s="33">
        <f>F295-H295</f>
      </c>
      <c r="K295" s="28">
        <v>36</v>
      </c>
      <c r="L295" s="28">
        <v>2</v>
      </c>
      <c r="M295" s="28">
        <v>1</v>
      </c>
      <c r="N295" s="34"/>
      <c r="O295" s="34"/>
      <c r="P295" s="34"/>
      <c r="Q295" s="34"/>
      <c r="R295" s="34"/>
      <c r="S295" s="34"/>
      <c r="T295" s="34"/>
      <c r="U295" s="34"/>
      <c r="V295" s="34"/>
      <c r="W295" s="29"/>
      <c r="X295" s="28">
        <v>24</v>
      </c>
      <c r="Y295" s="28">
        <v>1</v>
      </c>
      <c r="Z295" s="28">
        <v>2</v>
      </c>
      <c r="AA295" s="28">
        <v>2</v>
      </c>
      <c r="AB295" s="28">
        <v>2</v>
      </c>
      <c r="AC295" s="28">
        <v>1</v>
      </c>
      <c r="AD295" s="28">
        <v>2</v>
      </c>
      <c r="AE295" s="28">
        <v>4</v>
      </c>
      <c r="AF295" s="28">
        <v>3</v>
      </c>
      <c r="AG295" s="28">
        <v>2</v>
      </c>
      <c r="AH295" s="29" t="s">
        <v>1982</v>
      </c>
      <c r="AI295" s="36">
        <f>if(or(and(K295&lt;32, J295&lt;2), O295=1, P295=1, Q295=1, R295=1, S295=1, T295=1, U295=1, and(W295&lt;&gt;"", W295&lt;&gt;"Oxygen", W295&lt;&gt;"LowFlow")), "Intensive", "Intermediate")</f>
      </c>
      <c r="AJ295" s="37">
        <f>if(or(left(AH295, 1)="X", left(AH295, 1)="Y", left(AH295, 3)="J37M"), "CUSM", "No Match")</f>
      </c>
      <c r="AK295" s="37">
        <f>if(and(or(O295=3, P295=1, Q295=1, T295=1), AJ295="no Match"), "CUSM, CHU SJ, CHUQ", "")</f>
      </c>
      <c r="AL295" s="37">
        <f>IF(AND(O296=2, ISBLANK(P296), ISBLANK(Q296), ISBLANK(R296), ISBLANK(S296), ISBLANK(T296)), "CUSM, CHU SJ, CHUS, CHUQ", "")</f>
      </c>
      <c r="AM295" s="37">
        <f>if(and(AJ295="no match", AK295="", AL295="", K295&lt;26), "CUSM, CHU SJ, HGJ, CHUQ, CHUS", "")</f>
      </c>
      <c r="AN295" s="37">
        <f>if(and(AJ295="no match", AK295="", AL295="", K295&gt;26), "CUSM, CHU SJ, HGJ, CHUQ, CHUS, HMR", "")</f>
      </c>
    </row>
    <row x14ac:dyDescent="0.25" r="296" customHeight="1" ht="17.25">
      <c r="A296" s="27" t="s">
        <v>1983</v>
      </c>
      <c r="B296" s="28">
        <v>2</v>
      </c>
      <c r="C296" s="35">
        <v>756</v>
      </c>
      <c r="D296" s="29" t="s">
        <v>66</v>
      </c>
      <c r="E296" s="30" t="s">
        <v>50</v>
      </c>
      <c r="F296" s="31">
        <v>44356</v>
      </c>
      <c r="G296" s="32">
        <v>4.513888888888889</v>
      </c>
      <c r="H296" s="31">
        <v>44353</v>
      </c>
      <c r="I296" s="32">
        <v>4.89375</v>
      </c>
      <c r="J296" s="33">
        <f>F296-H296</f>
      </c>
      <c r="K296" s="28">
        <v>38</v>
      </c>
      <c r="L296" s="28">
        <v>0</v>
      </c>
      <c r="M296" s="28">
        <v>1</v>
      </c>
      <c r="N296" s="35">
        <v>1</v>
      </c>
      <c r="O296" s="34"/>
      <c r="P296" s="34"/>
      <c r="Q296" s="35">
        <v>1</v>
      </c>
      <c r="R296" s="34"/>
      <c r="S296" s="34"/>
      <c r="T296" s="34"/>
      <c r="U296" s="34"/>
      <c r="V296" s="34"/>
      <c r="W296" s="29"/>
      <c r="X296" s="28">
        <v>28</v>
      </c>
      <c r="Y296" s="28">
        <v>1</v>
      </c>
      <c r="Z296" s="28">
        <v>2</v>
      </c>
      <c r="AA296" s="28">
        <v>1</v>
      </c>
      <c r="AB296" s="28">
        <v>4</v>
      </c>
      <c r="AC296" s="28">
        <v>2</v>
      </c>
      <c r="AD296" s="28">
        <v>1</v>
      </c>
      <c r="AE296" s="28">
        <v>4</v>
      </c>
      <c r="AF296" s="28">
        <v>3</v>
      </c>
      <c r="AG296" s="28">
        <v>2</v>
      </c>
      <c r="AH296" s="29" t="s">
        <v>566</v>
      </c>
      <c r="AI296" s="36">
        <f>if(or(and(K296&lt;32, J296&lt;2), O296=1, P296=1, Q296=1, R296=1, S296=1, T296=1, U296=1, and(W296&lt;&gt;"", W296&lt;&gt;"Oxygen", W296&lt;&gt;"LowFlow")), "Intensive", "Intermediate")</f>
      </c>
      <c r="AJ296" s="37">
        <f>if(or(left(AH296, 1)="X", left(AH296, 1)="Y", left(AH296, 3)="J38M"), "CUSM", "No Match")</f>
      </c>
      <c r="AK296" s="37">
        <f>if(and(or(O296=3, P296=1, Q296=1, T296=1), AJ296="no Match"), "CUSM, CHU SJ, CHUQ", "")</f>
      </c>
      <c r="AL296" s="37">
        <f>IF(AND(O297=2, ISBLANK(P297), ISBLANK(Q297), ISBLANK(R297), ISBLANK(S297), ISBLANK(T297)), "CUSM, CHU SJ, CHUS, CHUQ", "")</f>
      </c>
      <c r="AM296" s="37">
        <f>if(and(AJ296="no match", AK296="", AL296="", K296&lt;26), "CUSM, CHU SJ, HGJ, CHUQ, CHUS", "")</f>
      </c>
      <c r="AN296" s="37">
        <f>if(and(AJ296="no match", AK296="", AL296="", K296&gt;26), "CUSM, CHU SJ, HGJ, CHUQ, CHUS, HMR", "")</f>
      </c>
    </row>
    <row x14ac:dyDescent="0.25" r="297" customHeight="1" ht="17.25">
      <c r="A297" s="27" t="s">
        <v>1984</v>
      </c>
      <c r="B297" s="28">
        <v>2</v>
      </c>
      <c r="C297" s="35">
        <v>756</v>
      </c>
      <c r="D297" s="29" t="s">
        <v>66</v>
      </c>
      <c r="E297" s="30" t="s">
        <v>50</v>
      </c>
      <c r="F297" s="31">
        <v>44356</v>
      </c>
      <c r="G297" s="32">
        <v>4.708333333333334</v>
      </c>
      <c r="H297" s="31">
        <v>44354</v>
      </c>
      <c r="I297" s="32">
        <v>4.736111111111111</v>
      </c>
      <c r="J297" s="33">
        <f>F297-H297</f>
      </c>
      <c r="K297" s="28">
        <v>41</v>
      </c>
      <c r="L297" s="28">
        <v>2</v>
      </c>
      <c r="M297" s="28">
        <v>1</v>
      </c>
      <c r="N297" s="38"/>
      <c r="O297" s="34"/>
      <c r="P297" s="34"/>
      <c r="Q297" s="34"/>
      <c r="R297" s="34"/>
      <c r="S297" s="34"/>
      <c r="T297" s="34"/>
      <c r="U297" s="34"/>
      <c r="V297" s="34"/>
      <c r="W297" s="29"/>
      <c r="X297" s="28">
        <v>19</v>
      </c>
      <c r="Y297" s="28">
        <v>1</v>
      </c>
      <c r="Z297" s="28">
        <v>2</v>
      </c>
      <c r="AA297" s="28">
        <v>1</v>
      </c>
      <c r="AB297" s="28">
        <v>1</v>
      </c>
      <c r="AC297" s="28">
        <v>2</v>
      </c>
      <c r="AD297" s="28">
        <v>1</v>
      </c>
      <c r="AE297" s="28">
        <v>4</v>
      </c>
      <c r="AF297" s="28">
        <v>2</v>
      </c>
      <c r="AG297" s="28">
        <v>2</v>
      </c>
      <c r="AH297" s="29" t="s">
        <v>1985</v>
      </c>
      <c r="AI297" s="36">
        <f>if(or(and(K297&lt;32, J297&lt;2), O297=1, P297=1, Q297=1, R297=1, S297=1, T297=1, U297=1, and(W297&lt;&gt;"", W297&lt;&gt;"Oxygen", W297&lt;&gt;"LowFlow")), "Intensive", "Intermediate")</f>
      </c>
      <c r="AJ297" s="37">
        <f>if(or(left(AH297, 1)="X", left(AH297, 1)="Y", left(AH297, 3)="J39M"), "CUSM", "No Match")</f>
      </c>
      <c r="AK297" s="37">
        <f>if(and(or(O297=3, P297=1, Q297=1, T297=1), AJ297="no Match"), "CUSM, CHU SJ, CHUQ", "")</f>
      </c>
      <c r="AL297" s="37">
        <f>IF(AND(O298=2, ISBLANK(P298), ISBLANK(Q298), ISBLANK(R298), ISBLANK(S298), ISBLANK(T298)), "CUSM, CHU SJ, CHUS, CHUQ", "")</f>
      </c>
      <c r="AM297" s="37">
        <f>if(and(AJ297="no match", AK297="", AL297="", K297&lt;26), "CUSM, CHU SJ, HGJ, CHUQ, CHUS", "")</f>
      </c>
      <c r="AN297" s="37">
        <f>if(and(AJ297="no match", AK297="", AL297="", K297&gt;26), "CUSM, CHU SJ, HGJ, CHUQ, CHUS, HMR", "")</f>
      </c>
    </row>
    <row x14ac:dyDescent="0.25" r="298" customHeight="1" ht="17.25">
      <c r="A298" s="27" t="s">
        <v>1986</v>
      </c>
      <c r="B298" s="28">
        <v>2</v>
      </c>
      <c r="C298" s="35">
        <v>815</v>
      </c>
      <c r="D298" s="29" t="s">
        <v>100</v>
      </c>
      <c r="E298" s="30" t="s">
        <v>54</v>
      </c>
      <c r="F298" s="31">
        <v>44357</v>
      </c>
      <c r="G298" s="32">
        <v>4.798611111111111</v>
      </c>
      <c r="H298" s="31">
        <v>44352</v>
      </c>
      <c r="I298" s="32">
        <v>4.804861111111111</v>
      </c>
      <c r="J298" s="33">
        <f>F298-H298</f>
      </c>
      <c r="K298" s="28">
        <v>40</v>
      </c>
      <c r="L298" s="28">
        <v>0</v>
      </c>
      <c r="M298" s="28">
        <v>1</v>
      </c>
      <c r="N298" s="34"/>
      <c r="O298" s="34"/>
      <c r="P298" s="34"/>
      <c r="Q298" s="34"/>
      <c r="R298" s="34"/>
      <c r="S298" s="34"/>
      <c r="T298" s="34"/>
      <c r="U298" s="34"/>
      <c r="V298" s="34"/>
      <c r="W298" s="29"/>
      <c r="X298" s="28">
        <v>32</v>
      </c>
      <c r="Y298" s="28">
        <v>1</v>
      </c>
      <c r="Z298" s="28">
        <v>2</v>
      </c>
      <c r="AA298" s="28">
        <v>2</v>
      </c>
      <c r="AB298" s="28">
        <v>1</v>
      </c>
      <c r="AC298" s="28">
        <v>2</v>
      </c>
      <c r="AD298" s="28">
        <v>1</v>
      </c>
      <c r="AE298" s="28">
        <v>4</v>
      </c>
      <c r="AF298" s="28">
        <v>2</v>
      </c>
      <c r="AG298" s="28">
        <v>2</v>
      </c>
      <c r="AH298" s="29" t="s">
        <v>1987</v>
      </c>
      <c r="AI298" s="36">
        <f>if(or(and(K298&lt;32, J298&lt;2), O298=1, P298=1, Q298=1, R298=1, S298=1, T298=1, U298=1, and(W298&lt;&gt;"", W298&lt;&gt;"Oxygen", W298&lt;&gt;"LowFlow")), "Intensive", "Intermediate")</f>
      </c>
      <c r="AJ298" s="37">
        <f>if(or(left(AH298, 1)="X", left(AH298, 1)="Y", left(AH298, 3)="J40M"), "CUSM", "No Match")</f>
      </c>
      <c r="AK298" s="37">
        <f>if(and(or(O298=3, P298=1, Q298=1, T298=1), AJ298="no Match"), "CUSM, CHU SJ, CHUQ", "")</f>
      </c>
      <c r="AL298" s="37">
        <f>IF(AND(O299=2, ISBLANK(P299), ISBLANK(Q299), ISBLANK(R299), ISBLANK(S299), ISBLANK(T299)), "CUSM, CHU SJ, CHUS, CHUQ", "")</f>
      </c>
      <c r="AM298" s="37">
        <f>if(and(AJ298="no match", AK298="", AL298="", K298&lt;26), "CUSM, CHU SJ, HGJ, CHUQ, CHUS", "")</f>
      </c>
      <c r="AN298" s="37">
        <f>if(and(AJ298="no match", AK298="", AL298="", K298&gt;26), "CUSM, CHU SJ, HGJ, CHUQ, CHUS, HMR", "")</f>
      </c>
    </row>
    <row x14ac:dyDescent="0.25" r="299" customHeight="1" ht="17.25">
      <c r="A299" s="27" t="s">
        <v>1988</v>
      </c>
      <c r="B299" s="28">
        <v>2</v>
      </c>
      <c r="C299" s="28">
        <v>835</v>
      </c>
      <c r="D299" s="29" t="s">
        <v>170</v>
      </c>
      <c r="E299" s="30" t="s">
        <v>50</v>
      </c>
      <c r="F299" s="31">
        <v>44357</v>
      </c>
      <c r="G299" s="32">
        <v>4.743055555555555</v>
      </c>
      <c r="H299" s="31">
        <v>44356</v>
      </c>
      <c r="I299" s="32">
        <v>4.815277777777778</v>
      </c>
      <c r="J299" s="33">
        <f>F299-H299</f>
      </c>
      <c r="K299" s="28">
        <v>37</v>
      </c>
      <c r="L299" s="28">
        <v>3</v>
      </c>
      <c r="M299" s="28">
        <v>2</v>
      </c>
      <c r="N299" s="28">
        <v>1</v>
      </c>
      <c r="O299" s="34"/>
      <c r="P299" s="34"/>
      <c r="Q299" s="34"/>
      <c r="R299" s="34"/>
      <c r="S299" s="34"/>
      <c r="T299" s="34"/>
      <c r="U299" s="34"/>
      <c r="V299" s="34"/>
      <c r="W299" s="29"/>
      <c r="X299" s="28">
        <v>31</v>
      </c>
      <c r="Y299" s="28">
        <v>1</v>
      </c>
      <c r="Z299" s="28">
        <v>1</v>
      </c>
      <c r="AA299" s="28">
        <v>2</v>
      </c>
      <c r="AB299" s="28">
        <v>1</v>
      </c>
      <c r="AC299" s="28">
        <v>2</v>
      </c>
      <c r="AD299" s="28">
        <v>2</v>
      </c>
      <c r="AE299" s="28">
        <v>4</v>
      </c>
      <c r="AF299" s="28">
        <v>2</v>
      </c>
      <c r="AG299" s="28">
        <v>2</v>
      </c>
      <c r="AH299" s="29" t="s">
        <v>1989</v>
      </c>
      <c r="AI299" s="36">
        <f>if(or(and(K299&lt;32, J299&lt;2), O299=1, P299=1, Q299=1, R299=1, S299=1, T299=1, U299=1, and(W299&lt;&gt;"", W299&lt;&gt;"Oxygen", W299&lt;&gt;"LowFlow")), "Intensive", "Intermediate")</f>
      </c>
      <c r="AJ299" s="37">
        <f>if(or(left(AH299, 1)="X", left(AH299, 1)="Y", left(AH299, 3)="J41M"), "CUSM", "No Match")</f>
      </c>
      <c r="AK299" s="37">
        <f>if(and(or(O299=3, P299=1, Q299=1, T299=1), AJ299="no Match"), "CUSM, CHU SJ, CHUQ", "")</f>
      </c>
      <c r="AL299" s="37">
        <f>IF(AND(O300=2, ISBLANK(P300), ISBLANK(Q300), ISBLANK(R300), ISBLANK(S300), ISBLANK(T300)), "CUSM, CHU SJ, CHUS, CHUQ", "")</f>
      </c>
      <c r="AM299" s="37">
        <f>if(and(AJ299="no match", AK299="", AL299="", K299&lt;26), "CUSM, CHU SJ, HGJ, CHUQ, CHUS", "")</f>
      </c>
      <c r="AN299" s="37">
        <f>if(and(AJ299="no match", AK299="", AL299="", K299&gt;26), "CUSM, CHU SJ, HGJ, CHUQ, CHUS, HMR", "")</f>
      </c>
    </row>
    <row x14ac:dyDescent="0.25" r="300" customHeight="1" ht="17.25">
      <c r="A300" s="27" t="s">
        <v>1990</v>
      </c>
      <c r="B300" s="28">
        <v>2</v>
      </c>
      <c r="C300" s="35">
        <v>773</v>
      </c>
      <c r="D300" s="29" t="s">
        <v>148</v>
      </c>
      <c r="E300" s="30" t="s">
        <v>149</v>
      </c>
      <c r="F300" s="31">
        <v>44358</v>
      </c>
      <c r="G300" s="32">
        <v>4.281944444444445</v>
      </c>
      <c r="H300" s="31">
        <v>44358</v>
      </c>
      <c r="I300" s="32">
        <v>4.141666666666667</v>
      </c>
      <c r="J300" s="33">
        <f>F300-H300</f>
      </c>
      <c r="K300" s="28">
        <v>36</v>
      </c>
      <c r="L300" s="28">
        <v>0</v>
      </c>
      <c r="M300" s="28">
        <v>1</v>
      </c>
      <c r="N300" s="34"/>
      <c r="O300" s="34"/>
      <c r="P300" s="34"/>
      <c r="Q300" s="34"/>
      <c r="R300" s="34"/>
      <c r="S300" s="34"/>
      <c r="T300" s="34"/>
      <c r="U300" s="34"/>
      <c r="V300" s="34"/>
      <c r="W300" s="29" t="s">
        <v>74</v>
      </c>
      <c r="X300" s="38"/>
      <c r="Y300" s="28">
        <v>1</v>
      </c>
      <c r="Z300" s="28">
        <v>2</v>
      </c>
      <c r="AA300" s="28">
        <v>3</v>
      </c>
      <c r="AB300" s="28">
        <v>2</v>
      </c>
      <c r="AC300" s="28">
        <v>3</v>
      </c>
      <c r="AD300" s="28">
        <v>3</v>
      </c>
      <c r="AE300" s="28">
        <v>4</v>
      </c>
      <c r="AF300" s="28">
        <v>3</v>
      </c>
      <c r="AG300" s="28">
        <v>3</v>
      </c>
      <c r="AH300" s="29" t="s">
        <v>1991</v>
      </c>
      <c r="AI300" s="36">
        <f>if(or(and(K300&lt;32, J300&lt;2), O300=1, P300=1, Q300=1, R300=1, S300=1, T300=1, U300=1, and(W300&lt;&gt;"", W300&lt;&gt;"Oxygen", W300&lt;&gt;"LowFlow")), "Intensive", "Intermediate")</f>
      </c>
      <c r="AJ300" s="37">
        <f>if(or(left(AH300, 1)="X", left(AH300, 1)="Y", left(AH300, 3)="J42M"), "CUSM", "No Match")</f>
      </c>
      <c r="AK300" s="37">
        <f>if(and(or(O300=3, P300=1, Q300=1, T300=1), AJ300="no Match"), "CUSM, CHU SJ, CHUQ", "")</f>
      </c>
      <c r="AL300" s="37">
        <f>IF(AND(O301=2, ISBLANK(P301), ISBLANK(Q301), ISBLANK(R301), ISBLANK(S301), ISBLANK(T301)), "CUSM, CHU SJ, CHUS, CHUQ", "")</f>
      </c>
      <c r="AM300" s="37">
        <f>if(and(AJ300="no match", AK300="", AL300="", K300&lt;26), "CUSM, CHU SJ, HGJ, CHUQ, CHUS", "")</f>
      </c>
      <c r="AN300" s="37">
        <f>if(and(AJ300="no match", AK300="", AL300="", K300&gt;26), "CUSM, CHU SJ, HGJ, CHUQ, CHUS, HMR", "")</f>
      </c>
    </row>
    <row x14ac:dyDescent="0.25" r="301" customHeight="1" ht="17.25">
      <c r="A301" s="27" t="s">
        <v>1992</v>
      </c>
      <c r="B301" s="28">
        <v>2</v>
      </c>
      <c r="C301" s="35">
        <v>796</v>
      </c>
      <c r="D301" s="29" t="s">
        <v>63</v>
      </c>
      <c r="E301" s="30" t="s">
        <v>78</v>
      </c>
      <c r="F301" s="31">
        <v>44359</v>
      </c>
      <c r="G301" s="32">
        <v>4.3125</v>
      </c>
      <c r="H301" s="31">
        <v>44359</v>
      </c>
      <c r="I301" s="32">
        <v>4.026388888888889</v>
      </c>
      <c r="J301" s="33">
        <f>F301-H301</f>
      </c>
      <c r="K301" s="28">
        <v>32</v>
      </c>
      <c r="L301" s="28">
        <v>2</v>
      </c>
      <c r="M301" s="28">
        <v>1</v>
      </c>
      <c r="N301" s="34"/>
      <c r="O301" s="34"/>
      <c r="P301" s="34"/>
      <c r="Q301" s="34"/>
      <c r="R301" s="34"/>
      <c r="S301" s="34"/>
      <c r="T301" s="34"/>
      <c r="U301" s="34"/>
      <c r="V301" s="34"/>
      <c r="W301" s="29" t="s">
        <v>74</v>
      </c>
      <c r="X301" s="28">
        <v>25</v>
      </c>
      <c r="Y301" s="28">
        <v>1</v>
      </c>
      <c r="Z301" s="28">
        <v>1</v>
      </c>
      <c r="AA301" s="28">
        <v>1</v>
      </c>
      <c r="AB301" s="28">
        <v>2</v>
      </c>
      <c r="AC301" s="28">
        <v>2</v>
      </c>
      <c r="AD301" s="28">
        <v>2</v>
      </c>
      <c r="AE301" s="28">
        <v>2</v>
      </c>
      <c r="AF301" s="28">
        <v>2</v>
      </c>
      <c r="AG301" s="28">
        <v>2</v>
      </c>
      <c r="AH301" s="29" t="s">
        <v>1240</v>
      </c>
      <c r="AI301" s="36">
        <f>if(or(and(K301&lt;32, J301&lt;2), O301=1, P301=1, Q301=1, R301=1, S301=1, T301=1, U301=1, and(W301&lt;&gt;"", W301&lt;&gt;"Oxygen", W301&lt;&gt;"LowFlow")), "Intensive", "Intermediate")</f>
      </c>
      <c r="AJ301" s="37">
        <f>if(or(left(AH301, 1)="X", left(AH301, 1)="Y", left(AH301, 3)="J43M"), "CUSM", "No Match")</f>
      </c>
      <c r="AK301" s="37">
        <f>if(and(or(O301=3, P301=1, Q301=1, T301=1), AJ301="no Match"), "CUSM, CHU SJ, CHUQ", "")</f>
      </c>
      <c r="AL301" s="37">
        <f>IF(AND(O302=2, ISBLANK(P302), ISBLANK(Q302), ISBLANK(R302), ISBLANK(S302), ISBLANK(T302)), "CUSM, CHU SJ, CHUS, CHUQ", "")</f>
      </c>
      <c r="AM301" s="37">
        <f>if(and(AJ301="no match", AK301="", AL301="", K301&lt;26), "CUSM, CHU SJ, HGJ, CHUQ, CHUS", "")</f>
      </c>
      <c r="AN301" s="37">
        <f>if(and(AJ301="no match", AK301="", AL301="", K301&gt;26), "CUSM, CHU SJ, HGJ, CHUQ, CHUS, HMR", "")</f>
      </c>
    </row>
    <row x14ac:dyDescent="0.25" r="302" customHeight="1" ht="17.25">
      <c r="A302" s="27" t="s">
        <v>1993</v>
      </c>
      <c r="B302" s="28">
        <v>2</v>
      </c>
      <c r="C302" s="28">
        <v>757</v>
      </c>
      <c r="D302" s="29" t="s">
        <v>124</v>
      </c>
      <c r="E302" s="30" t="s">
        <v>50</v>
      </c>
      <c r="F302" s="31">
        <v>44359</v>
      </c>
      <c r="G302" s="32">
        <v>4.003472222222222</v>
      </c>
      <c r="H302" s="31">
        <v>44357</v>
      </c>
      <c r="I302" s="32">
        <v>4.652083333333334</v>
      </c>
      <c r="J302" s="33">
        <f>F302-H302</f>
      </c>
      <c r="K302" s="28">
        <v>36</v>
      </c>
      <c r="L302" s="28">
        <v>4</v>
      </c>
      <c r="M302" s="28">
        <v>2</v>
      </c>
      <c r="N302" s="35">
        <v>1</v>
      </c>
      <c r="O302" s="34"/>
      <c r="P302" s="35">
        <v>1</v>
      </c>
      <c r="Q302" s="34"/>
      <c r="R302" s="34"/>
      <c r="S302" s="34"/>
      <c r="T302" s="34"/>
      <c r="U302" s="34"/>
      <c r="V302" s="34"/>
      <c r="W302" s="29"/>
      <c r="X302" s="28">
        <v>29</v>
      </c>
      <c r="Y302" s="28">
        <v>1</v>
      </c>
      <c r="Z302" s="28">
        <v>2</v>
      </c>
      <c r="AA302" s="28">
        <v>1</v>
      </c>
      <c r="AB302" s="28">
        <v>1</v>
      </c>
      <c r="AC302" s="28">
        <v>2</v>
      </c>
      <c r="AD302" s="28">
        <v>2</v>
      </c>
      <c r="AE302" s="28">
        <v>4</v>
      </c>
      <c r="AF302" s="28">
        <v>2</v>
      </c>
      <c r="AG302" s="28">
        <v>2</v>
      </c>
      <c r="AH302" s="29" t="s">
        <v>1994</v>
      </c>
      <c r="AI302" s="36">
        <f>if(or(and(K302&lt;32, J302&lt;2), O302=1, P302=1, Q302=1, R302=1, S302=1, T302=1, U302=1, and(W302&lt;&gt;"", W302&lt;&gt;"Oxygen", W302&lt;&gt;"LowFlow")), "Intensive", "Intermediate")</f>
      </c>
      <c r="AJ302" s="37">
        <f>if(or(left(AH302, 1)="X", left(AH302, 1)="Y", left(AH302, 3)="J44M"), "CUSM", "No Match")</f>
      </c>
      <c r="AK302" s="37">
        <f>if(and(or(O302=3, P302=1, Q302=1, T302=1), AJ302="no Match"), "CUSM, CHU SJ, CHUQ", "")</f>
      </c>
      <c r="AL302" s="37">
        <f>IF(AND(O303=2, ISBLANK(P303), ISBLANK(Q303), ISBLANK(R303), ISBLANK(S303), ISBLANK(T303)), "CUSM, CHU SJ, CHUS, CHUQ", "")</f>
      </c>
      <c r="AM302" s="37">
        <f>if(and(AJ302="no match", AK302="", AL302="", K302&lt;26), "CUSM, CHU SJ, HGJ, CHUQ, CHUS", "")</f>
      </c>
      <c r="AN302" s="37">
        <f>if(and(AJ302="no match", AK302="", AL302="", K302&gt;26), "CUSM, CHU SJ, HGJ, CHUQ, CHUS, HMR", "")</f>
      </c>
    </row>
    <row x14ac:dyDescent="0.25" r="303" customHeight="1" ht="17.25">
      <c r="A303" s="27" t="s">
        <v>1995</v>
      </c>
      <c r="B303" s="28">
        <v>2</v>
      </c>
      <c r="C303" s="35">
        <v>734</v>
      </c>
      <c r="D303" s="29" t="s">
        <v>264</v>
      </c>
      <c r="E303" s="30" t="s">
        <v>50</v>
      </c>
      <c r="F303" s="31">
        <v>44359</v>
      </c>
      <c r="G303" s="32">
        <v>4.197916666666666</v>
      </c>
      <c r="H303" s="31">
        <v>44359</v>
      </c>
      <c r="I303" s="32">
        <v>4.071527777777778</v>
      </c>
      <c r="J303" s="33">
        <f>F303-H303</f>
      </c>
      <c r="K303" s="28">
        <v>25</v>
      </c>
      <c r="L303" s="28">
        <v>6</v>
      </c>
      <c r="M303" s="28">
        <v>1</v>
      </c>
      <c r="N303" s="35">
        <v>1</v>
      </c>
      <c r="O303" s="34"/>
      <c r="P303" s="35">
        <v>1</v>
      </c>
      <c r="Q303" s="34"/>
      <c r="R303" s="34"/>
      <c r="S303" s="34"/>
      <c r="T303" s="34"/>
      <c r="U303" s="34"/>
      <c r="V303" s="35">
        <v>1</v>
      </c>
      <c r="W303" s="29" t="s">
        <v>74</v>
      </c>
      <c r="X303" s="28">
        <v>31</v>
      </c>
      <c r="Y303" s="28">
        <v>1</v>
      </c>
      <c r="Z303" s="28">
        <v>2</v>
      </c>
      <c r="AA303" s="28">
        <v>1</v>
      </c>
      <c r="AB303" s="28">
        <v>4</v>
      </c>
      <c r="AC303" s="28">
        <v>2</v>
      </c>
      <c r="AD303" s="28">
        <v>1</v>
      </c>
      <c r="AE303" s="28">
        <v>1</v>
      </c>
      <c r="AF303" s="35">
        <v>1</v>
      </c>
      <c r="AG303" s="28">
        <v>2</v>
      </c>
      <c r="AH303" s="29" t="s">
        <v>1996</v>
      </c>
      <c r="AI303" s="36">
        <f>if(or(and(K303&lt;32, J303&lt;2), O303=1, P303=1, Q303=1, R303=1, S303=1, T303=1, U303=1, and(W303&lt;&gt;"", W303&lt;&gt;"Oxygen", W303&lt;&gt;"LowFlow")), "Intensive", "Intermediate")</f>
      </c>
      <c r="AJ303" s="37">
        <f>if(or(left(AH303, 1)="X", left(AH303, 1)="Y", left(AH303, 3)="J45M"), "CUSM", "No Match")</f>
      </c>
      <c r="AK303" s="37">
        <f>if(and(or(O303=3, P303=1, Q303=1, T303=1), AJ303="no Match"), "CUSM, CHU SJ, CHUQ", "")</f>
      </c>
      <c r="AL303" s="37">
        <f>IF(AND(O304=2, ISBLANK(P304), ISBLANK(Q304), ISBLANK(R304), ISBLANK(S304), ISBLANK(T304)), "CUSM, CHU SJ, CHUS, CHUQ", "")</f>
      </c>
      <c r="AM303" s="37">
        <f>if(and(AJ303="no match", AK303="", AL303="", K303&lt;26), "CUSM, CHU SJ, HGJ, CHUQ, CHUS", "")</f>
      </c>
      <c r="AN303" s="37">
        <f>if(and(AJ303="no match", AK303="", AL303="", K303&gt;26), "CUSM, CHU SJ, HGJ, CHUQ, CHUS, HMR", "")</f>
      </c>
    </row>
    <row x14ac:dyDescent="0.25" r="304" customHeight="1" ht="17.25">
      <c r="A304" s="27" t="s">
        <v>1997</v>
      </c>
      <c r="B304" s="28">
        <v>2</v>
      </c>
      <c r="C304" s="28">
        <v>831</v>
      </c>
      <c r="D304" s="29" t="s">
        <v>313</v>
      </c>
      <c r="E304" s="30" t="s">
        <v>54</v>
      </c>
      <c r="F304" s="31">
        <v>44360</v>
      </c>
      <c r="G304" s="32">
        <v>4.173611111111111</v>
      </c>
      <c r="H304" s="31">
        <v>44358</v>
      </c>
      <c r="I304" s="32">
        <v>4.945138888888889</v>
      </c>
      <c r="J304" s="33">
        <f>F304-H304</f>
      </c>
      <c r="K304" s="28">
        <v>31</v>
      </c>
      <c r="L304" s="28">
        <v>6</v>
      </c>
      <c r="M304" s="28">
        <v>1</v>
      </c>
      <c r="N304" s="34"/>
      <c r="O304" s="34"/>
      <c r="P304" s="34"/>
      <c r="Q304" s="34"/>
      <c r="R304" s="34"/>
      <c r="S304" s="34"/>
      <c r="T304" s="38"/>
      <c r="U304" s="34"/>
      <c r="V304" s="34"/>
      <c r="W304" s="29" t="s">
        <v>74</v>
      </c>
      <c r="X304" s="28">
        <v>27</v>
      </c>
      <c r="Y304" s="28">
        <v>1</v>
      </c>
      <c r="Z304" s="28">
        <v>2</v>
      </c>
      <c r="AA304" s="28">
        <v>1</v>
      </c>
      <c r="AB304" s="28">
        <v>1</v>
      </c>
      <c r="AC304" s="28">
        <v>2</v>
      </c>
      <c r="AD304" s="28">
        <v>2</v>
      </c>
      <c r="AE304" s="28">
        <v>4</v>
      </c>
      <c r="AF304" s="28">
        <v>2</v>
      </c>
      <c r="AG304" s="28">
        <v>2</v>
      </c>
      <c r="AH304" s="29" t="s">
        <v>1998</v>
      </c>
      <c r="AI304" s="36">
        <f>if(or(and(K304&lt;32, J304&lt;2), O304=1, P304=1, Q304=1, R304=1, S304=1, T304=1, U304=1, and(W304&lt;&gt;"", W304&lt;&gt;"Oxygen", W304&lt;&gt;"LowFlow")), "Intensive", "Intermediate")</f>
      </c>
      <c r="AJ304" s="37">
        <f>if(or(left(AH304, 1)="X", left(AH304, 1)="Y", left(AH304, 3)="J46M"), "CUSM", "No Match")</f>
      </c>
      <c r="AK304" s="37">
        <f>if(and(or(O304=3, P304=1, Q304=1, T304=1), AJ304="no Match"), "CUSM, CHU SJ, CHUQ", "")</f>
      </c>
      <c r="AL304" s="37">
        <f>IF(AND(O305=2, ISBLANK(P305), ISBLANK(Q305), ISBLANK(R305), ISBLANK(S305), ISBLANK(T305)), "CUSM, CHU SJ, CHUS, CHUQ", "")</f>
      </c>
      <c r="AM304" s="37">
        <f>if(and(AJ304="no match", AK304="", AL304="", K304&lt;26), "CUSM, CHU SJ, HGJ, CHUQ, CHUS", "")</f>
      </c>
      <c r="AN304" s="37">
        <f>if(and(AJ304="no match", AK304="", AL304="", K304&gt;26), "CUSM, CHU SJ, HGJ, CHUQ, CHUS, HMR", "")</f>
      </c>
    </row>
    <row x14ac:dyDescent="0.25" r="305" customHeight="1" ht="17.25">
      <c r="A305" s="27" t="s">
        <v>1999</v>
      </c>
      <c r="B305" s="28">
        <v>2</v>
      </c>
      <c r="C305" s="35">
        <v>796</v>
      </c>
      <c r="D305" s="29" t="s">
        <v>63</v>
      </c>
      <c r="E305" s="30" t="s">
        <v>78</v>
      </c>
      <c r="F305" s="31">
        <v>44360</v>
      </c>
      <c r="G305" s="32">
        <v>4.979166666666666</v>
      </c>
      <c r="H305" s="31">
        <v>44360</v>
      </c>
      <c r="I305" s="32">
        <v>4.784722222222222</v>
      </c>
      <c r="J305" s="33">
        <f>F305-H305</f>
      </c>
      <c r="K305" s="28">
        <v>25</v>
      </c>
      <c r="L305" s="28">
        <v>0</v>
      </c>
      <c r="M305" s="28">
        <v>2</v>
      </c>
      <c r="N305" s="35">
        <v>1</v>
      </c>
      <c r="O305" s="34"/>
      <c r="P305" s="35">
        <v>1</v>
      </c>
      <c r="Q305" s="34"/>
      <c r="R305" s="34"/>
      <c r="S305" s="34"/>
      <c r="T305" s="34"/>
      <c r="U305" s="34"/>
      <c r="V305" s="34"/>
      <c r="W305" s="29" t="s">
        <v>74</v>
      </c>
      <c r="X305" s="28">
        <v>29</v>
      </c>
      <c r="Y305" s="28">
        <v>1</v>
      </c>
      <c r="Z305" s="28">
        <v>1</v>
      </c>
      <c r="AA305" s="28">
        <v>2</v>
      </c>
      <c r="AB305" s="28">
        <v>1</v>
      </c>
      <c r="AC305" s="28">
        <v>2</v>
      </c>
      <c r="AD305" s="28">
        <v>2</v>
      </c>
      <c r="AE305" s="28">
        <v>2</v>
      </c>
      <c r="AF305" s="28">
        <v>2</v>
      </c>
      <c r="AG305" s="28">
        <v>2</v>
      </c>
      <c r="AH305" s="29" t="s">
        <v>2000</v>
      </c>
      <c r="AI305" s="36">
        <f>if(or(and(K305&lt;32, J305&lt;2), O305=1, P305=1, Q305=1, R305=1, S305=1, T305=1, U305=1, and(W305&lt;&gt;"", W305&lt;&gt;"Oxygen", W305&lt;&gt;"LowFlow")), "Intensive", "Intermediate")</f>
      </c>
      <c r="AJ305" s="37">
        <f>if(or(left(AH305, 1)="X", left(AH305, 1)="Y", left(AH305, 3)="J47M"), "CUSM", "No Match")</f>
      </c>
      <c r="AK305" s="37">
        <f>if(and(or(O305=3, P305=1, Q305=1, T305=1), AJ305="no Match"), "CUSM, CHU SJ, CHUQ", "")</f>
      </c>
      <c r="AL305" s="37">
        <f>IF(AND(O306=2, ISBLANK(P306), ISBLANK(Q306), ISBLANK(R306), ISBLANK(S306), ISBLANK(T306)), "CUSM, CHU SJ, CHUS, CHUQ", "")</f>
      </c>
      <c r="AM305" s="37">
        <f>if(and(AJ305="no match", AK305="", AL305="", K305&lt;26), "CUSM, CHU SJ, HGJ, CHUQ, CHUS", "")</f>
      </c>
      <c r="AN305" s="37">
        <f>if(and(AJ305="no match", AK305="", AL305="", K305&gt;26), "CUSM, CHU SJ, HGJ, CHUQ, CHUS, HMR", "")</f>
      </c>
    </row>
    <row x14ac:dyDescent="0.25" r="306" customHeight="1" ht="17.25">
      <c r="A306" s="27" t="s">
        <v>2001</v>
      </c>
      <c r="B306" s="28">
        <v>2</v>
      </c>
      <c r="C306" s="35">
        <v>2</v>
      </c>
      <c r="D306" s="29" t="s">
        <v>269</v>
      </c>
      <c r="E306" s="30" t="s">
        <v>50</v>
      </c>
      <c r="F306" s="31">
        <v>44361</v>
      </c>
      <c r="G306" s="32">
        <v>4.090277777777778</v>
      </c>
      <c r="H306" s="31">
        <v>44360</v>
      </c>
      <c r="I306" s="32">
        <v>4.764583333333333</v>
      </c>
      <c r="J306" s="33">
        <f>F306-H306</f>
      </c>
      <c r="K306" s="28">
        <v>40</v>
      </c>
      <c r="L306" s="28">
        <v>4</v>
      </c>
      <c r="M306" s="28">
        <v>1</v>
      </c>
      <c r="N306" s="34"/>
      <c r="O306" s="34"/>
      <c r="P306" s="34"/>
      <c r="Q306" s="34"/>
      <c r="R306" s="34"/>
      <c r="S306" s="34"/>
      <c r="T306" s="34"/>
      <c r="U306" s="34"/>
      <c r="V306" s="34"/>
      <c r="W306" s="29"/>
      <c r="X306" s="28">
        <v>35</v>
      </c>
      <c r="Y306" s="28">
        <v>1</v>
      </c>
      <c r="Z306" s="28">
        <v>1</v>
      </c>
      <c r="AA306" s="28">
        <v>2</v>
      </c>
      <c r="AB306" s="28">
        <v>1</v>
      </c>
      <c r="AC306" s="28">
        <v>2</v>
      </c>
      <c r="AD306" s="28">
        <v>2</v>
      </c>
      <c r="AE306" s="28">
        <v>4</v>
      </c>
      <c r="AF306" s="28">
        <v>2</v>
      </c>
      <c r="AG306" s="28">
        <v>2</v>
      </c>
      <c r="AH306" s="29" t="s">
        <v>2002</v>
      </c>
      <c r="AI306" s="36">
        <f>if(or(and(K306&lt;32, J306&lt;2), O306=1, P306=1, Q306=1, R306=1, S306=1, T306=1, U306=1, and(W306&lt;&gt;"", W306&lt;&gt;"Oxygen", W306&lt;&gt;"LowFlow")), "Intensive", "Intermediate")</f>
      </c>
      <c r="AJ306" s="37">
        <f>if(or(left(AH306, 1)="X", left(AH306, 1)="Y", left(AH306, 3)="J48M"), "CUSM", "No Match")</f>
      </c>
      <c r="AK306" s="37">
        <f>if(and(or(O306=3, P306=1, Q306=1, T306=1), AJ306="no Match"), "CUSM, CHU SJ, CHUQ", "")</f>
      </c>
      <c r="AL306" s="37">
        <f>IF(AND(O307=2, ISBLANK(P307), ISBLANK(Q307), ISBLANK(R307), ISBLANK(S307), ISBLANK(T307)), "CUSM, CHU SJ, CHUS, CHUQ", "")</f>
      </c>
      <c r="AM306" s="37">
        <f>if(and(AJ306="no match", AK306="", AL306="", K306&lt;26), "CUSM, CHU SJ, HGJ, CHUQ, CHUS", "")</f>
      </c>
      <c r="AN306" s="37">
        <f>if(and(AJ306="no match", AK306="", AL306="", K306&gt;26), "CUSM, CHU SJ, HGJ, CHUQ, CHUS, HMR", "")</f>
      </c>
    </row>
    <row x14ac:dyDescent="0.25" r="307" customHeight="1" ht="17.25">
      <c r="A307" s="27" t="s">
        <v>2003</v>
      </c>
      <c r="B307" s="28">
        <v>2</v>
      </c>
      <c r="C307" s="35">
        <v>779</v>
      </c>
      <c r="D307" s="29" t="s">
        <v>136</v>
      </c>
      <c r="E307" s="30" t="s">
        <v>50</v>
      </c>
      <c r="F307" s="31">
        <v>44361</v>
      </c>
      <c r="G307" s="32">
        <v>4.819444444444445</v>
      </c>
      <c r="H307" s="31">
        <v>44361</v>
      </c>
      <c r="I307" s="32">
        <v>4.728472222222223</v>
      </c>
      <c r="J307" s="33">
        <f>F307-H307</f>
      </c>
      <c r="K307" s="28">
        <v>28</v>
      </c>
      <c r="L307" s="28">
        <v>6</v>
      </c>
      <c r="M307" s="28">
        <v>1</v>
      </c>
      <c r="N307" s="35">
        <v>1</v>
      </c>
      <c r="O307" s="34"/>
      <c r="P307" s="34"/>
      <c r="Q307" s="34"/>
      <c r="R307" s="34"/>
      <c r="S307" s="34"/>
      <c r="T307" s="34"/>
      <c r="U307" s="34"/>
      <c r="V307" s="34"/>
      <c r="W307" s="29" t="s">
        <v>58</v>
      </c>
      <c r="X307" s="28">
        <v>35</v>
      </c>
      <c r="Y307" s="28">
        <v>1</v>
      </c>
      <c r="Z307" s="28">
        <v>1</v>
      </c>
      <c r="AA307" s="28">
        <v>1</v>
      </c>
      <c r="AB307" s="28">
        <v>1</v>
      </c>
      <c r="AC307" s="28">
        <v>2</v>
      </c>
      <c r="AD307" s="28">
        <v>2</v>
      </c>
      <c r="AE307" s="28">
        <v>1</v>
      </c>
      <c r="AF307" s="28">
        <v>2</v>
      </c>
      <c r="AG307" s="28">
        <v>2</v>
      </c>
      <c r="AH307" s="29" t="s">
        <v>2004</v>
      </c>
      <c r="AI307" s="36">
        <f>if(or(and(K307&lt;32, J307&lt;2), O307=1, P307=1, Q307=1, R307=1, S307=1, T307=1, U307=1, and(W307&lt;&gt;"", W307&lt;&gt;"Oxygen", W307&lt;&gt;"LowFlow")), "Intensive", "Intermediate")</f>
      </c>
      <c r="AJ307" s="37">
        <f>if(or(left(AH307, 1)="X", left(AH307, 1)="Y", left(AH307, 3)="J49M"), "CUSM", "No Match")</f>
      </c>
      <c r="AK307" s="37">
        <f>if(and(or(O307=3, P307=1, Q307=1, T307=1), AJ307="no Match"), "CUSM, CHU SJ, CHUQ", "")</f>
      </c>
      <c r="AL307" s="37">
        <f>IF(AND(O308=2, ISBLANK(P308), ISBLANK(Q308), ISBLANK(R308), ISBLANK(S308), ISBLANK(T308)), "CUSM, CHU SJ, CHUS, CHUQ", "")</f>
      </c>
      <c r="AM307" s="37">
        <f>if(and(AJ307="no match", AK307="", AL307="", K307&lt;26), "CUSM, CHU SJ, HGJ, CHUQ, CHUS", "")</f>
      </c>
      <c r="AN307" s="37">
        <f>if(and(AJ307="no match", AK307="", AL307="", K307&gt;26), "CUSM, CHU SJ, HGJ, CHUQ, CHUS, HMR", "")</f>
      </c>
    </row>
    <row x14ac:dyDescent="0.25" r="308" customHeight="1" ht="17.25">
      <c r="A308" s="27" t="s">
        <v>2005</v>
      </c>
      <c r="B308" s="28">
        <v>2</v>
      </c>
      <c r="C308" s="35">
        <v>806</v>
      </c>
      <c r="D308" s="29" t="s">
        <v>438</v>
      </c>
      <c r="E308" s="30" t="s">
        <v>54</v>
      </c>
      <c r="F308" s="31">
        <v>44362</v>
      </c>
      <c r="G308" s="32">
        <v>4.995833333333334</v>
      </c>
      <c r="H308" s="31">
        <v>44362</v>
      </c>
      <c r="I308" s="32">
        <v>4.773611111111111</v>
      </c>
      <c r="J308" s="33">
        <f>F308-H308</f>
      </c>
      <c r="K308" s="28">
        <v>40</v>
      </c>
      <c r="L308" s="28">
        <v>5</v>
      </c>
      <c r="M308" s="28">
        <v>2</v>
      </c>
      <c r="N308" s="35">
        <v>1</v>
      </c>
      <c r="O308" s="34"/>
      <c r="P308" s="35">
        <v>1</v>
      </c>
      <c r="Q308" s="34"/>
      <c r="R308" s="34"/>
      <c r="S308" s="34"/>
      <c r="T308" s="35">
        <v>1</v>
      </c>
      <c r="U308" s="34"/>
      <c r="V308" s="34"/>
      <c r="W308" s="29" t="s">
        <v>74</v>
      </c>
      <c r="X308" s="28">
        <v>30</v>
      </c>
      <c r="Y308" s="28">
        <v>1</v>
      </c>
      <c r="Z308" s="28">
        <v>1</v>
      </c>
      <c r="AA308" s="28">
        <v>1</v>
      </c>
      <c r="AB308" s="28">
        <v>1</v>
      </c>
      <c r="AC308" s="28">
        <v>2</v>
      </c>
      <c r="AD308" s="28">
        <v>2</v>
      </c>
      <c r="AE308" s="28">
        <v>4</v>
      </c>
      <c r="AF308" s="28">
        <v>1</v>
      </c>
      <c r="AG308" s="28">
        <v>2</v>
      </c>
      <c r="AH308" s="29" t="s">
        <v>1631</v>
      </c>
      <c r="AI308" s="36">
        <f>if(or(and(K308&lt;32, J308&lt;2), O308=1, P308=1, Q308=1, R308=1, S308=1, T308=1, U308=1, and(W308&lt;&gt;"", W308&lt;&gt;"Oxygen", W308&lt;&gt;"LowFlow")), "Intensive", "Intermediate")</f>
      </c>
      <c r="AJ308" s="37">
        <f>if(or(left(AH308, 1)="X", left(AH308, 1)="Y", left(AH308, 3)="J50M"), "CUSM", "No Match")</f>
      </c>
      <c r="AK308" s="37">
        <f>if(and(or(O308=3, P308=1, Q308=1, T308=1), AJ308="no Match"), "CUSM, CHU SJ, CHUQ", "")</f>
      </c>
      <c r="AL308" s="37">
        <f>IF(AND(O309=2, ISBLANK(P309), ISBLANK(Q309), ISBLANK(R309), ISBLANK(S309), ISBLANK(T309)), "CUSM, CHU SJ, CHUS, CHUQ", "")</f>
      </c>
      <c r="AM308" s="37">
        <f>if(and(AJ308="no match", AK308="", AL308="", K308&lt;26), "CUSM, CHU SJ, HGJ, CHUQ, CHUS", "")</f>
      </c>
      <c r="AN308" s="37">
        <f>if(and(AJ308="no match", AK308="", AL308="", K308&gt;26), "CUSM, CHU SJ, HGJ, CHUQ, CHUS, HMR", "")</f>
      </c>
    </row>
    <row x14ac:dyDescent="0.25" r="309" customHeight="1" ht="17.25">
      <c r="A309" s="27" t="s">
        <v>2006</v>
      </c>
      <c r="B309" s="28">
        <v>2</v>
      </c>
      <c r="C309" s="35">
        <v>822</v>
      </c>
      <c r="D309" s="29" t="s">
        <v>167</v>
      </c>
      <c r="E309" s="30" t="s">
        <v>50</v>
      </c>
      <c r="F309" s="31">
        <v>44362</v>
      </c>
      <c r="G309" s="32">
        <v>4.090972222222222</v>
      </c>
      <c r="H309" s="31">
        <v>44361</v>
      </c>
      <c r="I309" s="32">
        <v>4.8805555555555555</v>
      </c>
      <c r="J309" s="33">
        <f>F309-H309</f>
      </c>
      <c r="K309" s="28">
        <v>39</v>
      </c>
      <c r="L309" s="28">
        <v>2</v>
      </c>
      <c r="M309" s="28">
        <v>1</v>
      </c>
      <c r="N309" s="38"/>
      <c r="O309" s="38"/>
      <c r="P309" s="38"/>
      <c r="Q309" s="34"/>
      <c r="R309" s="34"/>
      <c r="S309" s="34"/>
      <c r="T309" s="35">
        <v>1</v>
      </c>
      <c r="U309" s="34"/>
      <c r="V309" s="34"/>
      <c r="W309" s="29"/>
      <c r="X309" s="28">
        <v>26</v>
      </c>
      <c r="Y309" s="28">
        <v>1</v>
      </c>
      <c r="Z309" s="28">
        <v>1</v>
      </c>
      <c r="AA309" s="28">
        <v>2</v>
      </c>
      <c r="AB309" s="28">
        <v>1</v>
      </c>
      <c r="AC309" s="28">
        <v>2</v>
      </c>
      <c r="AD309" s="28">
        <v>2</v>
      </c>
      <c r="AE309" s="28">
        <v>4</v>
      </c>
      <c r="AF309" s="28">
        <v>1</v>
      </c>
      <c r="AG309" s="28">
        <v>2</v>
      </c>
      <c r="AH309" s="29" t="s">
        <v>2007</v>
      </c>
      <c r="AI309" s="36">
        <f>if(or(and(K309&lt;32, J309&lt;2), O309=1, P309=1, Q309=1, R309=1, S309=1, T309=1, U309=1, and(W309&lt;&gt;"", W309&lt;&gt;"Oxygen", W309&lt;&gt;"LowFlow")), "Intensive", "Intermediate")</f>
      </c>
      <c r="AJ309" s="37">
        <f>if(or(left(AH309, 1)="X", left(AH309, 1)="Y", left(AH309, 3)="J51M"), "CUSM", "No Match")</f>
      </c>
      <c r="AK309" s="37">
        <f>if(and(or(O309=3, P309=1, Q309=1, T309=1), AJ309="no Match"), "CUSM, CHU SJ, CHUQ", "")</f>
      </c>
      <c r="AL309" s="37">
        <f>IF(AND(O310=2, ISBLANK(P310), ISBLANK(Q310), ISBLANK(R310), ISBLANK(S310), ISBLANK(T310)), "CUSM, CHU SJ, CHUS, CHUQ", "")</f>
      </c>
      <c r="AM309" s="37">
        <f>if(and(AJ309="no match", AK309="", AL309="", K309&lt;26), "CUSM, CHU SJ, HGJ, CHUQ, CHUS", "")</f>
      </c>
      <c r="AN309" s="37">
        <f>if(and(AJ309="no match", AK309="", AL309="", K309&gt;26), "CUSM, CHU SJ, HGJ, CHUQ, CHUS, HMR", "")</f>
      </c>
    </row>
    <row x14ac:dyDescent="0.25" r="310" customHeight="1" ht="17.25">
      <c r="A310" s="27" t="s">
        <v>2008</v>
      </c>
      <c r="B310" s="28">
        <v>2</v>
      </c>
      <c r="C310" s="35">
        <v>824</v>
      </c>
      <c r="D310" s="29" t="s">
        <v>57</v>
      </c>
      <c r="E310" s="30" t="s">
        <v>50</v>
      </c>
      <c r="F310" s="31">
        <v>44362</v>
      </c>
      <c r="G310" s="32">
        <v>4.666666666666666</v>
      </c>
      <c r="H310" s="31">
        <v>44362</v>
      </c>
      <c r="I310" s="32">
        <v>4.481944444444444</v>
      </c>
      <c r="J310" s="33">
        <f>F310-H310</f>
      </c>
      <c r="K310" s="28">
        <v>38</v>
      </c>
      <c r="L310" s="28">
        <v>3</v>
      </c>
      <c r="M310" s="28">
        <v>1</v>
      </c>
      <c r="N310" s="34"/>
      <c r="O310" s="34"/>
      <c r="P310" s="34"/>
      <c r="Q310" s="34"/>
      <c r="R310" s="34"/>
      <c r="S310" s="34"/>
      <c r="T310" s="28">
        <v>1</v>
      </c>
      <c r="U310" s="34"/>
      <c r="V310" s="34"/>
      <c r="W310" s="29" t="s">
        <v>164</v>
      </c>
      <c r="X310" s="28">
        <v>36</v>
      </c>
      <c r="Y310" s="28">
        <v>1</v>
      </c>
      <c r="Z310" s="28">
        <v>1</v>
      </c>
      <c r="AA310" s="28">
        <v>1</v>
      </c>
      <c r="AB310" s="28">
        <v>1</v>
      </c>
      <c r="AC310" s="28">
        <v>2</v>
      </c>
      <c r="AD310" s="28">
        <v>2</v>
      </c>
      <c r="AE310" s="28">
        <v>4</v>
      </c>
      <c r="AF310" s="28">
        <v>2</v>
      </c>
      <c r="AG310" s="28">
        <v>2</v>
      </c>
      <c r="AH310" s="29" t="s">
        <v>2009</v>
      </c>
      <c r="AI310" s="36">
        <f>if(or(and(K310&lt;32, J310&lt;2), O310=1, P310=1, Q310=1, R310=1, S310=1, T310=1, U310=1, and(W310&lt;&gt;"", W310&lt;&gt;"Oxygen", W310&lt;&gt;"LowFlow")), "Intensive", "Intermediate")</f>
      </c>
      <c r="AJ310" s="37">
        <f>if(or(left(AH310, 1)="X", left(AH310, 1)="Y", left(AH310, 3)="J52M"), "CUSM", "No Match")</f>
      </c>
      <c r="AK310" s="37">
        <f>if(and(or(O310=3, P310=1, Q310=1, T310=1), AJ310="no Match"), "CUSM, CHU SJ, CHUQ", "")</f>
      </c>
      <c r="AL310" s="37">
        <f>IF(AND(O311=2, ISBLANK(P311), ISBLANK(Q311), ISBLANK(R311), ISBLANK(S311), ISBLANK(T311)), "CUSM, CHU SJ, CHUS, CHUQ", "")</f>
      </c>
      <c r="AM310" s="37">
        <f>if(and(AJ310="no match", AK310="", AL310="", K310&lt;26), "CUSM, CHU SJ, HGJ, CHUQ, CHUS", "")</f>
      </c>
      <c r="AN310" s="37">
        <f>if(and(AJ310="no match", AK310="", AL310="", K310&gt;26), "CUSM, CHU SJ, HGJ, CHUQ, CHUS, HMR", "")</f>
      </c>
    </row>
    <row x14ac:dyDescent="0.25" r="311" customHeight="1" ht="17.25">
      <c r="A311" s="27" t="s">
        <v>2010</v>
      </c>
      <c r="B311" s="28">
        <v>2</v>
      </c>
      <c r="C311" s="35">
        <v>779</v>
      </c>
      <c r="D311" s="29" t="s">
        <v>136</v>
      </c>
      <c r="E311" s="30" t="s">
        <v>50</v>
      </c>
      <c r="F311" s="31">
        <v>44363</v>
      </c>
      <c r="G311" s="32">
        <v>4.9375</v>
      </c>
      <c r="H311" s="31">
        <v>44363</v>
      </c>
      <c r="I311" s="32">
        <v>4.789583333333333</v>
      </c>
      <c r="J311" s="33">
        <f>F311-H311</f>
      </c>
      <c r="K311" s="28">
        <v>32</v>
      </c>
      <c r="L311" s="28">
        <v>6</v>
      </c>
      <c r="M311" s="28">
        <v>1</v>
      </c>
      <c r="N311" s="38"/>
      <c r="O311" s="38"/>
      <c r="P311" s="38"/>
      <c r="Q311" s="34"/>
      <c r="R311" s="34"/>
      <c r="S311" s="34"/>
      <c r="T311" s="34"/>
      <c r="U311" s="34"/>
      <c r="V311" s="35">
        <v>1</v>
      </c>
      <c r="W311" s="29" t="s">
        <v>164</v>
      </c>
      <c r="X311" s="28">
        <v>44</v>
      </c>
      <c r="Y311" s="28">
        <v>1</v>
      </c>
      <c r="Z311" s="28">
        <v>2</v>
      </c>
      <c r="AA311" s="28">
        <v>1</v>
      </c>
      <c r="AB311" s="28">
        <v>1</v>
      </c>
      <c r="AC311" s="28">
        <v>2</v>
      </c>
      <c r="AD311" s="28">
        <v>2</v>
      </c>
      <c r="AE311" s="28">
        <v>4</v>
      </c>
      <c r="AF311" s="28">
        <v>2</v>
      </c>
      <c r="AG311" s="28">
        <v>2</v>
      </c>
      <c r="AH311" s="29" t="s">
        <v>1334</v>
      </c>
      <c r="AI311" s="36">
        <f>if(or(and(K311&lt;32, J311&lt;2), O311=1, P311=1, Q311=1, R311=1, S311=1, T311=1, U311=1, and(W311&lt;&gt;"", W311&lt;&gt;"Oxygen", W311&lt;&gt;"LowFlow")), "Intensive", "Intermediate")</f>
      </c>
      <c r="AJ311" s="37">
        <f>if(or(left(AH311, 1)="X", left(AH311, 1)="Y", left(AH311, 3)="J53M"), "CUSM", "No Match")</f>
      </c>
      <c r="AK311" s="37">
        <f>if(and(or(O311=3, P311=1, Q311=1, T311=1), AJ311="no Match"), "CUSM, CHU SJ, CHUQ", "")</f>
      </c>
      <c r="AL311" s="37">
        <f>IF(AND(O312=2, ISBLANK(P312), ISBLANK(Q312), ISBLANK(R312), ISBLANK(S312), ISBLANK(T312)), "CUSM, CHU SJ, CHUS, CHUQ", "")</f>
      </c>
      <c r="AM311" s="37">
        <f>if(and(AJ311="no match", AK311="", AL311="", K311&lt;26), "CUSM, CHU SJ, HGJ, CHUQ, CHUS", "")</f>
      </c>
      <c r="AN311" s="37">
        <f>if(and(AJ311="no match", AK311="", AL311="", K311&gt;26), "CUSM, CHU SJ, HGJ, CHUQ, CHUS, HMR", "")</f>
      </c>
    </row>
    <row x14ac:dyDescent="0.25" r="312" customHeight="1" ht="17.25">
      <c r="A312" s="27" t="s">
        <v>2011</v>
      </c>
      <c r="B312" s="28">
        <v>2</v>
      </c>
      <c r="C312" s="35">
        <v>817</v>
      </c>
      <c r="D312" s="29" t="s">
        <v>163</v>
      </c>
      <c r="E312" s="30" t="s">
        <v>54</v>
      </c>
      <c r="F312" s="31">
        <v>44364</v>
      </c>
      <c r="G312" s="32">
        <v>4.34375</v>
      </c>
      <c r="H312" s="31">
        <v>44364</v>
      </c>
      <c r="I312" s="32">
        <v>4.032638888888889</v>
      </c>
      <c r="J312" s="33">
        <f>F312-H312</f>
      </c>
      <c r="K312" s="28">
        <v>39</v>
      </c>
      <c r="L312" s="28">
        <v>5</v>
      </c>
      <c r="M312" s="28">
        <v>1</v>
      </c>
      <c r="N312" s="35">
        <v>1</v>
      </c>
      <c r="O312" s="35">
        <v>2</v>
      </c>
      <c r="P312" s="34"/>
      <c r="Q312" s="34"/>
      <c r="R312" s="35">
        <v>1</v>
      </c>
      <c r="S312" s="34"/>
      <c r="T312" s="34"/>
      <c r="U312" s="35">
        <v>1</v>
      </c>
      <c r="V312" s="35">
        <v>1</v>
      </c>
      <c r="W312" s="29" t="s">
        <v>70</v>
      </c>
      <c r="X312" s="28">
        <v>30</v>
      </c>
      <c r="Y312" s="28">
        <v>1</v>
      </c>
      <c r="Z312" s="28">
        <v>1</v>
      </c>
      <c r="AA312" s="28">
        <v>1</v>
      </c>
      <c r="AB312" s="28">
        <v>1</v>
      </c>
      <c r="AC312" s="28">
        <v>2</v>
      </c>
      <c r="AD312" s="28">
        <v>2</v>
      </c>
      <c r="AE312" s="28">
        <v>4</v>
      </c>
      <c r="AF312" s="28">
        <v>1</v>
      </c>
      <c r="AG312" s="28">
        <v>2</v>
      </c>
      <c r="AH312" s="29" t="s">
        <v>2012</v>
      </c>
      <c r="AI312" s="36">
        <f>if(or(and(K312&lt;32, J312&lt;2), O312=1, P312=1, Q312=1, R312=1, S312=1, T312=1, U312=1, and(W312&lt;&gt;"", W312&lt;&gt;"Oxygen", W312&lt;&gt;"LowFlow")), "Intensive", "Intermediate")</f>
      </c>
      <c r="AJ312" s="37">
        <f>if(or(left(AH312, 1)="X", left(AH312, 1)="Y", left(AH312, 3)="J54M"), "CUSM", "No Match")</f>
      </c>
      <c r="AK312" s="37">
        <f>if(and(or(O312=3, P312=1, Q312=1, T312=1), AJ312="no Match"), "CUSM, CHU SJ, CHUQ", "")</f>
      </c>
      <c r="AL312" s="37">
        <f>IF(AND(O313=2, ISBLANK(P313), ISBLANK(Q313), ISBLANK(R313), ISBLANK(S313), ISBLANK(T313)), "CUSM, CHU SJ, CHUS, CHUQ", "")</f>
      </c>
      <c r="AM312" s="37">
        <f>if(and(AJ312="no match", AK312="", AL312="", K312&lt;26), "CUSM, CHU SJ, HGJ, CHUQ, CHUS", "")</f>
      </c>
      <c r="AN312" s="37">
        <f>if(and(AJ312="no match", AK312="", AL312="", K312&gt;26), "CUSM, CHU SJ, HGJ, CHUQ, CHUS, HMR", "")</f>
      </c>
    </row>
    <row x14ac:dyDescent="0.25" r="313" customHeight="1" ht="17.25">
      <c r="A313" s="27" t="s">
        <v>2013</v>
      </c>
      <c r="B313" s="28">
        <v>2</v>
      </c>
      <c r="C313" s="28">
        <v>824</v>
      </c>
      <c r="D313" s="29" t="s">
        <v>57</v>
      </c>
      <c r="E313" s="30" t="s">
        <v>50</v>
      </c>
      <c r="F313" s="31">
        <v>44364</v>
      </c>
      <c r="G313" s="32">
        <v>4.565972222222222</v>
      </c>
      <c r="H313" s="31">
        <v>44361</v>
      </c>
      <c r="I313" s="32">
        <v>4.566666666666666</v>
      </c>
      <c r="J313" s="33">
        <f>F313-H313</f>
      </c>
      <c r="K313" s="28">
        <v>41</v>
      </c>
      <c r="L313" s="28">
        <v>4</v>
      </c>
      <c r="M313" s="28">
        <v>2</v>
      </c>
      <c r="N313" s="34"/>
      <c r="O313" s="34"/>
      <c r="P313" s="34"/>
      <c r="Q313" s="34"/>
      <c r="R313" s="34"/>
      <c r="S313" s="34"/>
      <c r="T313" s="34"/>
      <c r="U313" s="34"/>
      <c r="V313" s="34"/>
      <c r="W313" s="29"/>
      <c r="X313" s="28">
        <v>29</v>
      </c>
      <c r="Y313" s="28">
        <v>1</v>
      </c>
      <c r="Z313" s="28">
        <v>1</v>
      </c>
      <c r="AA313" s="28">
        <v>2</v>
      </c>
      <c r="AB313" s="28">
        <v>1</v>
      </c>
      <c r="AC313" s="28">
        <v>2</v>
      </c>
      <c r="AD313" s="28">
        <v>2</v>
      </c>
      <c r="AE313" s="28">
        <v>4</v>
      </c>
      <c r="AF313" s="28">
        <v>2</v>
      </c>
      <c r="AG313" s="28">
        <v>2</v>
      </c>
      <c r="AH313" s="29" t="s">
        <v>2014</v>
      </c>
      <c r="AI313" s="36">
        <f>if(or(and(K313&lt;32, J313&lt;2), O313=1, P313=1, Q313=1, R313=1, S313=1, T313=1, U313=1, and(W313&lt;&gt;"", W313&lt;&gt;"Oxygen", W313&lt;&gt;"LowFlow")), "Intensive", "Intermediate")</f>
      </c>
      <c r="AJ313" s="37">
        <f>if(or(left(AH313, 1)="X", left(AH313, 1)="Y", left(AH313, 3)="J55M"), "CUSM", "No Match")</f>
      </c>
      <c r="AK313" s="37">
        <f>if(and(or(O313=3, P313=1, Q313=1, T313=1), AJ313="no Match"), "CUSM, CHU SJ, CHUQ", "")</f>
      </c>
      <c r="AL313" s="37">
        <f>IF(AND(O314=2, ISBLANK(P314), ISBLANK(Q314), ISBLANK(R314), ISBLANK(S314), ISBLANK(T314)), "CUSM, CHU SJ, CHUS, CHUQ", "")</f>
      </c>
      <c r="AM313" s="37">
        <f>if(and(AJ313="no match", AK313="", AL313="", K313&lt;26), "CUSM, CHU SJ, HGJ, CHUQ, CHUS", "")</f>
      </c>
      <c r="AN313" s="37">
        <f>if(and(AJ313="no match", AK313="", AL313="", K313&gt;26), "CUSM, CHU SJ, HGJ, CHUQ, CHUS, HMR", "")</f>
      </c>
    </row>
    <row x14ac:dyDescent="0.25" r="314" customHeight="1" ht="17.25">
      <c r="A314" s="27" t="s">
        <v>2015</v>
      </c>
      <c r="B314" s="28">
        <v>2</v>
      </c>
      <c r="C314" s="35">
        <v>734</v>
      </c>
      <c r="D314" s="29" t="s">
        <v>264</v>
      </c>
      <c r="E314" s="30" t="s">
        <v>54</v>
      </c>
      <c r="F314" s="31">
        <v>44366</v>
      </c>
      <c r="G314" s="32">
        <v>4.008333333333333</v>
      </c>
      <c r="H314" s="31">
        <v>44360</v>
      </c>
      <c r="I314" s="32">
        <v>4.123611111111111</v>
      </c>
      <c r="J314" s="33">
        <f>F314-H314</f>
      </c>
      <c r="K314" s="28">
        <v>32</v>
      </c>
      <c r="L314" s="28">
        <v>3</v>
      </c>
      <c r="M314" s="28">
        <v>2</v>
      </c>
      <c r="N314" s="34"/>
      <c r="O314" s="34"/>
      <c r="P314" s="34"/>
      <c r="Q314" s="34"/>
      <c r="R314" s="34"/>
      <c r="S314" s="34"/>
      <c r="T314" s="34"/>
      <c r="U314" s="34"/>
      <c r="V314" s="34"/>
      <c r="W314" s="29"/>
      <c r="X314" s="28">
        <v>31</v>
      </c>
      <c r="Y314" s="28">
        <v>1</v>
      </c>
      <c r="Z314" s="28">
        <v>1</v>
      </c>
      <c r="AA314" s="28">
        <v>2</v>
      </c>
      <c r="AB314" s="28">
        <v>1</v>
      </c>
      <c r="AC314" s="28">
        <v>1</v>
      </c>
      <c r="AD314" s="28">
        <v>1</v>
      </c>
      <c r="AE314" s="28">
        <v>3</v>
      </c>
      <c r="AF314" s="28">
        <v>3</v>
      </c>
      <c r="AG314" s="28">
        <v>3</v>
      </c>
      <c r="AH314" s="29" t="s">
        <v>2016</v>
      </c>
      <c r="AI314" s="36">
        <f>if(or(and(K314&lt;32, J314&lt;2), O314=1, P314=1, Q314=1, R314=1, S314=1, T314=1, U314=1, and(W314&lt;&gt;"", W314&lt;&gt;"Oxygen", W314&lt;&gt;"LowFlow")), "Intensive", "Intermediate")</f>
      </c>
      <c r="AJ314" s="37">
        <f>if(or(left(AH314, 1)="X", left(AH314, 1)="Y", left(AH314, 3)="J56M"), "CUSM", "No Match")</f>
      </c>
      <c r="AK314" s="37">
        <f>if(and(or(O314=3, P314=1, Q314=1, T314=1), AJ314="no Match"), "CUSM, CHU SJ, CHUQ", "")</f>
      </c>
      <c r="AL314" s="37">
        <f>IF(AND(O315=2, ISBLANK(P315), ISBLANK(Q315), ISBLANK(R315), ISBLANK(S315), ISBLANK(T315)), "CUSM, CHU SJ, CHUS, CHUQ", "")</f>
      </c>
      <c r="AM314" s="37">
        <f>if(and(AJ314="no match", AK314="", AL314="", K314&lt;26), "CUSM, CHU SJ, HGJ, CHUQ, CHUS", "")</f>
      </c>
      <c r="AN314" s="37">
        <f>if(and(AJ314="no match", AK314="", AL314="", K314&gt;26), "CUSM, CHU SJ, HGJ, CHUQ, CHUS, HMR", "")</f>
      </c>
    </row>
    <row x14ac:dyDescent="0.25" r="315" customHeight="1" ht="17.25">
      <c r="A315" s="27" t="s">
        <v>2017</v>
      </c>
      <c r="B315" s="28">
        <v>2</v>
      </c>
      <c r="C315" s="35">
        <v>817</v>
      </c>
      <c r="D315" s="29" t="s">
        <v>163</v>
      </c>
      <c r="E315" s="30" t="s">
        <v>50</v>
      </c>
      <c r="F315" s="31">
        <v>44366</v>
      </c>
      <c r="G315" s="32">
        <v>4.958333333333334</v>
      </c>
      <c r="H315" s="31">
        <v>44366</v>
      </c>
      <c r="I315" s="32">
        <v>4.657638888888889</v>
      </c>
      <c r="J315" s="33">
        <f>F315-H315</f>
      </c>
      <c r="K315" s="28">
        <v>32</v>
      </c>
      <c r="L315" s="28">
        <v>4</v>
      </c>
      <c r="M315" s="28">
        <v>1</v>
      </c>
      <c r="N315" s="34"/>
      <c r="O315" s="34"/>
      <c r="P315" s="34"/>
      <c r="Q315" s="34"/>
      <c r="R315" s="34"/>
      <c r="S315" s="34"/>
      <c r="T315" s="34"/>
      <c r="U315" s="34"/>
      <c r="V315" s="34"/>
      <c r="W315" s="29" t="s">
        <v>58</v>
      </c>
      <c r="X315" s="28">
        <v>26</v>
      </c>
      <c r="Y315" s="28">
        <v>1</v>
      </c>
      <c r="Z315" s="28">
        <v>1</v>
      </c>
      <c r="AA315" s="28">
        <v>2</v>
      </c>
      <c r="AB315" s="28">
        <v>4</v>
      </c>
      <c r="AC315" s="28">
        <v>2</v>
      </c>
      <c r="AD315" s="28">
        <v>2</v>
      </c>
      <c r="AE315" s="28">
        <v>4</v>
      </c>
      <c r="AF315" s="28">
        <v>3</v>
      </c>
      <c r="AG315" s="28">
        <v>2</v>
      </c>
      <c r="AH315" s="29" t="s">
        <v>877</v>
      </c>
      <c r="AI315" s="36">
        <f>if(or(and(K315&lt;32, J315&lt;2), O315=1, P315=1, Q315=1, R315=1, S315=1, T315=1, U315=1, and(W315&lt;&gt;"", W315&lt;&gt;"Oxygen", W315&lt;&gt;"LowFlow")), "Intensive", "Intermediate")</f>
      </c>
      <c r="AJ315" s="37">
        <f>if(or(left(AH315, 1)="X", left(AH315, 1)="Y", left(AH315, 3)="J57M"), "CUSM", "No Match")</f>
      </c>
      <c r="AK315" s="37">
        <f>if(and(or(O315=3, P315=1, Q315=1, T315=1), AJ315="no Match"), "CUSM, CHU SJ, CHUQ", "")</f>
      </c>
      <c r="AL315" s="37">
        <f>IF(AND(O316=2, ISBLANK(P316), ISBLANK(Q316), ISBLANK(R316), ISBLANK(S316), ISBLANK(T316)), "CUSM, CHU SJ, CHUS, CHUQ", "")</f>
      </c>
      <c r="AM315" s="37">
        <f>if(and(AJ315="no match", AK315="", AL315="", K315&lt;26), "CUSM, CHU SJ, HGJ, CHUQ, CHUS", "")</f>
      </c>
      <c r="AN315" s="37">
        <f>if(and(AJ315="no match", AK315="", AL315="", K315&gt;26), "CUSM, CHU SJ, HGJ, CHUQ, CHUS, HMR", "")</f>
      </c>
    </row>
    <row x14ac:dyDescent="0.25" r="316" customHeight="1" ht="17.25">
      <c r="A316" s="27" t="s">
        <v>2018</v>
      </c>
      <c r="B316" s="28">
        <v>2</v>
      </c>
      <c r="C316" s="28">
        <v>756</v>
      </c>
      <c r="D316" s="29" t="s">
        <v>66</v>
      </c>
      <c r="E316" s="30" t="s">
        <v>50</v>
      </c>
      <c r="F316" s="31">
        <v>44366</v>
      </c>
      <c r="G316" s="32">
        <v>4.104166666666666</v>
      </c>
      <c r="H316" s="31">
        <v>44365</v>
      </c>
      <c r="I316" s="32">
        <v>4.933333333333334</v>
      </c>
      <c r="J316" s="33">
        <f>F316-H316</f>
      </c>
      <c r="K316" s="28">
        <v>36</v>
      </c>
      <c r="L316" s="28">
        <v>5</v>
      </c>
      <c r="M316" s="28">
        <v>2</v>
      </c>
      <c r="N316" s="28">
        <v>1</v>
      </c>
      <c r="O316" s="35">
        <v>2</v>
      </c>
      <c r="P316" s="34"/>
      <c r="Q316" s="34"/>
      <c r="R316" s="34"/>
      <c r="S316" s="34"/>
      <c r="T316" s="38"/>
      <c r="U316" s="34"/>
      <c r="V316" s="34"/>
      <c r="W316" s="29" t="s">
        <v>74</v>
      </c>
      <c r="X316" s="28">
        <v>32</v>
      </c>
      <c r="Y316" s="28">
        <v>1</v>
      </c>
      <c r="Z316" s="28">
        <v>2</v>
      </c>
      <c r="AA316" s="28">
        <v>1</v>
      </c>
      <c r="AB316" s="28">
        <v>2</v>
      </c>
      <c r="AC316" s="28">
        <v>2</v>
      </c>
      <c r="AD316" s="28">
        <v>2</v>
      </c>
      <c r="AE316" s="28">
        <v>4</v>
      </c>
      <c r="AF316" s="28">
        <v>2</v>
      </c>
      <c r="AG316" s="28">
        <v>2</v>
      </c>
      <c r="AH316" s="29" t="s">
        <v>2019</v>
      </c>
      <c r="AI316" s="36">
        <f>if(or(and(K316&lt;32, J316&lt;2), O316=1, P316=1, Q316=1, R316=1, S316=1, T316=1, U316=1, and(W316&lt;&gt;"", W316&lt;&gt;"Oxygen", W316&lt;&gt;"LowFlow")), "Intensive", "Intermediate")</f>
      </c>
      <c r="AJ316" s="37">
        <f>if(or(left(AH316, 1)="X", left(AH316, 1)="Y", left(AH316, 3)="J58M"), "CUSM", "No Match")</f>
      </c>
      <c r="AK316" s="37">
        <f>if(and(or(O316=3, P316=1, Q316=1, T316=1), AJ316="no Match"), "CUSM, CHU SJ, CHUQ", "")</f>
      </c>
      <c r="AL316" s="37">
        <f>IF(AND(O317=2, ISBLANK(P317), ISBLANK(Q317), ISBLANK(R317), ISBLANK(S317), ISBLANK(T317)), "CUSM, CHU SJ, CHUS, CHUQ", "")</f>
      </c>
      <c r="AM316" s="37">
        <f>if(and(AJ316="no match", AK316="", AL316="", K316&lt;26), "CUSM, CHU SJ, HGJ, CHUQ, CHUS", "")</f>
      </c>
      <c r="AN316" s="37">
        <f>if(and(AJ316="no match", AK316="", AL316="", K316&gt;26), "CUSM, CHU SJ, HGJ, CHUQ, CHUS, HMR", "")</f>
      </c>
    </row>
    <row x14ac:dyDescent="0.25" r="317" customHeight="1" ht="17.25">
      <c r="A317" s="27" t="s">
        <v>2020</v>
      </c>
      <c r="B317" s="28">
        <v>2</v>
      </c>
      <c r="C317" s="35">
        <v>731</v>
      </c>
      <c r="D317" s="29" t="s">
        <v>103</v>
      </c>
      <c r="E317" s="30" t="s">
        <v>50</v>
      </c>
      <c r="F317" s="31">
        <v>44366</v>
      </c>
      <c r="G317" s="32">
        <v>4.204861111111111</v>
      </c>
      <c r="H317" s="31">
        <v>44365</v>
      </c>
      <c r="I317" s="32">
        <v>4.8625</v>
      </c>
      <c r="J317" s="33">
        <f>F317-H317</f>
      </c>
      <c r="K317" s="28">
        <v>39</v>
      </c>
      <c r="L317" s="28">
        <v>6</v>
      </c>
      <c r="M317" s="28">
        <v>1</v>
      </c>
      <c r="N317" s="34"/>
      <c r="O317" s="34"/>
      <c r="P317" s="34"/>
      <c r="Q317" s="34"/>
      <c r="R317" s="34"/>
      <c r="S317" s="34"/>
      <c r="T317" s="34"/>
      <c r="U317" s="34"/>
      <c r="V317" s="34"/>
      <c r="W317" s="29"/>
      <c r="X317" s="28">
        <v>26</v>
      </c>
      <c r="Y317" s="28">
        <v>1</v>
      </c>
      <c r="Z317" s="28">
        <v>2</v>
      </c>
      <c r="AA317" s="28">
        <v>1</v>
      </c>
      <c r="AB317" s="28">
        <v>4</v>
      </c>
      <c r="AC317" s="28">
        <v>2</v>
      </c>
      <c r="AD317" s="28">
        <v>2</v>
      </c>
      <c r="AE317" s="28">
        <v>4</v>
      </c>
      <c r="AF317" s="28">
        <v>2</v>
      </c>
      <c r="AG317" s="28">
        <v>2</v>
      </c>
      <c r="AH317" s="29" t="s">
        <v>2021</v>
      </c>
      <c r="AI317" s="36">
        <f>if(or(and(K317&lt;32, J317&lt;2), O317=1, P317=1, Q317=1, R317=1, S317=1, T317=1, U317=1, and(W317&lt;&gt;"", W317&lt;&gt;"Oxygen", W317&lt;&gt;"LowFlow")), "Intensive", "Intermediate")</f>
      </c>
      <c r="AJ317" s="37">
        <f>if(or(left(AH317, 1)="X", left(AH317, 1)="Y", left(AH317, 3)="J59M"), "CUSM", "No Match")</f>
      </c>
      <c r="AK317" s="37">
        <f>if(and(or(O317=3, P317=1, Q317=1, T317=1), AJ317="no Match"), "CUSM, CHU SJ, CHUQ", "")</f>
      </c>
      <c r="AL317" s="37">
        <f>IF(AND(O318=2, ISBLANK(P318), ISBLANK(Q318), ISBLANK(R318), ISBLANK(S318), ISBLANK(T318)), "CUSM, CHU SJ, CHUS, CHUQ", "")</f>
      </c>
      <c r="AM317" s="37">
        <f>if(and(AJ317="no match", AK317="", AL317="", K317&lt;26), "CUSM, CHU SJ, HGJ, CHUQ, CHUS", "")</f>
      </c>
      <c r="AN317" s="37">
        <f>if(and(AJ317="no match", AK317="", AL317="", K317&gt;26), "CUSM, CHU SJ, HGJ, CHUQ, CHUS, HMR", "")</f>
      </c>
    </row>
    <row x14ac:dyDescent="0.25" r="318" customHeight="1" ht="17.25">
      <c r="A318" s="27" t="s">
        <v>2022</v>
      </c>
      <c r="B318" s="28">
        <v>2</v>
      </c>
      <c r="C318" s="35">
        <v>831</v>
      </c>
      <c r="D318" s="29" t="s">
        <v>313</v>
      </c>
      <c r="E318" s="30" t="s">
        <v>50</v>
      </c>
      <c r="F318" s="31">
        <v>44366</v>
      </c>
      <c r="G318" s="32">
        <v>4.767361111111111</v>
      </c>
      <c r="H318" s="31">
        <v>44365</v>
      </c>
      <c r="I318" s="32">
        <v>4.188888888888889</v>
      </c>
      <c r="J318" s="33">
        <f>F318-H318</f>
      </c>
      <c r="K318" s="28">
        <v>40</v>
      </c>
      <c r="L318" s="28">
        <v>6</v>
      </c>
      <c r="M318" s="28">
        <v>1</v>
      </c>
      <c r="N318" s="34"/>
      <c r="O318" s="35">
        <v>2</v>
      </c>
      <c r="P318" s="34"/>
      <c r="Q318" s="34"/>
      <c r="R318" s="34"/>
      <c r="S318" s="34"/>
      <c r="T318" s="34"/>
      <c r="U318" s="34"/>
      <c r="V318" s="34"/>
      <c r="W318" s="29"/>
      <c r="X318" s="28">
        <v>25</v>
      </c>
      <c r="Y318" s="28">
        <v>1</v>
      </c>
      <c r="Z318" s="28">
        <v>1</v>
      </c>
      <c r="AA318" s="28">
        <v>2</v>
      </c>
      <c r="AB318" s="28">
        <v>1</v>
      </c>
      <c r="AC318" s="28">
        <v>2</v>
      </c>
      <c r="AD318" s="28">
        <v>2</v>
      </c>
      <c r="AE318" s="28">
        <v>4</v>
      </c>
      <c r="AF318" s="28">
        <v>2</v>
      </c>
      <c r="AG318" s="28">
        <v>2</v>
      </c>
      <c r="AH318" s="29" t="s">
        <v>2023</v>
      </c>
      <c r="AI318" s="36">
        <f>if(or(and(K318&lt;32, J318&lt;2), O318=1, P318=1, Q318=1, R318=1, S318=1, T318=1, U318=1, and(W318&lt;&gt;"", W318&lt;&gt;"Oxygen", W318&lt;&gt;"LowFlow")), "Intensive", "Intermediate")</f>
      </c>
      <c r="AJ318" s="37">
        <f>if(or(left(AH318, 1)="X", left(AH318, 1)="Y", left(AH318, 3)="J60M"), "CUSM", "No Match")</f>
      </c>
      <c r="AK318" s="37">
        <f>if(and(or(O318=3, P318=1, Q318=1, T318=1), AJ318="no Match"), "CUSM, CHU SJ, CHUQ", "")</f>
      </c>
      <c r="AL318" s="37">
        <f>IF(AND(O319=2, ISBLANK(P319), ISBLANK(Q319), ISBLANK(R319), ISBLANK(S319), ISBLANK(T319)), "CUSM, CHU SJ, CHUS, CHUQ", "")</f>
      </c>
      <c r="AM318" s="37">
        <f>if(and(AJ318="no match", AK318="", AL318="", K318&lt;26), "CUSM, CHU SJ, HGJ, CHUQ, CHUS", "")</f>
      </c>
      <c r="AN318" s="37">
        <f>if(and(AJ318="no match", AK318="", AL318="", K318&gt;26), "CUSM, CHU SJ, HGJ, CHUQ, CHUS, HMR", "")</f>
      </c>
    </row>
    <row x14ac:dyDescent="0.25" r="319" customHeight="1" ht="17.25">
      <c r="A319" s="27" t="s">
        <v>2024</v>
      </c>
      <c r="B319" s="28">
        <v>2</v>
      </c>
      <c r="C319" s="35">
        <v>757</v>
      </c>
      <c r="D319" s="29" t="s">
        <v>124</v>
      </c>
      <c r="E319" s="30" t="s">
        <v>54</v>
      </c>
      <c r="F319" s="31">
        <v>44367</v>
      </c>
      <c r="G319" s="32">
        <v>4.9840277777777775</v>
      </c>
      <c r="H319" s="31">
        <v>44366</v>
      </c>
      <c r="I319" s="32">
        <v>4.428472222222222</v>
      </c>
      <c r="J319" s="33">
        <f>F319-H319</f>
      </c>
      <c r="K319" s="28">
        <v>40</v>
      </c>
      <c r="L319" s="28">
        <v>1</v>
      </c>
      <c r="M319" s="28">
        <v>1</v>
      </c>
      <c r="N319" s="34"/>
      <c r="O319" s="34"/>
      <c r="P319" s="34"/>
      <c r="Q319" s="34"/>
      <c r="R319" s="34"/>
      <c r="S319" s="34"/>
      <c r="T319" s="34"/>
      <c r="U319" s="34"/>
      <c r="V319" s="34"/>
      <c r="W319" s="29"/>
      <c r="X319" s="28">
        <v>30</v>
      </c>
      <c r="Y319" s="28">
        <v>1</v>
      </c>
      <c r="Z319" s="28">
        <v>1</v>
      </c>
      <c r="AA319" s="28">
        <v>2</v>
      </c>
      <c r="AB319" s="28">
        <v>2</v>
      </c>
      <c r="AC319" s="28">
        <v>2</v>
      </c>
      <c r="AD319" s="28">
        <v>2</v>
      </c>
      <c r="AE319" s="28">
        <v>4</v>
      </c>
      <c r="AF319" s="35">
        <v>2</v>
      </c>
      <c r="AG319" s="28">
        <v>2</v>
      </c>
      <c r="AH319" s="29" t="s">
        <v>2025</v>
      </c>
      <c r="AI319" s="36">
        <f>if(or(and(K319&lt;32, J319&lt;2), O319=1, P319=1, Q319=1, R319=1, S319=1, T319=1, U319=1, and(W319&lt;&gt;"", W319&lt;&gt;"Oxygen", W319&lt;&gt;"LowFlow")), "Intensive", "Intermediate")</f>
      </c>
      <c r="AJ319" s="37">
        <f>if(or(left(AH319, 1)="X", left(AH319, 1)="Y", left(AH319, 3)="J61M"), "CUSM", "No Match")</f>
      </c>
      <c r="AK319" s="37">
        <f>if(and(or(O319=3, P319=1, Q319=1, T319=1), AJ319="no Match"), "CUSM, CHU SJ, CHUQ", "")</f>
      </c>
      <c r="AL319" s="37">
        <f>IF(AND(O320=2, ISBLANK(P320), ISBLANK(Q320), ISBLANK(R320), ISBLANK(S320), ISBLANK(T320)), "CUSM, CHU SJ, CHUS, CHUQ", "")</f>
      </c>
      <c r="AM319" s="37">
        <f>if(and(AJ319="no match", AK319="", AL319="", K319&lt;26), "CUSM, CHU SJ, HGJ, CHUQ, CHUS", "")</f>
      </c>
      <c r="AN319" s="37">
        <f>if(and(AJ319="no match", AK319="", AL319="", K319&gt;26), "CUSM, CHU SJ, HGJ, CHUQ, CHUS, HMR", "")</f>
      </c>
    </row>
    <row x14ac:dyDescent="0.25" r="320" customHeight="1" ht="17.25">
      <c r="A320" s="27" t="s">
        <v>2026</v>
      </c>
      <c r="B320" s="28">
        <v>2</v>
      </c>
      <c r="C320" s="35">
        <v>825</v>
      </c>
      <c r="D320" s="29" t="s">
        <v>77</v>
      </c>
      <c r="E320" s="30" t="s">
        <v>50</v>
      </c>
      <c r="F320" s="31">
        <v>44367</v>
      </c>
      <c r="G320" s="32">
        <v>4.701388888888889</v>
      </c>
      <c r="H320" s="31">
        <v>44367</v>
      </c>
      <c r="I320" s="32">
        <v>4.604166666666666</v>
      </c>
      <c r="J320" s="33">
        <f>F320-H320</f>
      </c>
      <c r="K320" s="28">
        <v>39</v>
      </c>
      <c r="L320" s="28">
        <v>2</v>
      </c>
      <c r="M320" s="28">
        <v>1</v>
      </c>
      <c r="N320" s="38"/>
      <c r="O320" s="34"/>
      <c r="P320" s="34"/>
      <c r="Q320" s="34"/>
      <c r="R320" s="34"/>
      <c r="S320" s="34"/>
      <c r="T320" s="35">
        <v>1</v>
      </c>
      <c r="U320" s="34"/>
      <c r="V320" s="34"/>
      <c r="W320" s="29" t="s">
        <v>74</v>
      </c>
      <c r="X320" s="28">
        <v>30</v>
      </c>
      <c r="Y320" s="28">
        <v>1</v>
      </c>
      <c r="Z320" s="28">
        <v>2</v>
      </c>
      <c r="AA320" s="28">
        <v>3</v>
      </c>
      <c r="AB320" s="28">
        <v>4</v>
      </c>
      <c r="AC320" s="28">
        <v>2</v>
      </c>
      <c r="AD320" s="28">
        <v>2</v>
      </c>
      <c r="AE320" s="28">
        <v>2</v>
      </c>
      <c r="AF320" s="35">
        <v>2</v>
      </c>
      <c r="AG320" s="28">
        <v>2</v>
      </c>
      <c r="AH320" s="29" t="s">
        <v>2027</v>
      </c>
      <c r="AI320" s="36">
        <f>if(or(and(K320&lt;32, J320&lt;2), O320=1, P320=1, Q320=1, R320=1, S320=1, T320=1, U320=1, and(W320&lt;&gt;"", W320&lt;&gt;"Oxygen", W320&lt;&gt;"LowFlow")), "Intensive", "Intermediate")</f>
      </c>
      <c r="AJ320" s="37">
        <f>if(or(left(AH320, 1)="X", left(AH320, 1)="Y", left(AH320, 3)="J62M"), "CUSM", "No Match")</f>
      </c>
      <c r="AK320" s="37">
        <f>if(and(or(O320=3, P320=1, Q320=1, T320=1), AJ320="no Match"), "CUSM, CHU SJ, CHUQ", "")</f>
      </c>
      <c r="AL320" s="37">
        <f>IF(AND(O321=2, ISBLANK(P321), ISBLANK(Q321), ISBLANK(R321), ISBLANK(S321), ISBLANK(T321)), "CUSM, CHU SJ, CHUS, CHUQ", "")</f>
      </c>
      <c r="AM320" s="37">
        <f>if(and(AJ320="no match", AK320="", AL320="", K320&lt;26), "CUSM, CHU SJ, HGJ, CHUQ, CHUS", "")</f>
      </c>
      <c r="AN320" s="37">
        <f>if(and(AJ320="no match", AK320="", AL320="", K320&gt;26), "CUSM, CHU SJ, HGJ, CHUQ, CHUS, HMR", "")</f>
      </c>
    </row>
    <row x14ac:dyDescent="0.25" r="321" customHeight="1" ht="17.25">
      <c r="A321" s="27" t="s">
        <v>2028</v>
      </c>
      <c r="B321" s="28">
        <v>2</v>
      </c>
      <c r="C321" s="35">
        <v>825</v>
      </c>
      <c r="D321" s="29" t="s">
        <v>77</v>
      </c>
      <c r="E321" s="30" t="s">
        <v>220</v>
      </c>
      <c r="F321" s="31">
        <v>44367</v>
      </c>
      <c r="G321" s="32">
        <v>4.861805555555556</v>
      </c>
      <c r="H321" s="31">
        <v>44367</v>
      </c>
      <c r="I321" s="32">
        <v>4.652777777777778</v>
      </c>
      <c r="J321" s="33">
        <f>F321-H321</f>
      </c>
      <c r="K321" s="28">
        <v>32</v>
      </c>
      <c r="L321" s="28">
        <v>0</v>
      </c>
      <c r="M321" s="28">
        <v>2</v>
      </c>
      <c r="N321" s="34"/>
      <c r="O321" s="34"/>
      <c r="P321" s="34"/>
      <c r="Q321" s="34"/>
      <c r="R321" s="34"/>
      <c r="S321" s="34"/>
      <c r="T321" s="34"/>
      <c r="U321" s="34"/>
      <c r="V321" s="34"/>
      <c r="W321" s="29"/>
      <c r="X321" s="28">
        <v>34</v>
      </c>
      <c r="Y321" s="28">
        <v>2</v>
      </c>
      <c r="Z321" s="28">
        <v>1</v>
      </c>
      <c r="AA321" s="28">
        <v>2</v>
      </c>
      <c r="AB321" s="28">
        <v>1</v>
      </c>
      <c r="AC321" s="28">
        <v>2</v>
      </c>
      <c r="AD321" s="28">
        <v>2</v>
      </c>
      <c r="AE321" s="28">
        <v>4</v>
      </c>
      <c r="AF321" s="35">
        <v>2</v>
      </c>
      <c r="AG321" s="28">
        <v>2</v>
      </c>
      <c r="AH321" s="29" t="s">
        <v>1320</v>
      </c>
      <c r="AI321" s="36">
        <f>if(or(and(K321&lt;32, J321&lt;2), O321=1, P321=1, Q321=1, R321=1, S321=1, T321=1, U321=1, and(W321&lt;&gt;"", W321&lt;&gt;"Oxygen", W321&lt;&gt;"LowFlow")), "Intensive", "Intermediate")</f>
      </c>
      <c r="AJ321" s="37">
        <f>if(or(left(AH321, 1)="X", left(AH321, 1)="Y", left(AH321, 3)="J63M"), "CUSM", "No Match")</f>
      </c>
      <c r="AK321" s="37">
        <f>if(and(or(O321=3, P321=1, Q321=1, T321=1), AJ321="no Match"), "CUSM, CHU SJ, CHUQ", "")</f>
      </c>
      <c r="AL321" s="37">
        <f>IF(AND(O322=2, ISBLANK(P322), ISBLANK(Q322), ISBLANK(R322), ISBLANK(S322), ISBLANK(T322)), "CUSM, CHU SJ, CHUS, CHUQ", "")</f>
      </c>
      <c r="AM321" s="37">
        <f>if(and(AJ321="no match", AK321="", AL321="", K321&lt;26), "CUSM, CHU SJ, HGJ, CHUQ, CHUS", "")</f>
      </c>
      <c r="AN321" s="37">
        <f>if(and(AJ321="no match", AK321="", AL321="", K321&gt;26), "CUSM, CHU SJ, HGJ, CHUQ, CHUS, HMR", "")</f>
      </c>
    </row>
    <row x14ac:dyDescent="0.25" r="322" customHeight="1" ht="17.25">
      <c r="A322" s="27" t="s">
        <v>2029</v>
      </c>
      <c r="B322" s="28">
        <v>2</v>
      </c>
      <c r="C322" s="35">
        <v>825</v>
      </c>
      <c r="D322" s="29" t="s">
        <v>77</v>
      </c>
      <c r="E322" s="30" t="s">
        <v>220</v>
      </c>
      <c r="F322" s="31">
        <v>44367</v>
      </c>
      <c r="G322" s="32">
        <v>4.805555555555555</v>
      </c>
      <c r="H322" s="31">
        <v>44367</v>
      </c>
      <c r="I322" s="32">
        <v>4.660416666666666</v>
      </c>
      <c r="J322" s="33">
        <f>F322-H322</f>
      </c>
      <c r="K322" s="28">
        <v>32</v>
      </c>
      <c r="L322" s="28">
        <v>0</v>
      </c>
      <c r="M322" s="28">
        <v>1</v>
      </c>
      <c r="N322" s="38"/>
      <c r="O322" s="38"/>
      <c r="P322" s="38"/>
      <c r="Q322" s="34"/>
      <c r="R322" s="34"/>
      <c r="S322" s="34"/>
      <c r="T322" s="34"/>
      <c r="U322" s="34"/>
      <c r="V322" s="34"/>
      <c r="W322" s="29" t="s">
        <v>74</v>
      </c>
      <c r="X322" s="28">
        <v>34</v>
      </c>
      <c r="Y322" s="28">
        <v>2</v>
      </c>
      <c r="Z322" s="28">
        <v>1</v>
      </c>
      <c r="AA322" s="28">
        <v>2</v>
      </c>
      <c r="AB322" s="28">
        <v>1</v>
      </c>
      <c r="AC322" s="28">
        <v>2</v>
      </c>
      <c r="AD322" s="28">
        <v>2</v>
      </c>
      <c r="AE322" s="28">
        <v>4</v>
      </c>
      <c r="AF322" s="38"/>
      <c r="AG322" s="28">
        <v>2</v>
      </c>
      <c r="AH322" s="29" t="s">
        <v>1320</v>
      </c>
      <c r="AI322" s="36">
        <f>if(or(and(K322&lt;32, J322&lt;2), O322=1, P322=1, Q322=1, R322=1, S322=1, T322=1, U322=1, and(W322&lt;&gt;"", W322&lt;&gt;"Oxygen", W322&lt;&gt;"LowFlow")), "Intensive", "Intermediate")</f>
      </c>
      <c r="AJ322" s="37">
        <f>if(or(left(AH322, 1)="X", left(AH322, 1)="Y", left(AH322, 3)="J0M"), "CUSM", "No Match")</f>
      </c>
      <c r="AK322" s="37">
        <f>if(and(or(O322=3, P322=1, Q322=1, T322=1), AJ322="no Match"), "CUSM, CHU SJ, CHUQ", "")</f>
      </c>
      <c r="AL322" s="37">
        <f>IF(AND(O323=2, ISBLANK(P323), ISBLANK(Q323), ISBLANK(R323), ISBLANK(S323), ISBLANK(T323)), "CUSM, CHU SJ, CHUS, CHUQ", "")</f>
      </c>
      <c r="AM322" s="37">
        <f>if(and(AJ322="no match", AK322="", AL322="", K322&lt;26), "CUSM, CHU SJ, HGJ, CHUQ, CHUS", "")</f>
      </c>
      <c r="AN322" s="37">
        <f>if(and(AJ322="no match", AK322="", AL322="", K322&gt;26), "CUSM, CHU SJ, HGJ, CHUQ, CHUS, HMR", "")</f>
      </c>
    </row>
    <row x14ac:dyDescent="0.25" r="323" customHeight="1" ht="17.25">
      <c r="A323" s="27" t="s">
        <v>2030</v>
      </c>
      <c r="B323" s="28">
        <v>2</v>
      </c>
      <c r="C323" s="28">
        <v>756</v>
      </c>
      <c r="D323" s="29" t="s">
        <v>66</v>
      </c>
      <c r="E323" s="30" t="s">
        <v>78</v>
      </c>
      <c r="F323" s="31">
        <v>44369</v>
      </c>
      <c r="G323" s="32">
        <v>4.03125</v>
      </c>
      <c r="H323" s="31">
        <v>44368</v>
      </c>
      <c r="I323" s="32">
        <v>4.341666666666667</v>
      </c>
      <c r="J323" s="33">
        <f>F323-H323</f>
      </c>
      <c r="K323" s="28">
        <v>36</v>
      </c>
      <c r="L323" s="28">
        <v>0</v>
      </c>
      <c r="M323" s="28">
        <v>1</v>
      </c>
      <c r="N323" s="35">
        <v>1</v>
      </c>
      <c r="O323" s="34"/>
      <c r="P323" s="35">
        <v>1</v>
      </c>
      <c r="Q323" s="34"/>
      <c r="R323" s="34"/>
      <c r="S323" s="34"/>
      <c r="T323" s="34"/>
      <c r="U323" s="34"/>
      <c r="V323" s="34"/>
      <c r="W323" s="29" t="s">
        <v>74</v>
      </c>
      <c r="X323" s="28">
        <v>39</v>
      </c>
      <c r="Y323" s="28">
        <v>1</v>
      </c>
      <c r="Z323" s="28">
        <v>2</v>
      </c>
      <c r="AA323" s="28">
        <v>1</v>
      </c>
      <c r="AB323" s="28">
        <v>1</v>
      </c>
      <c r="AC323" s="28">
        <v>2</v>
      </c>
      <c r="AD323" s="28">
        <v>2</v>
      </c>
      <c r="AE323" s="28">
        <v>4</v>
      </c>
      <c r="AF323" s="28">
        <v>1</v>
      </c>
      <c r="AG323" s="28">
        <v>2</v>
      </c>
      <c r="AH323" s="29" t="s">
        <v>2031</v>
      </c>
      <c r="AI323" s="36">
        <f>if(or(and(K323&lt;32, J323&lt;2), O323=1, P323=1, Q323=1, R323=1, S323=1, T323=1, U323=1, and(W323&lt;&gt;"", W323&lt;&gt;"Oxygen", W323&lt;&gt;"LowFlow")), "Intensive", "Intermediate")</f>
      </c>
      <c r="AJ323" s="37">
        <f>if(or(left(AH323, 1)="X", left(AH323, 1)="Y", left(AH323, 3)="J1M"), "CUSM", "No Match")</f>
      </c>
      <c r="AK323" s="37">
        <f>if(and(or(O323=3, P323=1, Q323=1, T323=1), AJ323="no Match"), "CUSM, CHU SJ, CHUQ", "")</f>
      </c>
      <c r="AL323" s="37">
        <f>IF(AND(O324=2, ISBLANK(P324), ISBLANK(Q324), ISBLANK(R324), ISBLANK(S324), ISBLANK(T324)), "CUSM, CHU SJ, CHUS, CHUQ", "")</f>
      </c>
      <c r="AM323" s="37">
        <f>if(and(AJ323="no match", AK323="", AL323="", K323&lt;26), "CUSM, CHU SJ, HGJ, CHUQ, CHUS", "")</f>
      </c>
      <c r="AN323" s="37">
        <f>if(and(AJ323="no match", AK323="", AL323="", K323&gt;26), "CUSM, CHU SJ, HGJ, CHUQ, CHUS, HMR", "")</f>
      </c>
    </row>
    <row x14ac:dyDescent="0.25" r="324" customHeight="1" ht="17.25">
      <c r="A324" s="27" t="s">
        <v>2032</v>
      </c>
      <c r="B324" s="28">
        <v>2</v>
      </c>
      <c r="C324" s="35">
        <v>734</v>
      </c>
      <c r="D324" s="29" t="s">
        <v>264</v>
      </c>
      <c r="E324" s="30" t="s">
        <v>54</v>
      </c>
      <c r="F324" s="31">
        <v>44370</v>
      </c>
      <c r="G324" s="32">
        <v>4.690972222222222</v>
      </c>
      <c r="H324" s="31">
        <v>44368</v>
      </c>
      <c r="I324" s="32">
        <v>4.202083333333333</v>
      </c>
      <c r="J324" s="33">
        <f>F324-H324</f>
      </c>
      <c r="K324" s="28">
        <v>38</v>
      </c>
      <c r="L324" s="28">
        <v>2</v>
      </c>
      <c r="M324" s="28">
        <v>1</v>
      </c>
      <c r="N324" s="35">
        <v>1</v>
      </c>
      <c r="O324" s="34"/>
      <c r="P324" s="34"/>
      <c r="Q324" s="34"/>
      <c r="R324" s="34"/>
      <c r="S324" s="34"/>
      <c r="T324" s="34"/>
      <c r="U324" s="34"/>
      <c r="V324" s="34"/>
      <c r="W324" s="29"/>
      <c r="X324" s="28">
        <v>31</v>
      </c>
      <c r="Y324" s="28">
        <v>1</v>
      </c>
      <c r="Z324" s="28">
        <v>2</v>
      </c>
      <c r="AA324" s="28">
        <v>1</v>
      </c>
      <c r="AB324" s="28">
        <v>4</v>
      </c>
      <c r="AC324" s="28">
        <v>2</v>
      </c>
      <c r="AD324" s="28">
        <v>3</v>
      </c>
      <c r="AE324" s="28">
        <v>4</v>
      </c>
      <c r="AF324" s="28">
        <v>3</v>
      </c>
      <c r="AG324" s="28">
        <v>2</v>
      </c>
      <c r="AH324" s="29" t="s">
        <v>2033</v>
      </c>
      <c r="AI324" s="36">
        <f>if(or(and(K324&lt;32, J324&lt;2), O324=1, P324=1, Q324=1, R324=1, S324=1, T324=1, U324=1, and(W324&lt;&gt;"", W324&lt;&gt;"Oxygen", W324&lt;&gt;"LowFlow")), "Intensive", "Intermediate")</f>
      </c>
      <c r="AJ324" s="37">
        <f>if(or(left(AH324, 1)="X", left(AH324, 1)="Y", left(AH324, 3)="J2M"), "CUSM", "No Match")</f>
      </c>
      <c r="AK324" s="37">
        <f>if(and(or(O324=3, P324=1, Q324=1, T324=1), AJ324="no Match"), "CUSM, CHU SJ, CHUQ", "")</f>
      </c>
      <c r="AL324" s="37">
        <f>IF(AND(O325=2, ISBLANK(P325), ISBLANK(Q325), ISBLANK(R325), ISBLANK(S325), ISBLANK(T325)), "CUSM, CHU SJ, CHUS, CHUQ", "")</f>
      </c>
      <c r="AM324" s="37">
        <f>if(and(AJ324="no match", AK324="", AL324="", K324&lt;26), "CUSM, CHU SJ, HGJ, CHUQ, CHUS", "")</f>
      </c>
      <c r="AN324" s="37">
        <f>if(and(AJ324="no match", AK324="", AL324="", K324&gt;26), "CUSM, CHU SJ, HGJ, CHUQ, CHUS, HMR", "")</f>
      </c>
    </row>
    <row x14ac:dyDescent="0.25" r="325" customHeight="1" ht="17.25">
      <c r="A325" s="27" t="s">
        <v>2034</v>
      </c>
      <c r="B325" s="28">
        <v>2</v>
      </c>
      <c r="C325" s="35">
        <v>796</v>
      </c>
      <c r="D325" s="29" t="s">
        <v>63</v>
      </c>
      <c r="E325" s="30" t="s">
        <v>54</v>
      </c>
      <c r="F325" s="31">
        <v>44370</v>
      </c>
      <c r="G325" s="32">
        <v>4.840277777777778</v>
      </c>
      <c r="H325" s="31">
        <v>44370</v>
      </c>
      <c r="I325" s="32">
        <v>4.4</v>
      </c>
      <c r="J325" s="33">
        <f>F325-H325</f>
      </c>
      <c r="K325" s="28">
        <v>40</v>
      </c>
      <c r="L325" s="28">
        <v>1</v>
      </c>
      <c r="M325" s="28">
        <v>2</v>
      </c>
      <c r="N325" s="35">
        <v>1</v>
      </c>
      <c r="O325" s="34"/>
      <c r="P325" s="35">
        <v>1</v>
      </c>
      <c r="Q325" s="34"/>
      <c r="R325" s="34"/>
      <c r="S325" s="34"/>
      <c r="T325" s="34"/>
      <c r="U325" s="34"/>
      <c r="V325" s="34"/>
      <c r="W325" s="29"/>
      <c r="X325" s="28">
        <v>20</v>
      </c>
      <c r="Y325" s="28">
        <v>1</v>
      </c>
      <c r="Z325" s="28">
        <v>2</v>
      </c>
      <c r="AA325" s="28">
        <v>2</v>
      </c>
      <c r="AB325" s="28">
        <v>4</v>
      </c>
      <c r="AC325" s="28">
        <v>2</v>
      </c>
      <c r="AD325" s="28">
        <v>2</v>
      </c>
      <c r="AE325" s="28">
        <v>4</v>
      </c>
      <c r="AF325" s="28">
        <v>2</v>
      </c>
      <c r="AG325" s="28">
        <v>2</v>
      </c>
      <c r="AH325" s="29" t="s">
        <v>2035</v>
      </c>
      <c r="AI325" s="36">
        <f>if(or(and(K325&lt;32, J325&lt;2), O325=1, P325=1, Q325=1, R325=1, S325=1, T325=1, U325=1, and(W325&lt;&gt;"", W325&lt;&gt;"Oxygen", W325&lt;&gt;"LowFlow")), "Intensive", "Intermediate")</f>
      </c>
      <c r="AJ325" s="37">
        <f>if(or(left(AH325, 1)="X", left(AH325, 1)="Y", left(AH325, 3)="J3M"), "CUSM", "No Match")</f>
      </c>
      <c r="AK325" s="37">
        <f>if(and(or(O325=3, P325=1, Q325=1, T325=1), AJ325="no Match"), "CUSM, CHU SJ, CHUQ", "")</f>
      </c>
      <c r="AL325" s="37">
        <f>IF(AND(O326=2, ISBLANK(P326), ISBLANK(Q326), ISBLANK(R326), ISBLANK(S326), ISBLANK(T326)), "CUSM, CHU SJ, CHUS, CHUQ", "")</f>
      </c>
      <c r="AM325" s="37">
        <f>if(and(AJ325="no match", AK325="", AL325="", K325&lt;26), "CUSM, CHU SJ, HGJ, CHUQ, CHUS", "")</f>
      </c>
      <c r="AN325" s="37">
        <f>if(and(AJ325="no match", AK325="", AL325="", K325&gt;26), "CUSM, CHU SJ, HGJ, CHUQ, CHUS, HMR", "")</f>
      </c>
    </row>
    <row x14ac:dyDescent="0.25" r="326" customHeight="1" ht="17.25">
      <c r="A326" s="27" t="s">
        <v>2036</v>
      </c>
      <c r="B326" s="28">
        <v>2</v>
      </c>
      <c r="C326" s="35">
        <v>730</v>
      </c>
      <c r="D326" s="29" t="s">
        <v>81</v>
      </c>
      <c r="E326" s="30" t="s">
        <v>78</v>
      </c>
      <c r="F326" s="31">
        <v>44371</v>
      </c>
      <c r="G326" s="32">
        <v>4.260416666666666</v>
      </c>
      <c r="H326" s="31">
        <v>44371</v>
      </c>
      <c r="I326" s="32">
        <v>4.083333333333334</v>
      </c>
      <c r="J326" s="33">
        <f>F326-H326</f>
      </c>
      <c r="K326" s="28">
        <v>37</v>
      </c>
      <c r="L326" s="28">
        <v>4</v>
      </c>
      <c r="M326" s="28">
        <v>1</v>
      </c>
      <c r="N326" s="34"/>
      <c r="O326" s="34"/>
      <c r="P326" s="34"/>
      <c r="Q326" s="34"/>
      <c r="R326" s="34"/>
      <c r="S326" s="34"/>
      <c r="T326" s="34"/>
      <c r="U326" s="34"/>
      <c r="V326" s="34"/>
      <c r="W326" s="29" t="s">
        <v>58</v>
      </c>
      <c r="X326" s="28">
        <v>33</v>
      </c>
      <c r="Y326" s="28">
        <v>1</v>
      </c>
      <c r="Z326" s="28">
        <v>1</v>
      </c>
      <c r="AA326" s="28">
        <v>2</v>
      </c>
      <c r="AB326" s="28">
        <v>1</v>
      </c>
      <c r="AC326" s="28">
        <v>1</v>
      </c>
      <c r="AD326" s="28">
        <v>2</v>
      </c>
      <c r="AE326" s="28">
        <v>4</v>
      </c>
      <c r="AF326" s="28">
        <v>2</v>
      </c>
      <c r="AG326" s="28">
        <v>2</v>
      </c>
      <c r="AH326" s="29" t="s">
        <v>2037</v>
      </c>
      <c r="AI326" s="36">
        <f>if(or(and(K326&lt;32, J326&lt;2), O326=1, P326=1, Q326=1, R326=1, S326=1, T326=1, U326=1, and(W326&lt;&gt;"", W326&lt;&gt;"Oxygen", W326&lt;&gt;"LowFlow")), "Intensive", "Intermediate")</f>
      </c>
      <c r="AJ326" s="37">
        <f>if(or(left(AH326, 1)="X", left(AH326, 1)="Y", left(AH326, 3)="J4M"), "CUSM", "No Match")</f>
      </c>
      <c r="AK326" s="37">
        <f>if(and(or(O326=3, P326=1, Q326=1, T326=1), AJ326="no Match"), "CUSM, CHU SJ, CHUQ", "")</f>
      </c>
      <c r="AL326" s="37">
        <f>IF(AND(O327=2, ISBLANK(P327), ISBLANK(Q327), ISBLANK(R327), ISBLANK(S327), ISBLANK(T327)), "CUSM, CHU SJ, CHUS, CHUQ", "")</f>
      </c>
      <c r="AM326" s="37">
        <f>if(and(AJ326="no match", AK326="", AL326="", K326&lt;26), "CUSM, CHU SJ, HGJ, CHUQ, CHUS", "")</f>
      </c>
      <c r="AN326" s="37">
        <f>if(and(AJ326="no match", AK326="", AL326="", K326&gt;26), "CUSM, CHU SJ, HGJ, CHUQ, CHUS, HMR", "")</f>
      </c>
    </row>
    <row x14ac:dyDescent="0.25" r="327" customHeight="1" ht="17.25">
      <c r="A327" s="27" t="s">
        <v>2038</v>
      </c>
      <c r="B327" s="28">
        <v>2</v>
      </c>
      <c r="C327" s="35">
        <v>835</v>
      </c>
      <c r="D327" s="29" t="s">
        <v>170</v>
      </c>
      <c r="E327" s="30" t="s">
        <v>118</v>
      </c>
      <c r="F327" s="31">
        <v>44372</v>
      </c>
      <c r="G327" s="32">
        <v>4.86875</v>
      </c>
      <c r="H327" s="31">
        <v>44372</v>
      </c>
      <c r="I327" s="32">
        <v>4.767361111111111</v>
      </c>
      <c r="J327" s="33">
        <f>F327-H327</f>
      </c>
      <c r="K327" s="28">
        <v>28</v>
      </c>
      <c r="L327" s="28">
        <v>5</v>
      </c>
      <c r="M327" s="28">
        <v>1</v>
      </c>
      <c r="N327" s="35">
        <v>1</v>
      </c>
      <c r="O327" s="34"/>
      <c r="P327" s="34"/>
      <c r="Q327" s="34"/>
      <c r="R327" s="34"/>
      <c r="S327" s="34"/>
      <c r="T327" s="34"/>
      <c r="U327" s="34"/>
      <c r="V327" s="34"/>
      <c r="W327" s="29" t="s">
        <v>164</v>
      </c>
      <c r="X327" s="28">
        <v>34</v>
      </c>
      <c r="Y327" s="28">
        <v>1</v>
      </c>
      <c r="Z327" s="28">
        <v>2</v>
      </c>
      <c r="AA327" s="28">
        <v>2</v>
      </c>
      <c r="AB327" s="28">
        <v>1</v>
      </c>
      <c r="AC327" s="28">
        <v>2</v>
      </c>
      <c r="AD327" s="28">
        <v>1</v>
      </c>
      <c r="AE327" s="28">
        <v>4</v>
      </c>
      <c r="AF327" s="28">
        <v>2</v>
      </c>
      <c r="AG327" s="28">
        <v>2</v>
      </c>
      <c r="AH327" s="29" t="s">
        <v>2039</v>
      </c>
      <c r="AI327" s="36">
        <f>if(or(and(K327&lt;32, J327&lt;2), O327=1, P327=1, Q327=1, R327=1, S327=1, T327=1, U327=1, and(W327&lt;&gt;"", W327&lt;&gt;"Oxygen", W327&lt;&gt;"LowFlow")), "Intensive", "Intermediate")</f>
      </c>
      <c r="AJ327" s="37">
        <f>if(or(left(AH327, 1)="X", left(AH327, 1)="Y", left(AH327, 3)="J5M"), "CUSM", "No Match")</f>
      </c>
      <c r="AK327" s="37">
        <f>if(and(or(O327=3, P327=1, Q327=1, T327=1), AJ327="no Match"), "CUSM, CHU SJ, CHUQ", "")</f>
      </c>
      <c r="AL327" s="37">
        <f>IF(AND(O328=2, ISBLANK(P328), ISBLANK(Q328), ISBLANK(R328), ISBLANK(S328), ISBLANK(T328)), "CUSM, CHU SJ, CHUS, CHUQ", "")</f>
      </c>
      <c r="AM327" s="37">
        <f>if(and(AJ327="no match", AK327="", AL327="", K327&lt;26), "CUSM, CHU SJ, HGJ, CHUQ, CHUS", "")</f>
      </c>
      <c r="AN327" s="37">
        <f>if(and(AJ327="no match", AK327="", AL327="", K327&gt;26), "CUSM, CHU SJ, HGJ, CHUQ, CHUS, HMR", "")</f>
      </c>
    </row>
    <row x14ac:dyDescent="0.25" r="328" customHeight="1" ht="17.25">
      <c r="A328" s="27" t="s">
        <v>2040</v>
      </c>
      <c r="B328" s="28">
        <v>2</v>
      </c>
      <c r="C328" s="35">
        <v>731</v>
      </c>
      <c r="D328" s="29" t="s">
        <v>103</v>
      </c>
      <c r="E328" s="30" t="s">
        <v>50</v>
      </c>
      <c r="F328" s="31">
        <v>44372</v>
      </c>
      <c r="G328" s="32">
        <v>4.232638888888889</v>
      </c>
      <c r="H328" s="31">
        <v>44371</v>
      </c>
      <c r="I328" s="32">
        <v>4.913194444444445</v>
      </c>
      <c r="J328" s="33">
        <f>F328-H328</f>
      </c>
      <c r="K328" s="28">
        <v>39</v>
      </c>
      <c r="L328" s="28">
        <v>4</v>
      </c>
      <c r="M328" s="28">
        <v>2</v>
      </c>
      <c r="N328" s="34"/>
      <c r="O328" s="34"/>
      <c r="P328" s="34"/>
      <c r="Q328" s="34"/>
      <c r="R328" s="34"/>
      <c r="S328" s="34"/>
      <c r="T328" s="35">
        <v>1</v>
      </c>
      <c r="U328" s="34"/>
      <c r="V328" s="34"/>
      <c r="W328" s="29" t="s">
        <v>74</v>
      </c>
      <c r="X328" s="28">
        <v>31</v>
      </c>
      <c r="Y328" s="28">
        <v>1</v>
      </c>
      <c r="Z328" s="28">
        <v>1</v>
      </c>
      <c r="AA328" s="28">
        <v>3</v>
      </c>
      <c r="AB328" s="28">
        <v>1</v>
      </c>
      <c r="AC328" s="28">
        <v>2</v>
      </c>
      <c r="AD328" s="28">
        <v>2</v>
      </c>
      <c r="AE328" s="28">
        <v>4</v>
      </c>
      <c r="AF328" s="28">
        <v>2</v>
      </c>
      <c r="AG328" s="28">
        <v>2</v>
      </c>
      <c r="AH328" s="29" t="s">
        <v>2041</v>
      </c>
      <c r="AI328" s="36">
        <f>if(or(and(K328&lt;32, J328&lt;2), O328=1, P328=1, Q328=1, R328=1, S328=1, T328=1, U328=1, and(W328&lt;&gt;"", W328&lt;&gt;"Oxygen", W328&lt;&gt;"LowFlow")), "Intensive", "Intermediate")</f>
      </c>
      <c r="AJ328" s="37">
        <f>if(or(left(AH328, 1)="X", left(AH328, 1)="Y", left(AH328, 3)="J6M"), "CUSM", "No Match")</f>
      </c>
      <c r="AK328" s="37">
        <f>if(and(or(O328=3, P328=1, Q328=1, T328=1), AJ328="no Match"), "CUSM, CHU SJ, CHUQ", "")</f>
      </c>
      <c r="AL328" s="37">
        <f>IF(AND(O329=2, ISBLANK(P329), ISBLANK(Q329), ISBLANK(R329), ISBLANK(S329), ISBLANK(T329)), "CUSM, CHU SJ, CHUS, CHUQ", "")</f>
      </c>
      <c r="AM328" s="37">
        <f>if(and(AJ328="no match", AK328="", AL328="", K328&lt;26), "CUSM, CHU SJ, HGJ, CHUQ, CHUS", "")</f>
      </c>
      <c r="AN328" s="37">
        <f>if(and(AJ328="no match", AK328="", AL328="", K328&gt;26), "CUSM, CHU SJ, HGJ, CHUQ, CHUS, HMR", "")</f>
      </c>
    </row>
    <row x14ac:dyDescent="0.25" r="329" customHeight="1" ht="17.25">
      <c r="A329" s="27" t="s">
        <v>2042</v>
      </c>
      <c r="B329" s="28">
        <v>2</v>
      </c>
      <c r="C329" s="35">
        <v>796</v>
      </c>
      <c r="D329" s="29" t="s">
        <v>63</v>
      </c>
      <c r="E329" s="30" t="s">
        <v>50</v>
      </c>
      <c r="F329" s="31">
        <v>44373</v>
      </c>
      <c r="G329" s="32">
        <v>4.166666666666666</v>
      </c>
      <c r="H329" s="31">
        <v>44371</v>
      </c>
      <c r="I329" s="32">
        <v>4.699305555555556</v>
      </c>
      <c r="J329" s="33">
        <f>F329-H329</f>
      </c>
      <c r="K329" s="28">
        <v>39</v>
      </c>
      <c r="L329" s="28">
        <v>2</v>
      </c>
      <c r="M329" s="28">
        <v>2</v>
      </c>
      <c r="N329" s="34"/>
      <c r="O329" s="34"/>
      <c r="P329" s="34"/>
      <c r="Q329" s="34"/>
      <c r="R329" s="34"/>
      <c r="S329" s="34"/>
      <c r="T329" s="34"/>
      <c r="U329" s="34"/>
      <c r="V329" s="34"/>
      <c r="W329" s="29"/>
      <c r="X329" s="28">
        <v>24</v>
      </c>
      <c r="Y329" s="28">
        <v>1</v>
      </c>
      <c r="Z329" s="28">
        <v>1</v>
      </c>
      <c r="AA329" s="28">
        <v>2</v>
      </c>
      <c r="AB329" s="28">
        <v>1</v>
      </c>
      <c r="AC329" s="28">
        <v>2</v>
      </c>
      <c r="AD329" s="28">
        <v>2</v>
      </c>
      <c r="AE329" s="28">
        <v>4</v>
      </c>
      <c r="AF329" s="28">
        <v>2</v>
      </c>
      <c r="AG329" s="28">
        <v>2</v>
      </c>
      <c r="AH329" s="29" t="s">
        <v>2043</v>
      </c>
      <c r="AI329" s="36">
        <f>if(or(and(K329&lt;32, J329&lt;2), O329=1, P329=1, Q329=1, R329=1, S329=1, T329=1, U329=1, and(W329&lt;&gt;"", W329&lt;&gt;"Oxygen", W329&lt;&gt;"LowFlow")), "Intensive", "Intermediate")</f>
      </c>
      <c r="AJ329" s="37">
        <f>if(or(left(AH329, 1)="X", left(AH329, 1)="Y", left(AH329, 3)="J7M"), "CUSM", "No Match")</f>
      </c>
      <c r="AK329" s="37">
        <f>if(and(or(O329=3, P329=1, Q329=1, T329=1), AJ329="no Match"), "CUSM, CHU SJ, CHUQ", "")</f>
      </c>
      <c r="AL329" s="37">
        <f>IF(AND(O330=2, ISBLANK(P330), ISBLANK(Q330), ISBLANK(R330), ISBLANK(S330), ISBLANK(T330)), "CUSM, CHU SJ, CHUS, CHUQ", "")</f>
      </c>
      <c r="AM329" s="37">
        <f>if(and(AJ329="no match", AK329="", AL329="", K329&lt;26), "CUSM, CHU SJ, HGJ, CHUQ, CHUS", "")</f>
      </c>
      <c r="AN329" s="37">
        <f>if(and(AJ329="no match", AK329="", AL329="", K329&gt;26), "CUSM, CHU SJ, HGJ, CHUQ, CHUS, HMR", "")</f>
      </c>
    </row>
    <row x14ac:dyDescent="0.25" r="330" customHeight="1" ht="17.25">
      <c r="A330" s="27" t="s">
        <v>2044</v>
      </c>
      <c r="B330" s="28">
        <v>2</v>
      </c>
      <c r="C330" s="35">
        <v>782</v>
      </c>
      <c r="D330" s="29" t="s">
        <v>95</v>
      </c>
      <c r="E330" s="30" t="s">
        <v>50</v>
      </c>
      <c r="F330" s="31">
        <v>44373</v>
      </c>
      <c r="G330" s="32">
        <v>4.84375</v>
      </c>
      <c r="H330" s="31">
        <v>44373</v>
      </c>
      <c r="I330" s="32">
        <v>4.676388888888889</v>
      </c>
      <c r="J330" s="33">
        <f>F330-H330</f>
      </c>
      <c r="K330" s="28">
        <v>36</v>
      </c>
      <c r="L330" s="28">
        <v>4</v>
      </c>
      <c r="M330" s="28">
        <v>2</v>
      </c>
      <c r="N330" s="34"/>
      <c r="O330" s="34"/>
      <c r="P330" s="34"/>
      <c r="Q330" s="34"/>
      <c r="R330" s="34"/>
      <c r="S330" s="34"/>
      <c r="T330" s="34"/>
      <c r="U330" s="34"/>
      <c r="V330" s="34"/>
      <c r="W330" s="29" t="s">
        <v>58</v>
      </c>
      <c r="X330" s="28">
        <v>36</v>
      </c>
      <c r="Y330" s="28">
        <v>1</v>
      </c>
      <c r="Z330" s="28">
        <v>2</v>
      </c>
      <c r="AA330" s="28">
        <v>2</v>
      </c>
      <c r="AB330" s="28">
        <v>1</v>
      </c>
      <c r="AC330" s="28">
        <v>2</v>
      </c>
      <c r="AD330" s="28">
        <v>2</v>
      </c>
      <c r="AE330" s="28">
        <v>4</v>
      </c>
      <c r="AF330" s="28">
        <v>2</v>
      </c>
      <c r="AG330" s="28">
        <v>2</v>
      </c>
      <c r="AH330" s="29" t="s">
        <v>2045</v>
      </c>
      <c r="AI330" s="36">
        <f>if(or(and(K330&lt;32, J330&lt;2), O330=1, P330=1, Q330=1, R330=1, S330=1, T330=1, U330=1, and(W330&lt;&gt;"", W330&lt;&gt;"Oxygen", W330&lt;&gt;"LowFlow")), "Intensive", "Intermediate")</f>
      </c>
      <c r="AJ330" s="37">
        <f>if(or(left(AH330, 1)="X", left(AH330, 1)="Y", left(AH330, 3)="J8M"), "CUSM", "No Match")</f>
      </c>
      <c r="AK330" s="37">
        <f>if(and(or(O330=3, P330=1, Q330=1, T330=1), AJ330="no Match"), "CUSM, CHU SJ, CHUQ", "")</f>
      </c>
      <c r="AL330" s="37">
        <f>IF(AND(O331=2, ISBLANK(P331), ISBLANK(Q331), ISBLANK(R331), ISBLANK(S331), ISBLANK(T331)), "CUSM, CHU SJ, CHUS, CHUQ", "")</f>
      </c>
      <c r="AM330" s="37">
        <f>if(and(AJ330="no match", AK330="", AL330="", K330&lt;26), "CUSM, CHU SJ, HGJ, CHUQ, CHUS", "")</f>
      </c>
      <c r="AN330" s="37">
        <f>if(and(AJ330="no match", AK330="", AL330="", K330&gt;26), "CUSM, CHU SJ, HGJ, CHUQ, CHUS, HMR", "")</f>
      </c>
    </row>
    <row x14ac:dyDescent="0.25" r="331" customHeight="1" ht="17.25">
      <c r="A331" s="27" t="s">
        <v>2046</v>
      </c>
      <c r="B331" s="28">
        <v>2</v>
      </c>
      <c r="C331" s="35">
        <v>856</v>
      </c>
      <c r="D331" s="29" t="s">
        <v>674</v>
      </c>
      <c r="E331" s="30" t="s">
        <v>50</v>
      </c>
      <c r="F331" s="31">
        <v>44374</v>
      </c>
      <c r="G331" s="32">
        <v>4.694444444444445</v>
      </c>
      <c r="H331" s="31">
        <v>44374</v>
      </c>
      <c r="I331" s="32">
        <v>4.452083333333333</v>
      </c>
      <c r="J331" s="33">
        <f>F331-H331</f>
      </c>
      <c r="K331" s="28">
        <v>39</v>
      </c>
      <c r="L331" s="28">
        <v>1</v>
      </c>
      <c r="M331" s="28">
        <v>1</v>
      </c>
      <c r="N331" s="35">
        <v>1</v>
      </c>
      <c r="O331" s="34"/>
      <c r="P331" s="34"/>
      <c r="Q331" s="34"/>
      <c r="R331" s="34"/>
      <c r="S331" s="34"/>
      <c r="T331" s="34"/>
      <c r="U331" s="34"/>
      <c r="V331" s="34"/>
      <c r="W331" s="29"/>
      <c r="X331" s="28">
        <v>40</v>
      </c>
      <c r="Y331" s="28">
        <v>1</v>
      </c>
      <c r="Z331" s="28">
        <v>1</v>
      </c>
      <c r="AA331" s="28">
        <v>2</v>
      </c>
      <c r="AB331" s="28">
        <v>1</v>
      </c>
      <c r="AC331" s="28">
        <v>2</v>
      </c>
      <c r="AD331" s="28">
        <v>2</v>
      </c>
      <c r="AE331" s="28">
        <v>4</v>
      </c>
      <c r="AF331" s="28">
        <v>2</v>
      </c>
      <c r="AG331" s="28">
        <v>2</v>
      </c>
      <c r="AH331" s="29" t="s">
        <v>2047</v>
      </c>
      <c r="AI331" s="36">
        <f>if(or(and(K331&lt;32, J331&lt;2), O331=1, P331=1, Q331=1, R331=1, S331=1, T331=1, U331=1, and(W331&lt;&gt;"", W331&lt;&gt;"Oxygen", W331&lt;&gt;"LowFlow")), "Intensive", "Intermediate")</f>
      </c>
      <c r="AJ331" s="37">
        <f>if(or(left(AH331, 1)="X", left(AH331, 1)="Y", left(AH331, 3)="J9M"), "CUSM", "No Match")</f>
      </c>
      <c r="AK331" s="37">
        <f>if(and(or(O331=3, P331=1, Q331=1, T331=1), AJ331="no Match"), "CUSM, CHU SJ, CHUQ", "")</f>
      </c>
      <c r="AL331" s="37">
        <f>IF(AND(O332=2, ISBLANK(P332), ISBLANK(Q332), ISBLANK(R332), ISBLANK(S332), ISBLANK(T332)), "CUSM, CHU SJ, CHUS, CHUQ", "")</f>
      </c>
      <c r="AM331" s="37">
        <f>if(and(AJ331="no match", AK331="", AL331="", K331&lt;26), "CUSM, CHU SJ, HGJ, CHUQ, CHUS", "")</f>
      </c>
      <c r="AN331" s="37">
        <f>if(and(AJ331="no match", AK331="", AL331="", K331&gt;26), "CUSM, CHU SJ, HGJ, CHUQ, CHUS, HMR", "")</f>
      </c>
    </row>
    <row x14ac:dyDescent="0.25" r="332" customHeight="1" ht="17.25">
      <c r="A332" s="27" t="s">
        <v>2048</v>
      </c>
      <c r="B332" s="28">
        <v>2</v>
      </c>
      <c r="C332" s="35">
        <v>782</v>
      </c>
      <c r="D332" s="29" t="s">
        <v>95</v>
      </c>
      <c r="E332" s="30" t="s">
        <v>50</v>
      </c>
      <c r="F332" s="31">
        <v>44374</v>
      </c>
      <c r="G332" s="32">
        <v>4.524305555555555</v>
      </c>
      <c r="H332" s="31">
        <v>44372</v>
      </c>
      <c r="I332" s="32">
        <v>4.534722222222222</v>
      </c>
      <c r="J332" s="33">
        <f>F332-H332</f>
      </c>
      <c r="K332" s="28">
        <v>38</v>
      </c>
      <c r="L332" s="28">
        <v>1</v>
      </c>
      <c r="M332" s="28">
        <v>2</v>
      </c>
      <c r="N332" s="34"/>
      <c r="O332" s="38"/>
      <c r="P332" s="34"/>
      <c r="Q332" s="34"/>
      <c r="R332" s="34"/>
      <c r="S332" s="34"/>
      <c r="T332" s="34"/>
      <c r="U332" s="34"/>
      <c r="V332" s="34"/>
      <c r="W332" s="29"/>
      <c r="X332" s="28">
        <v>34</v>
      </c>
      <c r="Y332" s="28">
        <v>1</v>
      </c>
      <c r="Z332" s="28">
        <v>2</v>
      </c>
      <c r="AA332" s="28">
        <v>1</v>
      </c>
      <c r="AB332" s="28">
        <v>1</v>
      </c>
      <c r="AC332" s="28">
        <v>2</v>
      </c>
      <c r="AD332" s="28">
        <v>1</v>
      </c>
      <c r="AE332" s="28">
        <v>4</v>
      </c>
      <c r="AF332" s="28">
        <v>2</v>
      </c>
      <c r="AG332" s="28">
        <v>2</v>
      </c>
      <c r="AH332" s="29" t="s">
        <v>2049</v>
      </c>
      <c r="AI332" s="36">
        <f>if(or(and(K332&lt;32, J332&lt;2), O332=1, P332=1, Q332=1, R332=1, S332=1, T332=1, U332=1, and(W332&lt;&gt;"", W332&lt;&gt;"Oxygen", W332&lt;&gt;"LowFlow")), "Intensive", "Intermediate")</f>
      </c>
      <c r="AJ332" s="37">
        <f>if(or(left(AH332, 1)="X", left(AH332, 1)="Y", left(AH332, 3)="J10M"), "CUSM", "No Match")</f>
      </c>
      <c r="AK332" s="37">
        <f>if(and(or(O332=3, P332=1, Q332=1, T332=1), AJ332="no Match"), "CUSM, CHU SJ, CHUQ", "")</f>
      </c>
      <c r="AL332" s="37">
        <f>IF(AND(O333=2, ISBLANK(P333), ISBLANK(Q333), ISBLANK(R333), ISBLANK(S333), ISBLANK(T333)), "CUSM, CHU SJ, CHUS, CHUQ", "")</f>
      </c>
      <c r="AM332" s="37">
        <f>if(and(AJ332="no match", AK332="", AL332="", K332&lt;26), "CUSM, CHU SJ, HGJ, CHUQ, CHUS", "")</f>
      </c>
      <c r="AN332" s="37">
        <f>if(and(AJ332="no match", AK332="", AL332="", K332&gt;26), "CUSM, CHU SJ, HGJ, CHUQ, CHUS, HMR", "")</f>
      </c>
    </row>
    <row x14ac:dyDescent="0.25" r="333" customHeight="1" ht="17.25">
      <c r="A333" s="27" t="s">
        <v>2050</v>
      </c>
      <c r="B333" s="28">
        <v>2</v>
      </c>
      <c r="C333" s="35">
        <v>839</v>
      </c>
      <c r="D333" s="29" t="s">
        <v>53</v>
      </c>
      <c r="E333" s="30" t="s">
        <v>54</v>
      </c>
      <c r="F333" s="31">
        <v>44375</v>
      </c>
      <c r="G333" s="32">
        <v>4</v>
      </c>
      <c r="H333" s="31">
        <v>44373</v>
      </c>
      <c r="I333" s="32">
        <v>4.180555555555555</v>
      </c>
      <c r="J333" s="33">
        <f>F333-H333</f>
      </c>
      <c r="K333" s="28">
        <v>38</v>
      </c>
      <c r="L333" s="28">
        <v>0</v>
      </c>
      <c r="M333" s="28">
        <v>1</v>
      </c>
      <c r="N333" s="34"/>
      <c r="O333" s="34"/>
      <c r="P333" s="34"/>
      <c r="Q333" s="34"/>
      <c r="R333" s="34"/>
      <c r="S333" s="34"/>
      <c r="T333" s="34"/>
      <c r="U333" s="34"/>
      <c r="V333" s="34"/>
      <c r="W333" s="29"/>
      <c r="X333" s="28">
        <v>29</v>
      </c>
      <c r="Y333" s="28">
        <v>1</v>
      </c>
      <c r="Z333" s="28">
        <v>1</v>
      </c>
      <c r="AA333" s="28">
        <v>2</v>
      </c>
      <c r="AB333" s="28">
        <v>1</v>
      </c>
      <c r="AC333" s="28">
        <v>1</v>
      </c>
      <c r="AD333" s="28">
        <v>2</v>
      </c>
      <c r="AE333" s="28">
        <v>4</v>
      </c>
      <c r="AF333" s="28">
        <v>2</v>
      </c>
      <c r="AG333" s="28">
        <v>2</v>
      </c>
      <c r="AH333" s="29" t="s">
        <v>2051</v>
      </c>
      <c r="AI333" s="36">
        <f>if(or(and(K333&lt;32, J333&lt;2), O333=1, P333=1, Q333=1, R333=1, S333=1, T333=1, U333=1, and(W333&lt;&gt;"", W333&lt;&gt;"Oxygen", W333&lt;&gt;"LowFlow")), "Intensive", "Intermediate")</f>
      </c>
      <c r="AJ333" s="37">
        <f>if(or(left(AH333, 1)="X", left(AH333, 1)="Y", left(AH333, 3)="J11M"), "CUSM", "No Match")</f>
      </c>
      <c r="AK333" s="37">
        <f>if(and(or(O333=3, P333=1, Q333=1, T333=1), AJ333="no Match"), "CUSM, CHU SJ, CHUQ", "")</f>
      </c>
      <c r="AL333" s="37">
        <f>IF(AND(O334=2, ISBLANK(P334), ISBLANK(Q334), ISBLANK(R334), ISBLANK(S334), ISBLANK(T334)), "CUSM, CHU SJ, CHUS, CHUQ", "")</f>
      </c>
      <c r="AM333" s="37">
        <f>if(and(AJ333="no match", AK333="", AL333="", K333&lt;26), "CUSM, CHU SJ, HGJ, CHUQ, CHUS", "")</f>
      </c>
      <c r="AN333" s="37">
        <f>if(and(AJ333="no match", AK333="", AL333="", K333&gt;26), "CUSM, CHU SJ, HGJ, CHUQ, CHUS, HMR", "")</f>
      </c>
    </row>
    <row x14ac:dyDescent="0.25" r="334" customHeight="1" ht="17.25">
      <c r="A334" s="27" t="s">
        <v>2052</v>
      </c>
      <c r="B334" s="28">
        <v>2</v>
      </c>
      <c r="C334" s="28">
        <v>779</v>
      </c>
      <c r="D334" s="29" t="s">
        <v>136</v>
      </c>
      <c r="E334" s="30" t="s">
        <v>54</v>
      </c>
      <c r="F334" s="31">
        <v>44375</v>
      </c>
      <c r="G334" s="32">
        <v>4.899305555555555</v>
      </c>
      <c r="H334" s="31">
        <v>44374</v>
      </c>
      <c r="I334" s="32">
        <v>4.902083333333334</v>
      </c>
      <c r="J334" s="33">
        <f>F334-H334</f>
      </c>
      <c r="K334" s="28">
        <v>41</v>
      </c>
      <c r="L334" s="28">
        <v>1</v>
      </c>
      <c r="M334" s="28">
        <v>1</v>
      </c>
      <c r="N334" s="38"/>
      <c r="O334" s="34"/>
      <c r="P334" s="34"/>
      <c r="Q334" s="38"/>
      <c r="R334" s="34"/>
      <c r="S334" s="34"/>
      <c r="T334" s="34"/>
      <c r="U334" s="34"/>
      <c r="V334" s="34"/>
      <c r="W334" s="29"/>
      <c r="X334" s="28">
        <v>26</v>
      </c>
      <c r="Y334" s="28">
        <v>1</v>
      </c>
      <c r="Z334" s="28">
        <v>1</v>
      </c>
      <c r="AA334" s="28">
        <v>2</v>
      </c>
      <c r="AB334" s="28">
        <v>2</v>
      </c>
      <c r="AC334" s="28">
        <v>2</v>
      </c>
      <c r="AD334" s="28">
        <v>2</v>
      </c>
      <c r="AE334" s="28">
        <v>4</v>
      </c>
      <c r="AF334" s="28">
        <v>2</v>
      </c>
      <c r="AG334" s="28">
        <v>2</v>
      </c>
      <c r="AH334" s="29" t="s">
        <v>143</v>
      </c>
      <c r="AI334" s="36">
        <f>if(or(and(K334&lt;32, J334&lt;2), O334=1, P334=1, Q334=1, R334=1, S334=1, T334=1, U334=1, and(W334&lt;&gt;"", W334&lt;&gt;"Oxygen", W334&lt;&gt;"LowFlow")), "Intensive", "Intermediate")</f>
      </c>
      <c r="AJ334" s="37">
        <f>if(or(left(AH334, 1)="X", left(AH334, 1)="Y", left(AH334, 3)="J12M"), "CUSM", "No Match")</f>
      </c>
      <c r="AK334" s="37">
        <f>if(and(or(O334=3, P334=1, Q334=1, T334=1), AJ334="no Match"), "CUSM, CHU SJ, CHUQ", "")</f>
      </c>
      <c r="AL334" s="37">
        <f>IF(AND(O335=2, ISBLANK(P335), ISBLANK(Q335), ISBLANK(R335), ISBLANK(S335), ISBLANK(T335)), "CUSM, CHU SJ, CHUS, CHUQ", "")</f>
      </c>
      <c r="AM334" s="37">
        <f>if(and(AJ334="no match", AK334="", AL334="", K334&lt;26), "CUSM, CHU SJ, HGJ, CHUQ, CHUS", "")</f>
      </c>
      <c r="AN334" s="37">
        <f>if(and(AJ334="no match", AK334="", AL334="", K334&gt;26), "CUSM, CHU SJ, HGJ, CHUQ, CHUS, HMR", "")</f>
      </c>
    </row>
    <row x14ac:dyDescent="0.25" r="335" customHeight="1" ht="17.25">
      <c r="A335" s="27" t="s">
        <v>2053</v>
      </c>
      <c r="B335" s="28">
        <v>2</v>
      </c>
      <c r="C335" s="35">
        <v>776</v>
      </c>
      <c r="D335" s="29" t="s">
        <v>84</v>
      </c>
      <c r="E335" s="30" t="s">
        <v>54</v>
      </c>
      <c r="F335" s="31">
        <v>44375</v>
      </c>
      <c r="G335" s="32">
        <v>4.84375</v>
      </c>
      <c r="H335" s="31">
        <v>44372</v>
      </c>
      <c r="I335" s="32">
        <v>4.370138888888889</v>
      </c>
      <c r="J335" s="33">
        <f>F335-H335</f>
      </c>
      <c r="K335" s="28">
        <v>38</v>
      </c>
      <c r="L335" s="28">
        <v>5</v>
      </c>
      <c r="M335" s="28">
        <v>1</v>
      </c>
      <c r="N335" s="35">
        <v>1</v>
      </c>
      <c r="O335" s="35">
        <v>2</v>
      </c>
      <c r="P335" s="35">
        <v>1</v>
      </c>
      <c r="Q335" s="34"/>
      <c r="R335" s="34"/>
      <c r="S335" s="34"/>
      <c r="T335" s="34"/>
      <c r="U335" s="34"/>
      <c r="V335" s="34"/>
      <c r="W335" s="29"/>
      <c r="X335" s="28">
        <v>31</v>
      </c>
      <c r="Y335" s="28">
        <v>1</v>
      </c>
      <c r="Z335" s="28">
        <v>2</v>
      </c>
      <c r="AA335" s="28">
        <v>3</v>
      </c>
      <c r="AB335" s="28">
        <v>4</v>
      </c>
      <c r="AC335" s="28">
        <v>2</v>
      </c>
      <c r="AD335" s="28">
        <v>2</v>
      </c>
      <c r="AE335" s="28">
        <v>4</v>
      </c>
      <c r="AF335" s="35">
        <v>2</v>
      </c>
      <c r="AG335" s="28">
        <v>2</v>
      </c>
      <c r="AH335" s="29" t="s">
        <v>2054</v>
      </c>
      <c r="AI335" s="36">
        <f>if(or(and(K335&lt;32, J335&lt;2), O335=1, P335=1, Q335=1, R335=1, S335=1, T335=1, U335=1, and(W335&lt;&gt;"", W335&lt;&gt;"Oxygen", W335&lt;&gt;"LowFlow")), "Intensive", "Intermediate")</f>
      </c>
      <c r="AJ335" s="37">
        <f>if(or(left(AH335, 1)="X", left(AH335, 1)="Y", left(AH335, 3)="J13M"), "CUSM", "No Match")</f>
      </c>
      <c r="AK335" s="37">
        <f>if(and(or(O335=3, P335=1, Q335=1, T335=1), AJ335="no Match"), "CUSM, CHU SJ, CHUQ", "")</f>
      </c>
      <c r="AL335" s="37">
        <f>IF(AND(O336=2, ISBLANK(P336), ISBLANK(Q336), ISBLANK(R336), ISBLANK(S336), ISBLANK(T336)), "CUSM, CHU SJ, CHUS, CHUQ", "")</f>
      </c>
      <c r="AM335" s="37">
        <f>if(and(AJ335="no match", AK335="", AL335="", K335&lt;26), "CUSM, CHU SJ, HGJ, CHUQ, CHUS", "")</f>
      </c>
      <c r="AN335" s="37">
        <f>if(and(AJ335="no match", AK335="", AL335="", K335&gt;26), "CUSM, CHU SJ, HGJ, CHUQ, CHUS, HMR", "")</f>
      </c>
    </row>
    <row x14ac:dyDescent="0.25" r="336" customHeight="1" ht="17.25">
      <c r="A336" s="27" t="s">
        <v>2055</v>
      </c>
      <c r="B336" s="28">
        <v>2</v>
      </c>
      <c r="C336" s="35">
        <v>825</v>
      </c>
      <c r="D336" s="29" t="s">
        <v>77</v>
      </c>
      <c r="E336" s="30" t="s">
        <v>54</v>
      </c>
      <c r="F336" s="31">
        <v>44376</v>
      </c>
      <c r="G336" s="32">
        <v>4.565972222222222</v>
      </c>
      <c r="H336" s="31">
        <v>44375</v>
      </c>
      <c r="I336" s="32">
        <v>4.153472222222222</v>
      </c>
      <c r="J336" s="33">
        <f>F336-H336</f>
      </c>
      <c r="K336" s="28">
        <v>39</v>
      </c>
      <c r="L336" s="28">
        <v>5</v>
      </c>
      <c r="M336" s="28">
        <v>2</v>
      </c>
      <c r="N336" s="38"/>
      <c r="O336" s="35">
        <v>2</v>
      </c>
      <c r="P336" s="35">
        <v>1</v>
      </c>
      <c r="Q336" s="34"/>
      <c r="R336" s="34"/>
      <c r="S336" s="34"/>
      <c r="T336" s="34"/>
      <c r="U336" s="34"/>
      <c r="V336" s="34"/>
      <c r="W336" s="29"/>
      <c r="X336" s="28">
        <v>20</v>
      </c>
      <c r="Y336" s="28">
        <v>1</v>
      </c>
      <c r="Z336" s="28">
        <v>1</v>
      </c>
      <c r="AA336" s="28">
        <v>2</v>
      </c>
      <c r="AB336" s="28">
        <v>1</v>
      </c>
      <c r="AC336" s="28">
        <v>2</v>
      </c>
      <c r="AD336" s="28">
        <v>2</v>
      </c>
      <c r="AE336" s="28">
        <v>4</v>
      </c>
      <c r="AF336" s="28">
        <v>2</v>
      </c>
      <c r="AG336" s="28">
        <v>2</v>
      </c>
      <c r="AH336" s="29" t="s">
        <v>2056</v>
      </c>
      <c r="AI336" s="36">
        <f>if(or(and(K336&lt;32, J336&lt;2), O336=1, P336=1, Q336=1, R336=1, S336=1, T336=1, U336=1, and(W336&lt;&gt;"", W336&lt;&gt;"Oxygen", W336&lt;&gt;"LowFlow")), "Intensive", "Intermediate")</f>
      </c>
      <c r="AJ336" s="37">
        <f>if(or(left(AH336, 1)="X", left(AH336, 1)="Y", left(AH336, 3)="J14M"), "CUSM", "No Match")</f>
      </c>
      <c r="AK336" s="37">
        <f>if(and(or(O336=3, P336=1, Q336=1, T336=1), AJ336="no Match"), "CUSM, CHU SJ, CHUQ", "")</f>
      </c>
      <c r="AL336" s="37">
        <f>IF(AND(O337=2, ISBLANK(P337), ISBLANK(Q337), ISBLANK(R337), ISBLANK(S337), ISBLANK(T337)), "CUSM, CHU SJ, CHUS, CHUQ", "")</f>
      </c>
      <c r="AM336" s="37">
        <f>if(and(AJ336="no match", AK336="", AL336="", K336&lt;26), "CUSM, CHU SJ, HGJ, CHUQ, CHUS", "")</f>
      </c>
      <c r="AN336" s="37">
        <f>if(and(AJ336="no match", AK336="", AL336="", K336&gt;26), "CUSM, CHU SJ, HGJ, CHUQ, CHUS, HMR", "")</f>
      </c>
    </row>
    <row x14ac:dyDescent="0.25" r="337" customHeight="1" ht="17.25">
      <c r="A337" s="27" t="s">
        <v>2057</v>
      </c>
      <c r="B337" s="28">
        <v>2</v>
      </c>
      <c r="C337" s="35">
        <v>779</v>
      </c>
      <c r="D337" s="29" t="s">
        <v>136</v>
      </c>
      <c r="E337" s="30" t="s">
        <v>78</v>
      </c>
      <c r="F337" s="31">
        <v>44377</v>
      </c>
      <c r="G337" s="32">
        <v>4.5</v>
      </c>
      <c r="H337" s="31">
        <v>44376</v>
      </c>
      <c r="I337" s="32">
        <v>4.5680555555555555</v>
      </c>
      <c r="J337" s="33">
        <f>F337-H337</f>
      </c>
      <c r="K337" s="28">
        <v>38</v>
      </c>
      <c r="L337" s="28">
        <v>0</v>
      </c>
      <c r="M337" s="28">
        <v>2</v>
      </c>
      <c r="N337" s="34"/>
      <c r="O337" s="34"/>
      <c r="P337" s="34"/>
      <c r="Q337" s="34"/>
      <c r="R337" s="34"/>
      <c r="S337" s="34"/>
      <c r="T337" s="34"/>
      <c r="U337" s="34"/>
      <c r="V337" s="34"/>
      <c r="W337" s="29" t="s">
        <v>74</v>
      </c>
      <c r="X337" s="28">
        <v>39</v>
      </c>
      <c r="Y337" s="28">
        <v>1</v>
      </c>
      <c r="Z337" s="28">
        <v>2</v>
      </c>
      <c r="AA337" s="28">
        <v>2</v>
      </c>
      <c r="AB337" s="28">
        <v>1</v>
      </c>
      <c r="AC337" s="28">
        <v>2</v>
      </c>
      <c r="AD337" s="28">
        <v>2</v>
      </c>
      <c r="AE337" s="28">
        <v>4</v>
      </c>
      <c r="AF337" s="28">
        <v>1</v>
      </c>
      <c r="AG337" s="28">
        <v>2</v>
      </c>
      <c r="AH337" s="29" t="s">
        <v>2058</v>
      </c>
      <c r="AI337" s="36">
        <f>if(or(and(K337&lt;32, J337&lt;2), O337=1, P337=1, Q337=1, R337=1, S337=1, T337=1, U337=1, and(W337&lt;&gt;"", W337&lt;&gt;"Oxygen", W337&lt;&gt;"LowFlow")), "Intensive", "Intermediate")</f>
      </c>
      <c r="AJ337" s="37">
        <f>if(or(left(AH337, 1)="X", left(AH337, 1)="Y", left(AH337, 3)="J15M"), "CUSM", "No Match")</f>
      </c>
      <c r="AK337" s="37">
        <f>if(and(or(O337=3, P337=1, Q337=1, T337=1), AJ337="no Match"), "CUSM, CHU SJ, CHUQ", "")</f>
      </c>
      <c r="AL337" s="37">
        <f>IF(AND(O338=2, ISBLANK(P338), ISBLANK(Q338), ISBLANK(R338), ISBLANK(S338), ISBLANK(T338)), "CUSM, CHU SJ, CHUS, CHUQ", "")</f>
      </c>
      <c r="AM337" s="37">
        <f>if(and(AJ337="no match", AK337="", AL337="", K337&lt;26), "CUSM, CHU SJ, HGJ, CHUQ, CHUS", "")</f>
      </c>
      <c r="AN337" s="37">
        <f>if(and(AJ337="no match", AK337="", AL337="", K337&gt;26), "CUSM, CHU SJ, HGJ, CHUQ, CHUS, HMR", "")</f>
      </c>
    </row>
    <row x14ac:dyDescent="0.25" r="338" customHeight="1" ht="17.25">
      <c r="A338" s="27" t="s">
        <v>2059</v>
      </c>
      <c r="B338" s="28">
        <v>2</v>
      </c>
      <c r="C338" s="35">
        <v>1019</v>
      </c>
      <c r="D338" s="29" t="s">
        <v>354</v>
      </c>
      <c r="E338" s="30" t="s">
        <v>54</v>
      </c>
      <c r="F338" s="31">
        <v>44378</v>
      </c>
      <c r="G338" s="32">
        <v>4.774305555555555</v>
      </c>
      <c r="H338" s="31">
        <v>44358</v>
      </c>
      <c r="I338" s="32">
        <v>4.688888888888889</v>
      </c>
      <c r="J338" s="33">
        <f>F338-H338</f>
      </c>
      <c r="K338" s="28">
        <v>35</v>
      </c>
      <c r="L338" s="28">
        <v>0</v>
      </c>
      <c r="M338" s="28">
        <v>1</v>
      </c>
      <c r="N338" s="35">
        <v>1</v>
      </c>
      <c r="O338" s="28">
        <v>2</v>
      </c>
      <c r="P338" s="35">
        <v>1</v>
      </c>
      <c r="Q338" s="34"/>
      <c r="R338" s="34"/>
      <c r="S338" s="34"/>
      <c r="T338" s="34"/>
      <c r="U338" s="34"/>
      <c r="V338" s="34"/>
      <c r="W338" s="29" t="s">
        <v>106</v>
      </c>
      <c r="X338" s="28">
        <v>37</v>
      </c>
      <c r="Y338" s="28">
        <v>1</v>
      </c>
      <c r="Z338" s="28">
        <v>2</v>
      </c>
      <c r="AA338" s="28">
        <v>2</v>
      </c>
      <c r="AB338" s="28">
        <v>1</v>
      </c>
      <c r="AC338" s="28">
        <v>1</v>
      </c>
      <c r="AD338" s="28">
        <v>2</v>
      </c>
      <c r="AE338" s="28">
        <v>4</v>
      </c>
      <c r="AF338" s="28">
        <v>2</v>
      </c>
      <c r="AG338" s="28">
        <v>2</v>
      </c>
      <c r="AH338" s="29" t="s">
        <v>2060</v>
      </c>
      <c r="AI338" s="36">
        <f>if(or(and(K338&lt;32, J338&lt;2), O338=1, P338=1, Q338=1, R338=1, S338=1, T338=1, U338=1, and(W338&lt;&gt;"", W338&lt;&gt;"Oxygen", W338&lt;&gt;"LowFlow")), "Intensive", "Intermediate")</f>
      </c>
      <c r="AJ338" s="37">
        <f>if(or(left(AH338, 1)="X", left(AH338, 1)="Y", left(AH338, 3)="J16M"), "CUSM", "No Match")</f>
      </c>
      <c r="AK338" s="37">
        <f>if(and(or(O338=3, P338=1, Q338=1, T338=1), AJ338="no Match"), "CUSM, CHU SJ, CHUQ", "")</f>
      </c>
      <c r="AL338" s="37">
        <f>IF(AND(O339=2, ISBLANK(P339), ISBLANK(Q339), ISBLANK(R339), ISBLANK(S339), ISBLANK(T339)), "CUSM, CHU SJ, CHUS, CHUQ", "")</f>
      </c>
      <c r="AM338" s="37">
        <f>if(and(AJ338="no match", AK338="", AL338="", K338&lt;26), "CUSM, CHU SJ, HGJ, CHUQ, CHUS", "")</f>
      </c>
      <c r="AN338" s="37">
        <f>if(and(AJ338="no match", AK338="", AL338="", K338&gt;26), "CUSM, CHU SJ, HGJ, CHUQ, CHUS, HMR", "")</f>
      </c>
    </row>
    <row x14ac:dyDescent="0.25" r="339" customHeight="1" ht="17.25">
      <c r="A339" s="27" t="s">
        <v>2061</v>
      </c>
      <c r="B339" s="28">
        <v>2</v>
      </c>
      <c r="C339" s="35">
        <v>779</v>
      </c>
      <c r="D339" s="29" t="s">
        <v>136</v>
      </c>
      <c r="E339" s="30" t="s">
        <v>50</v>
      </c>
      <c r="F339" s="31">
        <v>44378</v>
      </c>
      <c r="G339" s="32">
        <v>4.197222222222223</v>
      </c>
      <c r="H339" s="31">
        <v>44378</v>
      </c>
      <c r="I339" s="32">
        <v>4.032638888888889</v>
      </c>
      <c r="J339" s="33">
        <f>F339-H339</f>
      </c>
      <c r="K339" s="28">
        <v>33</v>
      </c>
      <c r="L339" s="28">
        <v>6</v>
      </c>
      <c r="M339" s="28">
        <v>2</v>
      </c>
      <c r="N339" s="35">
        <v>1</v>
      </c>
      <c r="O339" s="35">
        <v>2</v>
      </c>
      <c r="P339" s="35">
        <v>1</v>
      </c>
      <c r="Q339" s="34"/>
      <c r="R339" s="34"/>
      <c r="S339" s="34"/>
      <c r="T339" s="34"/>
      <c r="U339" s="34"/>
      <c r="V339" s="34"/>
      <c r="W339" s="29"/>
      <c r="X339" s="28">
        <v>40</v>
      </c>
      <c r="Y339" s="28">
        <v>1</v>
      </c>
      <c r="Z339" s="28">
        <v>2</v>
      </c>
      <c r="AA339" s="28">
        <v>2</v>
      </c>
      <c r="AB339" s="28">
        <v>2</v>
      </c>
      <c r="AC339" s="28">
        <v>2</v>
      </c>
      <c r="AD339" s="28">
        <v>2</v>
      </c>
      <c r="AE339" s="28">
        <v>2</v>
      </c>
      <c r="AF339" s="28">
        <v>2</v>
      </c>
      <c r="AG339" s="28">
        <v>2</v>
      </c>
      <c r="AH339" s="29" t="s">
        <v>2062</v>
      </c>
      <c r="AI339" s="36">
        <f>if(or(and(K339&lt;32, J339&lt;2), O339=1, P339=1, Q339=1, R339=1, S339=1, T339=1, U339=1, and(W339&lt;&gt;"", W339&lt;&gt;"Oxygen", W339&lt;&gt;"LowFlow")), "Intensive", "Intermediate")</f>
      </c>
      <c r="AJ339" s="37">
        <f>if(or(left(AH339, 1)="X", left(AH339, 1)="Y", left(AH339, 3)="J17M"), "CUSM", "No Match")</f>
      </c>
      <c r="AK339" s="37">
        <f>if(and(or(O339=3, P339=1, Q339=1, T339=1), AJ339="no Match"), "CUSM, CHU SJ, CHUQ", "")</f>
      </c>
      <c r="AL339" s="37">
        <f>IF(AND(O340=2, ISBLANK(P340), ISBLANK(Q340), ISBLANK(R340), ISBLANK(S340), ISBLANK(T340)), "CUSM, CHU SJ, CHUS, CHUQ", "")</f>
      </c>
      <c r="AM339" s="37">
        <f>if(and(AJ339="no match", AK339="", AL339="", K339&lt;26), "CUSM, CHU SJ, HGJ, CHUQ, CHUS", "")</f>
      </c>
      <c r="AN339" s="37">
        <f>if(and(AJ339="no match", AK339="", AL339="", K339&gt;26), "CUSM, CHU SJ, HGJ, CHUQ, CHUS, HMR", "")</f>
      </c>
    </row>
    <row x14ac:dyDescent="0.25" r="340" customHeight="1" ht="17.25">
      <c r="A340" s="27" t="s">
        <v>2063</v>
      </c>
      <c r="B340" s="28">
        <v>2</v>
      </c>
      <c r="C340" s="35">
        <v>839</v>
      </c>
      <c r="D340" s="29" t="s">
        <v>53</v>
      </c>
      <c r="E340" s="30" t="s">
        <v>50</v>
      </c>
      <c r="F340" s="31">
        <v>44378</v>
      </c>
      <c r="G340" s="32">
        <v>4.923611111111111</v>
      </c>
      <c r="H340" s="31">
        <v>44378</v>
      </c>
      <c r="I340" s="32">
        <v>4.7625</v>
      </c>
      <c r="J340" s="33">
        <f>F340-H340</f>
      </c>
      <c r="K340" s="28">
        <v>38</v>
      </c>
      <c r="L340" s="28">
        <v>5</v>
      </c>
      <c r="M340" s="28">
        <v>2</v>
      </c>
      <c r="N340" s="35">
        <v>1</v>
      </c>
      <c r="O340" s="34"/>
      <c r="P340" s="35">
        <v>1</v>
      </c>
      <c r="Q340" s="34"/>
      <c r="R340" s="34"/>
      <c r="S340" s="34"/>
      <c r="T340" s="35">
        <v>1</v>
      </c>
      <c r="U340" s="34"/>
      <c r="V340" s="34"/>
      <c r="W340" s="29" t="s">
        <v>58</v>
      </c>
      <c r="X340" s="28">
        <v>29</v>
      </c>
      <c r="Y340" s="28">
        <v>1</v>
      </c>
      <c r="Z340" s="28">
        <v>1</v>
      </c>
      <c r="AA340" s="28">
        <v>2</v>
      </c>
      <c r="AB340" s="28">
        <v>4</v>
      </c>
      <c r="AC340" s="28">
        <v>2</v>
      </c>
      <c r="AD340" s="28">
        <v>1</v>
      </c>
      <c r="AE340" s="28">
        <v>2</v>
      </c>
      <c r="AF340" s="28">
        <v>2</v>
      </c>
      <c r="AG340" s="28">
        <v>2</v>
      </c>
      <c r="AH340" s="29" t="s">
        <v>2064</v>
      </c>
      <c r="AI340" s="36">
        <f>if(or(and(K340&lt;32, J340&lt;2), O340=1, P340=1, Q340=1, R340=1, S340=1, T340=1, U340=1, and(W340&lt;&gt;"", W340&lt;&gt;"Oxygen", W340&lt;&gt;"LowFlow")), "Intensive", "Intermediate")</f>
      </c>
      <c r="AJ340" s="37">
        <f>if(or(left(AH340, 1)="X", left(AH340, 1)="Y", left(AH340, 3)="J18M"), "CUSM", "No Match")</f>
      </c>
      <c r="AK340" s="37">
        <f>if(and(or(O340=3, P340=1, Q340=1, T340=1), AJ340="no Match"), "CUSM, CHU SJ, CHUQ", "")</f>
      </c>
      <c r="AL340" s="37">
        <f>IF(AND(O341=2, ISBLANK(P341), ISBLANK(Q341), ISBLANK(R341), ISBLANK(S341), ISBLANK(T341)), "CUSM, CHU SJ, CHUS, CHUQ", "")</f>
      </c>
      <c r="AM340" s="37">
        <f>if(and(AJ340="no match", AK340="", AL340="", K340&lt;26), "CUSM, CHU SJ, HGJ, CHUQ, CHUS", "")</f>
      </c>
      <c r="AN340" s="37">
        <f>if(and(AJ340="no match", AK340="", AL340="", K340&gt;26), "CUSM, CHU SJ, HGJ, CHUQ, CHUS, HMR", "")</f>
      </c>
    </row>
    <row x14ac:dyDescent="0.25" r="341" customHeight="1" ht="17.25">
      <c r="A341" s="27" t="s">
        <v>2065</v>
      </c>
      <c r="B341" s="28">
        <v>2</v>
      </c>
      <c r="C341" s="28">
        <v>820</v>
      </c>
      <c r="D341" s="29" t="s">
        <v>69</v>
      </c>
      <c r="E341" s="30" t="s">
        <v>50</v>
      </c>
      <c r="F341" s="31">
        <v>44378</v>
      </c>
      <c r="G341" s="32">
        <v>4.392361111111111</v>
      </c>
      <c r="H341" s="31">
        <v>44378</v>
      </c>
      <c r="I341" s="32">
        <v>4.1819444444444445</v>
      </c>
      <c r="J341" s="33">
        <f>F341-H341</f>
      </c>
      <c r="K341" s="28">
        <v>40</v>
      </c>
      <c r="L341" s="28">
        <v>6</v>
      </c>
      <c r="M341" s="28">
        <v>2</v>
      </c>
      <c r="N341" s="35">
        <v>1</v>
      </c>
      <c r="O341" s="34"/>
      <c r="P341" s="35">
        <v>1</v>
      </c>
      <c r="Q341" s="34"/>
      <c r="R341" s="34"/>
      <c r="S341" s="34"/>
      <c r="T341" s="35">
        <v>1</v>
      </c>
      <c r="U341" s="34"/>
      <c r="V341" s="34"/>
      <c r="W341" s="29" t="s">
        <v>74</v>
      </c>
      <c r="X341" s="28">
        <v>29</v>
      </c>
      <c r="Y341" s="28">
        <v>1</v>
      </c>
      <c r="Z341" s="28">
        <v>1</v>
      </c>
      <c r="AA341" s="28">
        <v>2</v>
      </c>
      <c r="AB341" s="28">
        <v>1</v>
      </c>
      <c r="AC341" s="28">
        <v>2</v>
      </c>
      <c r="AD341" s="28">
        <v>2</v>
      </c>
      <c r="AE341" s="28">
        <v>4</v>
      </c>
      <c r="AF341" s="28">
        <v>3</v>
      </c>
      <c r="AG341" s="28">
        <v>2</v>
      </c>
      <c r="AH341" s="29" t="s">
        <v>2066</v>
      </c>
      <c r="AI341" s="36">
        <f>if(or(and(K341&lt;32, J341&lt;2), O341=1, P341=1, Q341=1, R341=1, S341=1, T341=1, U341=1, and(W341&lt;&gt;"", W341&lt;&gt;"Oxygen", W341&lt;&gt;"LowFlow")), "Intensive", "Intermediate")</f>
      </c>
      <c r="AJ341" s="37">
        <f>if(or(left(AH341, 1)="X", left(AH341, 1)="Y", left(AH341, 3)="J19M"), "CUSM", "No Match")</f>
      </c>
      <c r="AK341" s="37">
        <f>if(and(or(O341=3, P341=1, Q341=1, T341=1), AJ341="no Match"), "CUSM, CHU SJ, CHUQ", "")</f>
      </c>
      <c r="AL341" s="37">
        <f>IF(AND(O342=2, ISBLANK(P342), ISBLANK(Q342), ISBLANK(R342), ISBLANK(S342), ISBLANK(T342)), "CUSM, CHU SJ, CHUS, CHUQ", "")</f>
      </c>
      <c r="AM341" s="37">
        <f>if(and(AJ341="no match", AK341="", AL341="", K341&lt;26), "CUSM, CHU SJ, HGJ, CHUQ, CHUS", "")</f>
      </c>
      <c r="AN341" s="37">
        <f>if(and(AJ341="no match", AK341="", AL341="", K341&gt;26), "CUSM, CHU SJ, HGJ, CHUQ, CHUS, HMR", "")</f>
      </c>
    </row>
    <row x14ac:dyDescent="0.25" r="342" customHeight="1" ht="17.25">
      <c r="A342" s="27" t="s">
        <v>2067</v>
      </c>
      <c r="B342" s="28">
        <v>2</v>
      </c>
      <c r="C342" s="28">
        <v>824</v>
      </c>
      <c r="D342" s="29" t="s">
        <v>57</v>
      </c>
      <c r="E342" s="30" t="s">
        <v>54</v>
      </c>
      <c r="F342" s="31">
        <v>44379</v>
      </c>
      <c r="G342" s="32">
        <v>4.482638888888889</v>
      </c>
      <c r="H342" s="31">
        <v>44370</v>
      </c>
      <c r="I342" s="32">
        <v>4.926388888888889</v>
      </c>
      <c r="J342" s="33">
        <f>F342-H342</f>
      </c>
      <c r="K342" s="28">
        <v>39</v>
      </c>
      <c r="L342" s="28">
        <v>5</v>
      </c>
      <c r="M342" s="28">
        <v>1</v>
      </c>
      <c r="N342" s="38"/>
      <c r="O342" s="34"/>
      <c r="P342" s="38"/>
      <c r="Q342" s="34"/>
      <c r="R342" s="34"/>
      <c r="S342" s="34"/>
      <c r="T342" s="34"/>
      <c r="U342" s="34"/>
      <c r="V342" s="34"/>
      <c r="W342" s="29" t="s">
        <v>106</v>
      </c>
      <c r="X342" s="28">
        <v>30</v>
      </c>
      <c r="Y342" s="28">
        <v>1</v>
      </c>
      <c r="Z342" s="28">
        <v>1</v>
      </c>
      <c r="AA342" s="28">
        <v>1</v>
      </c>
      <c r="AB342" s="28">
        <v>1</v>
      </c>
      <c r="AC342" s="28">
        <v>2</v>
      </c>
      <c r="AD342" s="28">
        <v>2</v>
      </c>
      <c r="AE342" s="28">
        <v>4</v>
      </c>
      <c r="AF342" s="28">
        <v>2</v>
      </c>
      <c r="AG342" s="28">
        <v>2</v>
      </c>
      <c r="AH342" s="29" t="s">
        <v>2068</v>
      </c>
      <c r="AI342" s="36">
        <f>if(or(and(K342&lt;32, J342&lt;2), O342=1, P342=1, Q342=1, R342=1, S342=1, T342=1, U342=1, and(W342&lt;&gt;"", W342&lt;&gt;"Oxygen", W342&lt;&gt;"LowFlow")), "Intensive", "Intermediate")</f>
      </c>
      <c r="AJ342" s="37">
        <f>if(or(left(AH342, 1)="X", left(AH342, 1)="Y", left(AH342, 3)="J20M"), "CUSM", "No Match")</f>
      </c>
      <c r="AK342" s="37">
        <f>if(and(or(O342=3, P342=1, Q342=1, T342=1), AJ342="no Match"), "CUSM, CHU SJ, CHUQ", "")</f>
      </c>
      <c r="AL342" s="37">
        <f>IF(AND(O343=2, ISBLANK(P343), ISBLANK(Q343), ISBLANK(R343), ISBLANK(S343), ISBLANK(T343)), "CUSM, CHU SJ, CHUS, CHUQ", "")</f>
      </c>
      <c r="AM342" s="37">
        <f>if(and(AJ342="no match", AK342="", AL342="", K342&lt;26), "CUSM, CHU SJ, HGJ, CHUQ, CHUS", "")</f>
      </c>
      <c r="AN342" s="37">
        <f>if(and(AJ342="no match", AK342="", AL342="", K342&gt;26), "CUSM, CHU SJ, HGJ, CHUQ, CHUS, HMR", "")</f>
      </c>
    </row>
    <row x14ac:dyDescent="0.25" r="343" customHeight="1" ht="17.25">
      <c r="A343" s="27" t="s">
        <v>2069</v>
      </c>
      <c r="B343" s="28">
        <v>2</v>
      </c>
      <c r="C343" s="35">
        <v>1019</v>
      </c>
      <c r="D343" s="29" t="s">
        <v>354</v>
      </c>
      <c r="E343" s="30" t="s">
        <v>54</v>
      </c>
      <c r="F343" s="31">
        <v>44379</v>
      </c>
      <c r="G343" s="32">
        <v>4.552083333333334</v>
      </c>
      <c r="H343" s="31">
        <v>44370</v>
      </c>
      <c r="I343" s="32">
        <v>4.688888888888889</v>
      </c>
      <c r="J343" s="33">
        <f>F343-H343</f>
      </c>
      <c r="K343" s="28">
        <v>33</v>
      </c>
      <c r="L343" s="28">
        <v>5</v>
      </c>
      <c r="M343" s="28">
        <v>1</v>
      </c>
      <c r="N343" s="34"/>
      <c r="O343" s="34"/>
      <c r="P343" s="34"/>
      <c r="Q343" s="34"/>
      <c r="R343" s="34"/>
      <c r="S343" s="34"/>
      <c r="T343" s="34"/>
      <c r="U343" s="34"/>
      <c r="V343" s="34"/>
      <c r="W343" s="29" t="s">
        <v>106</v>
      </c>
      <c r="X343" s="28">
        <v>28</v>
      </c>
      <c r="Y343" s="28">
        <v>1</v>
      </c>
      <c r="Z343" s="28">
        <v>1</v>
      </c>
      <c r="AA343" s="28">
        <v>1</v>
      </c>
      <c r="AB343" s="28">
        <v>2</v>
      </c>
      <c r="AC343" s="28">
        <v>2</v>
      </c>
      <c r="AD343" s="28">
        <v>2</v>
      </c>
      <c r="AE343" s="28">
        <v>4</v>
      </c>
      <c r="AF343" s="28">
        <v>2</v>
      </c>
      <c r="AG343" s="28">
        <v>2</v>
      </c>
      <c r="AH343" s="29" t="s">
        <v>2070</v>
      </c>
      <c r="AI343" s="36">
        <f>if(or(and(K343&lt;32, J343&lt;2), O343=1, P343=1, Q343=1, R343=1, S343=1, T343=1, U343=1, and(W343&lt;&gt;"", W343&lt;&gt;"Oxygen", W343&lt;&gt;"LowFlow")), "Intensive", "Intermediate")</f>
      </c>
      <c r="AJ343" s="37">
        <f>if(or(left(AH343, 1)="X", left(AH343, 1)="Y", left(AH343, 3)="J21M"), "CUSM", "No Match")</f>
      </c>
      <c r="AK343" s="37">
        <f>if(and(or(O343=3, P343=1, Q343=1, T343=1), AJ343="no Match"), "CUSM, CHU SJ, CHUQ", "")</f>
      </c>
      <c r="AL343" s="37">
        <f>IF(AND(O344=2, ISBLANK(P344), ISBLANK(Q344), ISBLANK(R344), ISBLANK(S344), ISBLANK(T344)), "CUSM, CHU SJ, CHUS, CHUQ", "")</f>
      </c>
      <c r="AM343" s="37">
        <f>if(and(AJ343="no match", AK343="", AL343="", K343&lt;26), "CUSM, CHU SJ, HGJ, CHUQ, CHUS", "")</f>
      </c>
      <c r="AN343" s="37">
        <f>if(and(AJ343="no match", AK343="", AL343="", K343&gt;26), "CUSM, CHU SJ, HGJ, CHUQ, CHUS, HMR", "")</f>
      </c>
    </row>
    <row x14ac:dyDescent="0.25" r="344" customHeight="1" ht="17.25">
      <c r="A344" s="27" t="s">
        <v>2071</v>
      </c>
      <c r="B344" s="28">
        <v>2</v>
      </c>
      <c r="C344" s="28">
        <v>822</v>
      </c>
      <c r="D344" s="29" t="s">
        <v>167</v>
      </c>
      <c r="E344" s="30" t="s">
        <v>78</v>
      </c>
      <c r="F344" s="31">
        <v>44379</v>
      </c>
      <c r="G344" s="32">
        <v>4.0625</v>
      </c>
      <c r="H344" s="31">
        <v>44378</v>
      </c>
      <c r="I344" s="32">
        <v>4.539583333333333</v>
      </c>
      <c r="J344" s="33">
        <f>F344-H344</f>
      </c>
      <c r="K344" s="28">
        <v>38</v>
      </c>
      <c r="L344" s="28">
        <v>5</v>
      </c>
      <c r="M344" s="28">
        <v>1</v>
      </c>
      <c r="N344" s="34"/>
      <c r="O344" s="34"/>
      <c r="P344" s="34"/>
      <c r="Q344" s="34"/>
      <c r="R344" s="34"/>
      <c r="S344" s="34"/>
      <c r="T344" s="34"/>
      <c r="U344" s="34"/>
      <c r="V344" s="34"/>
      <c r="W344" s="29" t="s">
        <v>58</v>
      </c>
      <c r="X344" s="28">
        <v>27</v>
      </c>
      <c r="Y344" s="28">
        <v>1</v>
      </c>
      <c r="Z344" s="28">
        <v>2</v>
      </c>
      <c r="AA344" s="28">
        <v>1</v>
      </c>
      <c r="AB344" s="28">
        <v>1</v>
      </c>
      <c r="AC344" s="28">
        <v>2</v>
      </c>
      <c r="AD344" s="28">
        <v>1</v>
      </c>
      <c r="AE344" s="28">
        <v>2</v>
      </c>
      <c r="AF344" s="28">
        <v>2</v>
      </c>
      <c r="AG344" s="28">
        <v>2</v>
      </c>
      <c r="AH344" s="29" t="s">
        <v>1320</v>
      </c>
      <c r="AI344" s="36">
        <f>if(or(and(K344&lt;32, J344&lt;2), O344=1, P344=1, Q344=1, R344=1, S344=1, T344=1, U344=1, and(W344&lt;&gt;"", W344&lt;&gt;"Oxygen", W344&lt;&gt;"LowFlow")), "Intensive", "Intermediate")</f>
      </c>
      <c r="AJ344" s="37">
        <f>if(or(left(AH344, 1)="X", left(AH344, 1)="Y", left(AH344, 3)="J22M"), "CUSM", "No Match")</f>
      </c>
      <c r="AK344" s="37">
        <f>if(and(or(O344=3, P344=1, Q344=1, T344=1), AJ344="no Match"), "CUSM, CHU SJ, CHUQ", "")</f>
      </c>
      <c r="AL344" s="37">
        <f>IF(AND(O345=2, ISBLANK(P345), ISBLANK(Q345), ISBLANK(R345), ISBLANK(S345), ISBLANK(T345)), "CUSM, CHU SJ, CHUS, CHUQ", "")</f>
      </c>
      <c r="AM344" s="37">
        <f>if(and(AJ344="no match", AK344="", AL344="", K344&lt;26), "CUSM, CHU SJ, HGJ, CHUQ, CHUS", "")</f>
      </c>
      <c r="AN344" s="37">
        <f>if(and(AJ344="no match", AK344="", AL344="", K344&gt;26), "CUSM, CHU SJ, HGJ, CHUQ, CHUS, HMR", "")</f>
      </c>
    </row>
    <row x14ac:dyDescent="0.25" r="345" customHeight="1" ht="17.25">
      <c r="A345" s="27" t="s">
        <v>2072</v>
      </c>
      <c r="B345" s="28">
        <v>2</v>
      </c>
      <c r="C345" s="28">
        <v>756</v>
      </c>
      <c r="D345" s="29" t="s">
        <v>66</v>
      </c>
      <c r="E345" s="30" t="s">
        <v>50</v>
      </c>
      <c r="F345" s="31">
        <v>44379</v>
      </c>
      <c r="G345" s="32">
        <v>4.263888888888889</v>
      </c>
      <c r="H345" s="31">
        <v>44379</v>
      </c>
      <c r="I345" s="32">
        <v>4.026388888888889</v>
      </c>
      <c r="J345" s="33">
        <f>F345-H345</f>
      </c>
      <c r="K345" s="28">
        <v>40</v>
      </c>
      <c r="L345" s="28">
        <v>3</v>
      </c>
      <c r="M345" s="28">
        <v>1</v>
      </c>
      <c r="N345" s="34"/>
      <c r="O345" s="34"/>
      <c r="P345" s="34"/>
      <c r="Q345" s="34"/>
      <c r="R345" s="34"/>
      <c r="S345" s="34"/>
      <c r="T345" s="34"/>
      <c r="U345" s="34"/>
      <c r="V345" s="34"/>
      <c r="W345" s="29" t="s">
        <v>58</v>
      </c>
      <c r="X345" s="28">
        <v>36</v>
      </c>
      <c r="Y345" s="28">
        <v>1</v>
      </c>
      <c r="Z345" s="28">
        <v>1</v>
      </c>
      <c r="AA345" s="28">
        <v>1</v>
      </c>
      <c r="AB345" s="28">
        <v>1</v>
      </c>
      <c r="AC345" s="28">
        <v>2</v>
      </c>
      <c r="AD345" s="28">
        <v>2</v>
      </c>
      <c r="AE345" s="28">
        <v>1</v>
      </c>
      <c r="AF345" s="28">
        <v>1</v>
      </c>
      <c r="AG345" s="28">
        <v>2</v>
      </c>
      <c r="AH345" s="29" t="s">
        <v>2073</v>
      </c>
      <c r="AI345" s="36">
        <f>if(or(and(K345&lt;32, J345&lt;2), O345=1, P345=1, Q345=1, R345=1, S345=1, T345=1, U345=1, and(W345&lt;&gt;"", W345&lt;&gt;"Oxygen", W345&lt;&gt;"LowFlow")), "Intensive", "Intermediate")</f>
      </c>
      <c r="AJ345" s="37">
        <f>if(or(left(AH345, 1)="X", left(AH345, 1)="Y", left(AH345, 3)="J23M"), "CUSM", "No Match")</f>
      </c>
      <c r="AK345" s="37">
        <f>if(and(or(O345=3, P345=1, Q345=1, T345=1), AJ345="no Match"), "CUSM, CHU SJ, CHUQ", "")</f>
      </c>
      <c r="AL345" s="37">
        <f>IF(AND(O346=2, ISBLANK(P346), ISBLANK(Q346), ISBLANK(R346), ISBLANK(S346), ISBLANK(T346)), "CUSM, CHU SJ, CHUS, CHUQ", "")</f>
      </c>
      <c r="AM345" s="37">
        <f>if(and(AJ345="no match", AK345="", AL345="", K345&lt;26), "CUSM, CHU SJ, HGJ, CHUQ, CHUS", "")</f>
      </c>
      <c r="AN345" s="37">
        <f>if(and(AJ345="no match", AK345="", AL345="", K345&gt;26), "CUSM, CHU SJ, HGJ, CHUQ, CHUS, HMR", "")</f>
      </c>
    </row>
    <row x14ac:dyDescent="0.25" r="346" customHeight="1" ht="17.25">
      <c r="A346" s="27" t="s">
        <v>2074</v>
      </c>
      <c r="B346" s="28">
        <v>2</v>
      </c>
      <c r="C346" s="28">
        <v>795</v>
      </c>
      <c r="D346" s="29" t="s">
        <v>73</v>
      </c>
      <c r="E346" s="30" t="s">
        <v>54</v>
      </c>
      <c r="F346" s="31">
        <v>44380</v>
      </c>
      <c r="G346" s="32">
        <v>4.798611111111111</v>
      </c>
      <c r="H346" s="31">
        <v>44379</v>
      </c>
      <c r="I346" s="32">
        <v>4.0256944444444445</v>
      </c>
      <c r="J346" s="33">
        <f>F346-H346</f>
      </c>
      <c r="K346" s="28">
        <v>36</v>
      </c>
      <c r="L346" s="28">
        <v>6</v>
      </c>
      <c r="M346" s="28">
        <v>2</v>
      </c>
      <c r="N346" s="35">
        <v>1</v>
      </c>
      <c r="O346" s="35">
        <v>2</v>
      </c>
      <c r="P346" s="35">
        <v>1</v>
      </c>
      <c r="Q346" s="34"/>
      <c r="R346" s="34"/>
      <c r="S346" s="34"/>
      <c r="T346" s="34"/>
      <c r="U346" s="34"/>
      <c r="V346" s="34"/>
      <c r="W346" s="29" t="s">
        <v>106</v>
      </c>
      <c r="X346" s="28">
        <v>26</v>
      </c>
      <c r="Y346" s="28">
        <v>1</v>
      </c>
      <c r="Z346" s="28">
        <v>1</v>
      </c>
      <c r="AA346" s="28">
        <v>2</v>
      </c>
      <c r="AB346" s="28">
        <v>1</v>
      </c>
      <c r="AC346" s="28">
        <v>1</v>
      </c>
      <c r="AD346" s="28">
        <v>1</v>
      </c>
      <c r="AE346" s="28">
        <v>4</v>
      </c>
      <c r="AF346" s="28">
        <v>2</v>
      </c>
      <c r="AG346" s="28">
        <v>2</v>
      </c>
      <c r="AH346" s="29" t="s">
        <v>2075</v>
      </c>
      <c r="AI346" s="36">
        <f>if(or(and(K346&lt;32, J346&lt;2), O346=1, P346=1, Q346=1, R346=1, S346=1, T346=1, U346=1, and(W346&lt;&gt;"", W346&lt;&gt;"Oxygen", W346&lt;&gt;"LowFlow")), "Intensive", "Intermediate")</f>
      </c>
      <c r="AJ346" s="37">
        <f>if(or(left(AH346, 1)="X", left(AH346, 1)="Y", left(AH346, 3)="J24M"), "CUSM", "No Match")</f>
      </c>
      <c r="AK346" s="37">
        <f>if(and(or(O346=3, P346=1, Q346=1, T346=1), AJ346="no Match"), "CUSM, CHU SJ, CHUQ", "")</f>
      </c>
      <c r="AL346" s="37">
        <f>IF(AND(O347=2, ISBLANK(P347), ISBLANK(Q347), ISBLANK(R347), ISBLANK(S347), ISBLANK(T347)), "CUSM, CHU SJ, CHUS, CHUQ", "")</f>
      </c>
      <c r="AM346" s="37">
        <f>if(and(AJ346="no match", AK346="", AL346="", K346&lt;26), "CUSM, CHU SJ, HGJ, CHUQ, CHUS", "")</f>
      </c>
      <c r="AN346" s="37">
        <f>if(and(AJ346="no match", AK346="", AL346="", K346&gt;26), "CUSM, CHU SJ, HGJ, CHUQ, CHUS, HMR", "")</f>
      </c>
    </row>
    <row x14ac:dyDescent="0.25" r="347" customHeight="1" ht="17.25">
      <c r="A347" s="27" t="s">
        <v>2076</v>
      </c>
      <c r="B347" s="28">
        <v>2</v>
      </c>
      <c r="C347" s="28">
        <v>833</v>
      </c>
      <c r="D347" s="29" t="s">
        <v>376</v>
      </c>
      <c r="E347" s="30" t="s">
        <v>54</v>
      </c>
      <c r="F347" s="31">
        <v>44380</v>
      </c>
      <c r="G347" s="32">
        <v>4.583333333333334</v>
      </c>
      <c r="H347" s="31">
        <v>44379</v>
      </c>
      <c r="I347" s="32">
        <v>4.81875</v>
      </c>
      <c r="J347" s="33">
        <f>F347-H347</f>
      </c>
      <c r="K347" s="28">
        <v>39</v>
      </c>
      <c r="L347" s="28">
        <v>6</v>
      </c>
      <c r="M347" s="28">
        <v>1</v>
      </c>
      <c r="N347" s="34"/>
      <c r="O347" s="34"/>
      <c r="P347" s="34"/>
      <c r="Q347" s="34"/>
      <c r="R347" s="34"/>
      <c r="S347" s="34"/>
      <c r="T347" s="34"/>
      <c r="U347" s="34"/>
      <c r="V347" s="34"/>
      <c r="W347" s="29" t="s">
        <v>600</v>
      </c>
      <c r="X347" s="28">
        <v>26</v>
      </c>
      <c r="Y347" s="28">
        <v>1</v>
      </c>
      <c r="Z347" s="28">
        <v>1</v>
      </c>
      <c r="AA347" s="28">
        <v>1</v>
      </c>
      <c r="AB347" s="28">
        <v>1</v>
      </c>
      <c r="AC347" s="28">
        <v>2</v>
      </c>
      <c r="AD347" s="28">
        <v>2</v>
      </c>
      <c r="AE347" s="28">
        <v>4</v>
      </c>
      <c r="AF347" s="28">
        <v>1</v>
      </c>
      <c r="AG347" s="28">
        <v>2</v>
      </c>
      <c r="AH347" s="29" t="s">
        <v>2077</v>
      </c>
      <c r="AI347" s="36">
        <f>if(or(and(K347&lt;32, J347&lt;2), O347=1, P347=1, Q347=1, R347=1, S347=1, T347=1, U347=1, and(W347&lt;&gt;"", W347&lt;&gt;"Oxygen", W347&lt;&gt;"LowFlow")), "Intensive", "Intermediate")</f>
      </c>
      <c r="AJ347" s="37">
        <f>if(or(left(AH347, 1)="X", left(AH347, 1)="Y", left(AH347, 3)="J25M"), "CUSM", "No Match")</f>
      </c>
      <c r="AK347" s="37">
        <f>if(and(or(O347=3, P347=1, Q347=1, T347=1), AJ347="no Match"), "CUSM, CHU SJ, CHUQ", "")</f>
      </c>
      <c r="AL347" s="37">
        <f>IF(AND(O348=2, ISBLANK(P348), ISBLANK(Q348), ISBLANK(R348), ISBLANK(S348), ISBLANK(T348)), "CUSM, CHU SJ, CHUS, CHUQ", "")</f>
      </c>
      <c r="AM347" s="37">
        <f>if(and(AJ347="no match", AK347="", AL347="", K347&lt;26), "CUSM, CHU SJ, HGJ, CHUQ, CHUS", "")</f>
      </c>
      <c r="AN347" s="37">
        <f>if(and(AJ347="no match", AK347="", AL347="", K347&gt;26), "CUSM, CHU SJ, HGJ, CHUQ, CHUS, HMR", "")</f>
      </c>
    </row>
    <row x14ac:dyDescent="0.25" r="348" customHeight="1" ht="17.25">
      <c r="A348" s="27" t="s">
        <v>2078</v>
      </c>
      <c r="B348" s="28">
        <v>2</v>
      </c>
      <c r="C348" s="28">
        <v>780</v>
      </c>
      <c r="D348" s="29" t="s">
        <v>190</v>
      </c>
      <c r="E348" s="30" t="s">
        <v>54</v>
      </c>
      <c r="F348" s="31">
        <v>44381</v>
      </c>
      <c r="G348" s="32">
        <v>4.513888888888889</v>
      </c>
      <c r="H348" s="31">
        <v>44380</v>
      </c>
      <c r="I348" s="32">
        <v>4.799305555555556</v>
      </c>
      <c r="J348" s="33">
        <f>F348-H348</f>
      </c>
      <c r="K348" s="28">
        <v>35</v>
      </c>
      <c r="L348" s="28">
        <v>6</v>
      </c>
      <c r="M348" s="28">
        <v>1</v>
      </c>
      <c r="N348" s="34"/>
      <c r="O348" s="34"/>
      <c r="P348" s="34"/>
      <c r="Q348" s="34"/>
      <c r="R348" s="34"/>
      <c r="S348" s="34"/>
      <c r="T348" s="38"/>
      <c r="U348" s="34"/>
      <c r="V348" s="38"/>
      <c r="W348" s="29" t="s">
        <v>164</v>
      </c>
      <c r="X348" s="28">
        <v>31</v>
      </c>
      <c r="Y348" s="28">
        <v>1</v>
      </c>
      <c r="Z348" s="28">
        <v>2</v>
      </c>
      <c r="AA348" s="28">
        <v>3</v>
      </c>
      <c r="AB348" s="28">
        <v>4</v>
      </c>
      <c r="AC348" s="28">
        <v>3</v>
      </c>
      <c r="AD348" s="28">
        <v>3</v>
      </c>
      <c r="AE348" s="28">
        <v>4</v>
      </c>
      <c r="AF348" s="28">
        <v>2</v>
      </c>
      <c r="AG348" s="28">
        <v>2</v>
      </c>
      <c r="AH348" s="29" t="s">
        <v>2079</v>
      </c>
      <c r="AI348" s="36">
        <f>if(or(and(K348&lt;32, J348&lt;2), O348=1, P348=1, Q348=1, R348=1, S348=1, T348=1, U348=1, and(W348&lt;&gt;"", W348&lt;&gt;"Oxygen", W348&lt;&gt;"LowFlow")), "Intensive", "Intermediate")</f>
      </c>
      <c r="AJ348" s="37">
        <f>if(or(left(AH348, 1)="X", left(AH348, 1)="Y", left(AH348, 3)="J26M"), "CUSM", "No Match")</f>
      </c>
      <c r="AK348" s="37">
        <f>if(and(or(O348=3, P348=1, Q348=1, T348=1), AJ348="no Match"), "CUSM, CHU SJ, CHUQ", "")</f>
      </c>
      <c r="AL348" s="37">
        <f>IF(AND(O349=2, ISBLANK(P349), ISBLANK(Q349), ISBLANK(R349), ISBLANK(S349), ISBLANK(T349)), "CUSM, CHU SJ, CHUS, CHUQ", "")</f>
      </c>
      <c r="AM348" s="37">
        <f>if(and(AJ348="no match", AK348="", AL348="", K348&lt;26), "CUSM, CHU SJ, HGJ, CHUQ, CHUS", "")</f>
      </c>
      <c r="AN348" s="37">
        <f>if(and(AJ348="no match", AK348="", AL348="", K348&gt;26), "CUSM, CHU SJ, HGJ, CHUQ, CHUS, HMR", "")</f>
      </c>
    </row>
    <row x14ac:dyDescent="0.25" r="349" customHeight="1" ht="17.25">
      <c r="A349" s="27" t="s">
        <v>2080</v>
      </c>
      <c r="B349" s="28">
        <v>2</v>
      </c>
      <c r="C349" s="28">
        <v>756</v>
      </c>
      <c r="D349" s="29" t="s">
        <v>66</v>
      </c>
      <c r="E349" s="30" t="s">
        <v>50</v>
      </c>
      <c r="F349" s="31">
        <v>44381</v>
      </c>
      <c r="G349" s="32">
        <v>4.496527777777778</v>
      </c>
      <c r="H349" s="31">
        <v>44378</v>
      </c>
      <c r="I349" s="32">
        <v>4.497222222222222</v>
      </c>
      <c r="J349" s="33">
        <f>F349-H349</f>
      </c>
      <c r="K349" s="28">
        <v>38</v>
      </c>
      <c r="L349" s="28">
        <v>3</v>
      </c>
      <c r="M349" s="28">
        <v>1</v>
      </c>
      <c r="N349" s="34"/>
      <c r="O349" s="34"/>
      <c r="P349" s="34"/>
      <c r="Q349" s="34"/>
      <c r="R349" s="34"/>
      <c r="S349" s="34"/>
      <c r="T349" s="34"/>
      <c r="U349" s="34"/>
      <c r="V349" s="34"/>
      <c r="W349" s="29"/>
      <c r="X349" s="28">
        <v>25</v>
      </c>
      <c r="Y349" s="28">
        <v>1</v>
      </c>
      <c r="Z349" s="28">
        <v>1</v>
      </c>
      <c r="AA349" s="28">
        <v>2</v>
      </c>
      <c r="AB349" s="28">
        <v>1</v>
      </c>
      <c r="AC349" s="28">
        <v>1</v>
      </c>
      <c r="AD349" s="28">
        <v>1</v>
      </c>
      <c r="AE349" s="28">
        <v>4</v>
      </c>
      <c r="AF349" s="28">
        <v>3</v>
      </c>
      <c r="AG349" s="28">
        <v>3</v>
      </c>
      <c r="AH349" s="29" t="s">
        <v>2081</v>
      </c>
      <c r="AI349" s="36">
        <f>if(or(and(K349&lt;32, J349&lt;2), O349=1, P349=1, Q349=1, R349=1, S349=1, T349=1, U349=1, and(W349&lt;&gt;"", W349&lt;&gt;"Oxygen", W349&lt;&gt;"LowFlow")), "Intensive", "Intermediate")</f>
      </c>
      <c r="AJ349" s="37">
        <f>if(or(left(AH349, 1)="X", left(AH349, 1)="Y", left(AH349, 3)="J27M"), "CUSM", "No Match")</f>
      </c>
      <c r="AK349" s="37">
        <f>if(and(or(O349=3, P349=1, Q349=1, T349=1), AJ349="no Match"), "CUSM, CHU SJ, CHUQ", "")</f>
      </c>
      <c r="AL349" s="37">
        <f>IF(AND(O350=2, ISBLANK(P350), ISBLANK(Q350), ISBLANK(R350), ISBLANK(S350), ISBLANK(T350)), "CUSM, CHU SJ, CHUS, CHUQ", "")</f>
      </c>
      <c r="AM349" s="37">
        <f>if(and(AJ349="no match", AK349="", AL349="", K349&lt;26), "CUSM, CHU SJ, HGJ, CHUQ, CHUS", "")</f>
      </c>
      <c r="AN349" s="37">
        <f>if(and(AJ349="no match", AK349="", AL349="", K349&gt;26), "CUSM, CHU SJ, HGJ, CHUQ, CHUS, HMR", "")</f>
      </c>
    </row>
    <row x14ac:dyDescent="0.25" r="350" customHeight="1" ht="17.25">
      <c r="A350" s="27" t="s">
        <v>2082</v>
      </c>
      <c r="B350" s="28">
        <v>2</v>
      </c>
      <c r="C350" s="35">
        <v>779</v>
      </c>
      <c r="D350" s="29" t="s">
        <v>136</v>
      </c>
      <c r="E350" s="30" t="s">
        <v>50</v>
      </c>
      <c r="F350" s="31">
        <v>44382</v>
      </c>
      <c r="G350" s="32">
        <v>4.319444444444445</v>
      </c>
      <c r="H350" s="31">
        <v>44382</v>
      </c>
      <c r="I350" s="32">
        <v>4.019444444444444</v>
      </c>
      <c r="J350" s="33">
        <f>F350-H350</f>
      </c>
      <c r="K350" s="28">
        <v>41</v>
      </c>
      <c r="L350" s="28">
        <v>0</v>
      </c>
      <c r="M350" s="28">
        <v>1</v>
      </c>
      <c r="N350" s="34"/>
      <c r="O350" s="34"/>
      <c r="P350" s="34"/>
      <c r="Q350" s="34"/>
      <c r="R350" s="34"/>
      <c r="S350" s="34"/>
      <c r="T350" s="35">
        <v>1</v>
      </c>
      <c r="U350" s="34"/>
      <c r="V350" s="34"/>
      <c r="W350" s="29"/>
      <c r="X350" s="28">
        <v>31</v>
      </c>
      <c r="Y350" s="28">
        <v>1</v>
      </c>
      <c r="Z350" s="28">
        <v>2</v>
      </c>
      <c r="AA350" s="28">
        <v>3</v>
      </c>
      <c r="AB350" s="28">
        <v>1</v>
      </c>
      <c r="AC350" s="28">
        <v>2</v>
      </c>
      <c r="AD350" s="28">
        <v>2</v>
      </c>
      <c r="AE350" s="28">
        <v>4</v>
      </c>
      <c r="AF350" s="28">
        <v>2</v>
      </c>
      <c r="AG350" s="28">
        <v>2</v>
      </c>
      <c r="AH350" s="29" t="s">
        <v>2083</v>
      </c>
      <c r="AI350" s="36">
        <f>if(or(and(K350&lt;32, J350&lt;2), O350=1, P350=1, Q350=1, R350=1, S350=1, T350=1, U350=1, and(W350&lt;&gt;"", W350&lt;&gt;"Oxygen", W350&lt;&gt;"LowFlow")), "Intensive", "Intermediate")</f>
      </c>
      <c r="AJ350" s="37">
        <f>if(or(left(AH350, 1)="X", left(AH350, 1)="Y", left(AH350, 3)="J28M"), "CUSM", "No Match")</f>
      </c>
      <c r="AK350" s="37">
        <f>if(and(or(O350=3, P350=1, Q350=1, T350=1), AJ350="no Match"), "CUSM, CHU SJ, CHUQ", "")</f>
      </c>
      <c r="AL350" s="37">
        <f>IF(AND(O351=2, ISBLANK(P351), ISBLANK(Q351), ISBLANK(R351), ISBLANK(S351), ISBLANK(T351)), "CUSM, CHU SJ, CHUS, CHUQ", "")</f>
      </c>
      <c r="AM350" s="37">
        <f>if(and(AJ350="no match", AK350="", AL350="", K350&lt;26), "CUSM, CHU SJ, HGJ, CHUQ, CHUS", "")</f>
      </c>
      <c r="AN350" s="37">
        <f>if(and(AJ350="no match", AK350="", AL350="", K350&gt;26), "CUSM, CHU SJ, HGJ, CHUQ, CHUS, HMR", "")</f>
      </c>
    </row>
    <row x14ac:dyDescent="0.25" r="351" customHeight="1" ht="17.25">
      <c r="A351" s="27" t="s">
        <v>2084</v>
      </c>
      <c r="B351" s="28">
        <v>2</v>
      </c>
      <c r="C351" s="35">
        <v>721</v>
      </c>
      <c r="D351" s="29" t="s">
        <v>367</v>
      </c>
      <c r="E351" s="30" t="s">
        <v>50</v>
      </c>
      <c r="F351" s="31">
        <v>44382</v>
      </c>
      <c r="G351" s="32">
        <v>4.552083333333334</v>
      </c>
      <c r="H351" s="31">
        <v>44382</v>
      </c>
      <c r="I351" s="32">
        <v>4.276388888888889</v>
      </c>
      <c r="J351" s="33">
        <f>F351-H351</f>
      </c>
      <c r="K351" s="28">
        <v>36</v>
      </c>
      <c r="L351" s="28">
        <v>5</v>
      </c>
      <c r="M351" s="28">
        <v>1</v>
      </c>
      <c r="N351" s="38"/>
      <c r="O351" s="38"/>
      <c r="P351" s="34"/>
      <c r="Q351" s="34"/>
      <c r="R351" s="34"/>
      <c r="S351" s="38"/>
      <c r="T351" s="34"/>
      <c r="U351" s="34"/>
      <c r="V351" s="34"/>
      <c r="W351" s="29"/>
      <c r="X351" s="28">
        <v>32</v>
      </c>
      <c r="Y351" s="28">
        <v>1</v>
      </c>
      <c r="Z351" s="28">
        <v>1</v>
      </c>
      <c r="AA351" s="28">
        <v>2</v>
      </c>
      <c r="AB351" s="28">
        <v>2</v>
      </c>
      <c r="AC351" s="28">
        <v>2</v>
      </c>
      <c r="AD351" s="28">
        <v>2</v>
      </c>
      <c r="AE351" s="28">
        <v>2</v>
      </c>
      <c r="AF351" s="28">
        <v>2</v>
      </c>
      <c r="AG351" s="28">
        <v>2</v>
      </c>
      <c r="AH351" s="29" t="s">
        <v>1014</v>
      </c>
      <c r="AI351" s="36">
        <f>if(or(and(K351&lt;32, J351&lt;2), O351=1, P351=1, Q351=1, R351=1, S351=1, T351=1, U351=1, and(W351&lt;&gt;"", W351&lt;&gt;"Oxygen", W351&lt;&gt;"LowFlow")), "Intensive", "Intermediate")</f>
      </c>
      <c r="AJ351" s="37">
        <f>if(or(left(AH351, 1)="X", left(AH351, 1)="Y", left(AH351, 3)="J29M"), "CUSM", "No Match")</f>
      </c>
      <c r="AK351" s="37">
        <f>if(and(or(O351=3, P351=1, Q351=1, T351=1), AJ351="no Match"), "CUSM, CHU SJ, CHUQ", "")</f>
      </c>
      <c r="AL351" s="37">
        <f>IF(AND(O352=2, ISBLANK(P352), ISBLANK(Q352), ISBLANK(R352), ISBLANK(S352), ISBLANK(T352)), "CUSM, CHU SJ, CHUS, CHUQ", "")</f>
      </c>
      <c r="AM351" s="37">
        <f>if(and(AJ351="no match", AK351="", AL351="", K351&lt;26), "CUSM, CHU SJ, HGJ, CHUQ, CHUS", "")</f>
      </c>
      <c r="AN351" s="37">
        <f>if(and(AJ351="no match", AK351="", AL351="", K351&gt;26), "CUSM, CHU SJ, HGJ, CHUQ, CHUS, HMR", "")</f>
      </c>
    </row>
    <row x14ac:dyDescent="0.25" r="352" customHeight="1" ht="17.25">
      <c r="A352" s="27" t="s">
        <v>2085</v>
      </c>
      <c r="B352" s="28">
        <v>2</v>
      </c>
      <c r="C352" s="35">
        <v>720</v>
      </c>
      <c r="D352" s="29" t="s">
        <v>626</v>
      </c>
      <c r="E352" s="30" t="s">
        <v>50</v>
      </c>
      <c r="F352" s="31">
        <v>44382</v>
      </c>
      <c r="G352" s="32">
        <v>4.541666666666666</v>
      </c>
      <c r="H352" s="31">
        <v>44381</v>
      </c>
      <c r="I352" s="32">
        <v>4.954861111111111</v>
      </c>
      <c r="J352" s="33">
        <f>F352-H352</f>
      </c>
      <c r="K352" s="28">
        <v>31</v>
      </c>
      <c r="L352" s="28">
        <v>2</v>
      </c>
      <c r="M352" s="28">
        <v>2</v>
      </c>
      <c r="N352" s="38"/>
      <c r="O352" s="34"/>
      <c r="P352" s="38"/>
      <c r="Q352" s="34"/>
      <c r="R352" s="34"/>
      <c r="S352" s="34"/>
      <c r="T352" s="34"/>
      <c r="U352" s="34"/>
      <c r="V352" s="34"/>
      <c r="W352" s="29" t="s">
        <v>58</v>
      </c>
      <c r="X352" s="28">
        <v>23</v>
      </c>
      <c r="Y352" s="28">
        <v>1</v>
      </c>
      <c r="Z352" s="28">
        <v>1</v>
      </c>
      <c r="AA352" s="28">
        <v>3</v>
      </c>
      <c r="AB352" s="28">
        <v>4</v>
      </c>
      <c r="AC352" s="28">
        <v>3</v>
      </c>
      <c r="AD352" s="28">
        <v>3</v>
      </c>
      <c r="AE352" s="28">
        <v>4</v>
      </c>
      <c r="AF352" s="35">
        <v>3</v>
      </c>
      <c r="AG352" s="28">
        <v>2</v>
      </c>
      <c r="AH352" s="29" t="s">
        <v>2086</v>
      </c>
      <c r="AI352" s="36">
        <f>if(or(and(K352&lt;32, J352&lt;2), O352=1, P352=1, Q352=1, R352=1, S352=1, T352=1, U352=1, and(W352&lt;&gt;"", W352&lt;&gt;"Oxygen", W352&lt;&gt;"LowFlow")), "Intensive", "Intermediate")</f>
      </c>
      <c r="AJ352" s="37">
        <f>if(or(left(AH352, 1)="X", left(AH352, 1)="Y", left(AH352, 3)="J30M"), "CUSM", "No Match")</f>
      </c>
      <c r="AK352" s="37">
        <f>if(and(or(O352=3, P352=1, Q352=1, T352=1), AJ352="no Match"), "CUSM, CHU SJ, CHUQ", "")</f>
      </c>
      <c r="AL352" s="37">
        <f>IF(AND(O353=2, ISBLANK(P353), ISBLANK(Q353), ISBLANK(R353), ISBLANK(S353), ISBLANK(T353)), "CUSM, CHU SJ, CHUS, CHUQ", "")</f>
      </c>
      <c r="AM352" s="37">
        <f>if(and(AJ352="no match", AK352="", AL352="", K352&lt;26), "CUSM, CHU SJ, HGJ, CHUQ, CHUS", "")</f>
      </c>
      <c r="AN352" s="37">
        <f>if(and(AJ352="no match", AK352="", AL352="", K352&gt;26), "CUSM, CHU SJ, HGJ, CHUQ, CHUS, HMR", "")</f>
      </c>
    </row>
    <row x14ac:dyDescent="0.25" r="353" customHeight="1" ht="17.25">
      <c r="A353" s="27" t="s">
        <v>2087</v>
      </c>
      <c r="B353" s="28">
        <v>2</v>
      </c>
      <c r="C353" s="28">
        <v>831</v>
      </c>
      <c r="D353" s="29" t="s">
        <v>313</v>
      </c>
      <c r="E353" s="30" t="s">
        <v>54</v>
      </c>
      <c r="F353" s="31">
        <v>44384</v>
      </c>
      <c r="G353" s="32">
        <v>4.888888888888889</v>
      </c>
      <c r="H353" s="31">
        <v>44383</v>
      </c>
      <c r="I353" s="32">
        <v>4.4125</v>
      </c>
      <c r="J353" s="33">
        <f>F353-H353</f>
      </c>
      <c r="K353" s="28">
        <v>39</v>
      </c>
      <c r="L353" s="28">
        <v>3</v>
      </c>
      <c r="M353" s="28">
        <v>1</v>
      </c>
      <c r="N353" s="34"/>
      <c r="O353" s="34"/>
      <c r="P353" s="34"/>
      <c r="Q353" s="34"/>
      <c r="R353" s="34"/>
      <c r="S353" s="34"/>
      <c r="T353" s="34"/>
      <c r="U353" s="34"/>
      <c r="V353" s="34"/>
      <c r="W353" s="29"/>
      <c r="X353" s="28">
        <v>37</v>
      </c>
      <c r="Y353" s="28">
        <v>1</v>
      </c>
      <c r="Z353" s="28">
        <v>2</v>
      </c>
      <c r="AA353" s="28">
        <v>2</v>
      </c>
      <c r="AB353" s="28">
        <v>1</v>
      </c>
      <c r="AC353" s="28">
        <v>2</v>
      </c>
      <c r="AD353" s="28">
        <v>1</v>
      </c>
      <c r="AE353" s="28">
        <v>4</v>
      </c>
      <c r="AF353" s="28">
        <v>2</v>
      </c>
      <c r="AG353" s="28">
        <v>2</v>
      </c>
      <c r="AH353" s="29" t="s">
        <v>2088</v>
      </c>
      <c r="AI353" s="36">
        <f>if(or(and(K353&lt;32, J353&lt;2), O353=1, P353=1, Q353=1, R353=1, S353=1, T353=1, U353=1, and(W353&lt;&gt;"", W353&lt;&gt;"Oxygen", W353&lt;&gt;"LowFlow")), "Intensive", "Intermediate")</f>
      </c>
      <c r="AJ353" s="37">
        <f>if(or(left(AH353, 1)="X", left(AH353, 1)="Y", left(AH353, 3)="J31M"), "CUSM", "No Match")</f>
      </c>
      <c r="AK353" s="37">
        <f>if(and(or(O353=3, P353=1, Q353=1, T353=1), AJ353="no Match"), "CUSM, CHU SJ, CHUQ", "")</f>
      </c>
      <c r="AL353" s="37">
        <f>IF(AND(O354=2, ISBLANK(P354), ISBLANK(Q354), ISBLANK(R354), ISBLANK(S354), ISBLANK(T354)), "CUSM, CHU SJ, CHUS, CHUQ", "")</f>
      </c>
      <c r="AM353" s="37">
        <f>if(and(AJ353="no match", AK353="", AL353="", K353&lt;26), "CUSM, CHU SJ, HGJ, CHUQ, CHUS", "")</f>
      </c>
      <c r="AN353" s="37">
        <f>if(and(AJ353="no match", AK353="", AL353="", K353&gt;26), "CUSM, CHU SJ, HGJ, CHUQ, CHUS, HMR", "")</f>
      </c>
    </row>
    <row x14ac:dyDescent="0.25" r="354" customHeight="1" ht="17.25">
      <c r="A354" s="27" t="s">
        <v>2089</v>
      </c>
      <c r="B354" s="28">
        <v>2</v>
      </c>
      <c r="C354" s="35">
        <v>796</v>
      </c>
      <c r="D354" s="29" t="s">
        <v>63</v>
      </c>
      <c r="E354" s="30" t="s">
        <v>54</v>
      </c>
      <c r="F354" s="31">
        <v>44384</v>
      </c>
      <c r="G354" s="32">
        <v>4.569444444444445</v>
      </c>
      <c r="H354" s="31">
        <v>44384</v>
      </c>
      <c r="I354" s="32">
        <v>4.41875</v>
      </c>
      <c r="J354" s="33">
        <f>F354-H354</f>
      </c>
      <c r="K354" s="28">
        <v>30</v>
      </c>
      <c r="L354" s="28">
        <v>6</v>
      </c>
      <c r="M354" s="28">
        <v>2</v>
      </c>
      <c r="N354" s="34"/>
      <c r="O354" s="34"/>
      <c r="P354" s="34"/>
      <c r="Q354" s="34"/>
      <c r="R354" s="34"/>
      <c r="S354" s="34"/>
      <c r="T354" s="34"/>
      <c r="U354" s="34"/>
      <c r="V354" s="34"/>
      <c r="W354" s="29" t="s">
        <v>74</v>
      </c>
      <c r="X354" s="28">
        <v>32</v>
      </c>
      <c r="Y354" s="28">
        <v>1</v>
      </c>
      <c r="Z354" s="28">
        <v>2</v>
      </c>
      <c r="AA354" s="28">
        <v>1</v>
      </c>
      <c r="AB354" s="28">
        <v>1</v>
      </c>
      <c r="AC354" s="28">
        <v>2</v>
      </c>
      <c r="AD354" s="28">
        <v>2</v>
      </c>
      <c r="AE354" s="28">
        <v>4</v>
      </c>
      <c r="AF354" s="28">
        <v>2</v>
      </c>
      <c r="AG354" s="28">
        <v>2</v>
      </c>
      <c r="AH354" s="29" t="s">
        <v>1334</v>
      </c>
      <c r="AI354" s="36">
        <f>if(or(and(K354&lt;32, J354&lt;2), O354=1, P354=1, Q354=1, R354=1, S354=1, T354=1, U354=1, and(W354&lt;&gt;"", W354&lt;&gt;"Oxygen", W354&lt;&gt;"LowFlow")), "Intensive", "Intermediate")</f>
      </c>
      <c r="AJ354" s="37">
        <f>if(or(left(AH354, 1)="X", left(AH354, 1)="Y", left(AH354, 3)="J32M"), "CUSM", "No Match")</f>
      </c>
      <c r="AK354" s="37">
        <f>if(and(or(O354=3, P354=1, Q354=1, T354=1), AJ354="no Match"), "CUSM, CHU SJ, CHUQ", "")</f>
      </c>
      <c r="AL354" s="37">
        <f>IF(AND(O355=2, ISBLANK(P355), ISBLANK(Q355), ISBLANK(R355), ISBLANK(S355), ISBLANK(T355)), "CUSM, CHU SJ, CHUS, CHUQ", "")</f>
      </c>
      <c r="AM354" s="37">
        <f>if(and(AJ354="no match", AK354="", AL354="", K354&lt;26), "CUSM, CHU SJ, HGJ, CHUQ, CHUS", "")</f>
      </c>
      <c r="AN354" s="37">
        <f>if(and(AJ354="no match", AK354="", AL354="", K354&gt;26), "CUSM, CHU SJ, HGJ, CHUQ, CHUS, HMR", "")</f>
      </c>
    </row>
    <row x14ac:dyDescent="0.25" r="355" customHeight="1" ht="17.25">
      <c r="A355" s="27" t="s">
        <v>2090</v>
      </c>
      <c r="B355" s="28">
        <v>2</v>
      </c>
      <c r="C355" s="35">
        <v>720</v>
      </c>
      <c r="D355" s="29" t="s">
        <v>626</v>
      </c>
      <c r="E355" s="30" t="s">
        <v>50</v>
      </c>
      <c r="F355" s="31">
        <v>44384</v>
      </c>
      <c r="G355" s="32">
        <v>4.232638888888889</v>
      </c>
      <c r="H355" s="31">
        <v>44372</v>
      </c>
      <c r="I355" s="32">
        <v>4</v>
      </c>
      <c r="J355" s="33">
        <f>F355-H355</f>
      </c>
      <c r="K355" s="28">
        <v>37</v>
      </c>
      <c r="L355" s="28">
        <v>6</v>
      </c>
      <c r="M355" s="28">
        <v>1</v>
      </c>
      <c r="N355" s="35">
        <v>1</v>
      </c>
      <c r="O355" s="34"/>
      <c r="P355" s="35">
        <v>1</v>
      </c>
      <c r="Q355" s="34"/>
      <c r="R355" s="34"/>
      <c r="S355" s="34"/>
      <c r="T355" s="34"/>
      <c r="U355" s="34"/>
      <c r="V355" s="34"/>
      <c r="W355" s="29" t="s">
        <v>106</v>
      </c>
      <c r="X355" s="28">
        <v>18</v>
      </c>
      <c r="Y355" s="28">
        <v>1</v>
      </c>
      <c r="Z355" s="28">
        <v>1</v>
      </c>
      <c r="AA355" s="28">
        <v>3</v>
      </c>
      <c r="AB355" s="28">
        <v>4</v>
      </c>
      <c r="AC355" s="28">
        <v>2</v>
      </c>
      <c r="AD355" s="28">
        <v>2</v>
      </c>
      <c r="AE355" s="28">
        <v>4</v>
      </c>
      <c r="AF355" s="28">
        <v>3</v>
      </c>
      <c r="AG355" s="28">
        <v>2</v>
      </c>
      <c r="AH355" s="29" t="s">
        <v>883</v>
      </c>
      <c r="AI355" s="36">
        <f>if(or(and(K355&lt;32, J355&lt;2), O355=1, P355=1, Q355=1, R355=1, S355=1, T355=1, U355=1, and(W355&lt;&gt;"", W355&lt;&gt;"Oxygen", W355&lt;&gt;"LowFlow")), "Intensive", "Intermediate")</f>
      </c>
      <c r="AJ355" s="37">
        <f>if(or(left(AH355, 1)="X", left(AH355, 1)="Y", left(AH355, 3)="J33M"), "CUSM", "No Match")</f>
      </c>
      <c r="AK355" s="37">
        <f>if(and(or(O355=3, P355=1, Q355=1, T355=1), AJ355="no Match"), "CUSM, CHU SJ, CHUQ", "")</f>
      </c>
      <c r="AL355" s="37">
        <f>IF(AND(O356=2, ISBLANK(P356), ISBLANK(Q356), ISBLANK(R356), ISBLANK(S356), ISBLANK(T356)), "CUSM, CHU SJ, CHUS, CHUQ", "")</f>
      </c>
      <c r="AM355" s="37">
        <f>if(and(AJ355="no match", AK355="", AL355="", K355&lt;26), "CUSM, CHU SJ, HGJ, CHUQ, CHUS", "")</f>
      </c>
      <c r="AN355" s="37">
        <f>if(and(AJ355="no match", AK355="", AL355="", K355&gt;26), "CUSM, CHU SJ, HGJ, CHUQ, CHUS, HMR", "")</f>
      </c>
    </row>
    <row x14ac:dyDescent="0.25" r="356" customHeight="1" ht="17.25">
      <c r="A356" s="27" t="s">
        <v>2091</v>
      </c>
      <c r="B356" s="28">
        <v>2</v>
      </c>
      <c r="C356" s="35">
        <v>833</v>
      </c>
      <c r="D356" s="29" t="s">
        <v>376</v>
      </c>
      <c r="E356" s="30" t="s">
        <v>54</v>
      </c>
      <c r="F356" s="31">
        <v>44385</v>
      </c>
      <c r="G356" s="32">
        <v>4.631944444444445</v>
      </c>
      <c r="H356" s="31">
        <v>44385</v>
      </c>
      <c r="I356" s="32">
        <v>4.266666666666667</v>
      </c>
      <c r="J356" s="33">
        <f>F356-H356</f>
      </c>
      <c r="K356" s="28">
        <v>40</v>
      </c>
      <c r="L356" s="28">
        <v>0</v>
      </c>
      <c r="M356" s="28">
        <v>1</v>
      </c>
      <c r="N356" s="34"/>
      <c r="O356" s="35">
        <v>2</v>
      </c>
      <c r="P356" s="34"/>
      <c r="Q356" s="34"/>
      <c r="R356" s="35">
        <v>1</v>
      </c>
      <c r="S356" s="34"/>
      <c r="T356" s="34"/>
      <c r="U356" s="34"/>
      <c r="V356" s="35">
        <v>1</v>
      </c>
      <c r="W356" s="29" t="s">
        <v>74</v>
      </c>
      <c r="X356" s="28">
        <v>32</v>
      </c>
      <c r="Y356" s="28">
        <v>1</v>
      </c>
      <c r="Z356" s="28">
        <v>1</v>
      </c>
      <c r="AA356" s="28">
        <v>1</v>
      </c>
      <c r="AB356" s="28">
        <v>1</v>
      </c>
      <c r="AC356" s="28">
        <v>2</v>
      </c>
      <c r="AD356" s="28">
        <v>2</v>
      </c>
      <c r="AE356" s="28">
        <v>4</v>
      </c>
      <c r="AF356" s="28">
        <v>2</v>
      </c>
      <c r="AG356" s="28">
        <v>2</v>
      </c>
      <c r="AH356" s="29" t="s">
        <v>2092</v>
      </c>
      <c r="AI356" s="36">
        <f>if(or(and(K356&lt;32, J356&lt;2), O356=1, P356=1, Q356=1, R356=1, S356=1, T356=1, U356=1, and(W356&lt;&gt;"", W356&lt;&gt;"Oxygen", W356&lt;&gt;"LowFlow")), "Intensive", "Intermediate")</f>
      </c>
      <c r="AJ356" s="37">
        <f>if(or(left(AH356, 1)="X", left(AH356, 1)="Y", left(AH356, 3)="J34M"), "CUSM", "No Match")</f>
      </c>
      <c r="AK356" s="37">
        <f>if(and(or(O356=3, P356=1, Q356=1, T356=1), AJ356="no Match"), "CUSM, CHU SJ, CHUQ", "")</f>
      </c>
      <c r="AL356" s="37">
        <f>IF(AND(O357=2, ISBLANK(P357), ISBLANK(Q357), ISBLANK(R357), ISBLANK(S357), ISBLANK(T357)), "CUSM, CHU SJ, CHUS, CHUQ", "")</f>
      </c>
      <c r="AM356" s="37">
        <f>if(and(AJ356="no match", AK356="", AL356="", K356&lt;26), "CUSM, CHU SJ, HGJ, CHUQ, CHUS", "")</f>
      </c>
      <c r="AN356" s="37">
        <f>if(and(AJ356="no match", AK356="", AL356="", K356&gt;26), "CUSM, CHU SJ, HGJ, CHUQ, CHUS, HMR", "")</f>
      </c>
    </row>
    <row x14ac:dyDescent="0.25" r="357" customHeight="1" ht="17.25">
      <c r="A357" s="27" t="s">
        <v>2093</v>
      </c>
      <c r="B357" s="28">
        <v>2</v>
      </c>
      <c r="C357" s="35">
        <v>1019</v>
      </c>
      <c r="D357" s="29" t="s">
        <v>354</v>
      </c>
      <c r="E357" s="30" t="s">
        <v>54</v>
      </c>
      <c r="F357" s="31">
        <v>44385</v>
      </c>
      <c r="G357" s="32">
        <v>4.722222222222222</v>
      </c>
      <c r="H357" s="31">
        <v>44385</v>
      </c>
      <c r="I357" s="32">
        <v>4.571527777777778</v>
      </c>
      <c r="J357" s="33">
        <f>F357-H357</f>
      </c>
      <c r="K357" s="28">
        <v>41</v>
      </c>
      <c r="L357" s="28">
        <v>0</v>
      </c>
      <c r="M357" s="28">
        <v>1</v>
      </c>
      <c r="N357" s="38"/>
      <c r="O357" s="34"/>
      <c r="P357" s="38"/>
      <c r="Q357" s="34"/>
      <c r="R357" s="34"/>
      <c r="S357" s="34"/>
      <c r="T357" s="35">
        <v>1</v>
      </c>
      <c r="U357" s="34"/>
      <c r="V357" s="34"/>
      <c r="W357" s="29" t="s">
        <v>74</v>
      </c>
      <c r="X357" s="28">
        <v>38</v>
      </c>
      <c r="Y357" s="28">
        <v>1</v>
      </c>
      <c r="Z357" s="28">
        <v>2</v>
      </c>
      <c r="AA357" s="28">
        <v>2</v>
      </c>
      <c r="AB357" s="28">
        <v>1</v>
      </c>
      <c r="AC357" s="28">
        <v>2</v>
      </c>
      <c r="AD357" s="28">
        <v>2</v>
      </c>
      <c r="AE357" s="28">
        <v>2</v>
      </c>
      <c r="AF357" s="28">
        <v>2</v>
      </c>
      <c r="AG357" s="28">
        <v>2</v>
      </c>
      <c r="AH357" s="29" t="s">
        <v>2094</v>
      </c>
      <c r="AI357" s="36">
        <f>if(or(and(K357&lt;32, J357&lt;2), O357=1, P357=1, Q357=1, R357=1, S357=1, T357=1, U357=1, and(W357&lt;&gt;"", W357&lt;&gt;"Oxygen", W357&lt;&gt;"LowFlow")), "Intensive", "Intermediate")</f>
      </c>
      <c r="AJ357" s="37">
        <f>if(or(left(AH357, 1)="X", left(AH357, 1)="Y", left(AH357, 3)="J35M"), "CUSM", "No Match")</f>
      </c>
      <c r="AK357" s="37">
        <f>if(and(or(O357=3, P357=1, Q357=1, T357=1), AJ357="no Match"), "CUSM, CHU SJ, CHUQ", "")</f>
      </c>
      <c r="AL357" s="37">
        <f>IF(AND(O358=2, ISBLANK(P358), ISBLANK(Q358), ISBLANK(R358), ISBLANK(S358), ISBLANK(T358)), "CUSM, CHU SJ, CHUS, CHUQ", "")</f>
      </c>
      <c r="AM357" s="37">
        <f>if(and(AJ357="no match", AK357="", AL357="", K357&lt;26), "CUSM, CHU SJ, HGJ, CHUQ, CHUS", "")</f>
      </c>
      <c r="AN357" s="37">
        <f>if(and(AJ357="no match", AK357="", AL357="", K357&gt;26), "CUSM, CHU SJ, HGJ, CHUQ, CHUS, HMR", "")</f>
      </c>
    </row>
    <row x14ac:dyDescent="0.25" r="358" customHeight="1" ht="17.25">
      <c r="A358" s="27" t="s">
        <v>2095</v>
      </c>
      <c r="B358" s="28">
        <v>2</v>
      </c>
      <c r="C358" s="35">
        <v>779</v>
      </c>
      <c r="D358" s="29" t="s">
        <v>136</v>
      </c>
      <c r="E358" s="30" t="s">
        <v>50</v>
      </c>
      <c r="F358" s="31">
        <v>44385</v>
      </c>
      <c r="G358" s="32">
        <v>4.902777777777778</v>
      </c>
      <c r="H358" s="31">
        <v>44383</v>
      </c>
      <c r="I358" s="32">
        <v>4.4215277777777775</v>
      </c>
      <c r="J358" s="33">
        <f>F358-H358</f>
      </c>
      <c r="K358" s="28">
        <v>38</v>
      </c>
      <c r="L358" s="28">
        <v>4</v>
      </c>
      <c r="M358" s="28">
        <v>2</v>
      </c>
      <c r="N358" s="35">
        <v>1</v>
      </c>
      <c r="O358" s="34"/>
      <c r="P358" s="34"/>
      <c r="Q358" s="34"/>
      <c r="R358" s="34"/>
      <c r="S358" s="34"/>
      <c r="T358" s="34"/>
      <c r="U358" s="34"/>
      <c r="V358" s="34"/>
      <c r="W358" s="29"/>
      <c r="X358" s="28">
        <v>33</v>
      </c>
      <c r="Y358" s="28">
        <v>1</v>
      </c>
      <c r="Z358" s="28">
        <v>2</v>
      </c>
      <c r="AA358" s="28">
        <v>3</v>
      </c>
      <c r="AB358" s="28">
        <v>1</v>
      </c>
      <c r="AC358" s="28">
        <v>2</v>
      </c>
      <c r="AD358" s="28">
        <v>1</v>
      </c>
      <c r="AE358" s="28">
        <v>4</v>
      </c>
      <c r="AF358" s="28">
        <v>3</v>
      </c>
      <c r="AG358" s="28">
        <v>2</v>
      </c>
      <c r="AH358" s="29" t="s">
        <v>2096</v>
      </c>
      <c r="AI358" s="36">
        <f>if(or(and(K358&lt;32, J358&lt;2), O358=1, P358=1, Q358=1, R358=1, S358=1, T358=1, U358=1, and(W358&lt;&gt;"", W358&lt;&gt;"Oxygen", W358&lt;&gt;"LowFlow")), "Intensive", "Intermediate")</f>
      </c>
      <c r="AJ358" s="37">
        <f>if(or(left(AH358, 1)="X", left(AH358, 1)="Y", left(AH358, 3)="J36M"), "CUSM", "No Match")</f>
      </c>
      <c r="AK358" s="37">
        <f>if(and(or(O358=3, P358=1, Q358=1, T358=1), AJ358="no Match"), "CUSM, CHU SJ, CHUQ", "")</f>
      </c>
      <c r="AL358" s="37">
        <f>IF(AND(O359=2, ISBLANK(P359), ISBLANK(Q359), ISBLANK(R359), ISBLANK(S359), ISBLANK(T359)), "CUSM, CHU SJ, CHUS, CHUQ", "")</f>
      </c>
      <c r="AM358" s="37">
        <f>if(and(AJ358="no match", AK358="", AL358="", K358&lt;26), "CUSM, CHU SJ, HGJ, CHUQ, CHUS", "")</f>
      </c>
      <c r="AN358" s="37">
        <f>if(and(AJ358="no match", AK358="", AL358="", K358&gt;26), "CUSM, CHU SJ, HGJ, CHUQ, CHUS, HMR", "")</f>
      </c>
    </row>
    <row x14ac:dyDescent="0.25" r="359" customHeight="1" ht="17.25">
      <c r="A359" s="27" t="s">
        <v>2097</v>
      </c>
      <c r="B359" s="28">
        <v>2</v>
      </c>
      <c r="C359" s="35">
        <v>796</v>
      </c>
      <c r="D359" s="29" t="s">
        <v>63</v>
      </c>
      <c r="E359" s="30" t="s">
        <v>50</v>
      </c>
      <c r="F359" s="31">
        <v>44385</v>
      </c>
      <c r="G359" s="32">
        <v>4.84375</v>
      </c>
      <c r="H359" s="31">
        <v>44383</v>
      </c>
      <c r="I359" s="32">
        <v>4.624305555555555</v>
      </c>
      <c r="J359" s="33">
        <f>F359-H359</f>
      </c>
      <c r="K359" s="28">
        <v>37</v>
      </c>
      <c r="L359" s="28">
        <v>2</v>
      </c>
      <c r="M359" s="28">
        <v>1</v>
      </c>
      <c r="N359" s="34"/>
      <c r="O359" s="34"/>
      <c r="P359" s="34"/>
      <c r="Q359" s="34"/>
      <c r="R359" s="34"/>
      <c r="S359" s="34"/>
      <c r="T359" s="34"/>
      <c r="U359" s="34"/>
      <c r="V359" s="34"/>
      <c r="W359" s="29"/>
      <c r="X359" s="28">
        <v>37</v>
      </c>
      <c r="Y359" s="28">
        <v>2</v>
      </c>
      <c r="Z359" s="28">
        <v>2</v>
      </c>
      <c r="AA359" s="28">
        <v>1</v>
      </c>
      <c r="AB359" s="28">
        <v>2</v>
      </c>
      <c r="AC359" s="28">
        <v>1</v>
      </c>
      <c r="AD359" s="28">
        <v>2</v>
      </c>
      <c r="AE359" s="28">
        <v>4</v>
      </c>
      <c r="AF359" s="28">
        <v>1</v>
      </c>
      <c r="AG359" s="28">
        <v>2</v>
      </c>
      <c r="AH359" s="29" t="s">
        <v>2098</v>
      </c>
      <c r="AI359" s="36">
        <f>if(or(and(K359&lt;32, J359&lt;2), O359=1, P359=1, Q359=1, R359=1, S359=1, T359=1, U359=1, and(W359&lt;&gt;"", W359&lt;&gt;"Oxygen", W359&lt;&gt;"LowFlow")), "Intensive", "Intermediate")</f>
      </c>
      <c r="AJ359" s="37">
        <f>if(or(left(AH359, 1)="X", left(AH359, 1)="Y", left(AH359, 3)="J37M"), "CUSM", "No Match")</f>
      </c>
      <c r="AK359" s="37">
        <f>if(and(or(O359=3, P359=1, Q359=1, T359=1), AJ359="no Match"), "CUSM, CHU SJ, CHUQ", "")</f>
      </c>
      <c r="AL359" s="37">
        <f>IF(AND(O360=2, ISBLANK(P360), ISBLANK(Q360), ISBLANK(R360), ISBLANK(S360), ISBLANK(T360)), "CUSM, CHU SJ, CHUS, CHUQ", "")</f>
      </c>
      <c r="AM359" s="37">
        <f>if(and(AJ359="no match", AK359="", AL359="", K359&lt;26), "CUSM, CHU SJ, HGJ, CHUQ, CHUS", "")</f>
      </c>
      <c r="AN359" s="37">
        <f>if(and(AJ359="no match", AK359="", AL359="", K359&gt;26), "CUSM, CHU SJ, HGJ, CHUQ, CHUS, HMR", "")</f>
      </c>
    </row>
    <row x14ac:dyDescent="0.25" r="360" customHeight="1" ht="17.25">
      <c r="A360" s="27" t="s">
        <v>2099</v>
      </c>
      <c r="B360" s="28">
        <v>2</v>
      </c>
      <c r="C360" s="35">
        <v>820</v>
      </c>
      <c r="D360" s="29" t="s">
        <v>69</v>
      </c>
      <c r="E360" s="30" t="s">
        <v>54</v>
      </c>
      <c r="F360" s="31">
        <v>44386</v>
      </c>
      <c r="G360" s="32">
        <v>4.951388888888889</v>
      </c>
      <c r="H360" s="31">
        <v>44381</v>
      </c>
      <c r="I360" s="32">
        <v>4.69375</v>
      </c>
      <c r="J360" s="33">
        <f>F360-H360</f>
      </c>
      <c r="K360" s="28">
        <v>40</v>
      </c>
      <c r="L360" s="28">
        <v>1</v>
      </c>
      <c r="M360" s="28">
        <v>1</v>
      </c>
      <c r="N360" s="34"/>
      <c r="O360" s="34"/>
      <c r="P360" s="34"/>
      <c r="Q360" s="34"/>
      <c r="R360" s="34"/>
      <c r="S360" s="34"/>
      <c r="T360" s="34"/>
      <c r="U360" s="34"/>
      <c r="V360" s="34"/>
      <c r="W360" s="29"/>
      <c r="X360" s="28">
        <v>36</v>
      </c>
      <c r="Y360" s="28">
        <v>1</v>
      </c>
      <c r="Z360" s="28">
        <v>1</v>
      </c>
      <c r="AA360" s="28">
        <v>1</v>
      </c>
      <c r="AB360" s="28">
        <v>4</v>
      </c>
      <c r="AC360" s="28">
        <v>2</v>
      </c>
      <c r="AD360" s="28">
        <v>2</v>
      </c>
      <c r="AE360" s="28">
        <v>4</v>
      </c>
      <c r="AF360" s="28">
        <v>2</v>
      </c>
      <c r="AG360" s="28">
        <v>3</v>
      </c>
      <c r="AH360" s="29" t="s">
        <v>2100</v>
      </c>
      <c r="AI360" s="36">
        <f>if(or(and(K360&lt;32, J360&lt;2), O360=1, P360=1, Q360=1, R360=1, S360=1, T360=1, U360=1, and(W360&lt;&gt;"", W360&lt;&gt;"Oxygen", W360&lt;&gt;"LowFlow")), "Intensive", "Intermediate")</f>
      </c>
      <c r="AJ360" s="37">
        <f>if(or(left(AH360, 1)="X", left(AH360, 1)="Y", left(AH360, 3)="J38M"), "CUSM", "No Match")</f>
      </c>
      <c r="AK360" s="37">
        <f>if(and(or(O360=3, P360=1, Q360=1, T360=1), AJ360="no Match"), "CUSM, CHU SJ, CHUQ", "")</f>
      </c>
      <c r="AL360" s="37">
        <f>IF(AND(O361=2, ISBLANK(P361), ISBLANK(Q361), ISBLANK(R361), ISBLANK(S361), ISBLANK(T361)), "CUSM, CHU SJ, CHUS, CHUQ", "")</f>
      </c>
      <c r="AM360" s="37">
        <f>if(and(AJ360="no match", AK360="", AL360="", K360&lt;26), "CUSM, CHU SJ, HGJ, CHUQ, CHUS", "")</f>
      </c>
      <c r="AN360" s="37">
        <f>if(and(AJ360="no match", AK360="", AL360="", K360&gt;26), "CUSM, CHU SJ, HGJ, CHUQ, CHUS, HMR", "")</f>
      </c>
    </row>
    <row x14ac:dyDescent="0.25" r="361" customHeight="1" ht="17.25">
      <c r="A361" s="27" t="s">
        <v>2101</v>
      </c>
      <c r="B361" s="28">
        <v>2</v>
      </c>
      <c r="C361" s="35">
        <v>839</v>
      </c>
      <c r="D361" s="29" t="s">
        <v>53</v>
      </c>
      <c r="E361" s="30" t="s">
        <v>50</v>
      </c>
      <c r="F361" s="31">
        <v>44387</v>
      </c>
      <c r="G361" s="32">
        <v>4.111111111111111</v>
      </c>
      <c r="H361" s="31">
        <v>44387</v>
      </c>
      <c r="I361" s="32">
        <v>4.001388888888889</v>
      </c>
      <c r="J361" s="33">
        <f>F361-H361</f>
      </c>
      <c r="K361" s="28">
        <v>39</v>
      </c>
      <c r="L361" s="28">
        <v>3</v>
      </c>
      <c r="M361" s="28">
        <v>2</v>
      </c>
      <c r="N361" s="34"/>
      <c r="O361" s="34"/>
      <c r="P361" s="34"/>
      <c r="Q361" s="34"/>
      <c r="R361" s="34"/>
      <c r="S361" s="34"/>
      <c r="T361" s="34"/>
      <c r="U361" s="34"/>
      <c r="V361" s="34"/>
      <c r="W361" s="29" t="s">
        <v>74</v>
      </c>
      <c r="X361" s="28">
        <v>35</v>
      </c>
      <c r="Y361" s="28">
        <v>1</v>
      </c>
      <c r="Z361" s="28">
        <v>1</v>
      </c>
      <c r="AA361" s="28">
        <v>1</v>
      </c>
      <c r="AB361" s="28">
        <v>1</v>
      </c>
      <c r="AC361" s="28">
        <v>2</v>
      </c>
      <c r="AD361" s="28">
        <v>2</v>
      </c>
      <c r="AE361" s="28">
        <v>1</v>
      </c>
      <c r="AF361" s="28">
        <v>1</v>
      </c>
      <c r="AG361" s="28">
        <v>2</v>
      </c>
      <c r="AH361" s="29" t="s">
        <v>2102</v>
      </c>
      <c r="AI361" s="36">
        <f>if(or(and(K361&lt;32, J361&lt;2), O361=1, P361=1, Q361=1, R361=1, S361=1, T361=1, U361=1, and(W361&lt;&gt;"", W361&lt;&gt;"Oxygen", W361&lt;&gt;"LowFlow")), "Intensive", "Intermediate")</f>
      </c>
      <c r="AJ361" s="37">
        <f>if(or(left(AH361, 1)="X", left(AH361, 1)="Y", left(AH361, 3)="J39M"), "CUSM", "No Match")</f>
      </c>
      <c r="AK361" s="37">
        <f>if(and(or(O361=3, P361=1, Q361=1, T361=1), AJ361="no Match"), "CUSM, CHU SJ, CHUQ", "")</f>
      </c>
      <c r="AL361" s="37">
        <f>IF(AND(O362=2, ISBLANK(P362), ISBLANK(Q362), ISBLANK(R362), ISBLANK(S362), ISBLANK(T362)), "CUSM, CHU SJ, CHUS, CHUQ", "")</f>
      </c>
      <c r="AM361" s="37">
        <f>if(and(AJ361="no match", AK361="", AL361="", K361&lt;26), "CUSM, CHU SJ, HGJ, CHUQ, CHUS", "")</f>
      </c>
      <c r="AN361" s="37">
        <f>if(and(AJ361="no match", AK361="", AL361="", K361&gt;26), "CUSM, CHU SJ, HGJ, CHUQ, CHUS, HMR", "")</f>
      </c>
    </row>
    <row x14ac:dyDescent="0.25" r="362" customHeight="1" ht="17.25">
      <c r="A362" s="27" t="s">
        <v>2103</v>
      </c>
      <c r="B362" s="28">
        <v>2</v>
      </c>
      <c r="C362" s="28">
        <v>839</v>
      </c>
      <c r="D362" s="29" t="s">
        <v>53</v>
      </c>
      <c r="E362" s="30" t="s">
        <v>50</v>
      </c>
      <c r="F362" s="31">
        <v>44387</v>
      </c>
      <c r="G362" s="32">
        <v>4.020833333333334</v>
      </c>
      <c r="H362" s="31">
        <v>44386</v>
      </c>
      <c r="I362" s="32">
        <v>4.846527777777778</v>
      </c>
      <c r="J362" s="33">
        <f>F362-H362</f>
      </c>
      <c r="K362" s="28">
        <v>40</v>
      </c>
      <c r="L362" s="28">
        <v>3</v>
      </c>
      <c r="M362" s="28">
        <v>1</v>
      </c>
      <c r="N362" s="34"/>
      <c r="O362" s="34"/>
      <c r="P362" s="34"/>
      <c r="Q362" s="34"/>
      <c r="R362" s="34"/>
      <c r="S362" s="34"/>
      <c r="T362" s="35">
        <v>1</v>
      </c>
      <c r="U362" s="34"/>
      <c r="V362" s="34"/>
      <c r="W362" s="29" t="s">
        <v>58</v>
      </c>
      <c r="X362" s="28">
        <v>30</v>
      </c>
      <c r="Y362" s="28">
        <v>1</v>
      </c>
      <c r="Z362" s="28">
        <v>1</v>
      </c>
      <c r="AA362" s="28">
        <v>3</v>
      </c>
      <c r="AB362" s="28">
        <v>2</v>
      </c>
      <c r="AC362" s="28">
        <v>2</v>
      </c>
      <c r="AD362" s="28">
        <v>2</v>
      </c>
      <c r="AE362" s="28">
        <v>1</v>
      </c>
      <c r="AF362" s="28">
        <v>3</v>
      </c>
      <c r="AG362" s="28">
        <v>3</v>
      </c>
      <c r="AH362" s="29" t="s">
        <v>2104</v>
      </c>
      <c r="AI362" s="36">
        <f>if(or(and(K362&lt;32, J362&lt;2), O362=1, P362=1, Q362=1, R362=1, S362=1, T362=1, U362=1, and(W362&lt;&gt;"", W362&lt;&gt;"Oxygen", W362&lt;&gt;"LowFlow")), "Intensive", "Intermediate")</f>
      </c>
      <c r="AJ362" s="37">
        <f>if(or(left(AH362, 1)="X", left(AH362, 1)="Y", left(AH362, 3)="J40M"), "CUSM", "No Match")</f>
      </c>
      <c r="AK362" s="37">
        <f>if(and(or(O362=3, P362=1, Q362=1, T362=1), AJ362="no Match"), "CUSM, CHU SJ, CHUQ", "")</f>
      </c>
      <c r="AL362" s="37">
        <f>IF(AND(O363=2, ISBLANK(P363), ISBLANK(Q363), ISBLANK(R363), ISBLANK(S363), ISBLANK(T363)), "CUSM, CHU SJ, CHUS, CHUQ", "")</f>
      </c>
      <c r="AM362" s="37">
        <f>if(and(AJ362="no match", AK362="", AL362="", K362&lt;26), "CUSM, CHU SJ, HGJ, CHUQ, CHUS", "")</f>
      </c>
      <c r="AN362" s="37">
        <f>if(and(AJ362="no match", AK362="", AL362="", K362&gt;26), "CUSM, CHU SJ, HGJ, CHUQ, CHUS, HMR", "")</f>
      </c>
    </row>
    <row x14ac:dyDescent="0.25" r="363" customHeight="1" ht="17.25">
      <c r="A363" s="27" t="s">
        <v>2105</v>
      </c>
      <c r="B363" s="28">
        <v>2</v>
      </c>
      <c r="C363" s="35">
        <v>806</v>
      </c>
      <c r="D363" s="29" t="s">
        <v>438</v>
      </c>
      <c r="E363" s="30" t="s">
        <v>54</v>
      </c>
      <c r="F363" s="31">
        <v>44389</v>
      </c>
      <c r="G363" s="32">
        <v>4.71875</v>
      </c>
      <c r="H363" s="31">
        <v>44389</v>
      </c>
      <c r="I363" s="32">
        <v>4.420833333333333</v>
      </c>
      <c r="J363" s="33">
        <f>F363-H363</f>
      </c>
      <c r="K363" s="28">
        <v>38</v>
      </c>
      <c r="L363" s="28">
        <v>5</v>
      </c>
      <c r="M363" s="28">
        <v>1</v>
      </c>
      <c r="N363" s="34"/>
      <c r="O363" s="38"/>
      <c r="P363" s="34"/>
      <c r="Q363" s="34"/>
      <c r="R363" s="34"/>
      <c r="S363" s="34"/>
      <c r="T363" s="34"/>
      <c r="U363" s="34"/>
      <c r="V363" s="34"/>
      <c r="W363" s="29" t="s">
        <v>74</v>
      </c>
      <c r="X363" s="28">
        <v>28</v>
      </c>
      <c r="Y363" s="28">
        <v>1</v>
      </c>
      <c r="Z363" s="28">
        <v>1</v>
      </c>
      <c r="AA363" s="28">
        <v>1</v>
      </c>
      <c r="AB363" s="28">
        <v>1</v>
      </c>
      <c r="AC363" s="28">
        <v>2</v>
      </c>
      <c r="AD363" s="28">
        <v>2</v>
      </c>
      <c r="AE363" s="28">
        <v>4</v>
      </c>
      <c r="AF363" s="28">
        <v>2</v>
      </c>
      <c r="AG363" s="28">
        <v>2</v>
      </c>
      <c r="AH363" s="29" t="s">
        <v>2106</v>
      </c>
      <c r="AI363" s="36">
        <f>if(or(and(K363&lt;32, J363&lt;2), O363=1, P363=1, Q363=1, R363=1, S363=1, T363=1, U363=1, and(W363&lt;&gt;"", W363&lt;&gt;"Oxygen", W363&lt;&gt;"LowFlow")), "Intensive", "Intermediate")</f>
      </c>
      <c r="AJ363" s="37">
        <f>if(or(left(AH363, 1)="X", left(AH363, 1)="Y", left(AH363, 3)="J41M"), "CUSM", "No Match")</f>
      </c>
      <c r="AK363" s="37">
        <f>if(and(or(O363=3, P363=1, Q363=1, T363=1), AJ363="no Match"), "CUSM, CHU SJ, CHUQ", "")</f>
      </c>
      <c r="AL363" s="37">
        <f>IF(AND(O364=2, ISBLANK(P364), ISBLANK(Q364), ISBLANK(R364), ISBLANK(S364), ISBLANK(T364)), "CUSM, CHU SJ, CHUS, CHUQ", "")</f>
      </c>
      <c r="AM363" s="37">
        <f>if(and(AJ363="no match", AK363="", AL363="", K363&lt;26), "CUSM, CHU SJ, HGJ, CHUQ, CHUS", "")</f>
      </c>
      <c r="AN363" s="37">
        <f>if(and(AJ363="no match", AK363="", AL363="", K363&gt;26), "CUSM, CHU SJ, HGJ, CHUQ, CHUS, HMR", "")</f>
      </c>
    </row>
    <row x14ac:dyDescent="0.25" r="364" customHeight="1" ht="17.25">
      <c r="A364" s="27" t="s">
        <v>2107</v>
      </c>
      <c r="B364" s="28">
        <v>2</v>
      </c>
      <c r="C364" s="35">
        <v>822</v>
      </c>
      <c r="D364" s="29" t="s">
        <v>167</v>
      </c>
      <c r="E364" s="30" t="s">
        <v>50</v>
      </c>
      <c r="F364" s="31">
        <v>44390</v>
      </c>
      <c r="G364" s="32">
        <v>4.633333333333333</v>
      </c>
      <c r="H364" s="31">
        <v>44390</v>
      </c>
      <c r="I364" s="32">
        <v>4.4840277777777775</v>
      </c>
      <c r="J364" s="33">
        <f>F364-H364</f>
      </c>
      <c r="K364" s="28">
        <v>28</v>
      </c>
      <c r="L364" s="28">
        <v>0</v>
      </c>
      <c r="M364" s="28">
        <v>1</v>
      </c>
      <c r="N364" s="34"/>
      <c r="O364" s="34"/>
      <c r="P364" s="34"/>
      <c r="Q364" s="34"/>
      <c r="R364" s="34"/>
      <c r="S364" s="34"/>
      <c r="T364" s="34"/>
      <c r="U364" s="38"/>
      <c r="V364" s="38"/>
      <c r="W364" s="29" t="s">
        <v>74</v>
      </c>
      <c r="X364" s="28">
        <v>29</v>
      </c>
      <c r="Y364" s="28">
        <v>1</v>
      </c>
      <c r="Z364" s="28">
        <v>2</v>
      </c>
      <c r="AA364" s="28">
        <v>2</v>
      </c>
      <c r="AB364" s="28">
        <v>1</v>
      </c>
      <c r="AC364" s="28">
        <v>2</v>
      </c>
      <c r="AD364" s="28">
        <v>2</v>
      </c>
      <c r="AE364" s="28">
        <v>2</v>
      </c>
      <c r="AF364" s="28">
        <v>2</v>
      </c>
      <c r="AG364" s="28">
        <v>2</v>
      </c>
      <c r="AH364" s="29" t="s">
        <v>2108</v>
      </c>
      <c r="AI364" s="36">
        <f>if(or(and(K364&lt;32, J364&lt;2), O364=1, P364=1, Q364=1, R364=1, S364=1, T364=1, U364=1, and(W364&lt;&gt;"", W364&lt;&gt;"Oxygen", W364&lt;&gt;"LowFlow")), "Intensive", "Intermediate")</f>
      </c>
      <c r="AJ364" s="37">
        <f>if(or(left(AH364, 1)="X", left(AH364, 1)="Y", left(AH364, 3)="J42M"), "CUSM", "No Match")</f>
      </c>
      <c r="AK364" s="37">
        <f>if(and(or(O364=3, P364=1, Q364=1, T364=1), AJ364="no Match"), "CUSM, CHU SJ, CHUQ", "")</f>
      </c>
      <c r="AL364" s="37">
        <f>IF(AND(O365=2, ISBLANK(P365), ISBLANK(Q365), ISBLANK(R365), ISBLANK(S365), ISBLANK(T365)), "CUSM, CHU SJ, CHUS, CHUQ", "")</f>
      </c>
      <c r="AM364" s="37">
        <f>if(and(AJ364="no match", AK364="", AL364="", K364&lt;26), "CUSM, CHU SJ, HGJ, CHUQ, CHUS", "")</f>
      </c>
      <c r="AN364" s="37">
        <f>if(and(AJ364="no match", AK364="", AL364="", K364&gt;26), "CUSM, CHU SJ, HGJ, CHUQ, CHUS, HMR", "")</f>
      </c>
    </row>
    <row x14ac:dyDescent="0.25" r="365" customHeight="1" ht="17.25">
      <c r="A365" s="27" t="s">
        <v>2109</v>
      </c>
      <c r="B365" s="28">
        <v>2</v>
      </c>
      <c r="C365" s="35">
        <v>754</v>
      </c>
      <c r="D365" s="29" t="s">
        <v>504</v>
      </c>
      <c r="E365" s="30" t="s">
        <v>149</v>
      </c>
      <c r="F365" s="31">
        <v>44391</v>
      </c>
      <c r="G365" s="32">
        <v>4.746527777777778</v>
      </c>
      <c r="H365" s="31">
        <v>44391</v>
      </c>
      <c r="I365" s="32">
        <v>4.177777777777777</v>
      </c>
      <c r="J365" s="33">
        <f>F365-H365</f>
      </c>
      <c r="K365" s="28">
        <v>30</v>
      </c>
      <c r="L365" s="28">
        <v>0</v>
      </c>
      <c r="M365" s="28">
        <v>1</v>
      </c>
      <c r="N365" s="34"/>
      <c r="O365" s="34"/>
      <c r="P365" s="34"/>
      <c r="Q365" s="34"/>
      <c r="R365" s="34"/>
      <c r="S365" s="34"/>
      <c r="T365" s="34"/>
      <c r="U365" s="34"/>
      <c r="V365" s="34"/>
      <c r="W365" s="29" t="s">
        <v>74</v>
      </c>
      <c r="X365" s="28">
        <v>38</v>
      </c>
      <c r="Y365" s="28">
        <v>1</v>
      </c>
      <c r="Z365" s="28">
        <v>1</v>
      </c>
      <c r="AA365" s="28">
        <v>1</v>
      </c>
      <c r="AB365" s="28">
        <v>4</v>
      </c>
      <c r="AC365" s="28">
        <v>2</v>
      </c>
      <c r="AD365" s="28">
        <v>1</v>
      </c>
      <c r="AE365" s="28">
        <v>4</v>
      </c>
      <c r="AF365" s="28">
        <v>3</v>
      </c>
      <c r="AG365" s="28">
        <v>3</v>
      </c>
      <c r="AH365" s="29" t="s">
        <v>2110</v>
      </c>
      <c r="AI365" s="36">
        <f>if(or(and(K365&lt;32, J365&lt;2), O365=1, P365=1, Q365=1, R365=1, S365=1, T365=1, U365=1, and(W365&lt;&gt;"", W365&lt;&gt;"Oxygen", W365&lt;&gt;"LowFlow")), "Intensive", "Intermediate")</f>
      </c>
      <c r="AJ365" s="37">
        <f>if(or(left(AH365, 1)="X", left(AH365, 1)="Y", left(AH365, 3)="J43M"), "CUSM", "No Match")</f>
      </c>
      <c r="AK365" s="37">
        <f>if(and(or(O365=3, P365=1, Q365=1, T365=1), AJ365="no Match"), "CUSM, CHU SJ, CHUQ", "")</f>
      </c>
      <c r="AL365" s="37">
        <f>IF(AND(O366=2, ISBLANK(P366), ISBLANK(Q366), ISBLANK(R366), ISBLANK(S366), ISBLANK(T366)), "CUSM, CHU SJ, CHUS, CHUQ", "")</f>
      </c>
      <c r="AM365" s="37">
        <f>if(and(AJ365="no match", AK365="", AL365="", K365&lt;26), "CUSM, CHU SJ, HGJ, CHUQ, CHUS", "")</f>
      </c>
      <c r="AN365" s="37">
        <f>if(and(AJ365="no match", AK365="", AL365="", K365&gt;26), "CUSM, CHU SJ, HGJ, CHUQ, CHUS, HMR", "")</f>
      </c>
    </row>
    <row x14ac:dyDescent="0.25" r="366" customHeight="1" ht="17.25">
      <c r="A366" s="27" t="s">
        <v>2111</v>
      </c>
      <c r="B366" s="28">
        <v>2</v>
      </c>
      <c r="C366" s="35">
        <v>731</v>
      </c>
      <c r="D366" s="29" t="s">
        <v>103</v>
      </c>
      <c r="E366" s="30" t="s">
        <v>149</v>
      </c>
      <c r="F366" s="31">
        <v>44391</v>
      </c>
      <c r="G366" s="32">
        <v>4.666666666666666</v>
      </c>
      <c r="H366" s="31">
        <v>44391</v>
      </c>
      <c r="I366" s="32">
        <v>4.488888888888889</v>
      </c>
      <c r="J366" s="33">
        <f>F366-H366</f>
      </c>
      <c r="K366" s="28">
        <v>30</v>
      </c>
      <c r="L366" s="28">
        <v>0</v>
      </c>
      <c r="M366" s="28">
        <v>2</v>
      </c>
      <c r="N366" s="34"/>
      <c r="O366" s="34"/>
      <c r="P366" s="34"/>
      <c r="Q366" s="34"/>
      <c r="R366" s="34"/>
      <c r="S366" s="34"/>
      <c r="T366" s="34"/>
      <c r="U366" s="34"/>
      <c r="V366" s="35">
        <v>1</v>
      </c>
      <c r="W366" s="29" t="s">
        <v>74</v>
      </c>
      <c r="X366" s="28">
        <v>23</v>
      </c>
      <c r="Y366" s="28">
        <v>1</v>
      </c>
      <c r="Z366" s="28">
        <v>1</v>
      </c>
      <c r="AA366" s="28">
        <v>1</v>
      </c>
      <c r="AB366" s="28">
        <v>1</v>
      </c>
      <c r="AC366" s="28">
        <v>2</v>
      </c>
      <c r="AD366" s="28">
        <v>2</v>
      </c>
      <c r="AE366" s="28">
        <v>4</v>
      </c>
      <c r="AF366" s="28">
        <v>3</v>
      </c>
      <c r="AG366" s="28">
        <v>2</v>
      </c>
      <c r="AH366" s="29" t="s">
        <v>974</v>
      </c>
      <c r="AI366" s="36">
        <f>if(or(and(K366&lt;32, J366&lt;2), O366=1, P366=1, Q366=1, R366=1, S366=1, T366=1, U366=1, and(W366&lt;&gt;"", W366&lt;&gt;"Oxygen", W366&lt;&gt;"LowFlow")), "Intensive", "Intermediate")</f>
      </c>
      <c r="AJ366" s="37">
        <f>if(or(left(AH366, 1)="X", left(AH366, 1)="Y", left(AH366, 3)="J44M"), "CUSM", "No Match")</f>
      </c>
      <c r="AK366" s="37">
        <f>if(and(or(O366=3, P366=1, Q366=1, T366=1), AJ366="no Match"), "CUSM, CHU SJ, CHUQ", "")</f>
      </c>
      <c r="AL366" s="37">
        <f>IF(AND(O367=2, ISBLANK(P367), ISBLANK(Q367), ISBLANK(R367), ISBLANK(S367), ISBLANK(T367)), "CUSM, CHU SJ, CHUS, CHUQ", "")</f>
      </c>
      <c r="AM366" s="37">
        <f>if(and(AJ366="no match", AK366="", AL366="", K366&lt;26), "CUSM, CHU SJ, HGJ, CHUQ, CHUS", "")</f>
      </c>
      <c r="AN366" s="37">
        <f>if(and(AJ366="no match", AK366="", AL366="", K366&gt;26), "CUSM, CHU SJ, HGJ, CHUQ, CHUS, HMR", "")</f>
      </c>
    </row>
    <row x14ac:dyDescent="0.25" r="367" customHeight="1" ht="17.25">
      <c r="A367" s="27" t="s">
        <v>2112</v>
      </c>
      <c r="B367" s="28">
        <v>2</v>
      </c>
      <c r="C367" s="28">
        <v>730</v>
      </c>
      <c r="D367" s="29" t="s">
        <v>81</v>
      </c>
      <c r="E367" s="30" t="s">
        <v>50</v>
      </c>
      <c r="F367" s="31">
        <v>44391</v>
      </c>
      <c r="G367" s="32">
        <v>4.75</v>
      </c>
      <c r="H367" s="31">
        <v>44389</v>
      </c>
      <c r="I367" s="32">
        <v>4.366666666666667</v>
      </c>
      <c r="J367" s="33">
        <f>F367-H367</f>
      </c>
      <c r="K367" s="28">
        <v>35</v>
      </c>
      <c r="L367" s="28">
        <v>0</v>
      </c>
      <c r="M367" s="28">
        <v>2</v>
      </c>
      <c r="N367" s="34"/>
      <c r="O367" s="34"/>
      <c r="P367" s="34"/>
      <c r="Q367" s="34"/>
      <c r="R367" s="34"/>
      <c r="S367" s="34"/>
      <c r="T367" s="34"/>
      <c r="U367" s="34"/>
      <c r="V367" s="34"/>
      <c r="W367" s="29" t="s">
        <v>74</v>
      </c>
      <c r="X367" s="28">
        <v>38</v>
      </c>
      <c r="Y367" s="28">
        <v>2</v>
      </c>
      <c r="Z367" s="28">
        <v>2</v>
      </c>
      <c r="AA367" s="28">
        <v>2</v>
      </c>
      <c r="AB367" s="28">
        <v>1</v>
      </c>
      <c r="AC367" s="28">
        <v>1</v>
      </c>
      <c r="AD367" s="28">
        <v>2</v>
      </c>
      <c r="AE367" s="28">
        <v>4</v>
      </c>
      <c r="AF367" s="28">
        <v>3</v>
      </c>
      <c r="AG367" s="28">
        <v>2</v>
      </c>
      <c r="AH367" s="29" t="s">
        <v>96</v>
      </c>
      <c r="AI367" s="36">
        <f>if(or(and(K367&lt;32, J367&lt;2), O367=1, P367=1, Q367=1, R367=1, S367=1, T367=1, U367=1, and(W367&lt;&gt;"", W367&lt;&gt;"Oxygen", W367&lt;&gt;"LowFlow")), "Intensive", "Intermediate")</f>
      </c>
      <c r="AJ367" s="37">
        <f>if(or(left(AH367, 1)="X", left(AH367, 1)="Y", left(AH367, 3)="J45M"), "CUSM", "No Match")</f>
      </c>
      <c r="AK367" s="37">
        <f>if(and(or(O367=3, P367=1, Q367=1, T367=1), AJ367="no Match"), "CUSM, CHU SJ, CHUQ", "")</f>
      </c>
      <c r="AL367" s="37">
        <f>IF(AND(O368=2, ISBLANK(P368), ISBLANK(Q368), ISBLANK(R368), ISBLANK(S368), ISBLANK(T368)), "CUSM, CHU SJ, CHUS, CHUQ", "")</f>
      </c>
      <c r="AM367" s="37">
        <f>if(and(AJ367="no match", AK367="", AL367="", K367&lt;26), "CUSM, CHU SJ, HGJ, CHUQ, CHUS", "")</f>
      </c>
      <c r="AN367" s="37">
        <f>if(and(AJ367="no match", AK367="", AL367="", K367&gt;26), "CUSM, CHU SJ, HGJ, CHUQ, CHUS, HMR", "")</f>
      </c>
    </row>
    <row x14ac:dyDescent="0.25" r="368" customHeight="1" ht="17.25">
      <c r="A368" s="27" t="s">
        <v>2113</v>
      </c>
      <c r="B368" s="28">
        <v>2</v>
      </c>
      <c r="C368" s="28">
        <v>845</v>
      </c>
      <c r="D368" s="29" t="s">
        <v>381</v>
      </c>
      <c r="E368" s="30" t="s">
        <v>54</v>
      </c>
      <c r="F368" s="31">
        <v>44392</v>
      </c>
      <c r="G368" s="32">
        <v>4.638888888888889</v>
      </c>
      <c r="H368" s="31">
        <v>44383</v>
      </c>
      <c r="I368" s="32">
        <v>4.288888888888889</v>
      </c>
      <c r="J368" s="33">
        <f>F368-H368</f>
      </c>
      <c r="K368" s="28">
        <v>33</v>
      </c>
      <c r="L368" s="28">
        <v>6</v>
      </c>
      <c r="M368" s="28">
        <v>2</v>
      </c>
      <c r="N368" s="35">
        <v>1</v>
      </c>
      <c r="O368" s="34"/>
      <c r="P368" s="35">
        <v>1</v>
      </c>
      <c r="Q368" s="34"/>
      <c r="R368" s="34"/>
      <c r="S368" s="34"/>
      <c r="T368" s="34"/>
      <c r="U368" s="38"/>
      <c r="V368" s="38"/>
      <c r="W368" s="29"/>
      <c r="X368" s="28">
        <v>38</v>
      </c>
      <c r="Y368" s="28">
        <v>1</v>
      </c>
      <c r="Z368" s="28">
        <v>2</v>
      </c>
      <c r="AA368" s="28">
        <v>1</v>
      </c>
      <c r="AB368" s="28">
        <v>2</v>
      </c>
      <c r="AC368" s="28">
        <v>2</v>
      </c>
      <c r="AD368" s="28">
        <v>2</v>
      </c>
      <c r="AE368" s="28">
        <v>4</v>
      </c>
      <c r="AF368" s="35">
        <v>1</v>
      </c>
      <c r="AG368" s="28">
        <v>2</v>
      </c>
      <c r="AH368" s="29" t="s">
        <v>2114</v>
      </c>
      <c r="AI368" s="36">
        <f>if(or(and(K368&lt;32, J368&lt;2), O368=1, P368=1, Q368=1, R368=1, S368=1, T368=1, U368=1, and(W368&lt;&gt;"", W368&lt;&gt;"Oxygen", W368&lt;&gt;"LowFlow")), "Intensive", "Intermediate")</f>
      </c>
      <c r="AJ368" s="37">
        <f>if(or(left(AH368, 1)="X", left(AH368, 1)="Y", left(AH368, 3)="J46M"), "CUSM", "No Match")</f>
      </c>
      <c r="AK368" s="37">
        <f>if(and(or(O368=3, P368=1, Q368=1, T368=1), AJ368="no Match"), "CUSM, CHU SJ, CHUQ", "")</f>
      </c>
      <c r="AL368" s="37">
        <f>IF(AND(O369=2, ISBLANK(P369), ISBLANK(Q369), ISBLANK(R369), ISBLANK(S369), ISBLANK(T369)), "CUSM, CHU SJ, CHUS, CHUQ", "")</f>
      </c>
      <c r="AM368" s="37">
        <f>if(and(AJ368="no match", AK368="", AL368="", K368&lt;26), "CUSM, CHU SJ, HGJ, CHUQ, CHUS", "")</f>
      </c>
      <c r="AN368" s="37">
        <f>if(and(AJ368="no match", AK368="", AL368="", K368&gt;26), "CUSM, CHU SJ, HGJ, CHUQ, CHUS, HMR", "")</f>
      </c>
    </row>
    <row x14ac:dyDescent="0.25" r="369" customHeight="1" ht="17.25">
      <c r="A369" s="27" t="s">
        <v>2115</v>
      </c>
      <c r="B369" s="28">
        <v>2</v>
      </c>
      <c r="C369" s="28">
        <v>756</v>
      </c>
      <c r="D369" s="29" t="s">
        <v>66</v>
      </c>
      <c r="E369" s="30" t="s">
        <v>50</v>
      </c>
      <c r="F369" s="31">
        <v>44392</v>
      </c>
      <c r="G369" s="32">
        <v>4.186111111111111</v>
      </c>
      <c r="H369" s="31">
        <v>44387</v>
      </c>
      <c r="I369" s="32">
        <v>4.281944444444445</v>
      </c>
      <c r="J369" s="33">
        <f>F369-H369</f>
      </c>
      <c r="K369" s="28">
        <v>40</v>
      </c>
      <c r="L369" s="28">
        <v>5</v>
      </c>
      <c r="M369" s="28">
        <v>1</v>
      </c>
      <c r="N369" s="34"/>
      <c r="O369" s="34"/>
      <c r="P369" s="34"/>
      <c r="Q369" s="34"/>
      <c r="R369" s="34"/>
      <c r="S369" s="34"/>
      <c r="T369" s="34"/>
      <c r="U369" s="34"/>
      <c r="V369" s="34"/>
      <c r="W369" s="29" t="s">
        <v>58</v>
      </c>
      <c r="X369" s="28">
        <v>33</v>
      </c>
      <c r="Y369" s="28">
        <v>1</v>
      </c>
      <c r="Z369" s="28">
        <v>1</v>
      </c>
      <c r="AA369" s="28">
        <v>1</v>
      </c>
      <c r="AB369" s="28">
        <v>1</v>
      </c>
      <c r="AC369" s="28">
        <v>2</v>
      </c>
      <c r="AD369" s="28">
        <v>2</v>
      </c>
      <c r="AE369" s="28">
        <v>4</v>
      </c>
      <c r="AF369" s="28">
        <v>1</v>
      </c>
      <c r="AG369" s="28">
        <v>2</v>
      </c>
      <c r="AH369" s="29" t="s">
        <v>2116</v>
      </c>
      <c r="AI369" s="36">
        <f>if(or(and(K369&lt;32, J369&lt;2), O369=1, P369=1, Q369=1, R369=1, S369=1, T369=1, U369=1, and(W369&lt;&gt;"", W369&lt;&gt;"Oxygen", W369&lt;&gt;"LowFlow")), "Intensive", "Intermediate")</f>
      </c>
      <c r="AJ369" s="37">
        <f>if(or(left(AH369, 1)="X", left(AH369, 1)="Y", left(AH369, 3)="J47M"), "CUSM", "No Match")</f>
      </c>
      <c r="AK369" s="37">
        <f>if(and(or(O369=3, P369=1, Q369=1, T369=1), AJ369="no Match"), "CUSM, CHU SJ, CHUQ", "")</f>
      </c>
      <c r="AL369" s="37">
        <f>IF(AND(O370=2, ISBLANK(P370), ISBLANK(Q370), ISBLANK(R370), ISBLANK(S370), ISBLANK(T370)), "CUSM, CHU SJ, CHUS, CHUQ", "")</f>
      </c>
      <c r="AM369" s="37">
        <f>if(and(AJ369="no match", AK369="", AL369="", K369&lt;26), "CUSM, CHU SJ, HGJ, CHUQ, CHUS", "")</f>
      </c>
      <c r="AN369" s="37">
        <f>if(and(AJ369="no match", AK369="", AL369="", K369&gt;26), "CUSM, CHU SJ, HGJ, CHUQ, CHUS, HMR", "")</f>
      </c>
    </row>
    <row x14ac:dyDescent="0.25" r="370" customHeight="1" ht="17.25">
      <c r="A370" s="27" t="s">
        <v>2117</v>
      </c>
      <c r="B370" s="28">
        <v>2</v>
      </c>
      <c r="C370" s="28">
        <v>1019</v>
      </c>
      <c r="D370" s="29" t="s">
        <v>354</v>
      </c>
      <c r="E370" s="30" t="s">
        <v>50</v>
      </c>
      <c r="F370" s="31">
        <v>44392</v>
      </c>
      <c r="G370" s="32">
        <v>4.774305555555555</v>
      </c>
      <c r="H370" s="31">
        <v>44391</v>
      </c>
      <c r="I370" s="32">
        <v>4.023611111111111</v>
      </c>
      <c r="J370" s="33">
        <f>F370-H370</f>
      </c>
      <c r="K370" s="28">
        <v>39</v>
      </c>
      <c r="L370" s="28">
        <v>4</v>
      </c>
      <c r="M370" s="28">
        <v>1</v>
      </c>
      <c r="N370" s="38"/>
      <c r="O370" s="34"/>
      <c r="P370" s="34"/>
      <c r="Q370" s="34"/>
      <c r="R370" s="34"/>
      <c r="S370" s="34"/>
      <c r="T370" s="34"/>
      <c r="U370" s="34"/>
      <c r="V370" s="34"/>
      <c r="W370" s="29"/>
      <c r="X370" s="28">
        <v>34</v>
      </c>
      <c r="Y370" s="28">
        <v>1</v>
      </c>
      <c r="Z370" s="28">
        <v>1</v>
      </c>
      <c r="AA370" s="28">
        <v>2</v>
      </c>
      <c r="AB370" s="28">
        <v>1</v>
      </c>
      <c r="AC370" s="28">
        <v>2</v>
      </c>
      <c r="AD370" s="28">
        <v>1</v>
      </c>
      <c r="AE370" s="28">
        <v>4</v>
      </c>
      <c r="AF370" s="28">
        <v>2</v>
      </c>
      <c r="AG370" s="28">
        <v>3</v>
      </c>
      <c r="AH370" s="29" t="s">
        <v>2118</v>
      </c>
      <c r="AI370" s="36">
        <f>if(or(and(K370&lt;32, J370&lt;2), O370=1, P370=1, Q370=1, R370=1, S370=1, T370=1, U370=1, and(W370&lt;&gt;"", W370&lt;&gt;"Oxygen", W370&lt;&gt;"LowFlow")), "Intensive", "Intermediate")</f>
      </c>
      <c r="AJ370" s="37">
        <f>if(or(left(AH370, 1)="X", left(AH370, 1)="Y", left(AH370, 3)="J48M"), "CUSM", "No Match")</f>
      </c>
      <c r="AK370" s="37">
        <f>if(and(or(O370=3, P370=1, Q370=1, T370=1), AJ370="no Match"), "CUSM, CHU SJ, CHUQ", "")</f>
      </c>
      <c r="AL370" s="37">
        <f>IF(AND(O371=2, ISBLANK(P371), ISBLANK(Q371), ISBLANK(R371), ISBLANK(S371), ISBLANK(T371)), "CUSM, CHU SJ, CHUS, CHUQ", "")</f>
      </c>
      <c r="AM370" s="37">
        <f>if(and(AJ370="no match", AK370="", AL370="", K370&lt;26), "CUSM, CHU SJ, HGJ, CHUQ, CHUS", "")</f>
      </c>
      <c r="AN370" s="37">
        <f>if(and(AJ370="no match", AK370="", AL370="", K370&gt;26), "CUSM, CHU SJ, HGJ, CHUQ, CHUS, HMR", "")</f>
      </c>
    </row>
    <row x14ac:dyDescent="0.25" r="371" customHeight="1" ht="17.25">
      <c r="A371" s="27" t="s">
        <v>2119</v>
      </c>
      <c r="B371" s="28">
        <v>2</v>
      </c>
      <c r="C371" s="35">
        <v>796</v>
      </c>
      <c r="D371" s="29" t="s">
        <v>63</v>
      </c>
      <c r="E371" s="30" t="s">
        <v>220</v>
      </c>
      <c r="F371" s="31">
        <v>44392</v>
      </c>
      <c r="G371" s="32">
        <v>4.581944444444444</v>
      </c>
      <c r="H371" s="31">
        <v>44392</v>
      </c>
      <c r="I371" s="32">
        <v>4.440972222222222</v>
      </c>
      <c r="J371" s="33">
        <f>F371-H371</f>
      </c>
      <c r="K371" s="28">
        <v>28</v>
      </c>
      <c r="L371" s="28">
        <v>0</v>
      </c>
      <c r="M371" s="28">
        <v>2</v>
      </c>
      <c r="N371" s="38"/>
      <c r="O371" s="38"/>
      <c r="P371" s="38"/>
      <c r="Q371" s="34"/>
      <c r="R371" s="34"/>
      <c r="S371" s="34"/>
      <c r="T371" s="34"/>
      <c r="U371" s="34"/>
      <c r="V371" s="34"/>
      <c r="W371" s="29" t="s">
        <v>164</v>
      </c>
      <c r="X371" s="28">
        <v>29</v>
      </c>
      <c r="Y371" s="28">
        <v>1</v>
      </c>
      <c r="Z371" s="28">
        <v>2</v>
      </c>
      <c r="AA371" s="28">
        <v>1</v>
      </c>
      <c r="AB371" s="28">
        <v>1</v>
      </c>
      <c r="AC371" s="28">
        <v>2</v>
      </c>
      <c r="AD371" s="28">
        <v>2</v>
      </c>
      <c r="AE371" s="28">
        <v>4</v>
      </c>
      <c r="AF371" s="28">
        <v>2</v>
      </c>
      <c r="AG371" s="28">
        <v>2</v>
      </c>
      <c r="AH371" s="29" t="s">
        <v>2120</v>
      </c>
      <c r="AI371" s="36">
        <f>if(or(and(K371&lt;32, J371&lt;2), O371=1, P371=1, Q371=1, R371=1, S371=1, T371=1, U371=1, and(W371&lt;&gt;"", W371&lt;&gt;"Oxygen", W371&lt;&gt;"LowFlow")), "Intensive", "Intermediate")</f>
      </c>
      <c r="AJ371" s="37">
        <f>if(or(left(AH371, 1)="X", left(AH371, 1)="Y", left(AH371, 3)="J49M"), "CUSM", "No Match")</f>
      </c>
      <c r="AK371" s="37">
        <f>if(and(or(O371=3, P371=1, Q371=1, T371=1), AJ371="no Match"), "CUSM, CHU SJ, CHUQ", "")</f>
      </c>
      <c r="AL371" s="37">
        <f>IF(AND(O372=2, ISBLANK(P372), ISBLANK(Q372), ISBLANK(R372), ISBLANK(S372), ISBLANK(T372)), "CUSM, CHU SJ, CHUS, CHUQ", "")</f>
      </c>
      <c r="AM371" s="37">
        <f>if(and(AJ371="no match", AK371="", AL371="", K371&lt;26), "CUSM, CHU SJ, HGJ, CHUQ, CHUS", "")</f>
      </c>
      <c r="AN371" s="37">
        <f>if(and(AJ371="no match", AK371="", AL371="", K371&gt;26), "CUSM, CHU SJ, HGJ, CHUQ, CHUS, HMR", "")</f>
      </c>
    </row>
    <row x14ac:dyDescent="0.25" r="372" customHeight="1" ht="17.25">
      <c r="A372" s="27" t="s">
        <v>2121</v>
      </c>
      <c r="B372" s="28">
        <v>2</v>
      </c>
      <c r="C372" s="35">
        <v>795</v>
      </c>
      <c r="D372" s="29" t="s">
        <v>73</v>
      </c>
      <c r="E372" s="30" t="s">
        <v>78</v>
      </c>
      <c r="F372" s="31">
        <v>44393</v>
      </c>
      <c r="G372" s="32">
        <v>4.8125</v>
      </c>
      <c r="H372" s="31">
        <v>44391</v>
      </c>
      <c r="I372" s="32">
        <v>4.714583333333334</v>
      </c>
      <c r="J372" s="33">
        <f>F372-H372</f>
      </c>
      <c r="K372" s="28">
        <v>37</v>
      </c>
      <c r="L372" s="28">
        <v>0</v>
      </c>
      <c r="M372" s="28">
        <v>1</v>
      </c>
      <c r="N372" s="38"/>
      <c r="O372" s="34"/>
      <c r="P372" s="34"/>
      <c r="Q372" s="34"/>
      <c r="R372" s="34"/>
      <c r="S372" s="34"/>
      <c r="T372" s="34"/>
      <c r="U372" s="34"/>
      <c r="V372" s="38"/>
      <c r="W372" s="29" t="s">
        <v>74</v>
      </c>
      <c r="X372" s="28">
        <v>31</v>
      </c>
      <c r="Y372" s="28">
        <v>1</v>
      </c>
      <c r="Z372" s="28">
        <v>2</v>
      </c>
      <c r="AA372" s="28">
        <v>1</v>
      </c>
      <c r="AB372" s="28">
        <v>1</v>
      </c>
      <c r="AC372" s="28">
        <v>2</v>
      </c>
      <c r="AD372" s="28">
        <v>2</v>
      </c>
      <c r="AE372" s="28">
        <v>4</v>
      </c>
      <c r="AF372" s="28">
        <v>2</v>
      </c>
      <c r="AG372" s="28">
        <v>2</v>
      </c>
      <c r="AH372" s="29" t="s">
        <v>2122</v>
      </c>
      <c r="AI372" s="36">
        <f>if(or(and(K372&lt;32, J372&lt;2), O372=1, P372=1, Q372=1, R372=1, S372=1, T372=1, U372=1, and(W372&lt;&gt;"", W372&lt;&gt;"Oxygen", W372&lt;&gt;"LowFlow")), "Intensive", "Intermediate")</f>
      </c>
      <c r="AJ372" s="37">
        <f>if(or(left(AH372, 1)="X", left(AH372, 1)="Y", left(AH372, 3)="J50M"), "CUSM", "No Match")</f>
      </c>
      <c r="AK372" s="37">
        <f>if(and(or(O372=3, P372=1, Q372=1, T372=1), AJ372="no Match"), "CUSM, CHU SJ, CHUQ", "")</f>
      </c>
      <c r="AL372" s="37">
        <f>IF(AND(O373=2, ISBLANK(P373), ISBLANK(Q373), ISBLANK(R373), ISBLANK(S373), ISBLANK(T373)), "CUSM, CHU SJ, CHUS, CHUQ", "")</f>
      </c>
      <c r="AM372" s="37">
        <f>if(and(AJ372="no match", AK372="", AL372="", K372&lt;26), "CUSM, CHU SJ, HGJ, CHUQ, CHUS", "")</f>
      </c>
      <c r="AN372" s="37">
        <f>if(and(AJ372="no match", AK372="", AL372="", K372&gt;26), "CUSM, CHU SJ, HGJ, CHUQ, CHUS, HMR", "")</f>
      </c>
    </row>
    <row x14ac:dyDescent="0.25" r="373" customHeight="1" ht="17.25">
      <c r="A373" s="27" t="s">
        <v>2123</v>
      </c>
      <c r="B373" s="28">
        <v>2</v>
      </c>
      <c r="C373" s="28">
        <v>824</v>
      </c>
      <c r="D373" s="29" t="s">
        <v>57</v>
      </c>
      <c r="E373" s="30" t="s">
        <v>50</v>
      </c>
      <c r="F373" s="31">
        <v>44393</v>
      </c>
      <c r="G373" s="32">
        <v>4.907638888888889</v>
      </c>
      <c r="H373" s="31">
        <v>44393</v>
      </c>
      <c r="I373" s="32">
        <v>4.66875</v>
      </c>
      <c r="J373" s="33">
        <f>F373-H373</f>
      </c>
      <c r="K373" s="28">
        <v>37</v>
      </c>
      <c r="L373" s="28">
        <v>5</v>
      </c>
      <c r="M373" s="28">
        <v>1</v>
      </c>
      <c r="N373" s="34"/>
      <c r="O373" s="34"/>
      <c r="P373" s="34"/>
      <c r="Q373" s="34"/>
      <c r="R373" s="34"/>
      <c r="S373" s="34"/>
      <c r="T373" s="35">
        <v>1</v>
      </c>
      <c r="U373" s="34"/>
      <c r="V373" s="34"/>
      <c r="W373" s="29" t="s">
        <v>58</v>
      </c>
      <c r="X373" s="28">
        <v>38</v>
      </c>
      <c r="Y373" s="28">
        <v>1</v>
      </c>
      <c r="Z373" s="28">
        <v>1</v>
      </c>
      <c r="AA373" s="28">
        <v>2</v>
      </c>
      <c r="AB373" s="28">
        <v>2</v>
      </c>
      <c r="AC373" s="28">
        <v>1</v>
      </c>
      <c r="AD373" s="28">
        <v>1</v>
      </c>
      <c r="AE373" s="28">
        <v>2</v>
      </c>
      <c r="AF373" s="28">
        <v>2</v>
      </c>
      <c r="AG373" s="28">
        <v>2</v>
      </c>
      <c r="AH373" s="29" t="s">
        <v>2124</v>
      </c>
      <c r="AI373" s="36">
        <f>if(or(and(K373&lt;32, J373&lt;2), O373=1, P373=1, Q373=1, R373=1, S373=1, T373=1, U373=1, and(W373&lt;&gt;"", W373&lt;&gt;"Oxygen", W373&lt;&gt;"LowFlow")), "Intensive", "Intermediate")</f>
      </c>
      <c r="AJ373" s="37">
        <f>if(or(left(AH373, 1)="X", left(AH373, 1)="Y", left(AH373, 3)="J51M"), "CUSM", "No Match")</f>
      </c>
      <c r="AK373" s="37">
        <f>if(and(or(O373=3, P373=1, Q373=1, T373=1), AJ373="no Match"), "CUSM, CHU SJ, CHUQ", "")</f>
      </c>
      <c r="AL373" s="37">
        <f>IF(AND(O374=2, ISBLANK(P374), ISBLANK(Q374), ISBLANK(R374), ISBLANK(S374), ISBLANK(T374)), "CUSM, CHU SJ, CHUS, CHUQ", "")</f>
      </c>
      <c r="AM373" s="37">
        <f>if(and(AJ373="no match", AK373="", AL373="", K373&lt;26), "CUSM, CHU SJ, HGJ, CHUQ, CHUS", "")</f>
      </c>
      <c r="AN373" s="37">
        <f>if(and(AJ373="no match", AK373="", AL373="", K373&gt;26), "CUSM, CHU SJ, HGJ, CHUQ, CHUS, HMR", "")</f>
      </c>
    </row>
    <row x14ac:dyDescent="0.25" r="374" customHeight="1" ht="17.25">
      <c r="A374" s="27" t="s">
        <v>2125</v>
      </c>
      <c r="B374" s="28">
        <v>2</v>
      </c>
      <c r="C374" s="28">
        <v>564</v>
      </c>
      <c r="D374" s="29" t="s">
        <v>153</v>
      </c>
      <c r="E374" s="30" t="s">
        <v>50</v>
      </c>
      <c r="F374" s="31">
        <v>44393</v>
      </c>
      <c r="G374" s="32">
        <v>4.618055555555555</v>
      </c>
      <c r="H374" s="31">
        <v>44393</v>
      </c>
      <c r="I374" s="32">
        <v>4.330555555555556</v>
      </c>
      <c r="J374" s="33">
        <f>F374-H374</f>
      </c>
      <c r="K374" s="28">
        <v>40</v>
      </c>
      <c r="L374" s="28">
        <v>1</v>
      </c>
      <c r="M374" s="28">
        <v>1</v>
      </c>
      <c r="N374" s="34"/>
      <c r="O374" s="34"/>
      <c r="P374" s="34"/>
      <c r="Q374" s="34"/>
      <c r="R374" s="34"/>
      <c r="S374" s="34"/>
      <c r="T374" s="34"/>
      <c r="U374" s="34"/>
      <c r="V374" s="34"/>
      <c r="W374" s="29"/>
      <c r="X374" s="28">
        <v>33</v>
      </c>
      <c r="Y374" s="28">
        <v>1</v>
      </c>
      <c r="Z374" s="28">
        <v>1</v>
      </c>
      <c r="AA374" s="28">
        <v>3</v>
      </c>
      <c r="AB374" s="28">
        <v>1</v>
      </c>
      <c r="AC374" s="28">
        <v>1</v>
      </c>
      <c r="AD374" s="28">
        <v>2</v>
      </c>
      <c r="AE374" s="28">
        <v>1</v>
      </c>
      <c r="AF374" s="38"/>
      <c r="AG374" s="28">
        <v>2</v>
      </c>
      <c r="AH374" s="29" t="s">
        <v>2126</v>
      </c>
      <c r="AI374" s="36">
        <f>if(or(and(K374&lt;32, J374&lt;2), O374=1, P374=1, Q374=1, R374=1, S374=1, T374=1, U374=1, and(W374&lt;&gt;"", W374&lt;&gt;"Oxygen", W374&lt;&gt;"LowFlow")), "Intensive", "Intermediate")</f>
      </c>
      <c r="AJ374" s="37">
        <f>if(or(left(AH374, 1)="X", left(AH374, 1)="Y", left(AH374, 3)="J52M"), "CUSM", "No Match")</f>
      </c>
      <c r="AK374" s="37">
        <f>if(and(or(O374=3, P374=1, Q374=1, T374=1), AJ374="no Match"), "CUSM, CHU SJ, CHUQ", "")</f>
      </c>
      <c r="AL374" s="37">
        <f>IF(AND(O375=2, ISBLANK(P375), ISBLANK(Q375), ISBLANK(R375), ISBLANK(S375), ISBLANK(T375)), "CUSM, CHU SJ, CHUS, CHUQ", "")</f>
      </c>
      <c r="AM374" s="37">
        <f>if(and(AJ374="no match", AK374="", AL374="", K374&lt;26), "CUSM, CHU SJ, HGJ, CHUQ, CHUS", "")</f>
      </c>
      <c r="AN374" s="37">
        <f>if(and(AJ374="no match", AK374="", AL374="", K374&gt;26), "CUSM, CHU SJ, HGJ, CHUQ, CHUS, HMR", "")</f>
      </c>
    </row>
    <row x14ac:dyDescent="0.25" r="375" customHeight="1" ht="17.25">
      <c r="A375" s="27" t="s">
        <v>2127</v>
      </c>
      <c r="B375" s="28">
        <v>2</v>
      </c>
      <c r="C375" s="28">
        <v>817</v>
      </c>
      <c r="D375" s="29" t="s">
        <v>163</v>
      </c>
      <c r="E375" s="30" t="s">
        <v>54</v>
      </c>
      <c r="F375" s="31">
        <v>44394</v>
      </c>
      <c r="G375" s="32">
        <v>4.0777777777777775</v>
      </c>
      <c r="H375" s="31">
        <v>44393</v>
      </c>
      <c r="I375" s="32">
        <v>4.840972222222222</v>
      </c>
      <c r="J375" s="33">
        <f>F375-H375</f>
      </c>
      <c r="K375" s="28">
        <v>35</v>
      </c>
      <c r="L375" s="28">
        <v>4</v>
      </c>
      <c r="M375" s="28">
        <v>1</v>
      </c>
      <c r="N375" s="28">
        <v>1</v>
      </c>
      <c r="O375" s="34"/>
      <c r="P375" s="34"/>
      <c r="Q375" s="34"/>
      <c r="R375" s="34"/>
      <c r="S375" s="34"/>
      <c r="T375" s="34"/>
      <c r="U375" s="34"/>
      <c r="V375" s="38"/>
      <c r="W375" s="29" t="s">
        <v>74</v>
      </c>
      <c r="X375" s="28">
        <v>30</v>
      </c>
      <c r="Y375" s="28">
        <v>1</v>
      </c>
      <c r="Z375" s="28">
        <v>2</v>
      </c>
      <c r="AA375" s="28">
        <v>1</v>
      </c>
      <c r="AB375" s="28">
        <v>1</v>
      </c>
      <c r="AC375" s="28">
        <v>2</v>
      </c>
      <c r="AD375" s="28">
        <v>2</v>
      </c>
      <c r="AE375" s="28">
        <v>4</v>
      </c>
      <c r="AF375" s="35">
        <v>2</v>
      </c>
      <c r="AG375" s="28">
        <v>2</v>
      </c>
      <c r="AH375" s="29" t="s">
        <v>1354</v>
      </c>
      <c r="AI375" s="36">
        <f>if(or(and(K375&lt;32, J375&lt;2), O375=1, P375=1, Q375=1, R375=1, S375=1, T375=1, U375=1, and(W375&lt;&gt;"", W375&lt;&gt;"Oxygen", W375&lt;&gt;"LowFlow")), "Intensive", "Intermediate")</f>
      </c>
      <c r="AJ375" s="37">
        <f>if(or(left(AH375, 1)="X", left(AH375, 1)="Y", left(AH375, 3)="J53M"), "CUSM", "No Match")</f>
      </c>
      <c r="AK375" s="37">
        <f>if(and(or(O375=3, P375=1, Q375=1, T375=1), AJ375="no Match"), "CUSM, CHU SJ, CHUQ", "")</f>
      </c>
      <c r="AL375" s="37">
        <f>IF(AND(O376=2, ISBLANK(P376), ISBLANK(Q376), ISBLANK(R376), ISBLANK(S376), ISBLANK(T376)), "CUSM, CHU SJ, CHUS, CHUQ", "")</f>
      </c>
      <c r="AM375" s="37">
        <f>if(and(AJ375="no match", AK375="", AL375="", K375&lt;26), "CUSM, CHU SJ, HGJ, CHUQ, CHUS", "")</f>
      </c>
      <c r="AN375" s="37">
        <f>if(and(AJ375="no match", AK375="", AL375="", K375&gt;26), "CUSM, CHU SJ, HGJ, CHUQ, CHUS, HMR", "")</f>
      </c>
    </row>
    <row x14ac:dyDescent="0.25" r="376" customHeight="1" ht="17.25">
      <c r="A376" s="27" t="s">
        <v>2128</v>
      </c>
      <c r="B376" s="28">
        <v>2</v>
      </c>
      <c r="C376" s="28">
        <v>796</v>
      </c>
      <c r="D376" s="29" t="s">
        <v>63</v>
      </c>
      <c r="E376" s="30" t="s">
        <v>50</v>
      </c>
      <c r="F376" s="31">
        <v>44394</v>
      </c>
      <c r="G376" s="32">
        <v>4.048611111111111</v>
      </c>
      <c r="H376" s="31">
        <v>44393</v>
      </c>
      <c r="I376" s="32">
        <v>4.195833333333333</v>
      </c>
      <c r="J376" s="33">
        <f>F376-H376</f>
      </c>
      <c r="K376" s="28">
        <v>37</v>
      </c>
      <c r="L376" s="28">
        <v>1</v>
      </c>
      <c r="M376" s="28">
        <v>1</v>
      </c>
      <c r="N376" s="34"/>
      <c r="O376" s="35">
        <v>2</v>
      </c>
      <c r="P376" s="34"/>
      <c r="Q376" s="34"/>
      <c r="R376" s="34"/>
      <c r="S376" s="34"/>
      <c r="T376" s="35">
        <v>1</v>
      </c>
      <c r="U376" s="34"/>
      <c r="V376" s="34"/>
      <c r="W376" s="29"/>
      <c r="X376" s="28">
        <v>37</v>
      </c>
      <c r="Y376" s="28">
        <v>1</v>
      </c>
      <c r="Z376" s="28">
        <v>1</v>
      </c>
      <c r="AA376" s="28">
        <v>1</v>
      </c>
      <c r="AB376" s="28">
        <v>1</v>
      </c>
      <c r="AC376" s="28">
        <v>1</v>
      </c>
      <c r="AD376" s="28">
        <v>1</v>
      </c>
      <c r="AE376" s="28">
        <v>2</v>
      </c>
      <c r="AF376" s="28">
        <v>2</v>
      </c>
      <c r="AG376" s="28">
        <v>2</v>
      </c>
      <c r="AH376" s="29" t="s">
        <v>2129</v>
      </c>
      <c r="AI376" s="36">
        <f>if(or(and(K376&lt;32, J376&lt;2), O376=1, P376=1, Q376=1, R376=1, S376=1, T376=1, U376=1, and(W376&lt;&gt;"", W376&lt;&gt;"Oxygen", W376&lt;&gt;"LowFlow")), "Intensive", "Intermediate")</f>
      </c>
      <c r="AJ376" s="37">
        <f>if(or(left(AH376, 1)="X", left(AH376, 1)="Y", left(AH376, 3)="J54M"), "CUSM", "No Match")</f>
      </c>
      <c r="AK376" s="37">
        <f>if(and(or(O376=3, P376=1, Q376=1, T376=1), AJ376="no Match"), "CUSM, CHU SJ, CHUQ", "")</f>
      </c>
      <c r="AL376" s="37">
        <f>IF(AND(O377=2, ISBLANK(P377), ISBLANK(Q377), ISBLANK(R377), ISBLANK(S377), ISBLANK(T377)), "CUSM, CHU SJ, CHUS, CHUQ", "")</f>
      </c>
      <c r="AM376" s="37">
        <f>if(and(AJ376="no match", AK376="", AL376="", K376&lt;26), "CUSM, CHU SJ, HGJ, CHUQ, CHUS", "")</f>
      </c>
      <c r="AN376" s="37">
        <f>if(and(AJ376="no match", AK376="", AL376="", K376&gt;26), "CUSM, CHU SJ, HGJ, CHUQ, CHUS, HMR", "")</f>
      </c>
    </row>
    <row x14ac:dyDescent="0.25" r="377" customHeight="1" ht="17.25">
      <c r="A377" s="27" t="s">
        <v>2130</v>
      </c>
      <c r="B377" s="28">
        <v>2</v>
      </c>
      <c r="C377" s="35">
        <v>740</v>
      </c>
      <c r="D377" s="29" t="s">
        <v>409</v>
      </c>
      <c r="E377" s="30" t="s">
        <v>149</v>
      </c>
      <c r="F377" s="31">
        <v>44395</v>
      </c>
      <c r="G377" s="32">
        <v>4.53125</v>
      </c>
      <c r="H377" s="31">
        <v>44395</v>
      </c>
      <c r="I377" s="32">
        <v>4.473611111111111</v>
      </c>
      <c r="J377" s="33">
        <f>F377-H377</f>
      </c>
      <c r="K377" s="28">
        <v>30</v>
      </c>
      <c r="L377" s="28">
        <v>0</v>
      </c>
      <c r="M377" s="28">
        <v>1</v>
      </c>
      <c r="N377" s="38"/>
      <c r="O377" s="34"/>
      <c r="P377" s="38"/>
      <c r="Q377" s="34"/>
      <c r="R377" s="34"/>
      <c r="S377" s="34"/>
      <c r="T377" s="34"/>
      <c r="U377" s="34"/>
      <c r="V377" s="34"/>
      <c r="W377" s="29" t="s">
        <v>74</v>
      </c>
      <c r="X377" s="28">
        <v>38</v>
      </c>
      <c r="Y377" s="28">
        <v>1</v>
      </c>
      <c r="Z377" s="28">
        <v>3</v>
      </c>
      <c r="AA377" s="28">
        <v>3</v>
      </c>
      <c r="AB377" s="28">
        <v>4</v>
      </c>
      <c r="AC377" s="28">
        <v>1</v>
      </c>
      <c r="AD377" s="28">
        <v>3</v>
      </c>
      <c r="AE377" s="28">
        <v>4</v>
      </c>
      <c r="AF377" s="28">
        <v>3</v>
      </c>
      <c r="AG377" s="28">
        <v>2</v>
      </c>
      <c r="AH377" s="29" t="s">
        <v>2131</v>
      </c>
      <c r="AI377" s="36">
        <f>if(or(and(K377&lt;32, J377&lt;2), O377=1, P377=1, Q377=1, R377=1, S377=1, T377=1, U377=1, and(W377&lt;&gt;"", W377&lt;&gt;"Oxygen", W377&lt;&gt;"LowFlow")), "Intensive", "Intermediate")</f>
      </c>
      <c r="AJ377" s="37">
        <f>if(or(left(AH377, 1)="X", left(AH377, 1)="Y", left(AH377, 3)="J55M"), "CUSM", "No Match")</f>
      </c>
      <c r="AK377" s="37">
        <f>if(and(or(O377=3, P377=1, Q377=1, T377=1), AJ377="no Match"), "CUSM, CHU SJ, CHUQ", "")</f>
      </c>
      <c r="AL377" s="37">
        <f>IF(AND(O378=2, ISBLANK(P378), ISBLANK(Q378), ISBLANK(R378), ISBLANK(S378), ISBLANK(T378)), "CUSM, CHU SJ, CHUS, CHUQ", "")</f>
      </c>
      <c r="AM377" s="37">
        <f>if(and(AJ377="no match", AK377="", AL377="", K377&lt;26), "CUSM, CHU SJ, HGJ, CHUQ, CHUS", "")</f>
      </c>
      <c r="AN377" s="37">
        <f>if(and(AJ377="no match", AK377="", AL377="", K377&gt;26), "CUSM, CHU SJ, HGJ, CHUQ, CHUS, HMR", "")</f>
      </c>
    </row>
    <row x14ac:dyDescent="0.25" r="378" customHeight="1" ht="17.25">
      <c r="A378" s="27" t="s">
        <v>2132</v>
      </c>
      <c r="B378" s="28">
        <v>2</v>
      </c>
      <c r="C378" s="28">
        <v>839</v>
      </c>
      <c r="D378" s="29" t="s">
        <v>53</v>
      </c>
      <c r="E378" s="30" t="s">
        <v>78</v>
      </c>
      <c r="F378" s="31">
        <v>44395</v>
      </c>
      <c r="G378" s="32">
        <v>4.28125</v>
      </c>
      <c r="H378" s="31">
        <v>44395</v>
      </c>
      <c r="I378" s="32">
        <v>4.167361111111111</v>
      </c>
      <c r="J378" s="33">
        <f>F378-H378</f>
      </c>
      <c r="K378" s="28">
        <v>32</v>
      </c>
      <c r="L378" s="28">
        <v>0</v>
      </c>
      <c r="M378" s="28">
        <v>1</v>
      </c>
      <c r="N378" s="34"/>
      <c r="O378" s="34"/>
      <c r="P378" s="34"/>
      <c r="Q378" s="34"/>
      <c r="R378" s="34"/>
      <c r="S378" s="34"/>
      <c r="T378" s="38"/>
      <c r="U378" s="34"/>
      <c r="V378" s="34"/>
      <c r="W378" s="29" t="s">
        <v>58</v>
      </c>
      <c r="X378" s="28">
        <v>35</v>
      </c>
      <c r="Y378" s="28">
        <v>1</v>
      </c>
      <c r="Z378" s="28">
        <v>1</v>
      </c>
      <c r="AA378" s="28">
        <v>3</v>
      </c>
      <c r="AB378" s="28">
        <v>1</v>
      </c>
      <c r="AC378" s="28">
        <v>2</v>
      </c>
      <c r="AD378" s="28">
        <v>2</v>
      </c>
      <c r="AE378" s="28">
        <v>4</v>
      </c>
      <c r="AF378" s="28">
        <v>2</v>
      </c>
      <c r="AG378" s="28">
        <v>2</v>
      </c>
      <c r="AH378" s="29" t="s">
        <v>2133</v>
      </c>
      <c r="AI378" s="36">
        <f>if(or(and(K378&lt;32, J378&lt;2), O378=1, P378=1, Q378=1, R378=1, S378=1, T378=1, U378=1, and(W378&lt;&gt;"", W378&lt;&gt;"Oxygen", W378&lt;&gt;"LowFlow")), "Intensive", "Intermediate")</f>
      </c>
      <c r="AJ378" s="37">
        <f>if(or(left(AH378, 1)="X", left(AH378, 1)="Y", left(AH378, 3)="J56M"), "CUSM", "No Match")</f>
      </c>
      <c r="AK378" s="37">
        <f>if(and(or(O378=3, P378=1, Q378=1, T378=1), AJ378="no Match"), "CUSM, CHU SJ, CHUQ", "")</f>
      </c>
      <c r="AL378" s="37">
        <f>IF(AND(O379=2, ISBLANK(P379), ISBLANK(Q379), ISBLANK(R379), ISBLANK(S379), ISBLANK(T379)), "CUSM, CHU SJ, CHUS, CHUQ", "")</f>
      </c>
      <c r="AM378" s="37">
        <f>if(and(AJ378="no match", AK378="", AL378="", K378&lt;26), "CUSM, CHU SJ, HGJ, CHUQ, CHUS", "")</f>
      </c>
      <c r="AN378" s="37">
        <f>if(and(AJ378="no match", AK378="", AL378="", K378&gt;26), "CUSM, CHU SJ, HGJ, CHUQ, CHUS, HMR", "")</f>
      </c>
    </row>
    <row x14ac:dyDescent="0.25" r="379" customHeight="1" ht="17.25">
      <c r="A379" s="27" t="s">
        <v>2134</v>
      </c>
      <c r="B379" s="28">
        <v>2</v>
      </c>
      <c r="C379" s="28">
        <v>734</v>
      </c>
      <c r="D379" s="29" t="s">
        <v>264</v>
      </c>
      <c r="E379" s="30" t="s">
        <v>78</v>
      </c>
      <c r="F379" s="31">
        <v>44395</v>
      </c>
      <c r="G379" s="32">
        <v>4.6875</v>
      </c>
      <c r="H379" s="31">
        <v>44393</v>
      </c>
      <c r="I379" s="32">
        <v>4.53125</v>
      </c>
      <c r="J379" s="33">
        <f>F379-H379</f>
      </c>
      <c r="K379" s="28">
        <v>33</v>
      </c>
      <c r="L379" s="28">
        <v>0</v>
      </c>
      <c r="M379" s="28">
        <v>2</v>
      </c>
      <c r="N379" s="34"/>
      <c r="O379" s="34"/>
      <c r="P379" s="34"/>
      <c r="Q379" s="34"/>
      <c r="R379" s="34"/>
      <c r="S379" s="34"/>
      <c r="T379" s="34"/>
      <c r="U379" s="34"/>
      <c r="V379" s="34"/>
      <c r="W379" s="29" t="s">
        <v>74</v>
      </c>
      <c r="X379" s="28">
        <v>21</v>
      </c>
      <c r="Y379" s="28">
        <v>1</v>
      </c>
      <c r="Z379" s="28">
        <v>2</v>
      </c>
      <c r="AA379" s="28">
        <v>2</v>
      </c>
      <c r="AB379" s="28">
        <v>1</v>
      </c>
      <c r="AC379" s="28">
        <v>1</v>
      </c>
      <c r="AD379" s="28">
        <v>2</v>
      </c>
      <c r="AE379" s="28">
        <v>4</v>
      </c>
      <c r="AF379" s="28">
        <v>1</v>
      </c>
      <c r="AG379" s="28">
        <v>2</v>
      </c>
      <c r="AH379" s="29" t="s">
        <v>1623</v>
      </c>
      <c r="AI379" s="36">
        <f>if(or(and(K379&lt;32, J379&lt;2), O379=1, P379=1, Q379=1, R379=1, S379=1, T379=1, U379=1, and(W379&lt;&gt;"", W379&lt;&gt;"Oxygen", W379&lt;&gt;"LowFlow")), "Intensive", "Intermediate")</f>
      </c>
      <c r="AJ379" s="37">
        <f>if(or(left(AH379, 1)="X", left(AH379, 1)="Y", left(AH379, 3)="J57M"), "CUSM", "No Match")</f>
      </c>
      <c r="AK379" s="37">
        <f>if(and(or(O379=3, P379=1, Q379=1, T379=1), AJ379="no Match"), "CUSM, CHU SJ, CHUQ", "")</f>
      </c>
      <c r="AL379" s="37">
        <f>IF(AND(O380=2, ISBLANK(P380), ISBLANK(Q380), ISBLANK(R380), ISBLANK(S380), ISBLANK(T380)), "CUSM, CHU SJ, CHUS, CHUQ", "")</f>
      </c>
      <c r="AM379" s="37">
        <f>if(and(AJ379="no match", AK379="", AL379="", K379&lt;26), "CUSM, CHU SJ, HGJ, CHUQ, CHUS", "")</f>
      </c>
      <c r="AN379" s="37">
        <f>if(and(AJ379="no match", AK379="", AL379="", K379&gt;26), "CUSM, CHU SJ, HGJ, CHUQ, CHUS, HMR", "")</f>
      </c>
    </row>
    <row x14ac:dyDescent="0.25" r="380" customHeight="1" ht="17.25">
      <c r="A380" s="27" t="s">
        <v>2135</v>
      </c>
      <c r="B380" s="28">
        <v>2</v>
      </c>
      <c r="C380" s="35">
        <v>825</v>
      </c>
      <c r="D380" s="29" t="s">
        <v>77</v>
      </c>
      <c r="E380" s="30" t="s">
        <v>50</v>
      </c>
      <c r="F380" s="31">
        <v>44395</v>
      </c>
      <c r="G380" s="32">
        <v>4.322916666666666</v>
      </c>
      <c r="H380" s="31">
        <v>44395</v>
      </c>
      <c r="I380" s="32">
        <v>4.0875</v>
      </c>
      <c r="J380" s="33">
        <f>F380-H380</f>
      </c>
      <c r="K380" s="28">
        <v>38</v>
      </c>
      <c r="L380" s="28">
        <v>0</v>
      </c>
      <c r="M380" s="28">
        <v>2</v>
      </c>
      <c r="N380" s="28">
        <v>1</v>
      </c>
      <c r="O380" s="34"/>
      <c r="P380" s="38"/>
      <c r="Q380" s="34"/>
      <c r="R380" s="34"/>
      <c r="S380" s="34"/>
      <c r="T380" s="34"/>
      <c r="U380" s="34"/>
      <c r="V380" s="34"/>
      <c r="W380" s="29"/>
      <c r="X380" s="28">
        <v>28</v>
      </c>
      <c r="Y380" s="28">
        <v>1</v>
      </c>
      <c r="Z380" s="28">
        <v>1</v>
      </c>
      <c r="AA380" s="28">
        <v>2</v>
      </c>
      <c r="AB380" s="28">
        <v>4</v>
      </c>
      <c r="AC380" s="28">
        <v>2</v>
      </c>
      <c r="AD380" s="28">
        <v>2</v>
      </c>
      <c r="AE380" s="28">
        <v>2</v>
      </c>
      <c r="AF380" s="28">
        <v>3</v>
      </c>
      <c r="AG380" s="28">
        <v>2</v>
      </c>
      <c r="AH380" s="29" t="s">
        <v>2136</v>
      </c>
      <c r="AI380" s="36">
        <f>if(or(and(K380&lt;32, J380&lt;2), O380=1, P380=1, Q380=1, R380=1, S380=1, T380=1, U380=1, and(W380&lt;&gt;"", W380&lt;&gt;"Oxygen", W380&lt;&gt;"LowFlow")), "Intensive", "Intermediate")</f>
      </c>
      <c r="AJ380" s="37">
        <f>if(or(left(AH380, 1)="X", left(AH380, 1)="Y", left(AH380, 3)="J58M"), "CUSM", "No Match")</f>
      </c>
      <c r="AK380" s="37">
        <f>if(and(or(O380=3, P380=1, Q380=1, T380=1), AJ380="no Match"), "CUSM, CHU SJ, CHUQ", "")</f>
      </c>
      <c r="AL380" s="37">
        <f>IF(AND(O381=2, ISBLANK(P381), ISBLANK(Q381), ISBLANK(R381), ISBLANK(S381), ISBLANK(T381)), "CUSM, CHU SJ, CHUS, CHUQ", "")</f>
      </c>
      <c r="AM380" s="37">
        <f>if(and(AJ380="no match", AK380="", AL380="", K380&lt;26), "CUSM, CHU SJ, HGJ, CHUQ, CHUS", "")</f>
      </c>
      <c r="AN380" s="37">
        <f>if(and(AJ380="no match", AK380="", AL380="", K380&gt;26), "CUSM, CHU SJ, HGJ, CHUQ, CHUS, HMR", "")</f>
      </c>
    </row>
    <row x14ac:dyDescent="0.25" r="381" customHeight="1" ht="17.25">
      <c r="A381" s="27" t="s">
        <v>2137</v>
      </c>
      <c r="B381" s="28">
        <v>2</v>
      </c>
      <c r="C381" s="28">
        <v>730</v>
      </c>
      <c r="D381" s="29" t="s">
        <v>81</v>
      </c>
      <c r="E381" s="30" t="s">
        <v>50</v>
      </c>
      <c r="F381" s="31">
        <v>44395</v>
      </c>
      <c r="G381" s="32">
        <v>4.822916666666666</v>
      </c>
      <c r="H381" s="31">
        <v>44395</v>
      </c>
      <c r="I381" s="32">
        <v>4.629861111111111</v>
      </c>
      <c r="J381" s="33">
        <f>F381-H381</f>
      </c>
      <c r="K381" s="28">
        <v>35</v>
      </c>
      <c r="L381" s="28">
        <v>0</v>
      </c>
      <c r="M381" s="28">
        <v>1</v>
      </c>
      <c r="N381" s="35">
        <v>1</v>
      </c>
      <c r="O381" s="34"/>
      <c r="P381" s="34"/>
      <c r="Q381" s="34"/>
      <c r="R381" s="34"/>
      <c r="S381" s="34"/>
      <c r="T381" s="35">
        <v>1</v>
      </c>
      <c r="U381" s="34"/>
      <c r="V381" s="34"/>
      <c r="W381" s="29" t="s">
        <v>74</v>
      </c>
      <c r="X381" s="28">
        <v>40</v>
      </c>
      <c r="Y381" s="28">
        <v>1</v>
      </c>
      <c r="Z381" s="28">
        <v>2</v>
      </c>
      <c r="AA381" s="28">
        <v>1</v>
      </c>
      <c r="AB381" s="28">
        <v>1</v>
      </c>
      <c r="AC381" s="28">
        <v>2</v>
      </c>
      <c r="AD381" s="28">
        <v>1</v>
      </c>
      <c r="AE381" s="28">
        <v>2</v>
      </c>
      <c r="AF381" s="28">
        <v>2</v>
      </c>
      <c r="AG381" s="28">
        <v>2</v>
      </c>
      <c r="AH381" s="29" t="s">
        <v>1386</v>
      </c>
      <c r="AI381" s="36">
        <f>if(or(and(K381&lt;32, J381&lt;2), O381=1, P381=1, Q381=1, R381=1, S381=1, T381=1, U381=1, and(W381&lt;&gt;"", W381&lt;&gt;"Oxygen", W381&lt;&gt;"LowFlow")), "Intensive", "Intermediate")</f>
      </c>
      <c r="AJ381" s="37">
        <f>if(or(left(AH381, 1)="X", left(AH381, 1)="Y", left(AH381, 3)="J59M"), "CUSM", "No Match")</f>
      </c>
      <c r="AK381" s="37">
        <f>if(and(or(O381=3, P381=1, Q381=1, T381=1), AJ381="no Match"), "CUSM, CHU SJ, CHUQ", "")</f>
      </c>
      <c r="AL381" s="37">
        <f>IF(AND(O382=2, ISBLANK(P382), ISBLANK(Q382), ISBLANK(R382), ISBLANK(S382), ISBLANK(T382)), "CUSM, CHU SJ, CHUS, CHUQ", "")</f>
      </c>
      <c r="AM381" s="37">
        <f>if(and(AJ381="no match", AK381="", AL381="", K381&lt;26), "CUSM, CHU SJ, HGJ, CHUQ, CHUS", "")</f>
      </c>
      <c r="AN381" s="37">
        <f>if(and(AJ381="no match", AK381="", AL381="", K381&gt;26), "CUSM, CHU SJ, HGJ, CHUQ, CHUS, HMR", "")</f>
      </c>
    </row>
    <row x14ac:dyDescent="0.25" r="382" customHeight="1" ht="17.25">
      <c r="A382" s="27" t="s">
        <v>2138</v>
      </c>
      <c r="B382" s="28">
        <v>2</v>
      </c>
      <c r="C382" s="28">
        <v>839</v>
      </c>
      <c r="D382" s="29" t="s">
        <v>53</v>
      </c>
      <c r="E382" s="30" t="s">
        <v>50</v>
      </c>
      <c r="F382" s="31">
        <v>44395</v>
      </c>
      <c r="G382" s="32">
        <v>4.4375</v>
      </c>
      <c r="H382" s="31">
        <v>44395</v>
      </c>
      <c r="I382" s="32">
        <v>4.228472222222223</v>
      </c>
      <c r="J382" s="33">
        <f>F382-H382</f>
      </c>
      <c r="K382" s="28">
        <v>38</v>
      </c>
      <c r="L382" s="28">
        <v>0</v>
      </c>
      <c r="M382" s="28">
        <v>1</v>
      </c>
      <c r="N382" s="35">
        <v>1</v>
      </c>
      <c r="O382" s="34"/>
      <c r="P382" s="34"/>
      <c r="Q382" s="34"/>
      <c r="R382" s="34"/>
      <c r="S382" s="34"/>
      <c r="T382" s="35">
        <v>1</v>
      </c>
      <c r="U382" s="34"/>
      <c r="V382" s="34"/>
      <c r="W382" s="29"/>
      <c r="X382" s="28">
        <v>31</v>
      </c>
      <c r="Y382" s="28">
        <v>1</v>
      </c>
      <c r="Z382" s="28">
        <v>2</v>
      </c>
      <c r="AA382" s="28">
        <v>1</v>
      </c>
      <c r="AB382" s="28">
        <v>1</v>
      </c>
      <c r="AC382" s="28">
        <v>1</v>
      </c>
      <c r="AD382" s="28">
        <v>2</v>
      </c>
      <c r="AE382" s="28">
        <v>2</v>
      </c>
      <c r="AF382" s="35">
        <v>2</v>
      </c>
      <c r="AG382" s="28">
        <v>2</v>
      </c>
      <c r="AH382" s="29" t="s">
        <v>2139</v>
      </c>
      <c r="AI382" s="36">
        <f>if(or(and(K382&lt;32, J382&lt;2), O382=1, P382=1, Q382=1, R382=1, S382=1, T382=1, U382=1, and(W382&lt;&gt;"", W382&lt;&gt;"Oxygen", W382&lt;&gt;"LowFlow")), "Intensive", "Intermediate")</f>
      </c>
      <c r="AJ382" s="37">
        <f>if(or(left(AH382, 1)="X", left(AH382, 1)="Y", left(AH382, 3)="J60M"), "CUSM", "No Match")</f>
      </c>
      <c r="AK382" s="37">
        <f>if(and(or(O382=3, P382=1, Q382=1, T382=1), AJ382="no Match"), "CUSM, CHU SJ, CHUQ", "")</f>
      </c>
      <c r="AL382" s="37">
        <f>IF(AND(O383=2, ISBLANK(P383), ISBLANK(Q383), ISBLANK(R383), ISBLANK(S383), ISBLANK(T383)), "CUSM, CHU SJ, CHUS, CHUQ", "")</f>
      </c>
      <c r="AM382" s="37">
        <f>if(and(AJ382="no match", AK382="", AL382="", K382&lt;26), "CUSM, CHU SJ, HGJ, CHUQ, CHUS", "")</f>
      </c>
      <c r="AN382" s="37">
        <f>if(and(AJ382="no match", AK382="", AL382="", K382&gt;26), "CUSM, CHU SJ, HGJ, CHUQ, CHUS, HMR", "")</f>
      </c>
    </row>
    <row x14ac:dyDescent="0.25" r="383" customHeight="1" ht="17.25">
      <c r="A383" s="27" t="s">
        <v>2140</v>
      </c>
      <c r="B383" s="28">
        <v>2</v>
      </c>
      <c r="C383" s="28">
        <v>780</v>
      </c>
      <c r="D383" s="29" t="s">
        <v>190</v>
      </c>
      <c r="E383" s="30" t="s">
        <v>50</v>
      </c>
      <c r="F383" s="31">
        <v>44396</v>
      </c>
      <c r="G383" s="32">
        <v>4.597222222222222</v>
      </c>
      <c r="H383" s="31">
        <v>44395</v>
      </c>
      <c r="I383" s="32">
        <v>4.86875</v>
      </c>
      <c r="J383" s="33">
        <f>F383-H383</f>
      </c>
      <c r="K383" s="28">
        <v>39</v>
      </c>
      <c r="L383" s="28">
        <v>3</v>
      </c>
      <c r="M383" s="28">
        <v>1</v>
      </c>
      <c r="N383" s="35">
        <v>1</v>
      </c>
      <c r="O383" s="34"/>
      <c r="P383" s="34"/>
      <c r="Q383" s="34"/>
      <c r="R383" s="34"/>
      <c r="S383" s="34"/>
      <c r="T383" s="34"/>
      <c r="U383" s="34"/>
      <c r="V383" s="38"/>
      <c r="W383" s="29" t="s">
        <v>600</v>
      </c>
      <c r="X383" s="28">
        <v>24</v>
      </c>
      <c r="Y383" s="28">
        <v>1</v>
      </c>
      <c r="Z383" s="28">
        <v>1</v>
      </c>
      <c r="AA383" s="28">
        <v>2</v>
      </c>
      <c r="AB383" s="28">
        <v>1</v>
      </c>
      <c r="AC383" s="28">
        <v>1</v>
      </c>
      <c r="AD383" s="28">
        <v>2</v>
      </c>
      <c r="AE383" s="28">
        <v>4</v>
      </c>
      <c r="AF383" s="28">
        <v>3</v>
      </c>
      <c r="AG383" s="28">
        <v>2</v>
      </c>
      <c r="AH383" s="29" t="s">
        <v>2141</v>
      </c>
      <c r="AI383" s="36">
        <f>if(or(and(K383&lt;32, J383&lt;2), O383=1, P383=1, Q383=1, R383=1, S383=1, T383=1, U383=1, and(W383&lt;&gt;"", W383&lt;&gt;"Oxygen", W383&lt;&gt;"LowFlow")), "Intensive", "Intermediate")</f>
      </c>
      <c r="AJ383" s="37">
        <f>if(or(left(AH383, 1)="X", left(AH383, 1)="Y", left(AH383, 3)="J61M"), "CUSM", "No Match")</f>
      </c>
      <c r="AK383" s="37">
        <f>if(and(or(O383=3, P383=1, Q383=1, T383=1), AJ383="no Match"), "CUSM, CHU SJ, CHUQ", "")</f>
      </c>
      <c r="AL383" s="37">
        <f>IF(AND(O384=2, ISBLANK(P384), ISBLANK(Q384), ISBLANK(R384), ISBLANK(S384), ISBLANK(T384)), "CUSM, CHU SJ, CHUS, CHUQ", "")</f>
      </c>
      <c r="AM383" s="37">
        <f>if(and(AJ383="no match", AK383="", AL383="", K383&lt;26), "CUSM, CHU SJ, HGJ, CHUQ, CHUS", "")</f>
      </c>
      <c r="AN383" s="37">
        <f>if(and(AJ383="no match", AK383="", AL383="", K383&gt;26), "CUSM, CHU SJ, HGJ, CHUQ, CHUS, HMR", "")</f>
      </c>
    </row>
    <row x14ac:dyDescent="0.25" r="384" customHeight="1" ht="17.25">
      <c r="A384" s="27" t="s">
        <v>2142</v>
      </c>
      <c r="B384" s="28">
        <v>2</v>
      </c>
      <c r="C384" s="35">
        <v>782</v>
      </c>
      <c r="D384" s="29" t="s">
        <v>95</v>
      </c>
      <c r="E384" s="30" t="s">
        <v>54</v>
      </c>
      <c r="F384" s="31">
        <v>44397</v>
      </c>
      <c r="G384" s="32">
        <v>4.847222222222222</v>
      </c>
      <c r="H384" s="31">
        <v>44397</v>
      </c>
      <c r="I384" s="32">
        <v>4.608333333333333</v>
      </c>
      <c r="J384" s="33">
        <f>F384-H384</f>
      </c>
      <c r="K384" s="28">
        <v>41</v>
      </c>
      <c r="L384" s="28">
        <v>4</v>
      </c>
      <c r="M384" s="28">
        <v>1</v>
      </c>
      <c r="N384" s="34"/>
      <c r="O384" s="34"/>
      <c r="P384" s="34"/>
      <c r="Q384" s="34"/>
      <c r="R384" s="34"/>
      <c r="S384" s="34"/>
      <c r="T384" s="34"/>
      <c r="U384" s="34"/>
      <c r="V384" s="34"/>
      <c r="W384" s="29"/>
      <c r="X384" s="28">
        <v>35</v>
      </c>
      <c r="Y384" s="28">
        <v>1</v>
      </c>
      <c r="Z384" s="28">
        <v>1</v>
      </c>
      <c r="AA384" s="28">
        <v>2</v>
      </c>
      <c r="AB384" s="28">
        <v>1</v>
      </c>
      <c r="AC384" s="28">
        <v>2</v>
      </c>
      <c r="AD384" s="28">
        <v>2</v>
      </c>
      <c r="AE384" s="28">
        <v>4</v>
      </c>
      <c r="AF384" s="28">
        <v>2</v>
      </c>
      <c r="AG384" s="28">
        <v>2</v>
      </c>
      <c r="AH384" s="29" t="s">
        <v>2143</v>
      </c>
      <c r="AI384" s="36">
        <f>if(or(and(K384&lt;32, J384&lt;2), O384=1, P384=1, Q384=1, R384=1, S384=1, T384=1, U384=1, and(W384&lt;&gt;"", W384&lt;&gt;"Oxygen", W384&lt;&gt;"LowFlow")), "Intensive", "Intermediate")</f>
      </c>
      <c r="AJ384" s="37">
        <f>if(or(left(AH384, 1)="X", left(AH384, 1)="Y", left(AH384, 3)="J62M"), "CUSM", "No Match")</f>
      </c>
      <c r="AK384" s="37">
        <f>if(and(or(O384=3, P384=1, Q384=1, T384=1), AJ384="no Match"), "CUSM, CHU SJ, CHUQ", "")</f>
      </c>
      <c r="AL384" s="37">
        <f>IF(AND(O385=2, ISBLANK(P385), ISBLANK(Q385), ISBLANK(R385), ISBLANK(S385), ISBLANK(T385)), "CUSM, CHU SJ, CHUS, CHUQ", "")</f>
      </c>
      <c r="AM384" s="37">
        <f>if(and(AJ384="no match", AK384="", AL384="", K384&lt;26), "CUSM, CHU SJ, HGJ, CHUQ, CHUS", "")</f>
      </c>
      <c r="AN384" s="37">
        <f>if(and(AJ384="no match", AK384="", AL384="", K384&gt;26), "CUSM, CHU SJ, HGJ, CHUQ, CHUS, HMR", "")</f>
      </c>
    </row>
    <row x14ac:dyDescent="0.25" r="385" customHeight="1" ht="17.25">
      <c r="A385" s="27" t="s">
        <v>2144</v>
      </c>
      <c r="B385" s="28">
        <v>2</v>
      </c>
      <c r="C385" s="35">
        <v>756</v>
      </c>
      <c r="D385" s="29" t="s">
        <v>66</v>
      </c>
      <c r="E385" s="30" t="s">
        <v>50</v>
      </c>
      <c r="F385" s="31">
        <v>44398</v>
      </c>
      <c r="G385" s="32">
        <v>4.902777777777778</v>
      </c>
      <c r="H385" s="31">
        <v>44398</v>
      </c>
      <c r="I385" s="32">
        <v>4.690972222222222</v>
      </c>
      <c r="J385" s="33">
        <f>F385-H385</f>
      </c>
      <c r="K385" s="28">
        <v>35</v>
      </c>
      <c r="L385" s="28">
        <v>2</v>
      </c>
      <c r="M385" s="28">
        <v>1</v>
      </c>
      <c r="N385" s="34"/>
      <c r="O385" s="34"/>
      <c r="P385" s="34"/>
      <c r="Q385" s="34"/>
      <c r="R385" s="34"/>
      <c r="S385" s="34"/>
      <c r="T385" s="35">
        <v>1</v>
      </c>
      <c r="U385" s="34"/>
      <c r="V385" s="34"/>
      <c r="W385" s="29" t="s">
        <v>58</v>
      </c>
      <c r="X385" s="28">
        <v>37</v>
      </c>
      <c r="Y385" s="28">
        <v>1</v>
      </c>
      <c r="Z385" s="28">
        <v>2</v>
      </c>
      <c r="AA385" s="28">
        <v>2</v>
      </c>
      <c r="AB385" s="28">
        <v>1</v>
      </c>
      <c r="AC385" s="28">
        <v>2</v>
      </c>
      <c r="AD385" s="28">
        <v>2</v>
      </c>
      <c r="AE385" s="28">
        <v>4</v>
      </c>
      <c r="AF385" s="28">
        <v>3</v>
      </c>
      <c r="AG385" s="28">
        <v>2</v>
      </c>
      <c r="AH385" s="29" t="s">
        <v>2145</v>
      </c>
      <c r="AI385" s="36">
        <f>if(or(and(K385&lt;32, J385&lt;2), O385=1, P385=1, Q385=1, R385=1, S385=1, T385=1, U385=1, and(W385&lt;&gt;"", W385&lt;&gt;"Oxygen", W385&lt;&gt;"LowFlow")), "Intensive", "Intermediate")</f>
      </c>
      <c r="AJ385" s="37">
        <f>if(or(left(AH385, 1)="X", left(AH385, 1)="Y", left(AH385, 3)="J63M"), "CUSM", "No Match")</f>
      </c>
      <c r="AK385" s="37">
        <f>if(and(or(O385=3, P385=1, Q385=1, T385=1), AJ385="no Match"), "CUSM, CHU SJ, CHUQ", "")</f>
      </c>
      <c r="AL385" s="37">
        <f>IF(AND(O386=2, ISBLANK(P386), ISBLANK(Q386), ISBLANK(R386), ISBLANK(S386), ISBLANK(T386)), "CUSM, CHU SJ, CHUS, CHUQ", "")</f>
      </c>
      <c r="AM385" s="37">
        <f>if(and(AJ385="no match", AK385="", AL385="", K385&lt;26), "CUSM, CHU SJ, HGJ, CHUQ, CHUS", "")</f>
      </c>
      <c r="AN385" s="37">
        <f>if(and(AJ385="no match", AK385="", AL385="", K385&gt;26), "CUSM, CHU SJ, HGJ, CHUQ, CHUS, HMR", "")</f>
      </c>
    </row>
    <row x14ac:dyDescent="0.25" r="386" customHeight="1" ht="17.25">
      <c r="A386" s="27" t="s">
        <v>2146</v>
      </c>
      <c r="B386" s="28">
        <v>2</v>
      </c>
      <c r="C386" s="35">
        <v>730</v>
      </c>
      <c r="D386" s="29" t="s">
        <v>81</v>
      </c>
      <c r="E386" s="30" t="s">
        <v>50</v>
      </c>
      <c r="F386" s="31">
        <v>44398</v>
      </c>
      <c r="G386" s="32">
        <v>4.069444444444445</v>
      </c>
      <c r="H386" s="31">
        <v>44397</v>
      </c>
      <c r="I386" s="32">
        <v>4.884722222222223</v>
      </c>
      <c r="J386" s="33">
        <f>F386-H386</f>
      </c>
      <c r="K386" s="28">
        <v>39</v>
      </c>
      <c r="L386" s="28">
        <v>0</v>
      </c>
      <c r="M386" s="28">
        <v>1</v>
      </c>
      <c r="N386" s="34"/>
      <c r="O386" s="34"/>
      <c r="P386" s="34"/>
      <c r="Q386" s="34"/>
      <c r="R386" s="34"/>
      <c r="S386" s="34"/>
      <c r="T386" s="35">
        <v>1</v>
      </c>
      <c r="U386" s="34"/>
      <c r="V386" s="34"/>
      <c r="W386" s="29" t="s">
        <v>58</v>
      </c>
      <c r="X386" s="28">
        <v>35</v>
      </c>
      <c r="Y386" s="28">
        <v>1</v>
      </c>
      <c r="Z386" s="28">
        <v>1</v>
      </c>
      <c r="AA386" s="28">
        <v>3</v>
      </c>
      <c r="AB386" s="28">
        <v>1</v>
      </c>
      <c r="AC386" s="28">
        <v>2</v>
      </c>
      <c r="AD386" s="28">
        <v>2</v>
      </c>
      <c r="AE386" s="28">
        <v>4</v>
      </c>
      <c r="AF386" s="28">
        <v>3</v>
      </c>
      <c r="AG386" s="28">
        <v>3</v>
      </c>
      <c r="AH386" s="29" t="s">
        <v>2147</v>
      </c>
      <c r="AI386" s="36">
        <f>if(or(and(K386&lt;32, J386&lt;2), O386=1, P386=1, Q386=1, R386=1, S386=1, T386=1, U386=1, and(W386&lt;&gt;"", W386&lt;&gt;"Oxygen", W386&lt;&gt;"LowFlow")), "Intensive", "Intermediate")</f>
      </c>
      <c r="AJ386" s="37">
        <f>if(or(left(AH386, 1)="X", left(AH386, 1)="Y", left(AH386, 3)="J0M"), "CUSM", "No Match")</f>
      </c>
      <c r="AK386" s="37">
        <f>if(and(or(O386=3, P386=1, Q386=1, T386=1), AJ386="no Match"), "CUSM, CHU SJ, CHUQ", "")</f>
      </c>
      <c r="AL386" s="37">
        <f>IF(AND(O387=2, ISBLANK(P387), ISBLANK(Q387), ISBLANK(R387), ISBLANK(S387), ISBLANK(T387)), "CUSM, CHU SJ, CHUS, CHUQ", "")</f>
      </c>
      <c r="AM386" s="37">
        <f>if(and(AJ386="no match", AK386="", AL386="", K386&lt;26), "CUSM, CHU SJ, HGJ, CHUQ, CHUS", "")</f>
      </c>
      <c r="AN386" s="37">
        <f>if(and(AJ386="no match", AK386="", AL386="", K386&gt;26), "CUSM, CHU SJ, HGJ, CHUQ, CHUS, HMR", "")</f>
      </c>
    </row>
    <row x14ac:dyDescent="0.25" r="387" customHeight="1" ht="17.25">
      <c r="A387" s="27" t="s">
        <v>2148</v>
      </c>
      <c r="B387" s="28">
        <v>2</v>
      </c>
      <c r="C387" s="35">
        <v>756</v>
      </c>
      <c r="D387" s="29" t="s">
        <v>66</v>
      </c>
      <c r="E387" s="30" t="s">
        <v>78</v>
      </c>
      <c r="F387" s="31">
        <v>44400</v>
      </c>
      <c r="G387" s="32">
        <v>4.291666666666666</v>
      </c>
      <c r="H387" s="31">
        <v>44400</v>
      </c>
      <c r="I387" s="32">
        <v>4.156944444444445</v>
      </c>
      <c r="J387" s="33">
        <f>F387-H387</f>
      </c>
      <c r="K387" s="28">
        <v>29</v>
      </c>
      <c r="L387" s="28">
        <v>0</v>
      </c>
      <c r="M387" s="28">
        <v>2</v>
      </c>
      <c r="N387" s="34"/>
      <c r="O387" s="34"/>
      <c r="P387" s="34"/>
      <c r="Q387" s="34"/>
      <c r="R387" s="34"/>
      <c r="S387" s="34"/>
      <c r="T387" s="34"/>
      <c r="U387" s="34"/>
      <c r="V387" s="34"/>
      <c r="W387" s="29" t="s">
        <v>74</v>
      </c>
      <c r="X387" s="28">
        <v>32</v>
      </c>
      <c r="Y387" s="28">
        <v>1</v>
      </c>
      <c r="Z387" s="28">
        <v>1</v>
      </c>
      <c r="AA387" s="28">
        <v>3</v>
      </c>
      <c r="AB387" s="28">
        <v>3</v>
      </c>
      <c r="AC387" s="28">
        <v>2</v>
      </c>
      <c r="AD387" s="28">
        <v>1</v>
      </c>
      <c r="AE387" s="28">
        <v>4</v>
      </c>
      <c r="AF387" s="28">
        <v>3</v>
      </c>
      <c r="AG387" s="28">
        <v>2</v>
      </c>
      <c r="AH387" s="29" t="s">
        <v>2149</v>
      </c>
      <c r="AI387" s="36">
        <f>if(or(and(K387&lt;32, J387&lt;2), O387=1, P387=1, Q387=1, R387=1, S387=1, T387=1, U387=1, and(W387&lt;&gt;"", W387&lt;&gt;"Oxygen", W387&lt;&gt;"LowFlow")), "Intensive", "Intermediate")</f>
      </c>
      <c r="AJ387" s="37">
        <f>if(or(left(AH387, 1)="X", left(AH387, 1)="Y", left(AH387, 3)="J1M"), "CUSM", "No Match")</f>
      </c>
      <c r="AK387" s="37">
        <f>if(and(or(O387=3, P387=1, Q387=1, T387=1), AJ387="no Match"), "CUSM, CHU SJ, CHUQ", "")</f>
      </c>
      <c r="AL387" s="37">
        <f>IF(AND(O388=2, ISBLANK(P388), ISBLANK(Q388), ISBLANK(R388), ISBLANK(S388), ISBLANK(T388)), "CUSM, CHU SJ, CHUS, CHUQ", "")</f>
      </c>
      <c r="AM387" s="37">
        <f>if(and(AJ387="no match", AK387="", AL387="", K387&lt;26), "CUSM, CHU SJ, HGJ, CHUQ, CHUS", "")</f>
      </c>
      <c r="AN387" s="37">
        <f>if(and(AJ387="no match", AK387="", AL387="", K387&gt;26), "CUSM, CHU SJ, HGJ, CHUQ, CHUS, HMR", "")</f>
      </c>
    </row>
    <row x14ac:dyDescent="0.25" r="388" customHeight="1" ht="17.25">
      <c r="A388" s="27" t="s">
        <v>2150</v>
      </c>
      <c r="B388" s="28">
        <v>2</v>
      </c>
      <c r="C388" s="28">
        <v>817</v>
      </c>
      <c r="D388" s="29" t="s">
        <v>163</v>
      </c>
      <c r="E388" s="30" t="s">
        <v>50</v>
      </c>
      <c r="F388" s="31">
        <v>44400</v>
      </c>
      <c r="G388" s="32">
        <v>4.753472222222222</v>
      </c>
      <c r="H388" s="31">
        <v>44400</v>
      </c>
      <c r="I388" s="32">
        <v>4.522222222222222</v>
      </c>
      <c r="J388" s="33">
        <f>F388-H388</f>
      </c>
      <c r="K388" s="28">
        <v>37</v>
      </c>
      <c r="L388" s="28">
        <v>2</v>
      </c>
      <c r="M388" s="28">
        <v>1</v>
      </c>
      <c r="N388" s="34"/>
      <c r="O388" s="34"/>
      <c r="P388" s="34"/>
      <c r="Q388" s="34"/>
      <c r="R388" s="34"/>
      <c r="S388" s="34"/>
      <c r="T388" s="35">
        <v>1</v>
      </c>
      <c r="U388" s="34"/>
      <c r="V388" s="34"/>
      <c r="W388" s="29" t="s">
        <v>74</v>
      </c>
      <c r="X388" s="28">
        <v>23</v>
      </c>
      <c r="Y388" s="28">
        <v>1</v>
      </c>
      <c r="Z388" s="28">
        <v>2</v>
      </c>
      <c r="AA388" s="28">
        <v>3</v>
      </c>
      <c r="AB388" s="28">
        <v>1</v>
      </c>
      <c r="AC388" s="28">
        <v>1</v>
      </c>
      <c r="AD388" s="28">
        <v>1</v>
      </c>
      <c r="AE388" s="28">
        <v>4</v>
      </c>
      <c r="AF388" s="28">
        <v>3</v>
      </c>
      <c r="AG388" s="28">
        <v>2</v>
      </c>
      <c r="AH388" s="29" t="s">
        <v>1336</v>
      </c>
      <c r="AI388" s="36">
        <f>if(or(and(K388&lt;32, J388&lt;2), O388=1, P388=1, Q388=1, R388=1, S388=1, T388=1, U388=1, and(W388&lt;&gt;"", W388&lt;&gt;"Oxygen", W388&lt;&gt;"LowFlow")), "Intensive", "Intermediate")</f>
      </c>
      <c r="AJ388" s="37">
        <f>if(or(left(AH388, 1)="X", left(AH388, 1)="Y", left(AH388, 3)="J2M"), "CUSM", "No Match")</f>
      </c>
      <c r="AK388" s="37">
        <f>if(and(or(O388=3, P388=1, Q388=1, T388=1), AJ388="no Match"), "CUSM, CHU SJ, CHUQ", "")</f>
      </c>
      <c r="AL388" s="37">
        <f>IF(AND(O389=2, ISBLANK(P389), ISBLANK(Q389), ISBLANK(R389), ISBLANK(S389), ISBLANK(T389)), "CUSM, CHU SJ, CHUS, CHUQ", "")</f>
      </c>
      <c r="AM388" s="37">
        <f>if(and(AJ388="no match", AK388="", AL388="", K388&lt;26), "CUSM, CHU SJ, HGJ, CHUQ, CHUS", "")</f>
      </c>
      <c r="AN388" s="37">
        <f>if(and(AJ388="no match", AK388="", AL388="", K388&gt;26), "CUSM, CHU SJ, HGJ, CHUQ, CHUS, HMR", "")</f>
      </c>
    </row>
    <row x14ac:dyDescent="0.25" r="389" customHeight="1" ht="17.25">
      <c r="A389" s="27" t="s">
        <v>2151</v>
      </c>
      <c r="B389" s="28">
        <v>2</v>
      </c>
      <c r="C389" s="28">
        <v>730</v>
      </c>
      <c r="D389" s="29" t="s">
        <v>81</v>
      </c>
      <c r="E389" s="30" t="s">
        <v>50</v>
      </c>
      <c r="F389" s="31">
        <v>44401</v>
      </c>
      <c r="G389" s="32">
        <v>4.589583333333334</v>
      </c>
      <c r="H389" s="31">
        <v>44401</v>
      </c>
      <c r="I389" s="32">
        <v>4.432638888888889</v>
      </c>
      <c r="J389" s="33">
        <f>F389-H389</f>
      </c>
      <c r="K389" s="28">
        <v>41</v>
      </c>
      <c r="L389" s="28">
        <v>3</v>
      </c>
      <c r="M389" s="28">
        <v>1</v>
      </c>
      <c r="N389" s="34"/>
      <c r="O389" s="34"/>
      <c r="P389" s="34"/>
      <c r="Q389" s="34"/>
      <c r="R389" s="34"/>
      <c r="S389" s="34"/>
      <c r="T389" s="35">
        <v>1</v>
      </c>
      <c r="U389" s="34"/>
      <c r="V389" s="34"/>
      <c r="W389" s="29" t="s">
        <v>58</v>
      </c>
      <c r="X389" s="28">
        <v>29</v>
      </c>
      <c r="Y389" s="28">
        <v>1</v>
      </c>
      <c r="Z389" s="28">
        <v>1</v>
      </c>
      <c r="AA389" s="28">
        <v>2</v>
      </c>
      <c r="AB389" s="28">
        <v>1</v>
      </c>
      <c r="AC389" s="28">
        <v>2</v>
      </c>
      <c r="AD389" s="28">
        <v>2</v>
      </c>
      <c r="AE389" s="28">
        <v>4</v>
      </c>
      <c r="AF389" s="28">
        <v>2</v>
      </c>
      <c r="AG389" s="28">
        <v>2</v>
      </c>
      <c r="AH389" s="29" t="s">
        <v>2152</v>
      </c>
      <c r="AI389" s="36">
        <f>if(or(and(K389&lt;32, J389&lt;2), O389=1, P389=1, Q389=1, R389=1, S389=1, T389=1, U389=1, and(W389&lt;&gt;"", W389&lt;&gt;"Oxygen", W389&lt;&gt;"LowFlow")), "Intensive", "Intermediate")</f>
      </c>
      <c r="AJ389" s="37">
        <f>if(or(left(AH389, 1)="X", left(AH389, 1)="Y", left(AH389, 3)="J3M"), "CUSM", "No Match")</f>
      </c>
      <c r="AK389" s="37">
        <f>if(and(or(O389=3, P389=1, Q389=1, T389=1), AJ389="no Match"), "CUSM, CHU SJ, CHUQ", "")</f>
      </c>
      <c r="AL389" s="37">
        <f>IF(AND(O390=2, ISBLANK(P390), ISBLANK(Q390), ISBLANK(R390), ISBLANK(S390), ISBLANK(T390)), "CUSM, CHU SJ, CHUS, CHUQ", "")</f>
      </c>
      <c r="AM389" s="37">
        <f>if(and(AJ389="no match", AK389="", AL389="", K389&lt;26), "CUSM, CHU SJ, HGJ, CHUQ, CHUS", "")</f>
      </c>
      <c r="AN389" s="37">
        <f>if(and(AJ389="no match", AK389="", AL389="", K389&gt;26), "CUSM, CHU SJ, HGJ, CHUQ, CHUS, HMR", "")</f>
      </c>
    </row>
    <row x14ac:dyDescent="0.25" r="390" customHeight="1" ht="17.25">
      <c r="A390" s="27" t="s">
        <v>2153</v>
      </c>
      <c r="B390" s="28">
        <v>2</v>
      </c>
      <c r="C390" s="28">
        <v>845</v>
      </c>
      <c r="D390" s="29" t="s">
        <v>381</v>
      </c>
      <c r="E390" s="30" t="s">
        <v>50</v>
      </c>
      <c r="F390" s="31">
        <v>44401</v>
      </c>
      <c r="G390" s="32">
        <v>4.121527777777778</v>
      </c>
      <c r="H390" s="31">
        <v>44400</v>
      </c>
      <c r="I390" s="32">
        <v>4.893055555555556</v>
      </c>
      <c r="J390" s="33">
        <f>F390-H390</f>
      </c>
      <c r="K390" s="28">
        <v>39</v>
      </c>
      <c r="L390" s="28">
        <v>0</v>
      </c>
      <c r="M390" s="28">
        <v>2</v>
      </c>
      <c r="N390" s="35">
        <v>1</v>
      </c>
      <c r="O390" s="34"/>
      <c r="P390" s="34"/>
      <c r="Q390" s="34"/>
      <c r="R390" s="34"/>
      <c r="S390" s="34"/>
      <c r="T390" s="35">
        <v>1</v>
      </c>
      <c r="U390" s="34"/>
      <c r="V390" s="34"/>
      <c r="W390" s="29" t="s">
        <v>74</v>
      </c>
      <c r="X390" s="28">
        <v>35</v>
      </c>
      <c r="Y390" s="28">
        <v>1</v>
      </c>
      <c r="Z390" s="28">
        <v>2</v>
      </c>
      <c r="AA390" s="28">
        <v>2</v>
      </c>
      <c r="AB390" s="28">
        <v>1</v>
      </c>
      <c r="AC390" s="28">
        <v>2</v>
      </c>
      <c r="AD390" s="28">
        <v>2</v>
      </c>
      <c r="AE390" s="28">
        <v>4</v>
      </c>
      <c r="AF390" s="35">
        <v>2</v>
      </c>
      <c r="AG390" s="28">
        <v>2</v>
      </c>
      <c r="AH390" s="29" t="s">
        <v>2154</v>
      </c>
      <c r="AI390" s="36">
        <f>if(or(and(K390&lt;32, J390&lt;2), O390=1, P390=1, Q390=1, R390=1, S390=1, T390=1, U390=1, and(W390&lt;&gt;"", W390&lt;&gt;"Oxygen", W390&lt;&gt;"LowFlow")), "Intensive", "Intermediate")</f>
      </c>
      <c r="AJ390" s="37">
        <f>if(or(left(AH390, 1)="X", left(AH390, 1)="Y", left(AH390, 3)="J4M"), "CUSM", "No Match")</f>
      </c>
      <c r="AK390" s="37">
        <f>if(and(or(O390=3, P390=1, Q390=1, T390=1), AJ390="no Match"), "CUSM, CHU SJ, CHUQ", "")</f>
      </c>
      <c r="AL390" s="37">
        <f>IF(AND(O391=2, ISBLANK(P391), ISBLANK(Q391), ISBLANK(R391), ISBLANK(S391), ISBLANK(T391)), "CUSM, CHU SJ, CHUS, CHUQ", "")</f>
      </c>
      <c r="AM390" s="37">
        <f>if(and(AJ390="no match", AK390="", AL390="", K390&lt;26), "CUSM, CHU SJ, HGJ, CHUQ, CHUS", "")</f>
      </c>
      <c r="AN390" s="37">
        <f>if(and(AJ390="no match", AK390="", AL390="", K390&gt;26), "CUSM, CHU SJ, HGJ, CHUQ, CHUS, HMR", "")</f>
      </c>
    </row>
    <row x14ac:dyDescent="0.25" r="391" customHeight="1" ht="17.25">
      <c r="A391" s="27" t="s">
        <v>2155</v>
      </c>
      <c r="B391" s="28">
        <v>2</v>
      </c>
      <c r="C391" s="28">
        <v>6</v>
      </c>
      <c r="D391" s="29" t="s">
        <v>131</v>
      </c>
      <c r="E391" s="30" t="s">
        <v>50</v>
      </c>
      <c r="F391" s="31">
        <v>44401</v>
      </c>
      <c r="G391" s="32">
        <v>4.041666666666666</v>
      </c>
      <c r="H391" s="31">
        <v>44397</v>
      </c>
      <c r="I391" s="32">
        <v>4.194444444444445</v>
      </c>
      <c r="J391" s="33">
        <f>F391-H391</f>
      </c>
      <c r="K391" s="28">
        <v>37</v>
      </c>
      <c r="L391" s="28">
        <v>2</v>
      </c>
      <c r="M391" s="28">
        <v>1</v>
      </c>
      <c r="N391" s="34"/>
      <c r="O391" s="34"/>
      <c r="P391" s="34"/>
      <c r="Q391" s="34"/>
      <c r="R391" s="34"/>
      <c r="S391" s="34"/>
      <c r="T391" s="34"/>
      <c r="U391" s="34"/>
      <c r="V391" s="34"/>
      <c r="W391" s="29"/>
      <c r="X391" s="28">
        <v>39</v>
      </c>
      <c r="Y391" s="28">
        <v>1</v>
      </c>
      <c r="Z391" s="28">
        <v>2</v>
      </c>
      <c r="AA391" s="28">
        <v>3</v>
      </c>
      <c r="AB391" s="28">
        <v>4</v>
      </c>
      <c r="AC391" s="28">
        <v>2</v>
      </c>
      <c r="AD391" s="28">
        <v>2</v>
      </c>
      <c r="AE391" s="28">
        <v>4</v>
      </c>
      <c r="AF391" s="28">
        <v>3</v>
      </c>
      <c r="AG391" s="28">
        <v>3</v>
      </c>
      <c r="AH391" s="29" t="s">
        <v>2156</v>
      </c>
      <c r="AI391" s="36">
        <f>if(or(and(K391&lt;32, J391&lt;2), O391=1, P391=1, Q391=1, R391=1, S391=1, T391=1, U391=1, and(W391&lt;&gt;"", W391&lt;&gt;"Oxygen", W391&lt;&gt;"LowFlow")), "Intensive", "Intermediate")</f>
      </c>
      <c r="AJ391" s="37">
        <f>if(or(left(AH391, 1)="X", left(AH391, 1)="Y", left(AH391, 3)="J5M"), "CUSM", "No Match")</f>
      </c>
      <c r="AK391" s="37">
        <f>if(and(or(O391=3, P391=1, Q391=1, T391=1), AJ391="no Match"), "CUSM, CHU SJ, CHUQ", "")</f>
      </c>
      <c r="AL391" s="37">
        <f>IF(AND(O392=2, ISBLANK(P392), ISBLANK(Q392), ISBLANK(R392), ISBLANK(S392), ISBLANK(T392)), "CUSM, CHU SJ, CHUS, CHUQ", "")</f>
      </c>
      <c r="AM391" s="37">
        <f>if(and(AJ391="no match", AK391="", AL391="", K391&lt;26), "CUSM, CHU SJ, HGJ, CHUQ, CHUS", "")</f>
      </c>
      <c r="AN391" s="37">
        <f>if(and(AJ391="no match", AK391="", AL391="", K391&gt;26), "CUSM, CHU SJ, HGJ, CHUQ, CHUS, HMR", "")</f>
      </c>
    </row>
    <row x14ac:dyDescent="0.25" r="392" customHeight="1" ht="17.25">
      <c r="A392" s="27" t="s">
        <v>2157</v>
      </c>
      <c r="B392" s="28">
        <v>2</v>
      </c>
      <c r="C392" s="35">
        <v>730</v>
      </c>
      <c r="D392" s="29" t="s">
        <v>81</v>
      </c>
      <c r="E392" s="30" t="s">
        <v>78</v>
      </c>
      <c r="F392" s="31">
        <v>44402</v>
      </c>
      <c r="G392" s="32">
        <v>4.072916666666666</v>
      </c>
      <c r="H392" s="31">
        <v>44401</v>
      </c>
      <c r="I392" s="32">
        <v>4.627777777777778</v>
      </c>
      <c r="J392" s="33">
        <f>F392-H392</f>
      </c>
      <c r="K392" s="28">
        <v>35</v>
      </c>
      <c r="L392" s="28">
        <v>0</v>
      </c>
      <c r="M392" s="28">
        <v>1</v>
      </c>
      <c r="N392" s="34"/>
      <c r="O392" s="34"/>
      <c r="P392" s="34"/>
      <c r="Q392" s="34"/>
      <c r="R392" s="34"/>
      <c r="S392" s="34"/>
      <c r="T392" s="34"/>
      <c r="U392" s="34"/>
      <c r="V392" s="34"/>
      <c r="W392" s="29" t="s">
        <v>58</v>
      </c>
      <c r="X392" s="28">
        <v>27</v>
      </c>
      <c r="Y392" s="28">
        <v>1</v>
      </c>
      <c r="Z392" s="28">
        <v>1</v>
      </c>
      <c r="AA392" s="28">
        <v>1</v>
      </c>
      <c r="AB392" s="28">
        <v>2</v>
      </c>
      <c r="AC392" s="28">
        <v>2</v>
      </c>
      <c r="AD392" s="28">
        <v>2</v>
      </c>
      <c r="AE392" s="28">
        <v>2</v>
      </c>
      <c r="AF392" s="28">
        <v>2</v>
      </c>
      <c r="AG392" s="28">
        <v>2</v>
      </c>
      <c r="AH392" s="29" t="s">
        <v>2158</v>
      </c>
      <c r="AI392" s="36">
        <f>if(or(and(K392&lt;32, J392&lt;2), O392=1, P392=1, Q392=1, R392=1, S392=1, T392=1, U392=1, and(W392&lt;&gt;"", W392&lt;&gt;"Oxygen", W392&lt;&gt;"LowFlow")), "Intensive", "Intermediate")</f>
      </c>
      <c r="AJ392" s="37">
        <f>if(or(left(AH392, 1)="X", left(AH392, 1)="Y", left(AH392, 3)="J6M"), "CUSM", "No Match")</f>
      </c>
      <c r="AK392" s="37">
        <f>if(and(or(O392=3, P392=1, Q392=1, T392=1), AJ392="no Match"), "CUSM, CHU SJ, CHUQ", "")</f>
      </c>
      <c r="AL392" s="37">
        <f>IF(AND(O393=2, ISBLANK(P393), ISBLANK(Q393), ISBLANK(R393), ISBLANK(S393), ISBLANK(T393)), "CUSM, CHU SJ, CHUS, CHUQ", "")</f>
      </c>
      <c r="AM392" s="37">
        <f>if(and(AJ392="no match", AK392="", AL392="", K392&lt;26), "CUSM, CHU SJ, HGJ, CHUQ, CHUS", "")</f>
      </c>
      <c r="AN392" s="37">
        <f>if(and(AJ392="no match", AK392="", AL392="", K392&gt;26), "CUSM, CHU SJ, HGJ, CHUQ, CHUS, HMR", "")</f>
      </c>
    </row>
    <row x14ac:dyDescent="0.25" r="393" customHeight="1" ht="17.25">
      <c r="A393" s="27" t="s">
        <v>2159</v>
      </c>
      <c r="B393" s="28">
        <v>2</v>
      </c>
      <c r="C393" s="35">
        <v>756</v>
      </c>
      <c r="D393" s="29" t="s">
        <v>66</v>
      </c>
      <c r="E393" s="30" t="s">
        <v>50</v>
      </c>
      <c r="F393" s="31">
        <v>44402</v>
      </c>
      <c r="G393" s="32">
        <v>4.656944444444445</v>
      </c>
      <c r="H393" s="31">
        <v>44397</v>
      </c>
      <c r="I393" s="32">
        <v>4.346527777777778</v>
      </c>
      <c r="J393" s="33">
        <f>F393-H393</f>
      </c>
      <c r="K393" s="28">
        <v>38</v>
      </c>
      <c r="L393" s="28">
        <v>4</v>
      </c>
      <c r="M393" s="28">
        <v>1</v>
      </c>
      <c r="N393" s="35">
        <v>1</v>
      </c>
      <c r="O393" s="35">
        <v>2</v>
      </c>
      <c r="P393" s="35">
        <v>1</v>
      </c>
      <c r="Q393" s="34"/>
      <c r="R393" s="34"/>
      <c r="S393" s="34"/>
      <c r="T393" s="34"/>
      <c r="U393" s="34"/>
      <c r="V393" s="34"/>
      <c r="W393" s="29"/>
      <c r="X393" s="28">
        <v>39</v>
      </c>
      <c r="Y393" s="28">
        <v>1</v>
      </c>
      <c r="Z393" s="28">
        <v>2</v>
      </c>
      <c r="AA393" s="28">
        <v>3</v>
      </c>
      <c r="AB393" s="28">
        <v>1</v>
      </c>
      <c r="AC393" s="28">
        <v>2</v>
      </c>
      <c r="AD393" s="28">
        <v>1</v>
      </c>
      <c r="AE393" s="28">
        <v>4</v>
      </c>
      <c r="AF393" s="28">
        <v>3</v>
      </c>
      <c r="AG393" s="28">
        <v>2</v>
      </c>
      <c r="AH393" s="29" t="s">
        <v>2160</v>
      </c>
      <c r="AI393" s="36">
        <f>if(or(and(K393&lt;32, J393&lt;2), O393=1, P393=1, Q393=1, R393=1, S393=1, T393=1, U393=1, and(W393&lt;&gt;"", W393&lt;&gt;"Oxygen", W393&lt;&gt;"LowFlow")), "Intensive", "Intermediate")</f>
      </c>
      <c r="AJ393" s="37">
        <f>if(or(left(AH393, 1)="X", left(AH393, 1)="Y", left(AH393, 3)="J7M"), "CUSM", "No Match")</f>
      </c>
      <c r="AK393" s="37">
        <f>if(and(or(O393=3, P393=1, Q393=1, T393=1), AJ393="no Match"), "CUSM, CHU SJ, CHUQ", "")</f>
      </c>
      <c r="AL393" s="37">
        <f>IF(AND(O394=2, ISBLANK(P394), ISBLANK(Q394), ISBLANK(R394), ISBLANK(S394), ISBLANK(T394)), "CUSM, CHU SJ, CHUS, CHUQ", "")</f>
      </c>
      <c r="AM393" s="37">
        <f>if(and(AJ393="no match", AK393="", AL393="", K393&lt;26), "CUSM, CHU SJ, HGJ, CHUQ, CHUS", "")</f>
      </c>
      <c r="AN393" s="37">
        <f>if(and(AJ393="no match", AK393="", AL393="", K393&gt;26), "CUSM, CHU SJ, HGJ, CHUQ, CHUS, HMR", "")</f>
      </c>
    </row>
    <row x14ac:dyDescent="0.25" r="394" customHeight="1" ht="17.25">
      <c r="A394" s="27" t="s">
        <v>2161</v>
      </c>
      <c r="B394" s="28">
        <v>2</v>
      </c>
      <c r="C394" s="28">
        <v>740</v>
      </c>
      <c r="D394" s="29" t="s">
        <v>409</v>
      </c>
      <c r="E394" s="30" t="s">
        <v>149</v>
      </c>
      <c r="F394" s="31">
        <v>44404</v>
      </c>
      <c r="G394" s="32">
        <v>4.9375</v>
      </c>
      <c r="H394" s="31">
        <v>44404</v>
      </c>
      <c r="I394" s="32">
        <v>4.863888888888889</v>
      </c>
      <c r="J394" s="33">
        <f>F394-H394</f>
      </c>
      <c r="K394" s="28">
        <v>30</v>
      </c>
      <c r="L394" s="28">
        <v>0</v>
      </c>
      <c r="M394" s="28">
        <v>1</v>
      </c>
      <c r="N394" s="34"/>
      <c r="O394" s="34"/>
      <c r="P394" s="34"/>
      <c r="Q394" s="34"/>
      <c r="R394" s="34"/>
      <c r="S394" s="34"/>
      <c r="T394" s="34"/>
      <c r="U394" s="34"/>
      <c r="V394" s="34"/>
      <c r="W394" s="29" t="s">
        <v>74</v>
      </c>
      <c r="X394" s="28">
        <v>35</v>
      </c>
      <c r="Y394" s="28">
        <v>1</v>
      </c>
      <c r="Z394" s="28">
        <v>2</v>
      </c>
      <c r="AA394" s="28">
        <v>3</v>
      </c>
      <c r="AB394" s="28">
        <v>4</v>
      </c>
      <c r="AC394" s="28">
        <v>2</v>
      </c>
      <c r="AD394" s="28">
        <v>2</v>
      </c>
      <c r="AE394" s="28">
        <v>4</v>
      </c>
      <c r="AF394" s="28">
        <v>3</v>
      </c>
      <c r="AG394" s="28">
        <v>3</v>
      </c>
      <c r="AH394" s="29" t="s">
        <v>2162</v>
      </c>
      <c r="AI394" s="36">
        <f>if(or(and(K394&lt;32, J394&lt;2), O394=1, P394=1, Q394=1, R394=1, S394=1, T394=1, U394=1, and(W394&lt;&gt;"", W394&lt;&gt;"Oxygen", W394&lt;&gt;"LowFlow")), "Intensive", "Intermediate")</f>
      </c>
      <c r="AJ394" s="37">
        <f>if(or(left(AH394, 1)="X", left(AH394, 1)="Y", left(AH394, 3)="J8M"), "CUSM", "No Match")</f>
      </c>
      <c r="AK394" s="37">
        <f>if(and(or(O394=3, P394=1, Q394=1, T394=1), AJ394="no Match"), "CUSM, CHU SJ, CHUQ", "")</f>
      </c>
      <c r="AL394" s="37">
        <f>IF(AND(O395=2, ISBLANK(P395), ISBLANK(Q395), ISBLANK(R395), ISBLANK(S395), ISBLANK(T395)), "CUSM, CHU SJ, CHUS, CHUQ", "")</f>
      </c>
      <c r="AM394" s="37">
        <f>if(and(AJ394="no match", AK394="", AL394="", K394&lt;26), "CUSM, CHU SJ, HGJ, CHUQ, CHUS", "")</f>
      </c>
      <c r="AN394" s="37">
        <f>if(and(AJ394="no match", AK394="", AL394="", K394&gt;26), "CUSM, CHU SJ, HGJ, CHUQ, CHUS, HMR", "")</f>
      </c>
    </row>
    <row x14ac:dyDescent="0.25" r="395" customHeight="1" ht="17.25">
      <c r="A395" s="27" t="s">
        <v>2163</v>
      </c>
      <c r="B395" s="28">
        <v>2</v>
      </c>
      <c r="C395" s="35">
        <v>731</v>
      </c>
      <c r="D395" s="29" t="s">
        <v>103</v>
      </c>
      <c r="E395" s="30" t="s">
        <v>54</v>
      </c>
      <c r="F395" s="31">
        <v>44404</v>
      </c>
      <c r="G395" s="32">
        <v>4.6875</v>
      </c>
      <c r="H395" s="31">
        <v>44400</v>
      </c>
      <c r="I395" s="32">
        <v>4.270138888888889</v>
      </c>
      <c r="J395" s="33">
        <f>F395-H395</f>
      </c>
      <c r="K395" s="28">
        <v>39</v>
      </c>
      <c r="L395" s="28">
        <v>5</v>
      </c>
      <c r="M395" s="28">
        <v>2</v>
      </c>
      <c r="N395" s="35">
        <v>1</v>
      </c>
      <c r="O395" s="34"/>
      <c r="P395" s="35">
        <v>1</v>
      </c>
      <c r="Q395" s="34"/>
      <c r="R395" s="34"/>
      <c r="S395" s="34"/>
      <c r="T395" s="34"/>
      <c r="U395" s="34"/>
      <c r="V395" s="34"/>
      <c r="W395" s="29" t="s">
        <v>106</v>
      </c>
      <c r="X395" s="28">
        <v>24</v>
      </c>
      <c r="Y395" s="28">
        <v>1</v>
      </c>
      <c r="Z395" s="28">
        <v>1</v>
      </c>
      <c r="AA395" s="28">
        <v>2</v>
      </c>
      <c r="AB395" s="28">
        <v>1</v>
      </c>
      <c r="AC395" s="28">
        <v>1</v>
      </c>
      <c r="AD395" s="28">
        <v>2</v>
      </c>
      <c r="AE395" s="28">
        <v>4</v>
      </c>
      <c r="AF395" s="28">
        <v>2</v>
      </c>
      <c r="AG395" s="28">
        <v>2</v>
      </c>
      <c r="AH395" s="29"/>
      <c r="AI395" s="36">
        <f>if(or(and(K395&lt;32, J395&lt;2), O395=1, P395=1, Q395=1, R395=1, S395=1, T395=1, U395=1, and(W395&lt;&gt;"", W395&lt;&gt;"Oxygen", W395&lt;&gt;"LowFlow")), "Intensive", "Intermediate")</f>
      </c>
      <c r="AJ395" s="37">
        <f>if(or(left(AH395, 1)="X", left(AH395, 1)="Y", left(AH395, 3)="J9M"), "CUSM", "No Match")</f>
      </c>
      <c r="AK395" s="37">
        <f>if(and(or(O395=3, P395=1, Q395=1, T395=1), AJ395="no Match"), "CUSM, CHU SJ, CHUQ", "")</f>
      </c>
      <c r="AL395" s="37">
        <f>IF(AND(O396=2, ISBLANK(P396), ISBLANK(Q396), ISBLANK(R396), ISBLANK(S396), ISBLANK(T396)), "CUSM, CHU SJ, CHUS, CHUQ", "")</f>
      </c>
      <c r="AM395" s="37">
        <f>if(and(AJ395="no match", AK395="", AL395="", K395&lt;26), "CUSM, CHU SJ, HGJ, CHUQ, CHUS", "")</f>
      </c>
      <c r="AN395" s="37">
        <f>if(and(AJ395="no match", AK395="", AL395="", K395&gt;26), "CUSM, CHU SJ, HGJ, CHUQ, CHUS, HMR", "")</f>
      </c>
    </row>
    <row x14ac:dyDescent="0.25" r="396" customHeight="1" ht="17.25">
      <c r="A396" s="27" t="s">
        <v>2164</v>
      </c>
      <c r="B396" s="28">
        <v>2</v>
      </c>
      <c r="C396" s="28">
        <v>817</v>
      </c>
      <c r="D396" s="29" t="s">
        <v>163</v>
      </c>
      <c r="E396" s="30" t="s">
        <v>50</v>
      </c>
      <c r="F396" s="31">
        <v>44404</v>
      </c>
      <c r="G396" s="32">
        <v>4.854166666666666</v>
      </c>
      <c r="H396" s="31">
        <v>44404</v>
      </c>
      <c r="I396" s="32">
        <v>4.6090277777777775</v>
      </c>
      <c r="J396" s="33">
        <f>F396-H396</f>
      </c>
      <c r="K396" s="28">
        <v>36</v>
      </c>
      <c r="L396" s="28">
        <v>4</v>
      </c>
      <c r="M396" s="28">
        <v>1</v>
      </c>
      <c r="N396" s="35">
        <v>1</v>
      </c>
      <c r="O396" s="35">
        <v>2</v>
      </c>
      <c r="P396" s="35">
        <v>1</v>
      </c>
      <c r="Q396" s="34"/>
      <c r="R396" s="34"/>
      <c r="S396" s="34"/>
      <c r="T396" s="34"/>
      <c r="U396" s="34"/>
      <c r="V396" s="34"/>
      <c r="W396" s="29" t="s">
        <v>74</v>
      </c>
      <c r="X396" s="28">
        <v>22</v>
      </c>
      <c r="Y396" s="28">
        <v>1</v>
      </c>
      <c r="Z396" s="28">
        <v>2</v>
      </c>
      <c r="AA396" s="28">
        <v>3</v>
      </c>
      <c r="AB396" s="28">
        <v>1</v>
      </c>
      <c r="AC396" s="28">
        <v>2</v>
      </c>
      <c r="AD396" s="28">
        <v>2</v>
      </c>
      <c r="AE396" s="28">
        <v>4</v>
      </c>
      <c r="AF396" s="28">
        <v>3</v>
      </c>
      <c r="AG396" s="28">
        <v>2</v>
      </c>
      <c r="AH396" s="29" t="s">
        <v>2165</v>
      </c>
      <c r="AI396" s="36">
        <f>if(or(and(K396&lt;32, J396&lt;2), O396=1, P396=1, Q396=1, R396=1, S396=1, T396=1, U396=1, and(W396&lt;&gt;"", W396&lt;&gt;"Oxygen", W396&lt;&gt;"LowFlow")), "Intensive", "Intermediate")</f>
      </c>
      <c r="AJ396" s="37">
        <f>if(or(left(AH396, 1)="X", left(AH396, 1)="Y", left(AH396, 3)="J10M"), "CUSM", "No Match")</f>
      </c>
      <c r="AK396" s="37">
        <f>if(and(or(O396=3, P396=1, Q396=1, T396=1), AJ396="no Match"), "CUSM, CHU SJ, CHUQ", "")</f>
      </c>
      <c r="AL396" s="37">
        <f>IF(AND(O397=2, ISBLANK(P397), ISBLANK(Q397), ISBLANK(R397), ISBLANK(S397), ISBLANK(T397)), "CUSM, CHU SJ, CHUS, CHUQ", "")</f>
      </c>
      <c r="AM396" s="37">
        <f>if(and(AJ396="no match", AK396="", AL396="", K396&lt;26), "CUSM, CHU SJ, HGJ, CHUQ, CHUS", "")</f>
      </c>
      <c r="AN396" s="37">
        <f>if(and(AJ396="no match", AK396="", AL396="", K396&gt;26), "CUSM, CHU SJ, HGJ, CHUQ, CHUS, HMR", "")</f>
      </c>
    </row>
    <row x14ac:dyDescent="0.25" r="397" customHeight="1" ht="17.25">
      <c r="A397" s="27" t="s">
        <v>2166</v>
      </c>
      <c r="B397" s="28">
        <v>2</v>
      </c>
      <c r="C397" s="35">
        <v>833</v>
      </c>
      <c r="D397" s="29" t="s">
        <v>376</v>
      </c>
      <c r="E397" s="30" t="s">
        <v>50</v>
      </c>
      <c r="F397" s="31">
        <v>44407</v>
      </c>
      <c r="G397" s="32">
        <v>4.756944444444445</v>
      </c>
      <c r="H397" s="31">
        <v>44403</v>
      </c>
      <c r="I397" s="32">
        <v>4.114583333333334</v>
      </c>
      <c r="J397" s="33">
        <f>F397-H397</f>
      </c>
      <c r="K397" s="28">
        <v>36</v>
      </c>
      <c r="L397" s="28">
        <v>3</v>
      </c>
      <c r="M397" s="28">
        <v>1</v>
      </c>
      <c r="N397" s="35">
        <v>1</v>
      </c>
      <c r="O397" s="34"/>
      <c r="P397" s="35">
        <v>1</v>
      </c>
      <c r="Q397" s="34"/>
      <c r="R397" s="34"/>
      <c r="S397" s="34"/>
      <c r="T397" s="34"/>
      <c r="U397" s="34"/>
      <c r="V397" s="34"/>
      <c r="W397" s="29"/>
      <c r="X397" s="28">
        <v>31</v>
      </c>
      <c r="Y397" s="28">
        <v>1</v>
      </c>
      <c r="Z397" s="28">
        <v>2</v>
      </c>
      <c r="AA397" s="28">
        <v>3</v>
      </c>
      <c r="AB397" s="28">
        <v>2</v>
      </c>
      <c r="AC397" s="28">
        <v>2</v>
      </c>
      <c r="AD397" s="28">
        <v>1</v>
      </c>
      <c r="AE397" s="28">
        <v>4</v>
      </c>
      <c r="AF397" s="28">
        <v>3</v>
      </c>
      <c r="AG397" s="28">
        <v>2</v>
      </c>
      <c r="AH397" s="29" t="s">
        <v>2167</v>
      </c>
      <c r="AI397" s="36">
        <f>if(or(and(K397&lt;32, J397&lt;2), O397=1, P397=1, Q397=1, R397=1, S397=1, T397=1, U397=1, and(W397&lt;&gt;"", W397&lt;&gt;"Oxygen", W397&lt;&gt;"LowFlow")), "Intensive", "Intermediate")</f>
      </c>
      <c r="AJ397" s="37">
        <f>if(or(left(AH397, 1)="X", left(AH397, 1)="Y", left(AH397, 3)="J11M"), "CUSM", "No Match")</f>
      </c>
      <c r="AK397" s="37">
        <f>if(and(or(O397=3, P397=1, Q397=1, T397=1), AJ397="no Match"), "CUSM, CHU SJ, CHUQ", "")</f>
      </c>
      <c r="AL397" s="37">
        <f>IF(AND(O398=2, ISBLANK(P398), ISBLANK(Q398), ISBLANK(R398), ISBLANK(S398), ISBLANK(T398)), "CUSM, CHU SJ, CHUS, CHUQ", "")</f>
      </c>
      <c r="AM397" s="37">
        <f>if(and(AJ397="no match", AK397="", AL397="", K397&lt;26), "CUSM, CHU SJ, HGJ, CHUQ, CHUS", "")</f>
      </c>
      <c r="AN397" s="37">
        <f>if(and(AJ397="no match", AK397="", AL397="", K397&gt;26), "CUSM, CHU SJ, HGJ, CHUQ, CHUS, HMR", "")</f>
      </c>
    </row>
    <row x14ac:dyDescent="0.25" r="398" customHeight="1" ht="17.25">
      <c r="A398" s="27" t="s">
        <v>2168</v>
      </c>
      <c r="B398" s="28">
        <v>2</v>
      </c>
      <c r="C398" s="28">
        <v>820</v>
      </c>
      <c r="D398" s="29" t="s">
        <v>69</v>
      </c>
      <c r="E398" s="30" t="s">
        <v>50</v>
      </c>
      <c r="F398" s="31">
        <v>44407</v>
      </c>
      <c r="G398" s="32">
        <v>4.305555555555555</v>
      </c>
      <c r="H398" s="31">
        <v>44406</v>
      </c>
      <c r="I398" s="32">
        <v>4.350694444444445</v>
      </c>
      <c r="J398" s="33">
        <f>F398-H398</f>
      </c>
      <c r="K398" s="28">
        <v>38</v>
      </c>
      <c r="L398" s="28">
        <v>1</v>
      </c>
      <c r="M398" s="28">
        <v>1</v>
      </c>
      <c r="N398" s="35">
        <v>1</v>
      </c>
      <c r="O398" s="34"/>
      <c r="P398" s="35">
        <v>1</v>
      </c>
      <c r="Q398" s="34"/>
      <c r="R398" s="34"/>
      <c r="S398" s="34"/>
      <c r="T398" s="34"/>
      <c r="U398" s="34"/>
      <c r="V398" s="34"/>
      <c r="W398" s="29" t="s">
        <v>74</v>
      </c>
      <c r="X398" s="28">
        <v>35</v>
      </c>
      <c r="Y398" s="28">
        <v>1</v>
      </c>
      <c r="Z398" s="28">
        <v>1</v>
      </c>
      <c r="AA398" s="28">
        <v>2</v>
      </c>
      <c r="AB398" s="28">
        <v>1</v>
      </c>
      <c r="AC398" s="28">
        <v>2</v>
      </c>
      <c r="AD398" s="28">
        <v>1</v>
      </c>
      <c r="AE398" s="28">
        <v>4</v>
      </c>
      <c r="AF398" s="28">
        <v>3</v>
      </c>
      <c r="AG398" s="28">
        <v>2</v>
      </c>
      <c r="AH398" s="29" t="s">
        <v>2169</v>
      </c>
      <c r="AI398" s="36">
        <f>if(or(and(K398&lt;32, J398&lt;2), O398=1, P398=1, Q398=1, R398=1, S398=1, T398=1, U398=1, and(W398&lt;&gt;"", W398&lt;&gt;"Oxygen", W398&lt;&gt;"LowFlow")), "Intensive", "Intermediate")</f>
      </c>
      <c r="AJ398" s="37">
        <f>if(or(left(AH398, 1)="X", left(AH398, 1)="Y", left(AH398, 3)="J12M"), "CUSM", "No Match")</f>
      </c>
      <c r="AK398" s="37">
        <f>if(and(or(O398=3, P398=1, Q398=1, T398=1), AJ398="no Match"), "CUSM, CHU SJ, CHUQ", "")</f>
      </c>
      <c r="AL398" s="37">
        <f>IF(AND(O399=2, ISBLANK(P399), ISBLANK(Q399), ISBLANK(R399), ISBLANK(S399), ISBLANK(T399)), "CUSM, CHU SJ, CHUS, CHUQ", "")</f>
      </c>
      <c r="AM398" s="37">
        <f>if(and(AJ398="no match", AK398="", AL398="", K398&lt;26), "CUSM, CHU SJ, HGJ, CHUQ, CHUS", "")</f>
      </c>
      <c r="AN398" s="37">
        <f>if(and(AJ398="no match", AK398="", AL398="", K398&gt;26), "CUSM, CHU SJ, HGJ, CHUQ, CHUS, HMR", "")</f>
      </c>
    </row>
    <row x14ac:dyDescent="0.25" r="399" customHeight="1" ht="17.25">
      <c r="A399" s="27" t="s">
        <v>2170</v>
      </c>
      <c r="B399" s="28">
        <v>2</v>
      </c>
      <c r="C399" s="35">
        <v>825</v>
      </c>
      <c r="D399" s="29" t="s">
        <v>77</v>
      </c>
      <c r="E399" s="30" t="s">
        <v>54</v>
      </c>
      <c r="F399" s="31">
        <v>44408</v>
      </c>
      <c r="G399" s="32">
        <v>4.871527777777778</v>
      </c>
      <c r="H399" s="31">
        <v>44407</v>
      </c>
      <c r="I399" s="32">
        <v>4.370833333333334</v>
      </c>
      <c r="J399" s="33">
        <f>F399-H399</f>
      </c>
      <c r="K399" s="28">
        <v>38</v>
      </c>
      <c r="L399" s="28">
        <v>3</v>
      </c>
      <c r="M399" s="28">
        <v>1</v>
      </c>
      <c r="N399" s="28">
        <v>1</v>
      </c>
      <c r="O399" s="34"/>
      <c r="P399" s="38"/>
      <c r="Q399" s="38"/>
      <c r="R399" s="34"/>
      <c r="S399" s="34"/>
      <c r="T399" s="34"/>
      <c r="U399" s="34"/>
      <c r="V399" s="34"/>
      <c r="W399" s="29"/>
      <c r="X399" s="28">
        <v>29</v>
      </c>
      <c r="Y399" s="28">
        <v>1</v>
      </c>
      <c r="Z399" s="28">
        <v>1</v>
      </c>
      <c r="AA399" s="28">
        <v>2</v>
      </c>
      <c r="AB399" s="28">
        <v>1</v>
      </c>
      <c r="AC399" s="28">
        <v>2</v>
      </c>
      <c r="AD399" s="28">
        <v>2</v>
      </c>
      <c r="AE399" s="28">
        <v>4</v>
      </c>
      <c r="AF399" s="35">
        <v>2</v>
      </c>
      <c r="AG399" s="28">
        <v>2</v>
      </c>
      <c r="AH399" s="29" t="s">
        <v>807</v>
      </c>
      <c r="AI399" s="36">
        <f>if(or(and(K399&lt;32, J399&lt;2), O399=1, P399=1, Q399=1, R399=1, S399=1, T399=1, U399=1, and(W399&lt;&gt;"", W399&lt;&gt;"Oxygen", W399&lt;&gt;"LowFlow")), "Intensive", "Intermediate")</f>
      </c>
      <c r="AJ399" s="37">
        <f>if(or(left(AH399, 1)="X", left(AH399, 1)="Y", left(AH399, 3)="J13M"), "CUSM", "No Match")</f>
      </c>
      <c r="AK399" s="37">
        <f>if(and(or(O399=3, P399=1, Q399=1, T399=1), AJ399="no Match"), "CUSM, CHU SJ, CHUQ", "")</f>
      </c>
      <c r="AL399" s="37">
        <f>IF(AND(O400=2, ISBLANK(P400), ISBLANK(Q400), ISBLANK(R400), ISBLANK(S400), ISBLANK(T400)), "CUSM, CHU SJ, CHUS, CHUQ", "")</f>
      </c>
      <c r="AM399" s="37">
        <f>if(and(AJ399="no match", AK399="", AL399="", K399&lt;26), "CUSM, CHU SJ, HGJ, CHUQ, CHUS", "")</f>
      </c>
      <c r="AN399" s="37">
        <f>if(and(AJ399="no match", AK399="", AL399="", K399&gt;26), "CUSM, CHU SJ, HGJ, CHUQ, CHUS, HMR", "")</f>
      </c>
    </row>
    <row x14ac:dyDescent="0.25" r="400" customHeight="1" ht="17.25">
      <c r="A400" s="27" t="s">
        <v>2171</v>
      </c>
      <c r="B400" s="28">
        <v>2</v>
      </c>
      <c r="C400" s="28">
        <v>779</v>
      </c>
      <c r="D400" s="29" t="s">
        <v>136</v>
      </c>
      <c r="E400" s="30" t="s">
        <v>50</v>
      </c>
      <c r="F400" s="31">
        <v>44408</v>
      </c>
      <c r="G400" s="32">
        <v>4.690972222222222</v>
      </c>
      <c r="H400" s="31">
        <v>44407</v>
      </c>
      <c r="I400" s="32">
        <v>4.045138888888889</v>
      </c>
      <c r="J400" s="33">
        <f>F400-H400</f>
      </c>
      <c r="K400" s="28">
        <v>39</v>
      </c>
      <c r="L400" s="28">
        <v>4</v>
      </c>
      <c r="M400" s="28">
        <v>1</v>
      </c>
      <c r="N400" s="34"/>
      <c r="O400" s="34"/>
      <c r="P400" s="34"/>
      <c r="Q400" s="34"/>
      <c r="R400" s="34"/>
      <c r="S400" s="34"/>
      <c r="T400" s="34"/>
      <c r="U400" s="34"/>
      <c r="V400" s="34"/>
      <c r="W400" s="29"/>
      <c r="X400" s="28">
        <v>28</v>
      </c>
      <c r="Y400" s="28">
        <v>1</v>
      </c>
      <c r="Z400" s="28">
        <v>1</v>
      </c>
      <c r="AA400" s="28">
        <v>1</v>
      </c>
      <c r="AB400" s="28">
        <v>1</v>
      </c>
      <c r="AC400" s="28">
        <v>2</v>
      </c>
      <c r="AD400" s="28">
        <v>2</v>
      </c>
      <c r="AE400" s="28">
        <v>4</v>
      </c>
      <c r="AF400" s="28">
        <v>3</v>
      </c>
      <c r="AG400" s="28">
        <v>2</v>
      </c>
      <c r="AH400" s="29" t="s">
        <v>2172</v>
      </c>
      <c r="AI400" s="36">
        <f>if(or(and(K400&lt;32, J400&lt;2), O400=1, P400=1, Q400=1, R400=1, S400=1, T400=1, U400=1, and(W400&lt;&gt;"", W400&lt;&gt;"Oxygen", W400&lt;&gt;"LowFlow")), "Intensive", "Intermediate")</f>
      </c>
      <c r="AJ400" s="37">
        <f>if(or(left(AH400, 1)="X", left(AH400, 1)="Y", left(AH400, 3)="J14M"), "CUSM", "No Match")</f>
      </c>
      <c r="AK400" s="37">
        <f>if(and(or(O400=3, P400=1, Q400=1, T400=1), AJ400="no Match"), "CUSM, CHU SJ, CHUQ", "")</f>
      </c>
      <c r="AL400" s="37">
        <f>IF(AND(O401=2, ISBLANK(P401), ISBLANK(Q401), ISBLANK(R401), ISBLANK(S401), ISBLANK(T401)), "CUSM, CHU SJ, CHUS, CHUQ", "")</f>
      </c>
      <c r="AM400" s="37">
        <f>if(and(AJ400="no match", AK400="", AL400="", K400&lt;26), "CUSM, CHU SJ, HGJ, CHUQ, CHUS", "")</f>
      </c>
      <c r="AN400" s="37">
        <f>if(and(AJ400="no match", AK400="", AL400="", K400&gt;26), "CUSM, CHU SJ, HGJ, CHUQ, CHUS, HMR", "")</f>
      </c>
    </row>
    <row x14ac:dyDescent="0.25" r="401" customHeight="1" ht="17.25">
      <c r="A401" s="27" t="s">
        <v>2173</v>
      </c>
      <c r="B401" s="28">
        <v>2</v>
      </c>
      <c r="C401" s="35">
        <v>822</v>
      </c>
      <c r="D401" s="29" t="s">
        <v>167</v>
      </c>
      <c r="E401" s="30" t="s">
        <v>50</v>
      </c>
      <c r="F401" s="31">
        <v>44408</v>
      </c>
      <c r="G401" s="32">
        <v>4.861111111111111</v>
      </c>
      <c r="H401" s="31">
        <v>44408</v>
      </c>
      <c r="I401" s="32">
        <v>4.661111111111111</v>
      </c>
      <c r="J401" s="33">
        <f>F401-H401</f>
      </c>
      <c r="K401" s="28">
        <v>39</v>
      </c>
      <c r="L401" s="28">
        <v>6</v>
      </c>
      <c r="M401" s="28">
        <v>2</v>
      </c>
      <c r="N401" s="35">
        <v>1</v>
      </c>
      <c r="O401" s="34"/>
      <c r="P401" s="35">
        <v>1</v>
      </c>
      <c r="Q401" s="34"/>
      <c r="R401" s="34"/>
      <c r="S401" s="34"/>
      <c r="T401" s="35">
        <v>1</v>
      </c>
      <c r="U401" s="34"/>
      <c r="V401" s="35">
        <v>1</v>
      </c>
      <c r="W401" s="29" t="s">
        <v>74</v>
      </c>
      <c r="X401" s="28">
        <v>26</v>
      </c>
      <c r="Y401" s="28">
        <v>1</v>
      </c>
      <c r="Z401" s="28">
        <v>1</v>
      </c>
      <c r="AA401" s="28">
        <v>3</v>
      </c>
      <c r="AB401" s="28">
        <v>1</v>
      </c>
      <c r="AC401" s="28">
        <v>2</v>
      </c>
      <c r="AD401" s="28">
        <v>1</v>
      </c>
      <c r="AE401" s="28">
        <v>4</v>
      </c>
      <c r="AF401" s="28">
        <v>2</v>
      </c>
      <c r="AG401" s="28">
        <v>2</v>
      </c>
      <c r="AH401" s="29" t="s">
        <v>2174</v>
      </c>
      <c r="AI401" s="36">
        <f>if(or(and(K401&lt;32, J401&lt;2), O401=1, P401=1, Q401=1, R401=1, S401=1, T401=1, U401=1, and(W401&lt;&gt;"", W401&lt;&gt;"Oxygen", W401&lt;&gt;"LowFlow")), "Intensive", "Intermediate")</f>
      </c>
      <c r="AJ401" s="37">
        <f>if(or(left(AH401, 1)="X", left(AH401, 1)="Y", left(AH401, 3)="J15M"), "CUSM", "No Match")</f>
      </c>
      <c r="AK401" s="37">
        <f>if(and(or(O401=3, P401=1, Q401=1, T401=1), AJ401="no Match"), "CUSM, CHU SJ, CHUQ", "")</f>
      </c>
      <c r="AL401" s="37">
        <f>IF(AND(O402=2, ISBLANK(P402), ISBLANK(Q402), ISBLANK(R402), ISBLANK(S402), ISBLANK(T402)), "CUSM, CHU SJ, CHUS, CHUQ", "")</f>
      </c>
      <c r="AM401" s="37">
        <f>if(and(AJ401="no match", AK401="", AL401="", K401&lt;26), "CUSM, CHU SJ, HGJ, CHUQ, CHUS", "")</f>
      </c>
      <c r="AN401" s="37">
        <f>if(and(AJ401="no match", AK401="", AL401="", K401&gt;26), "CUSM, CHU SJ, HGJ, CHUQ, CHUS, HMR", "")</f>
      </c>
    </row>
    <row x14ac:dyDescent="0.25" r="402" customHeight="1" ht="17.25">
      <c r="A402" s="27" t="s">
        <v>2175</v>
      </c>
      <c r="B402" s="28">
        <v>2</v>
      </c>
      <c r="C402" s="28">
        <v>825</v>
      </c>
      <c r="D402" s="29" t="s">
        <v>77</v>
      </c>
      <c r="E402" s="30" t="s">
        <v>78</v>
      </c>
      <c r="F402" s="31">
        <v>44409</v>
      </c>
      <c r="G402" s="32">
        <v>4.885416666666666</v>
      </c>
      <c r="H402" s="31">
        <v>44407</v>
      </c>
      <c r="I402" s="32">
        <v>4.539583333333333</v>
      </c>
      <c r="J402" s="33">
        <f>F402-H402</f>
      </c>
      <c r="K402" s="28">
        <v>35</v>
      </c>
      <c r="L402" s="28">
        <v>0</v>
      </c>
      <c r="M402" s="28">
        <v>1</v>
      </c>
      <c r="N402" s="34"/>
      <c r="O402" s="34"/>
      <c r="P402" s="34"/>
      <c r="Q402" s="34"/>
      <c r="R402" s="34"/>
      <c r="S402" s="34"/>
      <c r="T402" s="34"/>
      <c r="U402" s="34"/>
      <c r="V402" s="34"/>
      <c r="W402" s="29"/>
      <c r="X402" s="28">
        <v>35</v>
      </c>
      <c r="Y402" s="28">
        <v>1</v>
      </c>
      <c r="Z402" s="28">
        <v>2</v>
      </c>
      <c r="AA402" s="28">
        <v>1</v>
      </c>
      <c r="AB402" s="28">
        <v>1</v>
      </c>
      <c r="AC402" s="28">
        <v>2</v>
      </c>
      <c r="AD402" s="28">
        <v>2</v>
      </c>
      <c r="AE402" s="28">
        <v>2</v>
      </c>
      <c r="AF402" s="28">
        <v>2</v>
      </c>
      <c r="AG402" s="28">
        <v>2</v>
      </c>
      <c r="AH402" s="29" t="s">
        <v>2176</v>
      </c>
      <c r="AI402" s="36">
        <f>if(or(and(K402&lt;32, J402&lt;2), O402=1, P402=1, Q402=1, R402=1, S402=1, T402=1, U402=1, and(W402&lt;&gt;"", W402&lt;&gt;"Oxygen", W402&lt;&gt;"LowFlow")), "Intensive", "Intermediate")</f>
      </c>
      <c r="AJ402" s="37">
        <f>if(or(left(AH402, 1)="X", left(AH402, 1)="Y", left(AH402, 3)="J16M"), "CUSM", "No Match")</f>
      </c>
      <c r="AK402" s="37">
        <f>if(and(or(O402=3, P402=1, Q402=1, T402=1), AJ402="no Match"), "CUSM, CHU SJ, CHUQ", "")</f>
      </c>
      <c r="AL402" s="37">
        <f>IF(AND(O403=2, ISBLANK(P403), ISBLANK(Q403), ISBLANK(R403), ISBLANK(S403), ISBLANK(T403)), "CUSM, CHU SJ, CHUS, CHUQ", "")</f>
      </c>
      <c r="AM402" s="37">
        <f>if(and(AJ402="no match", AK402="", AL402="", K402&lt;26), "CUSM, CHU SJ, HGJ, CHUQ, CHUS", "")</f>
      </c>
      <c r="AN402" s="37">
        <f>if(and(AJ402="no match", AK402="", AL402="", K402&gt;26), "CUSM, CHU SJ, HGJ, CHUQ, CHUS, HMR", "")</f>
      </c>
    </row>
    <row x14ac:dyDescent="0.25" r="403" customHeight="1" ht="17.25">
      <c r="A403" s="27" t="s">
        <v>2177</v>
      </c>
      <c r="B403" s="28">
        <v>2</v>
      </c>
      <c r="C403" s="28">
        <v>796</v>
      </c>
      <c r="D403" s="29" t="s">
        <v>63</v>
      </c>
      <c r="E403" s="30" t="s">
        <v>50</v>
      </c>
      <c r="F403" s="31">
        <v>44410</v>
      </c>
      <c r="G403" s="32">
        <v>4.603472222222223</v>
      </c>
      <c r="H403" s="31">
        <v>44409</v>
      </c>
      <c r="I403" s="32">
        <v>4.201388888888889</v>
      </c>
      <c r="J403" s="33">
        <f>F403-H403</f>
      </c>
      <c r="K403" s="28">
        <v>38</v>
      </c>
      <c r="L403" s="28">
        <v>4</v>
      </c>
      <c r="M403" s="28">
        <v>1</v>
      </c>
      <c r="N403" s="34"/>
      <c r="O403" s="34"/>
      <c r="P403" s="34"/>
      <c r="Q403" s="34"/>
      <c r="R403" s="34"/>
      <c r="S403" s="34"/>
      <c r="T403" s="34"/>
      <c r="U403" s="34"/>
      <c r="V403" s="34"/>
      <c r="W403" s="29"/>
      <c r="X403" s="28">
        <v>27</v>
      </c>
      <c r="Y403" s="28">
        <v>1</v>
      </c>
      <c r="Z403" s="28">
        <v>1</v>
      </c>
      <c r="AA403" s="28">
        <v>1</v>
      </c>
      <c r="AB403" s="28">
        <v>1</v>
      </c>
      <c r="AC403" s="28">
        <v>2</v>
      </c>
      <c r="AD403" s="28">
        <v>2</v>
      </c>
      <c r="AE403" s="28">
        <v>4</v>
      </c>
      <c r="AF403" s="28">
        <v>2</v>
      </c>
      <c r="AG403" s="28">
        <v>2</v>
      </c>
      <c r="AH403" s="29" t="s">
        <v>1052</v>
      </c>
      <c r="AI403" s="36">
        <f>if(or(and(K403&lt;32, J403&lt;2), O403=1, P403=1, Q403=1, R403=1, S403=1, T403=1, U403=1, and(W403&lt;&gt;"", W403&lt;&gt;"Oxygen", W403&lt;&gt;"LowFlow")), "Intensive", "Intermediate")</f>
      </c>
      <c r="AJ403" s="37">
        <f>if(or(left(AH403, 1)="X", left(AH403, 1)="Y", left(AH403, 3)="J17M"), "CUSM", "No Match")</f>
      </c>
      <c r="AK403" s="37">
        <f>if(and(or(O403=3, P403=1, Q403=1, T403=1), AJ403="no Match"), "CUSM, CHU SJ, CHUQ", "")</f>
      </c>
      <c r="AL403" s="37">
        <f>IF(AND(O404=2, ISBLANK(P404), ISBLANK(Q404), ISBLANK(R404), ISBLANK(S404), ISBLANK(T404)), "CUSM, CHU SJ, CHUS, CHUQ", "")</f>
      </c>
      <c r="AM403" s="37">
        <f>if(and(AJ403="no match", AK403="", AL403="", K403&lt;26), "CUSM, CHU SJ, HGJ, CHUQ, CHUS", "")</f>
      </c>
      <c r="AN403" s="37">
        <f>if(and(AJ403="no match", AK403="", AL403="", K403&gt;26), "CUSM, CHU SJ, HGJ, CHUQ, CHUS, HMR", "")</f>
      </c>
    </row>
    <row x14ac:dyDescent="0.25" r="404" customHeight="1" ht="17.25">
      <c r="A404" s="27" t="s">
        <v>2178</v>
      </c>
      <c r="B404" s="28">
        <v>2</v>
      </c>
      <c r="C404" s="35">
        <v>825</v>
      </c>
      <c r="D404" s="29" t="s">
        <v>77</v>
      </c>
      <c r="E404" s="30" t="s">
        <v>54</v>
      </c>
      <c r="F404" s="31">
        <v>44411</v>
      </c>
      <c r="G404" s="32">
        <v>4.114583333333334</v>
      </c>
      <c r="H404" s="31">
        <v>44407</v>
      </c>
      <c r="I404" s="32">
        <v>4.177083333333334</v>
      </c>
      <c r="J404" s="33">
        <f>F404-H404</f>
      </c>
      <c r="K404" s="28">
        <v>41</v>
      </c>
      <c r="L404" s="28">
        <v>2</v>
      </c>
      <c r="M404" s="28">
        <v>1</v>
      </c>
      <c r="N404" s="34"/>
      <c r="O404" s="34"/>
      <c r="P404" s="34"/>
      <c r="Q404" s="34"/>
      <c r="R404" s="34"/>
      <c r="S404" s="34"/>
      <c r="T404" s="34"/>
      <c r="U404" s="34"/>
      <c r="V404" s="34"/>
      <c r="W404" s="29"/>
      <c r="X404" s="28">
        <v>28</v>
      </c>
      <c r="Y404" s="28">
        <v>1</v>
      </c>
      <c r="Z404" s="28">
        <v>2</v>
      </c>
      <c r="AA404" s="28">
        <v>2</v>
      </c>
      <c r="AB404" s="28">
        <v>1</v>
      </c>
      <c r="AC404" s="28">
        <v>2</v>
      </c>
      <c r="AD404" s="28">
        <v>2</v>
      </c>
      <c r="AE404" s="28">
        <v>4</v>
      </c>
      <c r="AF404" s="28">
        <v>2</v>
      </c>
      <c r="AG404" s="28">
        <v>2</v>
      </c>
      <c r="AH404" s="29" t="s">
        <v>2179</v>
      </c>
      <c r="AI404" s="36">
        <f>if(or(and(K404&lt;32, J404&lt;2), O404=1, P404=1, Q404=1, R404=1, S404=1, T404=1, U404=1, and(W404&lt;&gt;"", W404&lt;&gt;"Oxygen", W404&lt;&gt;"LowFlow")), "Intensive", "Intermediate")</f>
      </c>
      <c r="AJ404" s="37">
        <f>if(or(left(AH404, 1)="X", left(AH404, 1)="Y", left(AH404, 3)="J18M"), "CUSM", "No Match")</f>
      </c>
      <c r="AK404" s="37">
        <f>if(and(or(O404=3, P404=1, Q404=1, T404=1), AJ404="no Match"), "CUSM, CHU SJ, CHUQ", "")</f>
      </c>
      <c r="AL404" s="37">
        <f>IF(AND(O405=2, ISBLANK(P405), ISBLANK(Q405), ISBLANK(R405), ISBLANK(S405), ISBLANK(T405)), "CUSM, CHU SJ, CHUS, CHUQ", "")</f>
      </c>
      <c r="AM404" s="37">
        <f>if(and(AJ404="no match", AK404="", AL404="", K404&lt;26), "CUSM, CHU SJ, HGJ, CHUQ, CHUS", "")</f>
      </c>
      <c r="AN404" s="37">
        <f>if(and(AJ404="no match", AK404="", AL404="", K404&gt;26), "CUSM, CHU SJ, HGJ, CHUQ, CHUS, HMR", "")</f>
      </c>
    </row>
    <row x14ac:dyDescent="0.25" r="405" customHeight="1" ht="17.25">
      <c r="A405" s="27" t="s">
        <v>2180</v>
      </c>
      <c r="B405" s="28">
        <v>2</v>
      </c>
      <c r="C405" s="28">
        <v>836</v>
      </c>
      <c r="D405" s="29" t="s">
        <v>613</v>
      </c>
      <c r="E405" s="30" t="s">
        <v>78</v>
      </c>
      <c r="F405" s="31">
        <v>44411</v>
      </c>
      <c r="G405" s="32">
        <v>4.128472222222222</v>
      </c>
      <c r="H405" s="31">
        <v>44410</v>
      </c>
      <c r="I405" s="32">
        <v>4.851388888888889</v>
      </c>
      <c r="J405" s="33">
        <f>F405-H405</f>
      </c>
      <c r="K405" s="28">
        <v>30</v>
      </c>
      <c r="L405" s="28">
        <v>0</v>
      </c>
      <c r="M405" s="28">
        <v>1</v>
      </c>
      <c r="N405" s="34"/>
      <c r="O405" s="34"/>
      <c r="P405" s="34"/>
      <c r="Q405" s="34"/>
      <c r="R405" s="34"/>
      <c r="S405" s="34"/>
      <c r="T405" s="34"/>
      <c r="U405" s="34"/>
      <c r="V405" s="34"/>
      <c r="W405" s="29" t="s">
        <v>58</v>
      </c>
      <c r="X405" s="28">
        <v>15</v>
      </c>
      <c r="Y405" s="28">
        <v>1</v>
      </c>
      <c r="Z405" s="28">
        <v>1</v>
      </c>
      <c r="AA405" s="28">
        <v>3</v>
      </c>
      <c r="AB405" s="28">
        <v>4</v>
      </c>
      <c r="AC405" s="28">
        <v>2</v>
      </c>
      <c r="AD405" s="28">
        <v>2</v>
      </c>
      <c r="AE405" s="28">
        <v>4</v>
      </c>
      <c r="AF405" s="35">
        <v>3</v>
      </c>
      <c r="AG405" s="28">
        <v>2</v>
      </c>
      <c r="AH405" s="29" t="s">
        <v>85</v>
      </c>
      <c r="AI405" s="36">
        <f>if(or(and(K405&lt;32, J405&lt;2), O405=1, P405=1, Q405=1, R405=1, S405=1, T405=1, U405=1, and(W405&lt;&gt;"", W405&lt;&gt;"Oxygen", W405&lt;&gt;"LowFlow")), "Intensive", "Intermediate")</f>
      </c>
      <c r="AJ405" s="37">
        <f>if(or(left(AH405, 1)="X", left(AH405, 1)="Y", left(AH405, 3)="J19M"), "CUSM", "No Match")</f>
      </c>
      <c r="AK405" s="37">
        <f>if(and(or(O405=3, P405=1, Q405=1, T405=1), AJ405="no Match"), "CUSM, CHU SJ, CHUQ", "")</f>
      </c>
      <c r="AL405" s="37">
        <f>IF(AND(O406=2, ISBLANK(P406), ISBLANK(Q406), ISBLANK(R406), ISBLANK(S406), ISBLANK(T406)), "CUSM, CHU SJ, CHUS, CHUQ", "")</f>
      </c>
      <c r="AM405" s="37">
        <f>if(and(AJ405="no match", AK405="", AL405="", K405&lt;26), "CUSM, CHU SJ, HGJ, CHUQ, CHUS", "")</f>
      </c>
      <c r="AN405" s="37">
        <f>if(and(AJ405="no match", AK405="", AL405="", K405&gt;26), "CUSM, CHU SJ, HGJ, CHUQ, CHUS, HMR", "")</f>
      </c>
    </row>
    <row x14ac:dyDescent="0.25" r="406" customHeight="1" ht="17.25">
      <c r="A406" s="27" t="s">
        <v>2181</v>
      </c>
      <c r="B406" s="28">
        <v>2</v>
      </c>
      <c r="C406" s="28">
        <v>756</v>
      </c>
      <c r="D406" s="29" t="s">
        <v>66</v>
      </c>
      <c r="E406" s="30" t="s">
        <v>50</v>
      </c>
      <c r="F406" s="31">
        <v>44411</v>
      </c>
      <c r="G406" s="32">
        <v>4.458333333333334</v>
      </c>
      <c r="H406" s="31">
        <v>44406</v>
      </c>
      <c r="I406" s="32">
        <v>4.522222222222222</v>
      </c>
      <c r="J406" s="33">
        <f>F406-H406</f>
      </c>
      <c r="K406" s="28">
        <v>37</v>
      </c>
      <c r="L406" s="28">
        <v>3</v>
      </c>
      <c r="M406" s="28">
        <v>2</v>
      </c>
      <c r="N406" s="34"/>
      <c r="O406" s="34"/>
      <c r="P406" s="34"/>
      <c r="Q406" s="34"/>
      <c r="R406" s="34"/>
      <c r="S406" s="34"/>
      <c r="T406" s="38"/>
      <c r="U406" s="34"/>
      <c r="V406" s="34"/>
      <c r="W406" s="29"/>
      <c r="X406" s="28">
        <v>41</v>
      </c>
      <c r="Y406" s="28">
        <v>1</v>
      </c>
      <c r="Z406" s="28">
        <v>2</v>
      </c>
      <c r="AA406" s="28">
        <v>3</v>
      </c>
      <c r="AB406" s="28">
        <v>1</v>
      </c>
      <c r="AC406" s="28">
        <v>2</v>
      </c>
      <c r="AD406" s="28">
        <v>2</v>
      </c>
      <c r="AE406" s="28">
        <v>4</v>
      </c>
      <c r="AF406" s="28">
        <v>2</v>
      </c>
      <c r="AG406" s="28">
        <v>2</v>
      </c>
      <c r="AH406" s="29" t="s">
        <v>2182</v>
      </c>
      <c r="AI406" s="36">
        <f>if(or(and(K406&lt;32, J406&lt;2), O406=1, P406=1, Q406=1, R406=1, S406=1, T406=1, U406=1, and(W406&lt;&gt;"", W406&lt;&gt;"Oxygen", W406&lt;&gt;"LowFlow")), "Intensive", "Intermediate")</f>
      </c>
      <c r="AJ406" s="37">
        <f>if(or(left(AH406, 1)="X", left(AH406, 1)="Y", left(AH406, 3)="J20M"), "CUSM", "No Match")</f>
      </c>
      <c r="AK406" s="37">
        <f>if(and(or(O406=3, P406=1, Q406=1, T406=1), AJ406="no Match"), "CUSM, CHU SJ, CHUQ", "")</f>
      </c>
      <c r="AL406" s="37">
        <f>IF(AND(O407=2, ISBLANK(P407), ISBLANK(Q407), ISBLANK(R407), ISBLANK(S407), ISBLANK(T407)), "CUSM, CHU SJ, CHUS, CHUQ", "")</f>
      </c>
      <c r="AM406" s="37">
        <f>if(and(AJ406="no match", AK406="", AL406="", K406&lt;26), "CUSM, CHU SJ, HGJ, CHUQ, CHUS", "")</f>
      </c>
      <c r="AN406" s="37">
        <f>if(and(AJ406="no match", AK406="", AL406="", K406&gt;26), "CUSM, CHU SJ, HGJ, CHUQ, CHUS, HMR", "")</f>
      </c>
    </row>
    <row x14ac:dyDescent="0.25" r="407" customHeight="1" ht="17.25">
      <c r="A407" s="27" t="s">
        <v>2183</v>
      </c>
      <c r="B407" s="28">
        <v>2</v>
      </c>
      <c r="C407" s="35">
        <v>820</v>
      </c>
      <c r="D407" s="29" t="s">
        <v>69</v>
      </c>
      <c r="E407" s="30" t="s">
        <v>50</v>
      </c>
      <c r="F407" s="31">
        <v>44411</v>
      </c>
      <c r="G407" s="32">
        <v>4.951388888888889</v>
      </c>
      <c r="H407" s="31">
        <v>44411</v>
      </c>
      <c r="I407" s="32">
        <v>4.688194444444445</v>
      </c>
      <c r="J407" s="33">
        <f>F407-H407</f>
      </c>
      <c r="K407" s="28">
        <v>38</v>
      </c>
      <c r="L407" s="28">
        <v>3</v>
      </c>
      <c r="M407" s="28">
        <v>1</v>
      </c>
      <c r="N407" s="28">
        <v>1</v>
      </c>
      <c r="O407" s="35">
        <v>2</v>
      </c>
      <c r="P407" s="38"/>
      <c r="Q407" s="34"/>
      <c r="R407" s="34"/>
      <c r="S407" s="34"/>
      <c r="T407" s="34"/>
      <c r="U407" s="34"/>
      <c r="V407" s="34"/>
      <c r="W407" s="29" t="s">
        <v>74</v>
      </c>
      <c r="X407" s="28">
        <v>24</v>
      </c>
      <c r="Y407" s="28">
        <v>1</v>
      </c>
      <c r="Z407" s="28">
        <v>1</v>
      </c>
      <c r="AA407" s="28">
        <v>2</v>
      </c>
      <c r="AB407" s="28">
        <v>1</v>
      </c>
      <c r="AC407" s="28">
        <v>1</v>
      </c>
      <c r="AD407" s="28">
        <v>1</v>
      </c>
      <c r="AE407" s="28">
        <v>4</v>
      </c>
      <c r="AF407" s="28">
        <v>2</v>
      </c>
      <c r="AG407" s="28">
        <v>2</v>
      </c>
      <c r="AH407" s="29" t="s">
        <v>2184</v>
      </c>
      <c r="AI407" s="36">
        <f>if(or(and(K407&lt;32, J407&lt;2), O407=1, P407=1, Q407=1, R407=1, S407=1, T407=1, U407=1, and(W407&lt;&gt;"", W407&lt;&gt;"Oxygen", W407&lt;&gt;"LowFlow")), "Intensive", "Intermediate")</f>
      </c>
      <c r="AJ407" s="37">
        <f>if(or(left(AH407, 1)="X", left(AH407, 1)="Y", left(AH407, 3)="J21M"), "CUSM", "No Match")</f>
      </c>
      <c r="AK407" s="37">
        <f>if(and(or(O407=3, P407=1, Q407=1, T407=1), AJ407="no Match"), "CUSM, CHU SJ, CHUQ", "")</f>
      </c>
      <c r="AL407" s="37">
        <f>IF(AND(O408=2, ISBLANK(P408), ISBLANK(Q408), ISBLANK(R408), ISBLANK(S408), ISBLANK(T408)), "CUSM, CHU SJ, CHUS, CHUQ", "")</f>
      </c>
      <c r="AM407" s="37">
        <f>if(and(AJ407="no match", AK407="", AL407="", K407&lt;26), "CUSM, CHU SJ, HGJ, CHUQ, CHUS", "")</f>
      </c>
      <c r="AN407" s="37">
        <f>if(and(AJ407="no match", AK407="", AL407="", K407&gt;26), "CUSM, CHU SJ, HGJ, CHUQ, CHUS, HMR", "")</f>
      </c>
    </row>
    <row x14ac:dyDescent="0.25" r="408" customHeight="1" ht="17.25">
      <c r="A408" s="27" t="s">
        <v>2185</v>
      </c>
      <c r="B408" s="28">
        <v>2</v>
      </c>
      <c r="C408" s="28">
        <v>727</v>
      </c>
      <c r="D408" s="29" t="s">
        <v>992</v>
      </c>
      <c r="E408" s="30" t="s">
        <v>78</v>
      </c>
      <c r="F408" s="31">
        <v>44412</v>
      </c>
      <c r="G408" s="32">
        <v>4.677083333333334</v>
      </c>
      <c r="H408" s="31">
        <v>44402</v>
      </c>
      <c r="I408" s="32">
        <v>4.708333333333334</v>
      </c>
      <c r="J408" s="33">
        <f>F408-H408</f>
      </c>
      <c r="K408" s="28">
        <v>31</v>
      </c>
      <c r="L408" s="28">
        <v>0</v>
      </c>
      <c r="M408" s="28">
        <v>2</v>
      </c>
      <c r="N408" s="38"/>
      <c r="O408" s="34"/>
      <c r="P408" s="34"/>
      <c r="Q408" s="34"/>
      <c r="R408" s="34"/>
      <c r="S408" s="34"/>
      <c r="T408" s="34"/>
      <c r="U408" s="34"/>
      <c r="V408" s="34"/>
      <c r="W408" s="29"/>
      <c r="X408" s="28">
        <v>38</v>
      </c>
      <c r="Y408" s="28">
        <v>1</v>
      </c>
      <c r="Z408" s="28">
        <v>2</v>
      </c>
      <c r="AA408" s="28">
        <v>1</v>
      </c>
      <c r="AB408" s="28">
        <v>4</v>
      </c>
      <c r="AC408" s="28">
        <v>2</v>
      </c>
      <c r="AD408" s="28">
        <v>2</v>
      </c>
      <c r="AE408" s="28">
        <v>4</v>
      </c>
      <c r="AF408" s="28">
        <v>3</v>
      </c>
      <c r="AG408" s="28">
        <v>2</v>
      </c>
      <c r="AH408" s="29" t="s">
        <v>2186</v>
      </c>
      <c r="AI408" s="36">
        <f>if(or(and(K408&lt;32, J408&lt;2), O408=1, P408=1, Q408=1, R408=1, S408=1, T408=1, U408=1, and(W408&lt;&gt;"", W408&lt;&gt;"Oxygen", W408&lt;&gt;"LowFlow")), "Intensive", "Intermediate")</f>
      </c>
      <c r="AJ408" s="37">
        <f>if(or(left(AH408, 1)="X", left(AH408, 1)="Y", left(AH408, 3)="J22M"), "CUSM", "No Match")</f>
      </c>
      <c r="AK408" s="37">
        <f>if(and(or(O408=3, P408=1, Q408=1, T408=1), AJ408="no Match"), "CUSM, CHU SJ, CHUQ", "")</f>
      </c>
      <c r="AL408" s="37">
        <f>IF(AND(O409=2, ISBLANK(P409), ISBLANK(Q409), ISBLANK(R409), ISBLANK(S409), ISBLANK(T409)), "CUSM, CHU SJ, CHUS, CHUQ", "")</f>
      </c>
      <c r="AM408" s="37">
        <f>if(and(AJ408="no match", AK408="", AL408="", K408&lt;26), "CUSM, CHU SJ, HGJ, CHUQ, CHUS", "")</f>
      </c>
      <c r="AN408" s="37">
        <f>if(and(AJ408="no match", AK408="", AL408="", K408&gt;26), "CUSM, CHU SJ, HGJ, CHUQ, CHUS, HMR", "")</f>
      </c>
    </row>
    <row x14ac:dyDescent="0.25" r="409" customHeight="1" ht="17.25">
      <c r="A409" s="27" t="s">
        <v>2187</v>
      </c>
      <c r="B409" s="28">
        <v>2</v>
      </c>
      <c r="C409" s="28">
        <v>822</v>
      </c>
      <c r="D409" s="29" t="s">
        <v>167</v>
      </c>
      <c r="E409" s="30" t="s">
        <v>50</v>
      </c>
      <c r="F409" s="31">
        <v>44412</v>
      </c>
      <c r="G409" s="32">
        <v>4.170138888888889</v>
      </c>
      <c r="H409" s="31">
        <v>44411</v>
      </c>
      <c r="I409" s="32">
        <v>4.979166666666666</v>
      </c>
      <c r="J409" s="33">
        <f>F409-H409</f>
      </c>
      <c r="K409" s="28">
        <v>38</v>
      </c>
      <c r="L409" s="28">
        <v>2</v>
      </c>
      <c r="M409" s="28">
        <v>2</v>
      </c>
      <c r="N409" s="34"/>
      <c r="O409" s="34"/>
      <c r="P409" s="34"/>
      <c r="Q409" s="34"/>
      <c r="R409" s="34"/>
      <c r="S409" s="34"/>
      <c r="T409" s="35">
        <v>1</v>
      </c>
      <c r="U409" s="34"/>
      <c r="V409" s="34"/>
      <c r="W409" s="29" t="s">
        <v>74</v>
      </c>
      <c r="X409" s="28">
        <v>36</v>
      </c>
      <c r="Y409" s="28">
        <v>1</v>
      </c>
      <c r="Z409" s="28">
        <v>1</v>
      </c>
      <c r="AA409" s="28">
        <v>3</v>
      </c>
      <c r="AB409" s="28">
        <v>2</v>
      </c>
      <c r="AC409" s="28">
        <v>2</v>
      </c>
      <c r="AD409" s="28">
        <v>2</v>
      </c>
      <c r="AE409" s="28">
        <v>4</v>
      </c>
      <c r="AF409" s="28">
        <v>1</v>
      </c>
      <c r="AG409" s="28">
        <v>2</v>
      </c>
      <c r="AH409" s="29" t="s">
        <v>2188</v>
      </c>
      <c r="AI409" s="36">
        <f>if(or(and(K409&lt;32, J409&lt;2), O409=1, P409=1, Q409=1, R409=1, S409=1, T409=1, U409=1, and(W409&lt;&gt;"", W409&lt;&gt;"Oxygen", W409&lt;&gt;"LowFlow")), "Intensive", "Intermediate")</f>
      </c>
      <c r="AJ409" s="37">
        <f>if(or(left(AH409, 1)="X", left(AH409, 1)="Y", left(AH409, 3)="J23M"), "CUSM", "No Match")</f>
      </c>
      <c r="AK409" s="37">
        <f>if(and(or(O409=3, P409=1, Q409=1, T409=1), AJ409="no Match"), "CUSM, CHU SJ, CHUQ", "")</f>
      </c>
      <c r="AL409" s="37">
        <f>IF(AND(O410=2, ISBLANK(P410), ISBLANK(Q410), ISBLANK(R410), ISBLANK(S410), ISBLANK(T410)), "CUSM, CHU SJ, CHUS, CHUQ", "")</f>
      </c>
      <c r="AM409" s="37">
        <f>if(and(AJ409="no match", AK409="", AL409="", K409&lt;26), "CUSM, CHU SJ, HGJ, CHUQ, CHUS", "")</f>
      </c>
      <c r="AN409" s="37">
        <f>if(and(AJ409="no match", AK409="", AL409="", K409&gt;26), "CUSM, CHU SJ, HGJ, CHUQ, CHUS, HMR", "")</f>
      </c>
    </row>
    <row x14ac:dyDescent="0.25" r="410" customHeight="1" ht="17.25">
      <c r="A410" s="27" t="s">
        <v>2189</v>
      </c>
      <c r="B410" s="28">
        <v>2</v>
      </c>
      <c r="C410" s="28">
        <v>824</v>
      </c>
      <c r="D410" s="29" t="s">
        <v>57</v>
      </c>
      <c r="E410" s="30" t="s">
        <v>50</v>
      </c>
      <c r="F410" s="31">
        <v>44413</v>
      </c>
      <c r="G410" s="32">
        <v>4.746527777777778</v>
      </c>
      <c r="H410" s="31">
        <v>44386</v>
      </c>
      <c r="I410" s="32">
        <v>4.355555555555556</v>
      </c>
      <c r="J410" s="33">
        <f>F410-H410</f>
      </c>
      <c r="K410" s="28">
        <v>39</v>
      </c>
      <c r="L410" s="28">
        <v>0</v>
      </c>
      <c r="M410" s="28">
        <v>1</v>
      </c>
      <c r="N410" s="34"/>
      <c r="O410" s="34"/>
      <c r="P410" s="34"/>
      <c r="Q410" s="34"/>
      <c r="R410" s="34"/>
      <c r="S410" s="34"/>
      <c r="T410" s="34"/>
      <c r="U410" s="34"/>
      <c r="V410" s="34"/>
      <c r="W410" s="29" t="s">
        <v>106</v>
      </c>
      <c r="X410" s="28">
        <v>26</v>
      </c>
      <c r="Y410" s="28">
        <v>1</v>
      </c>
      <c r="Z410" s="28">
        <v>2</v>
      </c>
      <c r="AA410" s="28">
        <v>3</v>
      </c>
      <c r="AB410" s="28">
        <v>1</v>
      </c>
      <c r="AC410" s="28">
        <v>2</v>
      </c>
      <c r="AD410" s="28">
        <v>2</v>
      </c>
      <c r="AE410" s="28">
        <v>4</v>
      </c>
      <c r="AF410" s="35">
        <v>2</v>
      </c>
      <c r="AG410" s="28">
        <v>2</v>
      </c>
      <c r="AH410" s="29" t="s">
        <v>2190</v>
      </c>
      <c r="AI410" s="36">
        <f>if(or(and(K410&lt;32, J410&lt;2), O410=1, P410=1, Q410=1, R410=1, S410=1, T410=1, U410=1, and(W410&lt;&gt;"", W410&lt;&gt;"Oxygen", W410&lt;&gt;"LowFlow")), "Intensive", "Intermediate")</f>
      </c>
      <c r="AJ410" s="37">
        <f>if(or(left(AH410, 1)="X", left(AH410, 1)="Y", left(AH410, 3)="J24M"), "CUSM", "No Match")</f>
      </c>
      <c r="AK410" s="37">
        <f>if(and(or(O410=3, P410=1, Q410=1, T410=1), AJ410="no Match"), "CUSM, CHU SJ, CHUQ", "")</f>
      </c>
      <c r="AL410" s="37">
        <f>IF(AND(O411=2, ISBLANK(P411), ISBLANK(Q411), ISBLANK(R411), ISBLANK(S411), ISBLANK(T411)), "CUSM, CHU SJ, CHUS, CHUQ", "")</f>
      </c>
      <c r="AM410" s="37">
        <f>if(and(AJ410="no match", AK410="", AL410="", K410&lt;26), "CUSM, CHU SJ, HGJ, CHUQ, CHUS", "")</f>
      </c>
      <c r="AN410" s="37">
        <f>if(and(AJ410="no match", AK410="", AL410="", K410&gt;26), "CUSM, CHU SJ, HGJ, CHUQ, CHUS, HMR", "")</f>
      </c>
    </row>
    <row x14ac:dyDescent="0.25" r="411" customHeight="1" ht="17.25">
      <c r="A411" s="27" t="s">
        <v>2191</v>
      </c>
      <c r="B411" s="28">
        <v>2</v>
      </c>
      <c r="C411" s="35">
        <v>817</v>
      </c>
      <c r="D411" s="29" t="s">
        <v>163</v>
      </c>
      <c r="E411" s="30" t="s">
        <v>220</v>
      </c>
      <c r="F411" s="31">
        <v>44413</v>
      </c>
      <c r="G411" s="32">
        <v>4.236111111111111</v>
      </c>
      <c r="H411" s="31">
        <v>44413</v>
      </c>
      <c r="I411" s="32">
        <v>4.048611111111111</v>
      </c>
      <c r="J411" s="33">
        <f>F411-H411</f>
      </c>
      <c r="K411" s="28">
        <v>30</v>
      </c>
      <c r="L411" s="28">
        <v>0</v>
      </c>
      <c r="M411" s="28">
        <v>1</v>
      </c>
      <c r="N411" s="34"/>
      <c r="O411" s="34"/>
      <c r="P411" s="34"/>
      <c r="Q411" s="34"/>
      <c r="R411" s="34"/>
      <c r="S411" s="34"/>
      <c r="T411" s="34"/>
      <c r="U411" s="34"/>
      <c r="V411" s="34"/>
      <c r="W411" s="29" t="s">
        <v>74</v>
      </c>
      <c r="X411" s="28">
        <v>20</v>
      </c>
      <c r="Y411" s="28">
        <v>2</v>
      </c>
      <c r="Z411" s="28">
        <v>2</v>
      </c>
      <c r="AA411" s="28">
        <v>2</v>
      </c>
      <c r="AB411" s="28">
        <v>1</v>
      </c>
      <c r="AC411" s="28">
        <v>2</v>
      </c>
      <c r="AD411" s="28">
        <v>2</v>
      </c>
      <c r="AE411" s="28">
        <v>4</v>
      </c>
      <c r="AF411" s="28">
        <v>2</v>
      </c>
      <c r="AG411" s="28">
        <v>2</v>
      </c>
      <c r="AH411" s="29" t="s">
        <v>2192</v>
      </c>
      <c r="AI411" s="36">
        <f>if(or(and(K411&lt;32, J411&lt;2), O411=1, P411=1, Q411=1, R411=1, S411=1, T411=1, U411=1, and(W411&lt;&gt;"", W411&lt;&gt;"Oxygen", W411&lt;&gt;"LowFlow")), "Intensive", "Intermediate")</f>
      </c>
      <c r="AJ411" s="37">
        <f>if(or(left(AH411, 1)="X", left(AH411, 1)="Y", left(AH411, 3)="J25M"), "CUSM", "No Match")</f>
      </c>
      <c r="AK411" s="37">
        <f>if(and(or(O411=3, P411=1, Q411=1, T411=1), AJ411="no Match"), "CUSM, CHU SJ, CHUQ", "")</f>
      </c>
      <c r="AL411" s="37">
        <f>IF(AND(O412=2, ISBLANK(P412), ISBLANK(Q412), ISBLANK(R412), ISBLANK(S412), ISBLANK(T412)), "CUSM, CHU SJ, CHUS, CHUQ", "")</f>
      </c>
      <c r="AM411" s="37">
        <f>if(and(AJ411="no match", AK411="", AL411="", K411&lt;26), "CUSM, CHU SJ, HGJ, CHUQ, CHUS", "")</f>
      </c>
      <c r="AN411" s="37">
        <f>if(and(AJ411="no match", AK411="", AL411="", K411&gt;26), "CUSM, CHU SJ, HGJ, CHUQ, CHUS, HMR", "")</f>
      </c>
    </row>
    <row x14ac:dyDescent="0.25" r="412" customHeight="1" ht="17.25">
      <c r="A412" s="27" t="s">
        <v>2193</v>
      </c>
      <c r="B412" s="28">
        <v>2</v>
      </c>
      <c r="C412" s="28">
        <v>817</v>
      </c>
      <c r="D412" s="29" t="s">
        <v>163</v>
      </c>
      <c r="E412" s="30" t="s">
        <v>220</v>
      </c>
      <c r="F412" s="31">
        <v>44413</v>
      </c>
      <c r="G412" s="32">
        <v>4.173611111111111</v>
      </c>
      <c r="H412" s="31">
        <v>44413</v>
      </c>
      <c r="I412" s="32">
        <v>4.0472222222222225</v>
      </c>
      <c r="J412" s="33">
        <f>F412-H412</f>
      </c>
      <c r="K412" s="28">
        <v>30</v>
      </c>
      <c r="L412" s="28">
        <v>0</v>
      </c>
      <c r="M412" s="28">
        <v>1</v>
      </c>
      <c r="N412" s="34"/>
      <c r="O412" s="34"/>
      <c r="P412" s="34"/>
      <c r="Q412" s="34"/>
      <c r="R412" s="34"/>
      <c r="S412" s="34"/>
      <c r="T412" s="34"/>
      <c r="U412" s="34"/>
      <c r="V412" s="34"/>
      <c r="W412" s="29" t="s">
        <v>164</v>
      </c>
      <c r="X412" s="28">
        <v>20</v>
      </c>
      <c r="Y412" s="28">
        <v>2</v>
      </c>
      <c r="Z412" s="28">
        <v>2</v>
      </c>
      <c r="AA412" s="28">
        <v>2</v>
      </c>
      <c r="AB412" s="28">
        <v>1</v>
      </c>
      <c r="AC412" s="28">
        <v>2</v>
      </c>
      <c r="AD412" s="28">
        <v>2</v>
      </c>
      <c r="AE412" s="28">
        <v>4</v>
      </c>
      <c r="AF412" s="28">
        <v>2</v>
      </c>
      <c r="AG412" s="28">
        <v>2</v>
      </c>
      <c r="AH412" s="29" t="s">
        <v>2192</v>
      </c>
      <c r="AI412" s="36">
        <f>if(or(and(K412&lt;32, J412&lt;2), O412=1, P412=1, Q412=1, R412=1, S412=1, T412=1, U412=1, and(W412&lt;&gt;"", W412&lt;&gt;"Oxygen", W412&lt;&gt;"LowFlow")), "Intensive", "Intermediate")</f>
      </c>
      <c r="AJ412" s="37">
        <f>if(or(left(AH412, 1)="X", left(AH412, 1)="Y", left(AH412, 3)="J26M"), "CUSM", "No Match")</f>
      </c>
      <c r="AK412" s="37">
        <f>if(and(or(O412=3, P412=1, Q412=1, T412=1), AJ412="no Match"), "CUSM, CHU SJ, CHUQ", "")</f>
      </c>
      <c r="AL412" s="37">
        <f>IF(AND(O413=2, ISBLANK(P413), ISBLANK(Q413), ISBLANK(R413), ISBLANK(S413), ISBLANK(T413)), "CUSM, CHU SJ, CHUS, CHUQ", "")</f>
      </c>
      <c r="AM412" s="37">
        <f>if(and(AJ412="no match", AK412="", AL412="", K412&lt;26), "CUSM, CHU SJ, HGJ, CHUQ, CHUS", "")</f>
      </c>
      <c r="AN412" s="37">
        <f>if(and(AJ412="no match", AK412="", AL412="", K412&gt;26), "CUSM, CHU SJ, HGJ, CHUQ, CHUS, HMR", "")</f>
      </c>
    </row>
    <row x14ac:dyDescent="0.25" r="413" customHeight="1" ht="17.25">
      <c r="A413" s="27" t="s">
        <v>2194</v>
      </c>
      <c r="B413" s="28">
        <v>2</v>
      </c>
      <c r="C413" s="35">
        <v>782</v>
      </c>
      <c r="D413" s="29" t="s">
        <v>95</v>
      </c>
      <c r="E413" s="30" t="s">
        <v>78</v>
      </c>
      <c r="F413" s="31">
        <v>44414</v>
      </c>
      <c r="G413" s="32">
        <v>4.6875</v>
      </c>
      <c r="H413" s="31">
        <v>44414</v>
      </c>
      <c r="I413" s="32">
        <v>4.35</v>
      </c>
      <c r="J413" s="33">
        <f>F413-H413</f>
      </c>
      <c r="K413" s="28">
        <v>37</v>
      </c>
      <c r="L413" s="28">
        <v>1</v>
      </c>
      <c r="M413" s="28">
        <v>1</v>
      </c>
      <c r="N413" s="38"/>
      <c r="O413" s="34"/>
      <c r="P413" s="34"/>
      <c r="Q413" s="34"/>
      <c r="R413" s="34"/>
      <c r="S413" s="34"/>
      <c r="T413" s="34"/>
      <c r="U413" s="34"/>
      <c r="V413" s="34"/>
      <c r="W413" s="29" t="s">
        <v>74</v>
      </c>
      <c r="X413" s="28">
        <v>32</v>
      </c>
      <c r="Y413" s="28">
        <v>1</v>
      </c>
      <c r="Z413" s="28">
        <v>2</v>
      </c>
      <c r="AA413" s="28">
        <v>1</v>
      </c>
      <c r="AB413" s="28">
        <v>1</v>
      </c>
      <c r="AC413" s="28">
        <v>2</v>
      </c>
      <c r="AD413" s="28">
        <v>2</v>
      </c>
      <c r="AE413" s="28">
        <v>2</v>
      </c>
      <c r="AF413" s="28">
        <v>2</v>
      </c>
      <c r="AG413" s="28">
        <v>2</v>
      </c>
      <c r="AH413" s="29" t="s">
        <v>2195</v>
      </c>
      <c r="AI413" s="36">
        <f>if(or(and(K413&lt;32, J413&lt;2), O413=1, P413=1, Q413=1, R413=1, S413=1, T413=1, U413=1, and(W413&lt;&gt;"", W413&lt;&gt;"Oxygen", W413&lt;&gt;"LowFlow")), "Intensive", "Intermediate")</f>
      </c>
      <c r="AJ413" s="37">
        <f>if(or(left(AH413, 1)="X", left(AH413, 1)="Y", left(AH413, 3)="J27M"), "CUSM", "No Match")</f>
      </c>
      <c r="AK413" s="37">
        <f>if(and(or(O413=3, P413=1, Q413=1, T413=1), AJ413="no Match"), "CUSM, CHU SJ, CHUQ", "")</f>
      </c>
      <c r="AL413" s="37">
        <f>IF(AND(O414=2, ISBLANK(P414), ISBLANK(Q414), ISBLANK(R414), ISBLANK(S414), ISBLANK(T414)), "CUSM, CHU SJ, CHUS, CHUQ", "")</f>
      </c>
      <c r="AM413" s="37">
        <f>if(and(AJ413="no match", AK413="", AL413="", K413&lt;26), "CUSM, CHU SJ, HGJ, CHUQ, CHUS", "")</f>
      </c>
      <c r="AN413" s="37">
        <f>if(and(AJ413="no match", AK413="", AL413="", K413&gt;26), "CUSM, CHU SJ, HGJ, CHUQ, CHUS, HMR", "")</f>
      </c>
    </row>
    <row x14ac:dyDescent="0.25" r="414" customHeight="1" ht="17.25">
      <c r="A414" s="27" t="s">
        <v>2196</v>
      </c>
      <c r="B414" s="28">
        <v>2</v>
      </c>
      <c r="C414" s="35">
        <v>730</v>
      </c>
      <c r="D414" s="29" t="s">
        <v>81</v>
      </c>
      <c r="E414" s="30" t="s">
        <v>78</v>
      </c>
      <c r="F414" s="31">
        <v>44414</v>
      </c>
      <c r="G414" s="32">
        <v>4.90625</v>
      </c>
      <c r="H414" s="31">
        <v>44414</v>
      </c>
      <c r="I414" s="32">
        <v>4.879861111111111</v>
      </c>
      <c r="J414" s="33">
        <f>F414-H414</f>
      </c>
      <c r="K414" s="28">
        <v>35</v>
      </c>
      <c r="L414" s="28">
        <v>0</v>
      </c>
      <c r="M414" s="28">
        <v>2</v>
      </c>
      <c r="N414" s="38"/>
      <c r="O414" s="34"/>
      <c r="P414" s="34"/>
      <c r="Q414" s="34"/>
      <c r="R414" s="34"/>
      <c r="S414" s="34"/>
      <c r="T414" s="34"/>
      <c r="U414" s="34"/>
      <c r="V414" s="34"/>
      <c r="W414" s="29"/>
      <c r="X414" s="28">
        <v>50</v>
      </c>
      <c r="Y414" s="28">
        <v>1</v>
      </c>
      <c r="Z414" s="28">
        <v>2</v>
      </c>
      <c r="AA414" s="28">
        <v>2</v>
      </c>
      <c r="AB414" s="28">
        <v>1</v>
      </c>
      <c r="AC414" s="28">
        <v>1</v>
      </c>
      <c r="AD414" s="28">
        <v>2</v>
      </c>
      <c r="AE414" s="28">
        <v>2</v>
      </c>
      <c r="AF414" s="35">
        <v>2</v>
      </c>
      <c r="AG414" s="28">
        <v>2</v>
      </c>
      <c r="AH414" s="29" t="s">
        <v>2197</v>
      </c>
      <c r="AI414" s="36">
        <f>if(or(and(K414&lt;32, J414&lt;2), O414=1, P414=1, Q414=1, R414=1, S414=1, T414=1, U414=1, and(W414&lt;&gt;"", W414&lt;&gt;"Oxygen", W414&lt;&gt;"LowFlow")), "Intensive", "Intermediate")</f>
      </c>
      <c r="AJ414" s="37">
        <f>if(or(left(AH414, 1)="X", left(AH414, 1)="Y", left(AH414, 3)="J28M"), "CUSM", "No Match")</f>
      </c>
      <c r="AK414" s="37">
        <f>if(and(or(O414=3, P414=1, Q414=1, T414=1), AJ414="no Match"), "CUSM, CHU SJ, CHUQ", "")</f>
      </c>
      <c r="AL414" s="37">
        <f>IF(AND(O415=2, ISBLANK(P415), ISBLANK(Q415), ISBLANK(R415), ISBLANK(S415), ISBLANK(T415)), "CUSM, CHU SJ, CHUS, CHUQ", "")</f>
      </c>
      <c r="AM414" s="37">
        <f>if(and(AJ414="no match", AK414="", AL414="", K414&lt;26), "CUSM, CHU SJ, HGJ, CHUQ, CHUS", "")</f>
      </c>
      <c r="AN414" s="37">
        <f>if(and(AJ414="no match", AK414="", AL414="", K414&gt;26), "CUSM, CHU SJ, HGJ, CHUQ, CHUS, HMR", "")</f>
      </c>
    </row>
    <row x14ac:dyDescent="0.25" r="415" customHeight="1" ht="17.25">
      <c r="A415" s="27" t="s">
        <v>2198</v>
      </c>
      <c r="B415" s="28">
        <v>2</v>
      </c>
      <c r="C415" s="35">
        <v>825</v>
      </c>
      <c r="D415" s="29" t="s">
        <v>77</v>
      </c>
      <c r="E415" s="30" t="s">
        <v>54</v>
      </c>
      <c r="F415" s="31">
        <v>44415</v>
      </c>
      <c r="G415" s="32">
        <v>4.597222222222222</v>
      </c>
      <c r="H415" s="31">
        <v>44413</v>
      </c>
      <c r="I415" s="32">
        <v>4.190277777777778</v>
      </c>
      <c r="J415" s="33">
        <f>F415-H415</f>
      </c>
      <c r="K415" s="28">
        <v>41</v>
      </c>
      <c r="L415" s="28">
        <v>1</v>
      </c>
      <c r="M415" s="28">
        <v>2</v>
      </c>
      <c r="N415" s="35">
        <v>1</v>
      </c>
      <c r="O415" s="34"/>
      <c r="P415" s="35">
        <v>1</v>
      </c>
      <c r="Q415" s="34"/>
      <c r="R415" s="34"/>
      <c r="S415" s="34"/>
      <c r="T415" s="34"/>
      <c r="U415" s="34"/>
      <c r="V415" s="34"/>
      <c r="W415" s="29"/>
      <c r="X415" s="28">
        <v>29</v>
      </c>
      <c r="Y415" s="28">
        <v>1</v>
      </c>
      <c r="Z415" s="28">
        <v>2</v>
      </c>
      <c r="AA415" s="28">
        <v>2</v>
      </c>
      <c r="AB415" s="28">
        <v>1</v>
      </c>
      <c r="AC415" s="28">
        <v>2</v>
      </c>
      <c r="AD415" s="28">
        <v>2</v>
      </c>
      <c r="AE415" s="28">
        <v>4</v>
      </c>
      <c r="AF415" s="28">
        <v>2</v>
      </c>
      <c r="AG415" s="28">
        <v>2</v>
      </c>
      <c r="AH415" s="29" t="s">
        <v>2199</v>
      </c>
      <c r="AI415" s="36">
        <f>if(or(and(K415&lt;32, J415&lt;2), O415=1, P415=1, Q415=1, R415=1, S415=1, T415=1, U415=1, and(W415&lt;&gt;"", W415&lt;&gt;"Oxygen", W415&lt;&gt;"LowFlow")), "Intensive", "Intermediate")</f>
      </c>
      <c r="AJ415" s="37">
        <f>if(or(left(AH415, 1)="X", left(AH415, 1)="Y", left(AH415, 3)="J29M"), "CUSM", "No Match")</f>
      </c>
      <c r="AK415" s="37">
        <f>if(and(or(O415=3, P415=1, Q415=1, T415=1), AJ415="no Match"), "CUSM, CHU SJ, CHUQ", "")</f>
      </c>
      <c r="AL415" s="37">
        <f>IF(AND(O416=2, ISBLANK(P416), ISBLANK(Q416), ISBLANK(R416), ISBLANK(S416), ISBLANK(T416)), "CUSM, CHU SJ, CHUS, CHUQ", "")</f>
      </c>
      <c r="AM415" s="37">
        <f>if(and(AJ415="no match", AK415="", AL415="", K415&lt;26), "CUSM, CHU SJ, HGJ, CHUQ, CHUS", "")</f>
      </c>
      <c r="AN415" s="37">
        <f>if(and(AJ415="no match", AK415="", AL415="", K415&gt;26), "CUSM, CHU SJ, HGJ, CHUQ, CHUS, HMR", "")</f>
      </c>
    </row>
    <row x14ac:dyDescent="0.25" r="416" customHeight="1" ht="17.25">
      <c r="A416" s="27" t="s">
        <v>2200</v>
      </c>
      <c r="B416" s="28">
        <v>2</v>
      </c>
      <c r="C416" s="35">
        <v>779</v>
      </c>
      <c r="D416" s="29" t="s">
        <v>136</v>
      </c>
      <c r="E416" s="30" t="s">
        <v>50</v>
      </c>
      <c r="F416" s="31">
        <v>44415</v>
      </c>
      <c r="G416" s="32">
        <v>4.7340277777777775</v>
      </c>
      <c r="H416" s="31">
        <v>44412</v>
      </c>
      <c r="I416" s="32">
        <v>4.531944444444445</v>
      </c>
      <c r="J416" s="33">
        <f>F416-H416</f>
      </c>
      <c r="K416" s="28">
        <v>38</v>
      </c>
      <c r="L416" s="28">
        <v>5</v>
      </c>
      <c r="M416" s="28">
        <v>1</v>
      </c>
      <c r="N416" s="28">
        <v>1</v>
      </c>
      <c r="O416" s="38"/>
      <c r="P416" s="38"/>
      <c r="Q416" s="34"/>
      <c r="R416" s="38"/>
      <c r="S416" s="34"/>
      <c r="T416" s="34"/>
      <c r="U416" s="34"/>
      <c r="V416" s="34"/>
      <c r="W416" s="29"/>
      <c r="X416" s="28">
        <v>33</v>
      </c>
      <c r="Y416" s="28">
        <v>1</v>
      </c>
      <c r="Z416" s="28">
        <v>2</v>
      </c>
      <c r="AA416" s="28">
        <v>3</v>
      </c>
      <c r="AB416" s="28">
        <v>1</v>
      </c>
      <c r="AC416" s="28">
        <v>2</v>
      </c>
      <c r="AD416" s="28">
        <v>2</v>
      </c>
      <c r="AE416" s="28">
        <v>4</v>
      </c>
      <c r="AF416" s="28">
        <v>2</v>
      </c>
      <c r="AG416" s="28">
        <v>2</v>
      </c>
      <c r="AH416" s="29" t="s">
        <v>2201</v>
      </c>
      <c r="AI416" s="36">
        <f>if(or(and(K416&lt;32, J416&lt;2), O416=1, P416=1, Q416=1, R416=1, S416=1, T416=1, U416=1, and(W416&lt;&gt;"", W416&lt;&gt;"Oxygen", W416&lt;&gt;"LowFlow")), "Intensive", "Intermediate")</f>
      </c>
      <c r="AJ416" s="37">
        <f>if(or(left(AH416, 1)="X", left(AH416, 1)="Y", left(AH416, 3)="J30M"), "CUSM", "No Match")</f>
      </c>
      <c r="AK416" s="37">
        <f>if(and(or(O416=3, P416=1, Q416=1, T416=1), AJ416="no Match"), "CUSM, CHU SJ, CHUQ", "")</f>
      </c>
      <c r="AL416" s="37">
        <f>IF(AND(O417=2, ISBLANK(P417), ISBLANK(Q417), ISBLANK(R417), ISBLANK(S417), ISBLANK(T417)), "CUSM, CHU SJ, CHUS, CHUQ", "")</f>
      </c>
      <c r="AM416" s="37">
        <f>if(and(AJ416="no match", AK416="", AL416="", K416&lt;26), "CUSM, CHU SJ, HGJ, CHUQ, CHUS", "")</f>
      </c>
      <c r="AN416" s="37">
        <f>if(and(AJ416="no match", AK416="", AL416="", K416&gt;26), "CUSM, CHU SJ, HGJ, CHUQ, CHUS, HMR", "")</f>
      </c>
    </row>
    <row x14ac:dyDescent="0.25" r="417" customHeight="1" ht="17.25">
      <c r="A417" s="27" t="s">
        <v>2202</v>
      </c>
      <c r="B417" s="28">
        <v>2</v>
      </c>
      <c r="C417" s="35">
        <v>822</v>
      </c>
      <c r="D417" s="29" t="s">
        <v>167</v>
      </c>
      <c r="E417" s="30" t="s">
        <v>220</v>
      </c>
      <c r="F417" s="31">
        <v>44415</v>
      </c>
      <c r="G417" s="32">
        <v>4.663888888888889</v>
      </c>
      <c r="H417" s="31">
        <v>44415</v>
      </c>
      <c r="I417" s="32">
        <v>4.521527777777777</v>
      </c>
      <c r="J417" s="33">
        <f>F417-H417</f>
      </c>
      <c r="K417" s="28">
        <v>30</v>
      </c>
      <c r="L417" s="28">
        <v>0</v>
      </c>
      <c r="M417" s="28">
        <v>1</v>
      </c>
      <c r="N417" s="34"/>
      <c r="O417" s="34"/>
      <c r="P417" s="34"/>
      <c r="Q417" s="34"/>
      <c r="R417" s="34"/>
      <c r="S417" s="34"/>
      <c r="T417" s="34"/>
      <c r="U417" s="34"/>
      <c r="V417" s="34"/>
      <c r="W417" s="29" t="s">
        <v>74</v>
      </c>
      <c r="X417" s="28">
        <v>31</v>
      </c>
      <c r="Y417" s="28">
        <v>1</v>
      </c>
      <c r="Z417" s="28">
        <v>2</v>
      </c>
      <c r="AA417" s="28">
        <v>2</v>
      </c>
      <c r="AB417" s="28">
        <v>1</v>
      </c>
      <c r="AC417" s="28">
        <v>2</v>
      </c>
      <c r="AD417" s="28">
        <v>2</v>
      </c>
      <c r="AE417" s="28">
        <v>4</v>
      </c>
      <c r="AF417" s="28">
        <v>2</v>
      </c>
      <c r="AG417" s="28">
        <v>2</v>
      </c>
      <c r="AH417" s="29" t="s">
        <v>2203</v>
      </c>
      <c r="AI417" s="36">
        <f>if(or(and(K417&lt;32, J417&lt;2), O417=1, P417=1, Q417=1, R417=1, S417=1, T417=1, U417=1, and(W417&lt;&gt;"", W417&lt;&gt;"Oxygen", W417&lt;&gt;"LowFlow")), "Intensive", "Intermediate")</f>
      </c>
      <c r="AJ417" s="37">
        <f>if(or(left(AH417, 1)="X", left(AH417, 1)="Y", left(AH417, 3)="J31M"), "CUSM", "No Match")</f>
      </c>
      <c r="AK417" s="37">
        <f>if(and(or(O417=3, P417=1, Q417=1, T417=1), AJ417="no Match"), "CUSM, CHU SJ, CHUQ", "")</f>
      </c>
      <c r="AL417" s="37">
        <f>IF(AND(O418=2, ISBLANK(P418), ISBLANK(Q418), ISBLANK(R418), ISBLANK(S418), ISBLANK(T418)), "CUSM, CHU SJ, CHUS, CHUQ", "")</f>
      </c>
      <c r="AM417" s="37">
        <f>if(and(AJ417="no match", AK417="", AL417="", K417&lt;26), "CUSM, CHU SJ, HGJ, CHUQ, CHUS", "")</f>
      </c>
      <c r="AN417" s="37">
        <f>if(and(AJ417="no match", AK417="", AL417="", K417&gt;26), "CUSM, CHU SJ, HGJ, CHUQ, CHUS, HMR", "")</f>
      </c>
    </row>
    <row x14ac:dyDescent="0.25" r="418" customHeight="1" ht="17.25">
      <c r="A418" s="27" t="s">
        <v>2204</v>
      </c>
      <c r="B418" s="28">
        <v>2</v>
      </c>
      <c r="C418" s="28">
        <v>815</v>
      </c>
      <c r="D418" s="29" t="s">
        <v>100</v>
      </c>
      <c r="E418" s="30" t="s">
        <v>50</v>
      </c>
      <c r="F418" s="31">
        <v>44416</v>
      </c>
      <c r="G418" s="32">
        <v>4.5881944444444445</v>
      </c>
      <c r="H418" s="31">
        <v>44415</v>
      </c>
      <c r="I418" s="32">
        <v>4.327083333333333</v>
      </c>
      <c r="J418" s="33">
        <f>F418-H418</f>
      </c>
      <c r="K418" s="28">
        <v>40</v>
      </c>
      <c r="L418" s="28">
        <v>1</v>
      </c>
      <c r="M418" s="28">
        <v>1</v>
      </c>
      <c r="N418" s="35">
        <v>1</v>
      </c>
      <c r="O418" s="34"/>
      <c r="P418" s="34"/>
      <c r="Q418" s="34"/>
      <c r="R418" s="34"/>
      <c r="S418" s="34"/>
      <c r="T418" s="34"/>
      <c r="U418" s="34"/>
      <c r="V418" s="34"/>
      <c r="W418" s="29" t="s">
        <v>74</v>
      </c>
      <c r="X418" s="35">
        <v>35</v>
      </c>
      <c r="Y418" s="28">
        <v>1</v>
      </c>
      <c r="Z418" s="28">
        <v>1</v>
      </c>
      <c r="AA418" s="28">
        <v>2</v>
      </c>
      <c r="AB418" s="28">
        <v>1</v>
      </c>
      <c r="AC418" s="28">
        <v>2</v>
      </c>
      <c r="AD418" s="28">
        <v>2</v>
      </c>
      <c r="AE418" s="28">
        <v>4</v>
      </c>
      <c r="AF418" s="28">
        <v>2</v>
      </c>
      <c r="AG418" s="28">
        <v>2</v>
      </c>
      <c r="AH418" s="29" t="s">
        <v>2205</v>
      </c>
      <c r="AI418" s="36">
        <f>if(or(and(K418&lt;32, J418&lt;2), O418=1, P418=1, Q418=1, R418=1, S418=1, T418=1, U418=1, and(W418&lt;&gt;"", W418&lt;&gt;"Oxygen", W418&lt;&gt;"LowFlow")), "Intensive", "Intermediate")</f>
      </c>
      <c r="AJ418" s="37">
        <f>if(or(left(AH418, 1)="X", left(AH418, 1)="Y", left(AH418, 3)="J32M"), "CUSM", "No Match")</f>
      </c>
      <c r="AK418" s="37">
        <f>if(and(or(O418=3, P418=1, Q418=1, T418=1), AJ418="no Match"), "CUSM, CHU SJ, CHUQ", "")</f>
      </c>
      <c r="AL418" s="37">
        <f>IF(AND(O419=2, ISBLANK(P419), ISBLANK(Q419), ISBLANK(R419), ISBLANK(S419), ISBLANK(T419)), "CUSM, CHU SJ, CHUS, CHUQ", "")</f>
      </c>
      <c r="AM418" s="37">
        <f>if(and(AJ418="no match", AK418="", AL418="", K418&lt;26), "CUSM, CHU SJ, HGJ, CHUQ, CHUS", "")</f>
      </c>
      <c r="AN418" s="37">
        <f>if(and(AJ418="no match", AK418="", AL418="", K418&gt;26), "CUSM, CHU SJ, HGJ, CHUQ, CHUS, HMR", "")</f>
      </c>
    </row>
    <row x14ac:dyDescent="0.25" r="419" customHeight="1" ht="17.25">
      <c r="A419" s="27" t="s">
        <v>2206</v>
      </c>
      <c r="B419" s="28">
        <v>2</v>
      </c>
      <c r="C419" s="28">
        <v>740</v>
      </c>
      <c r="D419" s="29" t="s">
        <v>409</v>
      </c>
      <c r="E419" s="30" t="s">
        <v>149</v>
      </c>
      <c r="F419" s="31">
        <v>44417</v>
      </c>
      <c r="G419" s="32">
        <v>4.021527777777777</v>
      </c>
      <c r="H419" s="31">
        <v>44416</v>
      </c>
      <c r="I419" s="32">
        <v>4.950694444444444</v>
      </c>
      <c r="J419" s="33">
        <f>F419-H419</f>
      </c>
      <c r="K419" s="28">
        <v>28</v>
      </c>
      <c r="L419" s="28">
        <v>0</v>
      </c>
      <c r="M419" s="28">
        <v>1</v>
      </c>
      <c r="N419" s="34"/>
      <c r="O419" s="34"/>
      <c r="P419" s="34"/>
      <c r="Q419" s="34"/>
      <c r="R419" s="34"/>
      <c r="S419" s="34"/>
      <c r="T419" s="34"/>
      <c r="U419" s="34"/>
      <c r="V419" s="34"/>
      <c r="W419" s="29" t="s">
        <v>74</v>
      </c>
      <c r="X419" s="28">
        <v>17</v>
      </c>
      <c r="Y419" s="28">
        <v>1</v>
      </c>
      <c r="Z419" s="28">
        <v>2</v>
      </c>
      <c r="AA419" s="28">
        <v>3</v>
      </c>
      <c r="AB419" s="28">
        <v>1</v>
      </c>
      <c r="AC419" s="28">
        <v>2</v>
      </c>
      <c r="AD419" s="28">
        <v>2</v>
      </c>
      <c r="AE419" s="28">
        <v>4</v>
      </c>
      <c r="AF419" s="28">
        <v>3</v>
      </c>
      <c r="AG419" s="28">
        <v>2</v>
      </c>
      <c r="AH419" s="29" t="s">
        <v>2207</v>
      </c>
      <c r="AI419" s="36">
        <f>if(or(and(K419&lt;32, J419&lt;2), O419=1, P419=1, Q419=1, R419=1, S419=1, T419=1, U419=1, and(W419&lt;&gt;"", W419&lt;&gt;"Oxygen", W419&lt;&gt;"LowFlow")), "Intensive", "Intermediate")</f>
      </c>
      <c r="AJ419" s="37">
        <f>if(or(left(AH419, 1)="X", left(AH419, 1)="Y", left(AH419, 3)="J33M"), "CUSM", "No Match")</f>
      </c>
      <c r="AK419" s="37">
        <f>if(and(or(O419=3, P419=1, Q419=1, T419=1), AJ419="no Match"), "CUSM, CHU SJ, CHUQ", "")</f>
      </c>
      <c r="AL419" s="37">
        <f>IF(AND(O420=2, ISBLANK(P420), ISBLANK(Q420), ISBLANK(R420), ISBLANK(S420), ISBLANK(T420)), "CUSM, CHU SJ, CHUS, CHUQ", "")</f>
      </c>
      <c r="AM419" s="37">
        <f>if(and(AJ419="no match", AK419="", AL419="", K419&lt;26), "CUSM, CHU SJ, HGJ, CHUQ, CHUS", "")</f>
      </c>
      <c r="AN419" s="37">
        <f>if(and(AJ419="no match", AK419="", AL419="", K419&gt;26), "CUSM, CHU SJ, HGJ, CHUQ, CHUS, HMR", "")</f>
      </c>
    </row>
    <row x14ac:dyDescent="0.25" r="420" customHeight="1" ht="17.25">
      <c r="A420" s="27" t="s">
        <v>2208</v>
      </c>
      <c r="B420" s="28">
        <v>2</v>
      </c>
      <c r="C420" s="28">
        <v>820</v>
      </c>
      <c r="D420" s="29" t="s">
        <v>69</v>
      </c>
      <c r="E420" s="30" t="s">
        <v>50</v>
      </c>
      <c r="F420" s="31">
        <v>44417</v>
      </c>
      <c r="G420" s="32">
        <v>4.65625</v>
      </c>
      <c r="H420" s="31">
        <v>44414</v>
      </c>
      <c r="I420" s="32">
        <v>4.5</v>
      </c>
      <c r="J420" s="33">
        <f>F420-H420</f>
      </c>
      <c r="K420" s="28">
        <v>37</v>
      </c>
      <c r="L420" s="28">
        <v>6</v>
      </c>
      <c r="M420" s="28">
        <v>2</v>
      </c>
      <c r="N420" s="28">
        <v>1</v>
      </c>
      <c r="O420" s="34"/>
      <c r="P420" s="34"/>
      <c r="Q420" s="34"/>
      <c r="R420" s="34"/>
      <c r="S420" s="34"/>
      <c r="T420" s="34"/>
      <c r="U420" s="34"/>
      <c r="V420" s="34"/>
      <c r="W420" s="29" t="s">
        <v>600</v>
      </c>
      <c r="X420" s="28">
        <v>33</v>
      </c>
      <c r="Y420" s="28">
        <v>1</v>
      </c>
      <c r="Z420" s="28">
        <v>2</v>
      </c>
      <c r="AA420" s="28">
        <v>3</v>
      </c>
      <c r="AB420" s="28">
        <v>1</v>
      </c>
      <c r="AC420" s="28">
        <v>1</v>
      </c>
      <c r="AD420" s="28">
        <v>2</v>
      </c>
      <c r="AE420" s="28">
        <v>4</v>
      </c>
      <c r="AF420" s="28">
        <v>2</v>
      </c>
      <c r="AG420" s="28">
        <v>2</v>
      </c>
      <c r="AH420" s="29" t="s">
        <v>2209</v>
      </c>
      <c r="AI420" s="36">
        <f>if(or(and(K420&lt;32, J420&lt;2), O420=1, P420=1, Q420=1, R420=1, S420=1, T420=1, U420=1, and(W420&lt;&gt;"", W420&lt;&gt;"Oxygen", W420&lt;&gt;"LowFlow")), "Intensive", "Intermediate")</f>
      </c>
      <c r="AJ420" s="37">
        <f>if(or(left(AH420, 1)="X", left(AH420, 1)="Y", left(AH420, 3)="J34M"), "CUSM", "No Match")</f>
      </c>
      <c r="AK420" s="37">
        <f>if(and(or(O420=3, P420=1, Q420=1, T420=1), AJ420="no Match"), "CUSM, CHU SJ, CHUQ", "")</f>
      </c>
      <c r="AL420" s="37">
        <f>IF(AND(O421=2, ISBLANK(P421), ISBLANK(Q421), ISBLANK(R421), ISBLANK(S421), ISBLANK(T421)), "CUSM, CHU SJ, CHUS, CHUQ", "")</f>
      </c>
      <c r="AM420" s="37">
        <f>if(and(AJ420="no match", AK420="", AL420="", K420&lt;26), "CUSM, CHU SJ, HGJ, CHUQ, CHUS", "")</f>
      </c>
      <c r="AN420" s="37">
        <f>if(and(AJ420="no match", AK420="", AL420="", K420&gt;26), "CUSM, CHU SJ, HGJ, CHUQ, CHUS, HMR", "")</f>
      </c>
    </row>
    <row x14ac:dyDescent="0.25" r="421" customHeight="1" ht="17.25">
      <c r="A421" s="27" t="s">
        <v>2210</v>
      </c>
      <c r="B421" s="28">
        <v>2</v>
      </c>
      <c r="C421" s="35">
        <v>796</v>
      </c>
      <c r="D421" s="29" t="s">
        <v>63</v>
      </c>
      <c r="E421" s="30" t="s">
        <v>54</v>
      </c>
      <c r="F421" s="31">
        <v>44418</v>
      </c>
      <c r="G421" s="32">
        <v>4.708333333333334</v>
      </c>
      <c r="H421" s="31">
        <v>44415</v>
      </c>
      <c r="I421" s="32">
        <v>4.625694444444445</v>
      </c>
      <c r="J421" s="33">
        <f>F421-H421</f>
      </c>
      <c r="K421" s="28">
        <v>38</v>
      </c>
      <c r="L421" s="28">
        <v>5</v>
      </c>
      <c r="M421" s="28">
        <v>1</v>
      </c>
      <c r="N421" s="38"/>
      <c r="O421" s="34"/>
      <c r="P421" s="38"/>
      <c r="Q421" s="34"/>
      <c r="R421" s="34"/>
      <c r="S421" s="34"/>
      <c r="T421" s="34"/>
      <c r="U421" s="34"/>
      <c r="V421" s="34"/>
      <c r="W421" s="29"/>
      <c r="X421" s="28">
        <v>34</v>
      </c>
      <c r="Y421" s="28">
        <v>1</v>
      </c>
      <c r="Z421" s="28">
        <v>2</v>
      </c>
      <c r="AA421" s="28">
        <v>2</v>
      </c>
      <c r="AB421" s="28">
        <v>1</v>
      </c>
      <c r="AC421" s="28">
        <v>2</v>
      </c>
      <c r="AD421" s="28">
        <v>2</v>
      </c>
      <c r="AE421" s="28">
        <v>4</v>
      </c>
      <c r="AF421" s="28">
        <v>2</v>
      </c>
      <c r="AG421" s="28">
        <v>2</v>
      </c>
      <c r="AH421" s="29" t="s">
        <v>1451</v>
      </c>
      <c r="AI421" s="36">
        <f>if(or(and(K421&lt;32, J421&lt;2), O421=1, P421=1, Q421=1, R421=1, S421=1, T421=1, U421=1, and(W421&lt;&gt;"", W421&lt;&gt;"Oxygen", W421&lt;&gt;"LowFlow")), "Intensive", "Intermediate")</f>
      </c>
      <c r="AJ421" s="37">
        <f>if(or(left(AH421, 1)="X", left(AH421, 1)="Y", left(AH421, 3)="J35M"), "CUSM", "No Match")</f>
      </c>
      <c r="AK421" s="37">
        <f>if(and(or(O421=3, P421=1, Q421=1, T421=1), AJ421="no Match"), "CUSM, CHU SJ, CHUQ", "")</f>
      </c>
      <c r="AL421" s="37">
        <f>IF(AND(O422=2, ISBLANK(P422), ISBLANK(Q422), ISBLANK(R422), ISBLANK(S422), ISBLANK(T422)), "CUSM, CHU SJ, CHUS, CHUQ", "")</f>
      </c>
      <c r="AM421" s="37">
        <f>if(and(AJ421="no match", AK421="", AL421="", K421&lt;26), "CUSM, CHU SJ, HGJ, CHUQ, CHUS", "")</f>
      </c>
      <c r="AN421" s="37">
        <f>if(and(AJ421="no match", AK421="", AL421="", K421&gt;26), "CUSM, CHU SJ, HGJ, CHUQ, CHUS, HMR", "")</f>
      </c>
    </row>
    <row x14ac:dyDescent="0.25" r="422" customHeight="1" ht="17.25">
      <c r="A422" s="27" t="s">
        <v>2211</v>
      </c>
      <c r="B422" s="28">
        <v>2</v>
      </c>
      <c r="C422" s="35">
        <v>757</v>
      </c>
      <c r="D422" s="29" t="s">
        <v>124</v>
      </c>
      <c r="E422" s="30" t="s">
        <v>50</v>
      </c>
      <c r="F422" s="31">
        <v>44418</v>
      </c>
      <c r="G422" s="32">
        <v>4.033333333333333</v>
      </c>
      <c r="H422" s="31">
        <v>44409</v>
      </c>
      <c r="I422" s="32">
        <v>4.830555555555556</v>
      </c>
      <c r="J422" s="33">
        <f>F422-H422</f>
      </c>
      <c r="K422" s="28">
        <v>36</v>
      </c>
      <c r="L422" s="28">
        <v>5</v>
      </c>
      <c r="M422" s="28">
        <v>2</v>
      </c>
      <c r="N422" s="28">
        <v>1</v>
      </c>
      <c r="O422" s="34"/>
      <c r="P422" s="34"/>
      <c r="Q422" s="34"/>
      <c r="R422" s="34"/>
      <c r="S422" s="34"/>
      <c r="T422" s="34"/>
      <c r="U422" s="34"/>
      <c r="V422" s="34"/>
      <c r="W422" s="29" t="s">
        <v>58</v>
      </c>
      <c r="X422" s="28">
        <v>42</v>
      </c>
      <c r="Y422" s="28">
        <v>1</v>
      </c>
      <c r="Z422" s="28">
        <v>1</v>
      </c>
      <c r="AA422" s="28">
        <v>2</v>
      </c>
      <c r="AB422" s="28">
        <v>1</v>
      </c>
      <c r="AC422" s="28">
        <v>1</v>
      </c>
      <c r="AD422" s="28">
        <v>2</v>
      </c>
      <c r="AE422" s="28">
        <v>4</v>
      </c>
      <c r="AF422" s="28">
        <v>3</v>
      </c>
      <c r="AG422" s="28">
        <v>2</v>
      </c>
      <c r="AH422" s="29" t="s">
        <v>2212</v>
      </c>
      <c r="AI422" s="36">
        <f>if(or(and(K422&lt;32, J422&lt;2), O422=1, P422=1, Q422=1, R422=1, S422=1, T422=1, U422=1, and(W422&lt;&gt;"", W422&lt;&gt;"Oxygen", W422&lt;&gt;"LowFlow")), "Intensive", "Intermediate")</f>
      </c>
      <c r="AJ422" s="37">
        <f>if(or(left(AH422, 1)="X", left(AH422, 1)="Y", left(AH422, 3)="J36M"), "CUSM", "No Match")</f>
      </c>
      <c r="AK422" s="37">
        <f>if(and(or(O422=3, P422=1, Q422=1, T422=1), AJ422="no Match"), "CUSM, CHU SJ, CHUQ", "")</f>
      </c>
      <c r="AL422" s="37">
        <f>IF(AND(O423=2, ISBLANK(P423), ISBLANK(Q423), ISBLANK(R423), ISBLANK(S423), ISBLANK(T423)), "CUSM, CHU SJ, CHUS, CHUQ", "")</f>
      </c>
      <c r="AM422" s="37">
        <f>if(and(AJ422="no match", AK422="", AL422="", K422&lt;26), "CUSM, CHU SJ, HGJ, CHUQ, CHUS", "")</f>
      </c>
      <c r="AN422" s="37">
        <f>if(and(AJ422="no match", AK422="", AL422="", K422&gt;26), "CUSM, CHU SJ, HGJ, CHUQ, CHUS, HMR", "")</f>
      </c>
    </row>
    <row x14ac:dyDescent="0.25" r="423" customHeight="1" ht="17.25">
      <c r="A423" s="27" t="s">
        <v>2213</v>
      </c>
      <c r="B423" s="28">
        <v>2</v>
      </c>
      <c r="C423" s="35">
        <v>793</v>
      </c>
      <c r="D423" s="29" t="s">
        <v>266</v>
      </c>
      <c r="E423" s="30" t="s">
        <v>149</v>
      </c>
      <c r="F423" s="31">
        <v>44419</v>
      </c>
      <c r="G423" s="32">
        <v>4.031944444444445</v>
      </c>
      <c r="H423" s="31">
        <v>44418</v>
      </c>
      <c r="I423" s="32">
        <v>4.740972222222222</v>
      </c>
      <c r="J423" s="33">
        <f>F423-H423</f>
      </c>
      <c r="K423" s="28">
        <v>26</v>
      </c>
      <c r="L423" s="28">
        <v>0</v>
      </c>
      <c r="M423" s="28">
        <v>1</v>
      </c>
      <c r="N423" s="34"/>
      <c r="O423" s="34"/>
      <c r="P423" s="34"/>
      <c r="Q423" s="34"/>
      <c r="R423" s="34"/>
      <c r="S423" s="34"/>
      <c r="T423" s="34"/>
      <c r="U423" s="34"/>
      <c r="V423" s="34"/>
      <c r="W423" s="29" t="s">
        <v>74</v>
      </c>
      <c r="X423" s="28">
        <v>20</v>
      </c>
      <c r="Y423" s="28">
        <v>1</v>
      </c>
      <c r="Z423" s="28">
        <v>1</v>
      </c>
      <c r="AA423" s="28">
        <v>3</v>
      </c>
      <c r="AB423" s="28">
        <v>4</v>
      </c>
      <c r="AC423" s="28">
        <v>2</v>
      </c>
      <c r="AD423" s="28">
        <v>2</v>
      </c>
      <c r="AE423" s="28">
        <v>4</v>
      </c>
      <c r="AF423" s="28">
        <v>3</v>
      </c>
      <c r="AG423" s="28">
        <v>2</v>
      </c>
      <c r="AH423" s="29" t="s">
        <v>2214</v>
      </c>
      <c r="AI423" s="36">
        <f>if(or(and(K423&lt;32, J423&lt;2), O423=1, P423=1, Q423=1, R423=1, S423=1, T423=1, U423=1, and(W423&lt;&gt;"", W423&lt;&gt;"Oxygen", W423&lt;&gt;"LowFlow")), "Intensive", "Intermediate")</f>
      </c>
      <c r="AJ423" s="37">
        <f>if(or(left(AH423, 1)="X", left(AH423, 1)="Y", left(AH423, 3)="J37M"), "CUSM", "No Match")</f>
      </c>
      <c r="AK423" s="37">
        <f>if(and(or(O423=3, P423=1, Q423=1, T423=1), AJ423="no Match"), "CUSM, CHU SJ, CHUQ", "")</f>
      </c>
      <c r="AL423" s="37">
        <f>IF(AND(O424=2, ISBLANK(P424), ISBLANK(Q424), ISBLANK(R424), ISBLANK(S424), ISBLANK(T424)), "CUSM, CHU SJ, CHUS, CHUQ", "")</f>
      </c>
      <c r="AM423" s="37">
        <f>if(and(AJ423="no match", AK423="", AL423="", K423&lt;26), "CUSM, CHU SJ, HGJ, CHUQ, CHUS", "")</f>
      </c>
      <c r="AN423" s="37">
        <f>if(and(AJ423="no match", AK423="", AL423="", K423&gt;26), "CUSM, CHU SJ, HGJ, CHUQ, CHUS, HMR", "")</f>
      </c>
    </row>
    <row x14ac:dyDescent="0.25" r="424" customHeight="1" ht="17.25">
      <c r="A424" s="27" t="s">
        <v>2215</v>
      </c>
      <c r="B424" s="28">
        <v>2</v>
      </c>
      <c r="C424" s="35">
        <v>1019</v>
      </c>
      <c r="D424" s="29" t="s">
        <v>354</v>
      </c>
      <c r="E424" s="30" t="s">
        <v>54</v>
      </c>
      <c r="F424" s="31">
        <v>44419</v>
      </c>
      <c r="G424" s="32">
        <v>4.916666666666666</v>
      </c>
      <c r="H424" s="31">
        <v>44416</v>
      </c>
      <c r="I424" s="32">
        <v>4.024305555555555</v>
      </c>
      <c r="J424" s="33">
        <f>F424-H424</f>
      </c>
      <c r="K424" s="28">
        <v>39</v>
      </c>
      <c r="L424" s="28">
        <v>0</v>
      </c>
      <c r="M424" s="28">
        <v>1</v>
      </c>
      <c r="N424" s="35">
        <v>1</v>
      </c>
      <c r="O424" s="35">
        <v>2</v>
      </c>
      <c r="P424" s="35">
        <v>1</v>
      </c>
      <c r="Q424" s="34"/>
      <c r="R424" s="34"/>
      <c r="S424" s="34"/>
      <c r="T424" s="34"/>
      <c r="U424" s="34"/>
      <c r="V424" s="34"/>
      <c r="W424" s="29"/>
      <c r="X424" s="28">
        <v>42</v>
      </c>
      <c r="Y424" s="28">
        <v>1</v>
      </c>
      <c r="Z424" s="28">
        <v>1</v>
      </c>
      <c r="AA424" s="28">
        <v>2</v>
      </c>
      <c r="AB424" s="28">
        <v>1</v>
      </c>
      <c r="AC424" s="28">
        <v>2</v>
      </c>
      <c r="AD424" s="28">
        <v>2</v>
      </c>
      <c r="AE424" s="28">
        <v>4</v>
      </c>
      <c r="AF424" s="28">
        <v>2</v>
      </c>
      <c r="AG424" s="28">
        <v>2</v>
      </c>
      <c r="AH424" s="29" t="s">
        <v>2216</v>
      </c>
      <c r="AI424" s="36">
        <f>if(or(and(K424&lt;32, J424&lt;2), O424=1, P424=1, Q424=1, R424=1, S424=1, T424=1, U424=1, and(W424&lt;&gt;"", W424&lt;&gt;"Oxygen", W424&lt;&gt;"LowFlow")), "Intensive", "Intermediate")</f>
      </c>
      <c r="AJ424" s="37">
        <f>if(or(left(AH424, 1)="X", left(AH424, 1)="Y", left(AH424, 3)="J38M"), "CUSM", "No Match")</f>
      </c>
      <c r="AK424" s="37">
        <f>if(and(or(O424=3, P424=1, Q424=1, T424=1), AJ424="no Match"), "CUSM, CHU SJ, CHUQ", "")</f>
      </c>
      <c r="AL424" s="37">
        <f>IF(AND(O425=2, ISBLANK(P425), ISBLANK(Q425), ISBLANK(R425), ISBLANK(S425), ISBLANK(T425)), "CUSM, CHU SJ, CHUS, CHUQ", "")</f>
      </c>
      <c r="AM424" s="37">
        <f>if(and(AJ424="no match", AK424="", AL424="", K424&lt;26), "CUSM, CHU SJ, HGJ, CHUQ, CHUS", "")</f>
      </c>
      <c r="AN424" s="37">
        <f>if(and(AJ424="no match", AK424="", AL424="", K424&gt;26), "CUSM, CHU SJ, HGJ, CHUQ, CHUS, HMR", "")</f>
      </c>
    </row>
    <row x14ac:dyDescent="0.25" r="425" customHeight="1" ht="17.25">
      <c r="A425" s="27" t="s">
        <v>2217</v>
      </c>
      <c r="B425" s="28">
        <v>2</v>
      </c>
      <c r="C425" s="35">
        <v>833</v>
      </c>
      <c r="D425" s="29" t="s">
        <v>376</v>
      </c>
      <c r="E425" s="30" t="s">
        <v>78</v>
      </c>
      <c r="F425" s="31">
        <v>44419</v>
      </c>
      <c r="G425" s="32">
        <v>4.510416666666666</v>
      </c>
      <c r="H425" s="31">
        <v>44419</v>
      </c>
      <c r="I425" s="32">
        <v>4.286111111111111</v>
      </c>
      <c r="J425" s="33">
        <f>F425-H425</f>
      </c>
      <c r="K425" s="28">
        <v>32</v>
      </c>
      <c r="L425" s="28">
        <v>0</v>
      </c>
      <c r="M425" s="28">
        <v>2</v>
      </c>
      <c r="N425" s="34"/>
      <c r="O425" s="34"/>
      <c r="P425" s="34"/>
      <c r="Q425" s="34"/>
      <c r="R425" s="34"/>
      <c r="S425" s="34"/>
      <c r="T425" s="34"/>
      <c r="U425" s="34"/>
      <c r="V425" s="34"/>
      <c r="W425" s="29" t="s">
        <v>164</v>
      </c>
      <c r="X425" s="28">
        <v>30</v>
      </c>
      <c r="Y425" s="28">
        <v>1</v>
      </c>
      <c r="Z425" s="28">
        <v>2</v>
      </c>
      <c r="AA425" s="28">
        <v>2</v>
      </c>
      <c r="AB425" s="28">
        <v>1</v>
      </c>
      <c r="AC425" s="28">
        <v>2</v>
      </c>
      <c r="AD425" s="28">
        <v>2</v>
      </c>
      <c r="AE425" s="28">
        <v>4</v>
      </c>
      <c r="AF425" s="28">
        <v>3</v>
      </c>
      <c r="AG425" s="28">
        <v>2</v>
      </c>
      <c r="AH425" s="29" t="s">
        <v>2218</v>
      </c>
      <c r="AI425" s="36">
        <f>if(or(and(K425&lt;32, J425&lt;2), O425=1, P425=1, Q425=1, R425=1, S425=1, T425=1, U425=1, and(W425&lt;&gt;"", W425&lt;&gt;"Oxygen", W425&lt;&gt;"LowFlow")), "Intensive", "Intermediate")</f>
      </c>
      <c r="AJ425" s="37">
        <f>if(or(left(AH425, 1)="X", left(AH425, 1)="Y", left(AH425, 3)="J39M"), "CUSM", "No Match")</f>
      </c>
      <c r="AK425" s="37">
        <f>if(and(or(O425=3, P425=1, Q425=1, T425=1), AJ425="no Match"), "CUSM, CHU SJ, CHUQ", "")</f>
      </c>
      <c r="AL425" s="37">
        <f>IF(AND(O426=2, ISBLANK(P426), ISBLANK(Q426), ISBLANK(R426), ISBLANK(S426), ISBLANK(T426)), "CUSM, CHU SJ, CHUS, CHUQ", "")</f>
      </c>
      <c r="AM425" s="37">
        <f>if(and(AJ425="no match", AK425="", AL425="", K425&lt;26), "CUSM, CHU SJ, HGJ, CHUQ, CHUS", "")</f>
      </c>
      <c r="AN425" s="37">
        <f>if(and(AJ425="no match", AK425="", AL425="", K425&gt;26), "CUSM, CHU SJ, HGJ, CHUQ, CHUS, HMR", "")</f>
      </c>
    </row>
    <row x14ac:dyDescent="0.25" r="426" customHeight="1" ht="17.25">
      <c r="A426" s="27" t="s">
        <v>2219</v>
      </c>
      <c r="B426" s="28">
        <v>2</v>
      </c>
      <c r="C426" s="35">
        <v>839</v>
      </c>
      <c r="D426" s="29" t="s">
        <v>53</v>
      </c>
      <c r="E426" s="30" t="s">
        <v>78</v>
      </c>
      <c r="F426" s="31">
        <v>44419</v>
      </c>
      <c r="G426" s="32">
        <v>4.833333333333334</v>
      </c>
      <c r="H426" s="31">
        <v>44418</v>
      </c>
      <c r="I426" s="32">
        <v>4.88125</v>
      </c>
      <c r="J426" s="33">
        <f>F426-H426</f>
      </c>
      <c r="K426" s="28">
        <v>40</v>
      </c>
      <c r="L426" s="28">
        <v>5</v>
      </c>
      <c r="M426" s="28">
        <v>2</v>
      </c>
      <c r="N426" s="34"/>
      <c r="O426" s="34"/>
      <c r="P426" s="34"/>
      <c r="Q426" s="34"/>
      <c r="R426" s="34"/>
      <c r="S426" s="34"/>
      <c r="T426" s="34"/>
      <c r="U426" s="34"/>
      <c r="V426" s="34"/>
      <c r="W426" s="29"/>
      <c r="X426" s="28">
        <v>38</v>
      </c>
      <c r="Y426" s="28">
        <v>1</v>
      </c>
      <c r="Z426" s="28">
        <v>1</v>
      </c>
      <c r="AA426" s="28">
        <v>2</v>
      </c>
      <c r="AB426" s="28">
        <v>1</v>
      </c>
      <c r="AC426" s="28">
        <v>2</v>
      </c>
      <c r="AD426" s="28">
        <v>2</v>
      </c>
      <c r="AE426" s="28">
        <v>4</v>
      </c>
      <c r="AF426" s="28">
        <v>2</v>
      </c>
      <c r="AG426" s="28">
        <v>2</v>
      </c>
      <c r="AH426" s="29" t="s">
        <v>2220</v>
      </c>
      <c r="AI426" s="36">
        <f>if(or(and(K426&lt;32, J426&lt;2), O426=1, P426=1, Q426=1, R426=1, S426=1, T426=1, U426=1, and(W426&lt;&gt;"", W426&lt;&gt;"Oxygen", W426&lt;&gt;"LowFlow")), "Intensive", "Intermediate")</f>
      </c>
      <c r="AJ426" s="37">
        <f>if(or(left(AH426, 1)="X", left(AH426, 1)="Y", left(AH426, 3)="J40M"), "CUSM", "No Match")</f>
      </c>
      <c r="AK426" s="37">
        <f>if(and(or(O426=3, P426=1, Q426=1, T426=1), AJ426="no Match"), "CUSM, CHU SJ, CHUQ", "")</f>
      </c>
      <c r="AL426" s="37">
        <f>IF(AND(O427=2, ISBLANK(P427), ISBLANK(Q427), ISBLANK(R427), ISBLANK(S427), ISBLANK(T427)), "CUSM, CHU SJ, CHUS, CHUQ", "")</f>
      </c>
      <c r="AM426" s="37">
        <f>if(and(AJ426="no match", AK426="", AL426="", K426&lt;26), "CUSM, CHU SJ, HGJ, CHUQ, CHUS", "")</f>
      </c>
      <c r="AN426" s="37">
        <f>if(and(AJ426="no match", AK426="", AL426="", K426&gt;26), "CUSM, CHU SJ, HGJ, CHUQ, CHUS, HMR", "")</f>
      </c>
    </row>
    <row x14ac:dyDescent="0.25" r="427" customHeight="1" ht="17.25">
      <c r="A427" s="27" t="s">
        <v>2221</v>
      </c>
      <c r="B427" s="28">
        <v>2</v>
      </c>
      <c r="C427" s="28">
        <v>817</v>
      </c>
      <c r="D427" s="29" t="s">
        <v>163</v>
      </c>
      <c r="E427" s="30" t="s">
        <v>50</v>
      </c>
      <c r="F427" s="31">
        <v>44419</v>
      </c>
      <c r="G427" s="32">
        <v>4.277777777777778</v>
      </c>
      <c r="H427" s="31">
        <v>44417</v>
      </c>
      <c r="I427" s="32">
        <v>4.70625</v>
      </c>
      <c r="J427" s="33">
        <f>F427-H427</f>
      </c>
      <c r="K427" s="28">
        <v>38</v>
      </c>
      <c r="L427" s="28">
        <v>4</v>
      </c>
      <c r="M427" s="28">
        <v>1</v>
      </c>
      <c r="N427" s="35">
        <v>1</v>
      </c>
      <c r="O427" s="35">
        <v>2</v>
      </c>
      <c r="P427" s="35">
        <v>1</v>
      </c>
      <c r="Q427" s="35">
        <v>1</v>
      </c>
      <c r="R427" s="34"/>
      <c r="S427" s="34"/>
      <c r="T427" s="34"/>
      <c r="U427" s="34"/>
      <c r="V427" s="34"/>
      <c r="W427" s="29"/>
      <c r="X427" s="28">
        <v>29</v>
      </c>
      <c r="Y427" s="28">
        <v>1</v>
      </c>
      <c r="Z427" s="28">
        <v>2</v>
      </c>
      <c r="AA427" s="28">
        <v>2</v>
      </c>
      <c r="AB427" s="28">
        <v>1</v>
      </c>
      <c r="AC427" s="28">
        <v>2</v>
      </c>
      <c r="AD427" s="28">
        <v>2</v>
      </c>
      <c r="AE427" s="28">
        <v>4</v>
      </c>
      <c r="AF427" s="28">
        <v>2</v>
      </c>
      <c r="AG427" s="28">
        <v>2</v>
      </c>
      <c r="AH427" s="29" t="s">
        <v>1249</v>
      </c>
      <c r="AI427" s="36">
        <f>if(or(and(K427&lt;32, J427&lt;2), O427=1, P427=1, Q427=1, R427=1, S427=1, T427=1, U427=1, and(W427&lt;&gt;"", W427&lt;&gt;"Oxygen", W427&lt;&gt;"LowFlow")), "Intensive", "Intermediate")</f>
      </c>
      <c r="AJ427" s="37">
        <f>if(or(left(AH427, 1)="X", left(AH427, 1)="Y", left(AH427, 3)="J41M"), "CUSM", "No Match")</f>
      </c>
      <c r="AK427" s="37">
        <f>if(and(or(O427=3, P427=1, Q427=1, T427=1), AJ427="no Match"), "CUSM, CHU SJ, CHUQ", "")</f>
      </c>
      <c r="AL427" s="37">
        <f>IF(AND(O428=2, ISBLANK(P428), ISBLANK(Q428), ISBLANK(R428), ISBLANK(S428), ISBLANK(T428)), "CUSM, CHU SJ, CHUS, CHUQ", "")</f>
      </c>
      <c r="AM427" s="37">
        <f>if(and(AJ427="no match", AK427="", AL427="", K427&lt;26), "CUSM, CHU SJ, HGJ, CHUQ, CHUS", "")</f>
      </c>
      <c r="AN427" s="37">
        <f>if(and(AJ427="no match", AK427="", AL427="", K427&gt;26), "CUSM, CHU SJ, HGJ, CHUQ, CHUS, HMR", "")</f>
      </c>
    </row>
    <row x14ac:dyDescent="0.25" r="428" customHeight="1" ht="17.25">
      <c r="A428" s="27" t="s">
        <v>2222</v>
      </c>
      <c r="B428" s="28">
        <v>2</v>
      </c>
      <c r="C428" s="28">
        <v>779</v>
      </c>
      <c r="D428" s="29" t="s">
        <v>136</v>
      </c>
      <c r="E428" s="30" t="s">
        <v>54</v>
      </c>
      <c r="F428" s="31">
        <v>44420</v>
      </c>
      <c r="G428" s="32">
        <v>4.003472222222222</v>
      </c>
      <c r="H428" s="31">
        <v>44419</v>
      </c>
      <c r="I428" s="32">
        <v>4.8597222222222225</v>
      </c>
      <c r="J428" s="33">
        <f>F428-H428</f>
      </c>
      <c r="K428" s="28">
        <v>38</v>
      </c>
      <c r="L428" s="28">
        <v>3</v>
      </c>
      <c r="M428" s="28">
        <v>2</v>
      </c>
      <c r="N428" s="34"/>
      <c r="O428" s="38"/>
      <c r="P428" s="34"/>
      <c r="Q428" s="38"/>
      <c r="R428" s="34"/>
      <c r="S428" s="34"/>
      <c r="T428" s="35">
        <v>1</v>
      </c>
      <c r="U428" s="34"/>
      <c r="V428" s="34"/>
      <c r="W428" s="29" t="s">
        <v>74</v>
      </c>
      <c r="X428" s="28">
        <v>32</v>
      </c>
      <c r="Y428" s="28">
        <v>1</v>
      </c>
      <c r="Z428" s="28">
        <v>1</v>
      </c>
      <c r="AA428" s="28">
        <v>1</v>
      </c>
      <c r="AB428" s="28">
        <v>1</v>
      </c>
      <c r="AC428" s="28">
        <v>2</v>
      </c>
      <c r="AD428" s="28">
        <v>2</v>
      </c>
      <c r="AE428" s="28">
        <v>4</v>
      </c>
      <c r="AF428" s="28">
        <v>2</v>
      </c>
      <c r="AG428" s="28">
        <v>2</v>
      </c>
      <c r="AH428" s="29" t="s">
        <v>2223</v>
      </c>
      <c r="AI428" s="36">
        <f>if(or(and(K428&lt;32, J428&lt;2), O428=1, P428=1, Q428=1, R428=1, S428=1, T428=1, U428=1, and(W428&lt;&gt;"", W428&lt;&gt;"Oxygen", W428&lt;&gt;"LowFlow")), "Intensive", "Intermediate")</f>
      </c>
      <c r="AJ428" s="37">
        <f>if(or(left(AH428, 1)="X", left(AH428, 1)="Y", left(AH428, 3)="J42M"), "CUSM", "No Match")</f>
      </c>
      <c r="AK428" s="37">
        <f>if(and(or(O428=3, P428=1, Q428=1, T428=1), AJ428="no Match"), "CUSM, CHU SJ, CHUQ", "")</f>
      </c>
      <c r="AL428" s="37">
        <f>IF(AND(O429=2, ISBLANK(P429), ISBLANK(Q429), ISBLANK(R429), ISBLANK(S429), ISBLANK(T429)), "CUSM, CHU SJ, CHUS, CHUQ", "")</f>
      </c>
      <c r="AM428" s="37">
        <f>if(and(AJ428="no match", AK428="", AL428="", K428&lt;26), "CUSM, CHU SJ, HGJ, CHUQ, CHUS", "")</f>
      </c>
      <c r="AN428" s="37">
        <f>if(and(AJ428="no match", AK428="", AL428="", K428&gt;26), "CUSM, CHU SJ, HGJ, CHUQ, CHUS, HMR", "")</f>
      </c>
    </row>
    <row x14ac:dyDescent="0.25" r="429" customHeight="1" ht="17.25">
      <c r="A429" s="27" t="s">
        <v>2224</v>
      </c>
      <c r="B429" s="28">
        <v>2</v>
      </c>
      <c r="C429" s="35">
        <v>820</v>
      </c>
      <c r="D429" s="29" t="s">
        <v>69</v>
      </c>
      <c r="E429" s="30" t="s">
        <v>50</v>
      </c>
      <c r="F429" s="31">
        <v>44421</v>
      </c>
      <c r="G429" s="32">
        <v>4.6875</v>
      </c>
      <c r="H429" s="31">
        <v>44421</v>
      </c>
      <c r="I429" s="32">
        <v>4.427083333333334</v>
      </c>
      <c r="J429" s="33">
        <f>F429-H429</f>
      </c>
      <c r="K429" s="28">
        <v>40</v>
      </c>
      <c r="L429" s="28">
        <v>0</v>
      </c>
      <c r="M429" s="28">
        <v>1</v>
      </c>
      <c r="N429" s="34"/>
      <c r="O429" s="34"/>
      <c r="P429" s="34"/>
      <c r="Q429" s="34"/>
      <c r="R429" s="34"/>
      <c r="S429" s="34"/>
      <c r="T429" s="35">
        <v>1</v>
      </c>
      <c r="U429" s="34"/>
      <c r="V429" s="34"/>
      <c r="W429" s="29" t="s">
        <v>74</v>
      </c>
      <c r="X429" s="28">
        <v>30</v>
      </c>
      <c r="Y429" s="28">
        <v>1</v>
      </c>
      <c r="Z429" s="28">
        <v>1</v>
      </c>
      <c r="AA429" s="28">
        <v>1</v>
      </c>
      <c r="AB429" s="28">
        <v>3</v>
      </c>
      <c r="AC429" s="28">
        <v>2</v>
      </c>
      <c r="AD429" s="28">
        <v>2</v>
      </c>
      <c r="AE429" s="28">
        <v>4</v>
      </c>
      <c r="AF429" s="28">
        <v>1</v>
      </c>
      <c r="AG429" s="28">
        <v>2</v>
      </c>
      <c r="AH429" s="29" t="s">
        <v>2225</v>
      </c>
      <c r="AI429" s="36">
        <f>if(or(and(K429&lt;32, J429&lt;2), O429=1, P429=1, Q429=1, R429=1, S429=1, T429=1, U429=1, and(W429&lt;&gt;"", W429&lt;&gt;"Oxygen", W429&lt;&gt;"LowFlow")), "Intensive", "Intermediate")</f>
      </c>
      <c r="AJ429" s="37">
        <f>if(or(left(AH429, 1)="X", left(AH429, 1)="Y", left(AH429, 3)="J43M"), "CUSM", "No Match")</f>
      </c>
      <c r="AK429" s="37">
        <f>if(and(or(O429=3, P429=1, Q429=1, T429=1), AJ429="no Match"), "CUSM, CHU SJ, CHUQ", "")</f>
      </c>
      <c r="AL429" s="37">
        <f>IF(AND(O430=2, ISBLANK(P430), ISBLANK(Q430), ISBLANK(R430), ISBLANK(S430), ISBLANK(T430)), "CUSM, CHU SJ, CHUS, CHUQ", "")</f>
      </c>
      <c r="AM429" s="37">
        <f>if(and(AJ429="no match", AK429="", AL429="", K429&lt;26), "CUSM, CHU SJ, HGJ, CHUQ, CHUS", "")</f>
      </c>
      <c r="AN429" s="37">
        <f>if(and(AJ429="no match", AK429="", AL429="", K429&gt;26), "CUSM, CHU SJ, HGJ, CHUQ, CHUS, HMR", "")</f>
      </c>
    </row>
    <row x14ac:dyDescent="0.25" r="430" customHeight="1" ht="17.25">
      <c r="A430" s="27" t="s">
        <v>2226</v>
      </c>
      <c r="B430" s="28">
        <v>2</v>
      </c>
      <c r="C430" s="28">
        <v>824</v>
      </c>
      <c r="D430" s="29" t="s">
        <v>57</v>
      </c>
      <c r="E430" s="30" t="s">
        <v>50</v>
      </c>
      <c r="F430" s="31">
        <v>44421</v>
      </c>
      <c r="G430" s="32">
        <v>4.631944444444445</v>
      </c>
      <c r="H430" s="31">
        <v>44418</v>
      </c>
      <c r="I430" s="32">
        <v>4.914583333333333</v>
      </c>
      <c r="J430" s="33">
        <f>F430-H430</f>
      </c>
      <c r="K430" s="28">
        <v>38</v>
      </c>
      <c r="L430" s="28">
        <v>2</v>
      </c>
      <c r="M430" s="28">
        <v>2</v>
      </c>
      <c r="N430" s="34"/>
      <c r="O430" s="34"/>
      <c r="P430" s="34"/>
      <c r="Q430" s="34"/>
      <c r="R430" s="34"/>
      <c r="S430" s="34"/>
      <c r="T430" s="34"/>
      <c r="U430" s="34"/>
      <c r="V430" s="34"/>
      <c r="W430" s="29"/>
      <c r="X430" s="28">
        <v>27</v>
      </c>
      <c r="Y430" s="28">
        <v>1</v>
      </c>
      <c r="Z430" s="28">
        <v>1</v>
      </c>
      <c r="AA430" s="28">
        <v>2</v>
      </c>
      <c r="AB430" s="28">
        <v>1</v>
      </c>
      <c r="AC430" s="28">
        <v>2</v>
      </c>
      <c r="AD430" s="28">
        <v>1</v>
      </c>
      <c r="AE430" s="28">
        <v>4</v>
      </c>
      <c r="AF430" s="28">
        <v>2</v>
      </c>
      <c r="AG430" s="28">
        <v>2</v>
      </c>
      <c r="AH430" s="29" t="s">
        <v>2227</v>
      </c>
      <c r="AI430" s="36">
        <f>if(or(and(K430&lt;32, J430&lt;2), O430=1, P430=1, Q430=1, R430=1, S430=1, T430=1, U430=1, and(W430&lt;&gt;"", W430&lt;&gt;"Oxygen", W430&lt;&gt;"LowFlow")), "Intensive", "Intermediate")</f>
      </c>
      <c r="AJ430" s="37">
        <f>if(or(left(AH430, 1)="X", left(AH430, 1)="Y", left(AH430, 3)="J44M"), "CUSM", "No Match")</f>
      </c>
      <c r="AK430" s="37">
        <f>if(and(or(O430=3, P430=1, Q430=1, T430=1), AJ430="no Match"), "CUSM, CHU SJ, CHUQ", "")</f>
      </c>
      <c r="AL430" s="37">
        <f>IF(AND(O431=2, ISBLANK(P431), ISBLANK(Q431), ISBLANK(R431), ISBLANK(S431), ISBLANK(T431)), "CUSM, CHU SJ, CHUS, CHUQ", "")</f>
      </c>
      <c r="AM430" s="37">
        <f>if(and(AJ430="no match", AK430="", AL430="", K430&lt;26), "CUSM, CHU SJ, HGJ, CHUQ, CHUS", "")</f>
      </c>
      <c r="AN430" s="37">
        <f>if(and(AJ430="no match", AK430="", AL430="", K430&gt;26), "CUSM, CHU SJ, HGJ, CHUQ, CHUS, HMR", "")</f>
      </c>
    </row>
    <row x14ac:dyDescent="0.25" r="431" customHeight="1" ht="17.25">
      <c r="A431" s="27" t="s">
        <v>2228</v>
      </c>
      <c r="B431" s="28">
        <v>2</v>
      </c>
      <c r="C431" s="35">
        <v>779</v>
      </c>
      <c r="D431" s="29" t="s">
        <v>136</v>
      </c>
      <c r="E431" s="30" t="s">
        <v>54</v>
      </c>
      <c r="F431" s="31">
        <v>44422</v>
      </c>
      <c r="G431" s="32">
        <v>4.25</v>
      </c>
      <c r="H431" s="31">
        <v>44421</v>
      </c>
      <c r="I431" s="32">
        <v>4.154166666666667</v>
      </c>
      <c r="J431" s="33">
        <f>F431-H431</f>
      </c>
      <c r="K431" s="28">
        <v>39</v>
      </c>
      <c r="L431" s="28">
        <v>3</v>
      </c>
      <c r="M431" s="28">
        <v>1</v>
      </c>
      <c r="N431" s="35">
        <v>1</v>
      </c>
      <c r="O431" s="34"/>
      <c r="P431" s="34"/>
      <c r="Q431" s="34"/>
      <c r="R431" s="34"/>
      <c r="S431" s="34"/>
      <c r="T431" s="34"/>
      <c r="U431" s="34"/>
      <c r="V431" s="38"/>
      <c r="W431" s="29"/>
      <c r="X431" s="28">
        <v>27</v>
      </c>
      <c r="Y431" s="28">
        <v>1</v>
      </c>
      <c r="Z431" s="28">
        <v>1</v>
      </c>
      <c r="AA431" s="28">
        <v>2</v>
      </c>
      <c r="AB431" s="28">
        <v>1</v>
      </c>
      <c r="AC431" s="28">
        <v>2</v>
      </c>
      <c r="AD431" s="28">
        <v>2</v>
      </c>
      <c r="AE431" s="28">
        <v>4</v>
      </c>
      <c r="AF431" s="28">
        <v>2</v>
      </c>
      <c r="AG431" s="28">
        <v>2</v>
      </c>
      <c r="AH431" s="29" t="s">
        <v>727</v>
      </c>
      <c r="AI431" s="36">
        <f>if(or(and(K431&lt;32, J431&lt;2), O431=1, P431=1, Q431=1, R431=1, S431=1, T431=1, U431=1, and(W431&lt;&gt;"", W431&lt;&gt;"Oxygen", W431&lt;&gt;"LowFlow")), "Intensive", "Intermediate")</f>
      </c>
      <c r="AJ431" s="37">
        <f>if(or(left(AH431, 1)="X", left(AH431, 1)="Y", left(AH431, 3)="J45M"), "CUSM", "No Match")</f>
      </c>
      <c r="AK431" s="37">
        <f>if(and(or(O431=3, P431=1, Q431=1, T431=1), AJ431="no Match"), "CUSM, CHU SJ, CHUQ", "")</f>
      </c>
      <c r="AL431" s="37">
        <f>IF(AND(O432=2, ISBLANK(P432), ISBLANK(Q432), ISBLANK(R432), ISBLANK(S432), ISBLANK(T432)), "CUSM, CHU SJ, CHUS, CHUQ", "")</f>
      </c>
      <c r="AM431" s="37">
        <f>if(and(AJ431="no match", AK431="", AL431="", K431&lt;26), "CUSM, CHU SJ, HGJ, CHUQ, CHUS", "")</f>
      </c>
      <c r="AN431" s="37">
        <f>if(and(AJ431="no match", AK431="", AL431="", K431&gt;26), "CUSM, CHU SJ, HGJ, CHUQ, CHUS, HMR", "")</f>
      </c>
    </row>
    <row x14ac:dyDescent="0.25" r="432" customHeight="1" ht="17.25">
      <c r="A432" s="27" t="s">
        <v>2229</v>
      </c>
      <c r="B432" s="28">
        <v>2</v>
      </c>
      <c r="C432" s="35">
        <v>833</v>
      </c>
      <c r="D432" s="29" t="s">
        <v>376</v>
      </c>
      <c r="E432" s="30" t="s">
        <v>50</v>
      </c>
      <c r="F432" s="31">
        <v>44422</v>
      </c>
      <c r="G432" s="32">
        <v>4.038194444444445</v>
      </c>
      <c r="H432" s="31">
        <v>44420</v>
      </c>
      <c r="I432" s="32">
        <v>4.335416666666667</v>
      </c>
      <c r="J432" s="33">
        <f>F432-H432</f>
      </c>
      <c r="K432" s="28">
        <v>40</v>
      </c>
      <c r="L432" s="28">
        <v>0</v>
      </c>
      <c r="M432" s="28">
        <v>1</v>
      </c>
      <c r="N432" s="34"/>
      <c r="O432" s="34"/>
      <c r="P432" s="34"/>
      <c r="Q432" s="34"/>
      <c r="R432" s="34"/>
      <c r="S432" s="34"/>
      <c r="T432" s="34"/>
      <c r="U432" s="34"/>
      <c r="V432" s="34"/>
      <c r="W432" s="29"/>
      <c r="X432" s="28">
        <v>32</v>
      </c>
      <c r="Y432" s="28">
        <v>1</v>
      </c>
      <c r="Z432" s="28">
        <v>2</v>
      </c>
      <c r="AA432" s="28">
        <v>2</v>
      </c>
      <c r="AB432" s="28">
        <v>1</v>
      </c>
      <c r="AC432" s="28">
        <v>2</v>
      </c>
      <c r="AD432" s="28">
        <v>1</v>
      </c>
      <c r="AE432" s="28">
        <v>4</v>
      </c>
      <c r="AF432" s="28">
        <v>2</v>
      </c>
      <c r="AG432" s="28">
        <v>2</v>
      </c>
      <c r="AH432" s="29" t="s">
        <v>2230</v>
      </c>
      <c r="AI432" s="36">
        <f>if(or(and(K432&lt;32, J432&lt;2), O432=1, P432=1, Q432=1, R432=1, S432=1, T432=1, U432=1, and(W432&lt;&gt;"", W432&lt;&gt;"Oxygen", W432&lt;&gt;"LowFlow")), "Intensive", "Intermediate")</f>
      </c>
      <c r="AJ432" s="37">
        <f>if(or(left(AH432, 1)="X", left(AH432, 1)="Y", left(AH432, 3)="J46M"), "CUSM", "No Match")</f>
      </c>
      <c r="AK432" s="37">
        <f>if(and(or(O432=3, P432=1, Q432=1, T432=1), AJ432="no Match"), "CUSM, CHU SJ, CHUQ", "")</f>
      </c>
      <c r="AL432" s="37">
        <f>IF(AND(O433=2, ISBLANK(P433), ISBLANK(Q433), ISBLANK(R433), ISBLANK(S433), ISBLANK(T433)), "CUSM, CHU SJ, CHUS, CHUQ", "")</f>
      </c>
      <c r="AM432" s="37">
        <f>if(and(AJ432="no match", AK432="", AL432="", K432&lt;26), "CUSM, CHU SJ, HGJ, CHUQ, CHUS", "")</f>
      </c>
      <c r="AN432" s="37">
        <f>if(and(AJ432="no match", AK432="", AL432="", K432&gt;26), "CUSM, CHU SJ, HGJ, CHUQ, CHUS, HMR", "")</f>
      </c>
    </row>
    <row x14ac:dyDescent="0.25" r="433" customHeight="1" ht="17.25">
      <c r="A433" s="27" t="s">
        <v>2231</v>
      </c>
      <c r="B433" s="28">
        <v>2</v>
      </c>
      <c r="C433" s="35">
        <v>822</v>
      </c>
      <c r="D433" s="29" t="s">
        <v>167</v>
      </c>
      <c r="E433" s="30" t="s">
        <v>50</v>
      </c>
      <c r="F433" s="31">
        <v>44423</v>
      </c>
      <c r="G433" s="32">
        <v>4.763888888888889</v>
      </c>
      <c r="H433" s="31">
        <v>44423</v>
      </c>
      <c r="I433" s="32">
        <v>4.449305555555556</v>
      </c>
      <c r="J433" s="33">
        <f>F433-H433</f>
      </c>
      <c r="K433" s="28">
        <v>39</v>
      </c>
      <c r="L433" s="28">
        <v>5</v>
      </c>
      <c r="M433" s="28">
        <v>1</v>
      </c>
      <c r="N433" s="35">
        <v>1</v>
      </c>
      <c r="O433" s="34"/>
      <c r="P433" s="34"/>
      <c r="Q433" s="34"/>
      <c r="R433" s="34"/>
      <c r="S433" s="34"/>
      <c r="T433" s="34"/>
      <c r="U433" s="34"/>
      <c r="V433" s="34"/>
      <c r="W433" s="29"/>
      <c r="X433" s="28">
        <v>34</v>
      </c>
      <c r="Y433" s="28">
        <v>1</v>
      </c>
      <c r="Z433" s="28">
        <v>1</v>
      </c>
      <c r="AA433" s="28">
        <v>2</v>
      </c>
      <c r="AB433" s="28">
        <v>4</v>
      </c>
      <c r="AC433" s="28">
        <v>2</v>
      </c>
      <c r="AD433" s="28">
        <v>2</v>
      </c>
      <c r="AE433" s="28">
        <v>4</v>
      </c>
      <c r="AF433" s="28">
        <v>2</v>
      </c>
      <c r="AG433" s="28">
        <v>2</v>
      </c>
      <c r="AH433" s="29" t="s">
        <v>2232</v>
      </c>
      <c r="AI433" s="36">
        <f>if(or(and(K433&lt;32, J433&lt;2), O433=1, P433=1, Q433=1, R433=1, S433=1, T433=1, U433=1, and(W433&lt;&gt;"", W433&lt;&gt;"Oxygen", W433&lt;&gt;"LowFlow")), "Intensive", "Intermediate")</f>
      </c>
      <c r="AJ433" s="37">
        <f>if(or(left(AH433, 1)="X", left(AH433, 1)="Y", left(AH433, 3)="J47M"), "CUSM", "No Match")</f>
      </c>
      <c r="AK433" s="37">
        <f>if(and(or(O433=3, P433=1, Q433=1, T433=1), AJ433="no Match"), "CUSM, CHU SJ, CHUQ", "")</f>
      </c>
      <c r="AL433" s="37">
        <f>IF(AND(O434=2, ISBLANK(P434), ISBLANK(Q434), ISBLANK(R434), ISBLANK(S434), ISBLANK(T434)), "CUSM, CHU SJ, CHUS, CHUQ", "")</f>
      </c>
      <c r="AM433" s="37">
        <f>if(and(AJ433="no match", AK433="", AL433="", K433&lt;26), "CUSM, CHU SJ, HGJ, CHUQ, CHUS", "")</f>
      </c>
      <c r="AN433" s="37">
        <f>if(and(AJ433="no match", AK433="", AL433="", K433&gt;26), "CUSM, CHU SJ, HGJ, CHUQ, CHUS, HMR", "")</f>
      </c>
    </row>
    <row x14ac:dyDescent="0.25" r="434" customHeight="1" ht="17.25">
      <c r="A434" s="27" t="s">
        <v>2233</v>
      </c>
      <c r="B434" s="28">
        <v>2</v>
      </c>
      <c r="C434" s="35">
        <v>780</v>
      </c>
      <c r="D434" s="29" t="s">
        <v>190</v>
      </c>
      <c r="E434" s="30" t="s">
        <v>118</v>
      </c>
      <c r="F434" s="31">
        <v>44424</v>
      </c>
      <c r="G434" s="32">
        <v>4.600694444444445</v>
      </c>
      <c r="H434" s="31">
        <v>44424</v>
      </c>
      <c r="I434" s="32">
        <v>4.33125</v>
      </c>
      <c r="J434" s="33">
        <f>F434-H434</f>
      </c>
      <c r="K434" s="28">
        <v>32</v>
      </c>
      <c r="L434" s="28">
        <v>5</v>
      </c>
      <c r="M434" s="28">
        <v>1</v>
      </c>
      <c r="N434" s="34"/>
      <c r="O434" s="34"/>
      <c r="P434" s="34"/>
      <c r="Q434" s="34"/>
      <c r="R434" s="34"/>
      <c r="S434" s="34"/>
      <c r="T434" s="35">
        <v>1</v>
      </c>
      <c r="U434" s="35">
        <v>1</v>
      </c>
      <c r="V434" s="35">
        <v>1</v>
      </c>
      <c r="W434" s="29" t="s">
        <v>74</v>
      </c>
      <c r="X434" s="28">
        <v>39</v>
      </c>
      <c r="Y434" s="28">
        <v>1</v>
      </c>
      <c r="Z434" s="28">
        <v>2</v>
      </c>
      <c r="AA434" s="28">
        <v>2</v>
      </c>
      <c r="AB434" s="28">
        <v>1</v>
      </c>
      <c r="AC434" s="28">
        <v>1</v>
      </c>
      <c r="AD434" s="28">
        <v>2</v>
      </c>
      <c r="AE434" s="28">
        <v>4</v>
      </c>
      <c r="AF434" s="28">
        <v>3</v>
      </c>
      <c r="AG434" s="28">
        <v>1</v>
      </c>
      <c r="AH434" s="29" t="s">
        <v>2234</v>
      </c>
      <c r="AI434" s="36">
        <f>if(or(and(K434&lt;32, J434&lt;2), O434=1, P434=1, Q434=1, R434=1, S434=1, T434=1, U434=1, and(W434&lt;&gt;"", W434&lt;&gt;"Oxygen", W434&lt;&gt;"LowFlow")), "Intensive", "Intermediate")</f>
      </c>
      <c r="AJ434" s="37">
        <f>if(or(left(AH434, 1)="X", left(AH434, 1)="Y", left(AH434, 3)="J48M"), "CUSM", "No Match")</f>
      </c>
      <c r="AK434" s="37">
        <f>if(and(or(O434=3, P434=1, Q434=1, T434=1), AJ434="no Match"), "CUSM, CHU SJ, CHUQ", "")</f>
      </c>
      <c r="AL434" s="37">
        <f>IF(AND(O435=2, ISBLANK(P435), ISBLANK(Q435), ISBLANK(R435), ISBLANK(S435), ISBLANK(T435)), "CUSM, CHU SJ, CHUS, CHUQ", "")</f>
      </c>
      <c r="AM434" s="37">
        <f>if(and(AJ434="no match", AK434="", AL434="", K434&lt;26), "CUSM, CHU SJ, HGJ, CHUQ, CHUS", "")</f>
      </c>
      <c r="AN434" s="37">
        <f>if(and(AJ434="no match", AK434="", AL434="", K434&gt;26), "CUSM, CHU SJ, HGJ, CHUQ, CHUS, HMR", "")</f>
      </c>
    </row>
    <row x14ac:dyDescent="0.25" r="435" customHeight="1" ht="17.25">
      <c r="A435" s="27" t="s">
        <v>2235</v>
      </c>
      <c r="B435" s="28">
        <v>2</v>
      </c>
      <c r="C435" s="35">
        <v>796</v>
      </c>
      <c r="D435" s="29" t="s">
        <v>63</v>
      </c>
      <c r="E435" s="30" t="s">
        <v>54</v>
      </c>
      <c r="F435" s="31">
        <v>44424</v>
      </c>
      <c r="G435" s="32">
        <v>4.8805555555555555</v>
      </c>
      <c r="H435" s="31">
        <v>44422</v>
      </c>
      <c r="I435" s="32">
        <v>4.48125</v>
      </c>
      <c r="J435" s="33">
        <f>F435-H435</f>
      </c>
      <c r="K435" s="28">
        <v>37</v>
      </c>
      <c r="L435" s="28">
        <v>1</v>
      </c>
      <c r="M435" s="28">
        <v>1</v>
      </c>
      <c r="N435" s="35">
        <v>1</v>
      </c>
      <c r="O435" s="34"/>
      <c r="P435" s="35">
        <v>1</v>
      </c>
      <c r="Q435" s="34"/>
      <c r="R435" s="34"/>
      <c r="S435" s="34"/>
      <c r="T435" s="34"/>
      <c r="U435" s="34"/>
      <c r="V435" s="34"/>
      <c r="W435" s="29"/>
      <c r="X435" s="28">
        <v>33</v>
      </c>
      <c r="Y435" s="28">
        <v>1</v>
      </c>
      <c r="Z435" s="28">
        <v>1</v>
      </c>
      <c r="AA435" s="28">
        <v>1</v>
      </c>
      <c r="AB435" s="28">
        <v>1</v>
      </c>
      <c r="AC435" s="28">
        <v>1</v>
      </c>
      <c r="AD435" s="28">
        <v>1</v>
      </c>
      <c r="AE435" s="28">
        <v>4</v>
      </c>
      <c r="AF435" s="28">
        <v>2</v>
      </c>
      <c r="AG435" s="28">
        <v>2</v>
      </c>
      <c r="AH435" s="29" t="s">
        <v>2236</v>
      </c>
      <c r="AI435" s="36">
        <f>if(or(and(K435&lt;32, J435&lt;2), O435=1, P435=1, Q435=1, R435=1, S435=1, T435=1, U435=1, and(W435&lt;&gt;"", W435&lt;&gt;"Oxygen", W435&lt;&gt;"LowFlow")), "Intensive", "Intermediate")</f>
      </c>
      <c r="AJ435" s="37">
        <f>if(or(left(AH435, 1)="X", left(AH435, 1)="Y", left(AH435, 3)="J49M"), "CUSM", "No Match")</f>
      </c>
      <c r="AK435" s="37">
        <f>if(and(or(O435=3, P435=1, Q435=1, T435=1), AJ435="no Match"), "CUSM, CHU SJ, CHUQ", "")</f>
      </c>
      <c r="AL435" s="37">
        <f>IF(AND(O436=2, ISBLANK(P436), ISBLANK(Q436), ISBLANK(R436), ISBLANK(S436), ISBLANK(T436)), "CUSM, CHU SJ, CHUS, CHUQ", "")</f>
      </c>
      <c r="AM435" s="37">
        <f>if(and(AJ435="no match", AK435="", AL435="", K435&lt;26), "CUSM, CHU SJ, HGJ, CHUQ, CHUS", "")</f>
      </c>
      <c r="AN435" s="37">
        <f>if(and(AJ435="no match", AK435="", AL435="", K435&gt;26), "CUSM, CHU SJ, HGJ, CHUQ, CHUS, HMR", "")</f>
      </c>
    </row>
    <row x14ac:dyDescent="0.25" r="436" customHeight="1" ht="17.25">
      <c r="A436" s="27" t="s">
        <v>2237</v>
      </c>
      <c r="B436" s="28">
        <v>2</v>
      </c>
      <c r="C436" s="35">
        <v>839</v>
      </c>
      <c r="D436" s="29" t="s">
        <v>53</v>
      </c>
      <c r="E436" s="30" t="s">
        <v>78</v>
      </c>
      <c r="F436" s="31">
        <v>44424</v>
      </c>
      <c r="G436" s="32">
        <v>4.291666666666666</v>
      </c>
      <c r="H436" s="31">
        <v>44424</v>
      </c>
      <c r="I436" s="32">
        <v>4.159722222222222</v>
      </c>
      <c r="J436" s="33">
        <f>F436-H436</f>
      </c>
      <c r="K436" s="28">
        <v>25</v>
      </c>
      <c r="L436" s="28">
        <v>0</v>
      </c>
      <c r="M436" s="28">
        <v>2</v>
      </c>
      <c r="N436" s="34"/>
      <c r="O436" s="34"/>
      <c r="P436" s="34"/>
      <c r="Q436" s="34"/>
      <c r="R436" s="34"/>
      <c r="S436" s="34"/>
      <c r="T436" s="34"/>
      <c r="U436" s="34"/>
      <c r="V436" s="34"/>
      <c r="W436" s="29" t="s">
        <v>74</v>
      </c>
      <c r="X436" s="28">
        <v>33</v>
      </c>
      <c r="Y436" s="28">
        <v>1</v>
      </c>
      <c r="Z436" s="28">
        <v>1</v>
      </c>
      <c r="AA436" s="28">
        <v>1</v>
      </c>
      <c r="AB436" s="28">
        <v>4</v>
      </c>
      <c r="AC436" s="28">
        <v>2</v>
      </c>
      <c r="AD436" s="28">
        <v>2</v>
      </c>
      <c r="AE436" s="28">
        <v>4</v>
      </c>
      <c r="AF436" s="28">
        <v>3</v>
      </c>
      <c r="AG436" s="28">
        <v>2</v>
      </c>
      <c r="AH436" s="29" t="s">
        <v>2238</v>
      </c>
      <c r="AI436" s="36">
        <f>if(or(and(K436&lt;32, J436&lt;2), O436=1, P436=1, Q436=1, R436=1, S436=1, T436=1, U436=1, and(W436&lt;&gt;"", W436&lt;&gt;"Oxygen", W436&lt;&gt;"LowFlow")), "Intensive", "Intermediate")</f>
      </c>
      <c r="AJ436" s="37">
        <f>if(or(left(AH436, 1)="X", left(AH436, 1)="Y", left(AH436, 3)="J50M"), "CUSM", "No Match")</f>
      </c>
      <c r="AK436" s="37">
        <f>if(and(or(O436=3, P436=1, Q436=1, T436=1), AJ436="no Match"), "CUSM, CHU SJ, CHUQ", "")</f>
      </c>
      <c r="AL436" s="37">
        <f>IF(AND(O437=2, ISBLANK(P437), ISBLANK(Q437), ISBLANK(R437), ISBLANK(S437), ISBLANK(T437)), "CUSM, CHU SJ, CHUS, CHUQ", "")</f>
      </c>
      <c r="AM436" s="37">
        <f>if(and(AJ436="no match", AK436="", AL436="", K436&lt;26), "CUSM, CHU SJ, HGJ, CHUQ, CHUS", "")</f>
      </c>
      <c r="AN436" s="37">
        <f>if(and(AJ436="no match", AK436="", AL436="", K436&gt;26), "CUSM, CHU SJ, HGJ, CHUQ, CHUS, HMR", "")</f>
      </c>
    </row>
    <row x14ac:dyDescent="0.25" r="437" customHeight="1" ht="17.25">
      <c r="A437" s="27" t="s">
        <v>2239</v>
      </c>
      <c r="B437" s="28">
        <v>2</v>
      </c>
      <c r="C437" s="35">
        <v>730</v>
      </c>
      <c r="D437" s="29" t="s">
        <v>81</v>
      </c>
      <c r="E437" s="30" t="s">
        <v>50</v>
      </c>
      <c r="F437" s="31">
        <v>44424</v>
      </c>
      <c r="G437" s="32">
        <v>4.956944444444444</v>
      </c>
      <c r="H437" s="31">
        <v>44424</v>
      </c>
      <c r="I437" s="32">
        <v>4.795833333333333</v>
      </c>
      <c r="J437" s="33">
        <f>F437-H437</f>
      </c>
      <c r="K437" s="28">
        <v>38</v>
      </c>
      <c r="L437" s="28">
        <v>6</v>
      </c>
      <c r="M437" s="28">
        <v>2</v>
      </c>
      <c r="N437" s="35">
        <v>1</v>
      </c>
      <c r="O437" s="34"/>
      <c r="P437" s="34"/>
      <c r="Q437" s="34"/>
      <c r="R437" s="34"/>
      <c r="S437" s="34"/>
      <c r="T437" s="34"/>
      <c r="U437" s="34"/>
      <c r="V437" s="34"/>
      <c r="W437" s="29" t="s">
        <v>58</v>
      </c>
      <c r="X437" s="28">
        <v>30</v>
      </c>
      <c r="Y437" s="28">
        <v>1</v>
      </c>
      <c r="Z437" s="28">
        <v>1</v>
      </c>
      <c r="AA437" s="28">
        <v>2</v>
      </c>
      <c r="AB437" s="28">
        <v>1</v>
      </c>
      <c r="AC437" s="28">
        <v>2</v>
      </c>
      <c r="AD437" s="28">
        <v>2</v>
      </c>
      <c r="AE437" s="28">
        <v>4</v>
      </c>
      <c r="AF437" s="28">
        <v>2</v>
      </c>
      <c r="AG437" s="28">
        <v>2</v>
      </c>
      <c r="AH437" s="29" t="s">
        <v>629</v>
      </c>
      <c r="AI437" s="36">
        <f>if(or(and(K437&lt;32, J437&lt;2), O437=1, P437=1, Q437=1, R437=1, S437=1, T437=1, U437=1, and(W437&lt;&gt;"", W437&lt;&gt;"Oxygen", W437&lt;&gt;"LowFlow")), "Intensive", "Intermediate")</f>
      </c>
      <c r="AJ437" s="37">
        <f>if(or(left(AH437, 1)="X", left(AH437, 1)="Y", left(AH437, 3)="J51M"), "CUSM", "No Match")</f>
      </c>
      <c r="AK437" s="37">
        <f>if(and(or(O437=3, P437=1, Q437=1, T437=1), AJ437="no Match"), "CUSM, CHU SJ, CHUQ", "")</f>
      </c>
      <c r="AL437" s="37">
        <f>IF(AND(O438=2, ISBLANK(P438), ISBLANK(Q438), ISBLANK(R438), ISBLANK(S438), ISBLANK(T438)), "CUSM, CHU SJ, CHUS, CHUQ", "")</f>
      </c>
      <c r="AM437" s="37">
        <f>if(and(AJ437="no match", AK437="", AL437="", K437&lt;26), "CUSM, CHU SJ, HGJ, CHUQ, CHUS", "")</f>
      </c>
      <c r="AN437" s="37">
        <f>if(and(AJ437="no match", AK437="", AL437="", K437&gt;26), "CUSM, CHU SJ, HGJ, CHUQ, CHUS, HMR", "")</f>
      </c>
    </row>
    <row x14ac:dyDescent="0.25" r="438" customHeight="1" ht="17.25">
      <c r="A438" s="27" t="s">
        <v>2240</v>
      </c>
      <c r="B438" s="28">
        <v>2</v>
      </c>
      <c r="C438" s="28">
        <v>6</v>
      </c>
      <c r="D438" s="29" t="s">
        <v>131</v>
      </c>
      <c r="E438" s="30" t="s">
        <v>50</v>
      </c>
      <c r="F438" s="31">
        <v>44425</v>
      </c>
      <c r="G438" s="32">
        <v>4.638888888888889</v>
      </c>
      <c r="H438" s="31">
        <v>44425</v>
      </c>
      <c r="I438" s="32">
        <v>4.613194444444444</v>
      </c>
      <c r="J438" s="33">
        <f>F438-H438</f>
      </c>
      <c r="K438" s="28">
        <v>39</v>
      </c>
      <c r="L438" s="28">
        <v>5</v>
      </c>
      <c r="M438" s="28">
        <v>2</v>
      </c>
      <c r="N438" s="34"/>
      <c r="O438" s="35">
        <v>2</v>
      </c>
      <c r="P438" s="35">
        <v>1</v>
      </c>
      <c r="Q438" s="34"/>
      <c r="R438" s="34"/>
      <c r="S438" s="34"/>
      <c r="T438" s="34"/>
      <c r="U438" s="34"/>
      <c r="V438" s="34"/>
      <c r="W438" s="29"/>
      <c r="X438" s="28">
        <v>24</v>
      </c>
      <c r="Y438" s="28">
        <v>1</v>
      </c>
      <c r="Z438" s="28">
        <v>1</v>
      </c>
      <c r="AA438" s="28">
        <v>2</v>
      </c>
      <c r="AB438" s="28">
        <v>1</v>
      </c>
      <c r="AC438" s="28">
        <v>2</v>
      </c>
      <c r="AD438" s="28">
        <v>2</v>
      </c>
      <c r="AE438" s="28">
        <v>4</v>
      </c>
      <c r="AF438" s="28">
        <v>2</v>
      </c>
      <c r="AG438" s="28">
        <v>2</v>
      </c>
      <c r="AH438" s="29" t="s">
        <v>2241</v>
      </c>
      <c r="AI438" s="36">
        <f>if(or(and(K438&lt;32, J438&lt;2), O438=1, P438=1, Q438=1, R438=1, S438=1, T438=1, U438=1, and(W438&lt;&gt;"", W438&lt;&gt;"Oxygen", W438&lt;&gt;"LowFlow")), "Intensive", "Intermediate")</f>
      </c>
      <c r="AJ438" s="37">
        <f>if(or(left(AH438, 1)="X", left(AH438, 1)="Y", left(AH438, 3)="J52M"), "CUSM", "No Match")</f>
      </c>
      <c r="AK438" s="37">
        <f>if(and(or(O438=3, P438=1, Q438=1, T438=1), AJ438="no Match"), "CUSM, CHU SJ, CHUQ", "")</f>
      </c>
      <c r="AL438" s="37">
        <f>IF(AND(O439=2, ISBLANK(P439), ISBLANK(Q439), ISBLANK(R439), ISBLANK(S439), ISBLANK(T439)), "CUSM, CHU SJ, CHUS, CHUQ", "")</f>
      </c>
      <c r="AM438" s="37">
        <f>if(and(AJ438="no match", AK438="", AL438="", K438&lt;26), "CUSM, CHU SJ, HGJ, CHUQ, CHUS", "")</f>
      </c>
      <c r="AN438" s="37">
        <f>if(and(AJ438="no match", AK438="", AL438="", K438&gt;26), "CUSM, CHU SJ, HGJ, CHUQ, CHUS, HMR", "")</f>
      </c>
    </row>
    <row x14ac:dyDescent="0.25" r="439" customHeight="1" ht="17.25">
      <c r="A439" s="27" t="s">
        <v>2242</v>
      </c>
      <c r="B439" s="28">
        <v>2</v>
      </c>
      <c r="C439" s="28">
        <v>795</v>
      </c>
      <c r="D439" s="29" t="s">
        <v>73</v>
      </c>
      <c r="E439" s="30" t="s">
        <v>50</v>
      </c>
      <c r="F439" s="31">
        <v>44425</v>
      </c>
      <c r="G439" s="32">
        <v>4.645833333333334</v>
      </c>
      <c r="H439" s="31">
        <v>44423</v>
      </c>
      <c r="I439" s="32">
        <v>4.13125</v>
      </c>
      <c r="J439" s="33">
        <f>F439-H439</f>
      </c>
      <c r="K439" s="28">
        <v>34</v>
      </c>
      <c r="L439" s="28">
        <v>6</v>
      </c>
      <c r="M439" s="28">
        <v>1</v>
      </c>
      <c r="N439" s="34"/>
      <c r="O439" s="34"/>
      <c r="P439" s="34"/>
      <c r="Q439" s="34"/>
      <c r="R439" s="34"/>
      <c r="S439" s="34"/>
      <c r="T439" s="34"/>
      <c r="U439" s="34"/>
      <c r="V439" s="34"/>
      <c r="W439" s="29"/>
      <c r="X439" s="28">
        <v>27</v>
      </c>
      <c r="Y439" s="28">
        <v>1</v>
      </c>
      <c r="Z439" s="28">
        <v>2</v>
      </c>
      <c r="AA439" s="28">
        <v>3</v>
      </c>
      <c r="AB439" s="28">
        <v>1</v>
      </c>
      <c r="AC439" s="28">
        <v>2</v>
      </c>
      <c r="AD439" s="28">
        <v>1</v>
      </c>
      <c r="AE439" s="28">
        <v>4</v>
      </c>
      <c r="AF439" s="28">
        <v>2</v>
      </c>
      <c r="AG439" s="28">
        <v>2</v>
      </c>
      <c r="AH439" s="29" t="s">
        <v>2243</v>
      </c>
      <c r="AI439" s="36">
        <f>if(or(and(K439&lt;32, J439&lt;2), O439=1, P439=1, Q439=1, R439=1, S439=1, T439=1, U439=1, and(W439&lt;&gt;"", W439&lt;&gt;"Oxygen", W439&lt;&gt;"LowFlow")), "Intensive", "Intermediate")</f>
      </c>
      <c r="AJ439" s="37">
        <f>if(or(left(AH439, 1)="X", left(AH439, 1)="Y", left(AH439, 3)="J53M"), "CUSM", "No Match")</f>
      </c>
      <c r="AK439" s="37">
        <f>if(and(or(O439=3, P439=1, Q439=1, T439=1), AJ439="no Match"), "CUSM, CHU SJ, CHUQ", "")</f>
      </c>
      <c r="AL439" s="37">
        <f>IF(AND(O440=2, ISBLANK(P440), ISBLANK(Q440), ISBLANK(R440), ISBLANK(S440), ISBLANK(T440)), "CUSM, CHU SJ, CHUS, CHUQ", "")</f>
      </c>
      <c r="AM439" s="37">
        <f>if(and(AJ439="no match", AK439="", AL439="", K439&lt;26), "CUSM, CHU SJ, HGJ, CHUQ, CHUS", "")</f>
      </c>
      <c r="AN439" s="37">
        <f>if(and(AJ439="no match", AK439="", AL439="", K439&gt;26), "CUSM, CHU SJ, HGJ, CHUQ, CHUS, HMR", "")</f>
      </c>
    </row>
    <row x14ac:dyDescent="0.25" r="440" customHeight="1" ht="17.25">
      <c r="A440" s="27" t="s">
        <v>2244</v>
      </c>
      <c r="B440" s="28">
        <v>2</v>
      </c>
      <c r="C440" s="35">
        <v>730</v>
      </c>
      <c r="D440" s="29" t="s">
        <v>81</v>
      </c>
      <c r="E440" s="30" t="s">
        <v>78</v>
      </c>
      <c r="F440" s="31">
        <v>44426</v>
      </c>
      <c r="G440" s="32">
        <v>4.197916666666666</v>
      </c>
      <c r="H440" s="31">
        <v>44425</v>
      </c>
      <c r="I440" s="32">
        <v>4.90625</v>
      </c>
      <c r="J440" s="33">
        <f>F440-H440</f>
      </c>
      <c r="K440" s="28">
        <v>36</v>
      </c>
      <c r="L440" s="28">
        <v>0</v>
      </c>
      <c r="M440" s="28">
        <v>1</v>
      </c>
      <c r="N440" s="38"/>
      <c r="O440" s="34"/>
      <c r="P440" s="38"/>
      <c r="Q440" s="34"/>
      <c r="R440" s="34"/>
      <c r="S440" s="34"/>
      <c r="T440" s="34"/>
      <c r="U440" s="34"/>
      <c r="V440" s="34"/>
      <c r="W440" s="29" t="s">
        <v>164</v>
      </c>
      <c r="X440" s="28">
        <v>31</v>
      </c>
      <c r="Y440" s="28">
        <v>1</v>
      </c>
      <c r="Z440" s="28">
        <v>1</v>
      </c>
      <c r="AA440" s="28">
        <v>2</v>
      </c>
      <c r="AB440" s="28">
        <v>1</v>
      </c>
      <c r="AC440" s="28">
        <v>2</v>
      </c>
      <c r="AD440" s="28">
        <v>2</v>
      </c>
      <c r="AE440" s="28">
        <v>2</v>
      </c>
      <c r="AF440" s="28">
        <v>2</v>
      </c>
      <c r="AG440" s="28">
        <v>2</v>
      </c>
      <c r="AH440" s="29" t="s">
        <v>2245</v>
      </c>
      <c r="AI440" s="36">
        <f>if(or(and(K440&lt;32, J440&lt;2), O440=1, P440=1, Q440=1, R440=1, S440=1, T440=1, U440=1, and(W440&lt;&gt;"", W440&lt;&gt;"Oxygen", W440&lt;&gt;"LowFlow")), "Intensive", "Intermediate")</f>
      </c>
      <c r="AJ440" s="37">
        <f>if(or(left(AH440, 1)="X", left(AH440, 1)="Y", left(AH440, 3)="J54M"), "CUSM", "No Match")</f>
      </c>
      <c r="AK440" s="37">
        <f>if(and(or(O440=3, P440=1, Q440=1, T440=1), AJ440="no Match"), "CUSM, CHU SJ, CHUQ", "")</f>
      </c>
      <c r="AL440" s="37">
        <f>IF(AND(O441=2, ISBLANK(P441), ISBLANK(Q441), ISBLANK(R441), ISBLANK(S441), ISBLANK(T441)), "CUSM, CHU SJ, CHUS, CHUQ", "")</f>
      </c>
      <c r="AM440" s="37">
        <f>if(and(AJ440="no match", AK440="", AL440="", K440&lt;26), "CUSM, CHU SJ, HGJ, CHUQ, CHUS", "")</f>
      </c>
      <c r="AN440" s="37">
        <f>if(and(AJ440="no match", AK440="", AL440="", K440&gt;26), "CUSM, CHU SJ, HGJ, CHUQ, CHUS, HMR", "")</f>
      </c>
    </row>
    <row x14ac:dyDescent="0.25" r="441" customHeight="1" ht="17.25">
      <c r="A441" s="27" t="s">
        <v>2246</v>
      </c>
      <c r="B441" s="28">
        <v>2</v>
      </c>
      <c r="C441" s="35">
        <v>756</v>
      </c>
      <c r="D441" s="29" t="s">
        <v>66</v>
      </c>
      <c r="E441" s="30" t="s">
        <v>220</v>
      </c>
      <c r="F441" s="31">
        <v>44426</v>
      </c>
      <c r="G441" s="32">
        <v>4.979861111111111</v>
      </c>
      <c r="H441" s="31">
        <v>44426</v>
      </c>
      <c r="I441" s="32">
        <v>4.886111111111111</v>
      </c>
      <c r="J441" s="33">
        <f>F441-H441</f>
      </c>
      <c r="K441" s="28">
        <v>26</v>
      </c>
      <c r="L441" s="28">
        <v>5</v>
      </c>
      <c r="M441" s="28">
        <v>2</v>
      </c>
      <c r="N441" s="38"/>
      <c r="O441" s="38"/>
      <c r="P441" s="38"/>
      <c r="Q441" s="34"/>
      <c r="R441" s="34"/>
      <c r="S441" s="34"/>
      <c r="T441" s="34"/>
      <c r="U441" s="34"/>
      <c r="V441" s="34"/>
      <c r="W441" s="29" t="s">
        <v>74</v>
      </c>
      <c r="X441" s="28">
        <v>23</v>
      </c>
      <c r="Y441" s="28">
        <v>1</v>
      </c>
      <c r="Z441" s="28">
        <v>2</v>
      </c>
      <c r="AA441" s="28">
        <v>1</v>
      </c>
      <c r="AB441" s="28">
        <v>1</v>
      </c>
      <c r="AC441" s="28">
        <v>2</v>
      </c>
      <c r="AD441" s="28">
        <v>2</v>
      </c>
      <c r="AE441" s="28">
        <v>4</v>
      </c>
      <c r="AF441" s="28">
        <v>2</v>
      </c>
      <c r="AG441" s="28">
        <v>2</v>
      </c>
      <c r="AH441" s="29" t="s">
        <v>2247</v>
      </c>
      <c r="AI441" s="36">
        <f>if(or(and(K441&lt;32, J441&lt;2), O441=1, P441=1, Q441=1, R441=1, S441=1, T441=1, U441=1, and(W441&lt;&gt;"", W441&lt;&gt;"Oxygen", W441&lt;&gt;"LowFlow")), "Intensive", "Intermediate")</f>
      </c>
      <c r="AJ441" s="37">
        <f>if(or(left(AH441, 1)="X", left(AH441, 1)="Y", left(AH441, 3)="J55M"), "CUSM", "No Match")</f>
      </c>
      <c r="AK441" s="37">
        <f>if(and(or(O441=3, P441=1, Q441=1, T441=1), AJ441="no Match"), "CUSM, CHU SJ, CHUQ", "")</f>
      </c>
      <c r="AL441" s="37">
        <f>IF(AND(O442=2, ISBLANK(P442), ISBLANK(Q442), ISBLANK(R442), ISBLANK(S442), ISBLANK(T442)), "CUSM, CHU SJ, CHUS, CHUQ", "")</f>
      </c>
      <c r="AM441" s="37">
        <f>if(and(AJ441="no match", AK441="", AL441="", K441&lt;26), "CUSM, CHU SJ, HGJ, CHUQ, CHUS", "")</f>
      </c>
      <c r="AN441" s="37">
        <f>if(and(AJ441="no match", AK441="", AL441="", K441&gt;26), "CUSM, CHU SJ, HGJ, CHUQ, CHUS, HMR", "")</f>
      </c>
    </row>
    <row x14ac:dyDescent="0.25" r="442" customHeight="1" ht="17.25">
      <c r="A442" s="27" t="s">
        <v>2248</v>
      </c>
      <c r="B442" s="28">
        <v>2</v>
      </c>
      <c r="C442" s="35">
        <v>827</v>
      </c>
      <c r="D442" s="29" t="s">
        <v>525</v>
      </c>
      <c r="E442" s="30" t="s">
        <v>54</v>
      </c>
      <c r="F442" s="31">
        <v>44427</v>
      </c>
      <c r="G442" s="32">
        <v>4.895833333333334</v>
      </c>
      <c r="H442" s="31">
        <v>44427</v>
      </c>
      <c r="I442" s="32">
        <v>4.4534722222222225</v>
      </c>
      <c r="J442" s="33">
        <f>F442-H442</f>
      </c>
      <c r="K442" s="28">
        <v>37</v>
      </c>
      <c r="L442" s="28">
        <v>1</v>
      </c>
      <c r="M442" s="28">
        <v>1</v>
      </c>
      <c r="N442" s="34"/>
      <c r="O442" s="34"/>
      <c r="P442" s="34"/>
      <c r="Q442" s="34"/>
      <c r="R442" s="34"/>
      <c r="S442" s="34"/>
      <c r="T442" s="34"/>
      <c r="U442" s="34"/>
      <c r="V442" s="34"/>
      <c r="W442" s="29" t="s">
        <v>58</v>
      </c>
      <c r="X442" s="28">
        <v>36</v>
      </c>
      <c r="Y442" s="28">
        <v>1</v>
      </c>
      <c r="Z442" s="28">
        <v>2</v>
      </c>
      <c r="AA442" s="28">
        <v>2</v>
      </c>
      <c r="AB442" s="28">
        <v>1</v>
      </c>
      <c r="AC442" s="28">
        <v>1</v>
      </c>
      <c r="AD442" s="28">
        <v>2</v>
      </c>
      <c r="AE442" s="28">
        <v>4</v>
      </c>
      <c r="AF442" s="35">
        <v>2</v>
      </c>
      <c r="AG442" s="28">
        <v>2</v>
      </c>
      <c r="AH442" s="29" t="s">
        <v>873</v>
      </c>
      <c r="AI442" s="36">
        <f>if(or(and(K442&lt;32, J442&lt;2), O442=1, P442=1, Q442=1, R442=1, S442=1, T442=1, U442=1, and(W442&lt;&gt;"", W442&lt;&gt;"Oxygen", W442&lt;&gt;"LowFlow")), "Intensive", "Intermediate")</f>
      </c>
      <c r="AJ442" s="37">
        <f>if(or(left(AH442, 1)="X", left(AH442, 1)="Y", left(AH442, 3)="J56M"), "CUSM", "No Match")</f>
      </c>
      <c r="AK442" s="37">
        <f>if(and(or(O442=3, P442=1, Q442=1, T442=1), AJ442="no Match"), "CUSM, CHU SJ, CHUQ", "")</f>
      </c>
      <c r="AL442" s="37">
        <f>IF(AND(O443=2, ISBLANK(P443), ISBLANK(Q443), ISBLANK(R443), ISBLANK(S443), ISBLANK(T443)), "CUSM, CHU SJ, CHUS, CHUQ", "")</f>
      </c>
      <c r="AM442" s="37">
        <f>if(and(AJ442="no match", AK442="", AL442="", K442&lt;26), "CUSM, CHU SJ, HGJ, CHUQ, CHUS", "")</f>
      </c>
      <c r="AN442" s="37">
        <f>if(and(AJ442="no match", AK442="", AL442="", K442&gt;26), "CUSM, CHU SJ, HGJ, CHUQ, CHUS, HMR", "")</f>
      </c>
    </row>
    <row x14ac:dyDescent="0.25" r="443" customHeight="1" ht="17.25">
      <c r="A443" s="27" t="s">
        <v>2249</v>
      </c>
      <c r="B443" s="28">
        <v>2</v>
      </c>
      <c r="C443" s="35">
        <v>820</v>
      </c>
      <c r="D443" s="29" t="s">
        <v>69</v>
      </c>
      <c r="E443" s="30" t="s">
        <v>54</v>
      </c>
      <c r="F443" s="31">
        <v>44427</v>
      </c>
      <c r="G443" s="32">
        <v>4.6875</v>
      </c>
      <c r="H443" s="31">
        <v>44419</v>
      </c>
      <c r="I443" s="32">
        <v>4.209027777777777</v>
      </c>
      <c r="J443" s="33">
        <f>F443-H443</f>
      </c>
      <c r="K443" s="28">
        <v>41</v>
      </c>
      <c r="L443" s="28">
        <v>6</v>
      </c>
      <c r="M443" s="28">
        <v>1</v>
      </c>
      <c r="N443" s="35">
        <v>1</v>
      </c>
      <c r="O443" s="34"/>
      <c r="P443" s="34"/>
      <c r="Q443" s="34"/>
      <c r="R443" s="34"/>
      <c r="S443" s="34"/>
      <c r="T443" s="34"/>
      <c r="U443" s="34"/>
      <c r="V443" s="34"/>
      <c r="W443" s="29" t="s">
        <v>58</v>
      </c>
      <c r="X443" s="28">
        <v>24</v>
      </c>
      <c r="Y443" s="28">
        <v>1</v>
      </c>
      <c r="Z443" s="28">
        <v>1</v>
      </c>
      <c r="AA443" s="28">
        <v>3</v>
      </c>
      <c r="AB443" s="28">
        <v>4</v>
      </c>
      <c r="AC443" s="28">
        <v>3</v>
      </c>
      <c r="AD443" s="28">
        <v>3</v>
      </c>
      <c r="AE443" s="28">
        <v>4</v>
      </c>
      <c r="AF443" s="28">
        <v>3</v>
      </c>
      <c r="AG443" s="28">
        <v>2</v>
      </c>
      <c r="AH443" s="29" t="s">
        <v>2250</v>
      </c>
      <c r="AI443" s="36">
        <f>if(or(and(K443&lt;32, J443&lt;2), O443=1, P443=1, Q443=1, R443=1, S443=1, T443=1, U443=1, and(W443&lt;&gt;"", W443&lt;&gt;"Oxygen", W443&lt;&gt;"LowFlow")), "Intensive", "Intermediate")</f>
      </c>
      <c r="AJ443" s="37">
        <f>if(or(left(AH443, 1)="X", left(AH443, 1)="Y", left(AH443, 3)="J57M"), "CUSM", "No Match")</f>
      </c>
      <c r="AK443" s="37">
        <f>if(and(or(O443=3, P443=1, Q443=1, T443=1), AJ443="no Match"), "CUSM, CHU SJ, CHUQ", "")</f>
      </c>
      <c r="AL443" s="37">
        <f>IF(AND(O444=2, ISBLANK(P444), ISBLANK(Q444), ISBLANK(R444), ISBLANK(S444), ISBLANK(T444)), "CUSM, CHU SJ, CHUS, CHUQ", "")</f>
      </c>
      <c r="AM443" s="37">
        <f>if(and(AJ443="no match", AK443="", AL443="", K443&lt;26), "CUSM, CHU SJ, HGJ, CHUQ, CHUS", "")</f>
      </c>
      <c r="AN443" s="37">
        <f>if(and(AJ443="no match", AK443="", AL443="", K443&gt;26), "CUSM, CHU SJ, HGJ, CHUQ, CHUS, HMR", "")</f>
      </c>
    </row>
    <row x14ac:dyDescent="0.25" r="444" customHeight="1" ht="17.25">
      <c r="A444" s="27" t="s">
        <v>2251</v>
      </c>
      <c r="B444" s="28">
        <v>2</v>
      </c>
      <c r="C444" s="28">
        <v>731</v>
      </c>
      <c r="D444" s="29" t="s">
        <v>103</v>
      </c>
      <c r="E444" s="30" t="s">
        <v>78</v>
      </c>
      <c r="F444" s="31">
        <v>44427</v>
      </c>
      <c r="G444" s="32">
        <v>4.3125</v>
      </c>
      <c r="H444" s="31">
        <v>44426</v>
      </c>
      <c r="I444" s="32">
        <v>4.047916666666667</v>
      </c>
      <c r="J444" s="33">
        <f>F444-H444</f>
      </c>
      <c r="K444" s="28">
        <v>32</v>
      </c>
      <c r="L444" s="28">
        <v>0</v>
      </c>
      <c r="M444" s="28">
        <v>1</v>
      </c>
      <c r="N444" s="34"/>
      <c r="O444" s="34"/>
      <c r="P444" s="34"/>
      <c r="Q444" s="34"/>
      <c r="R444" s="34"/>
      <c r="S444" s="34"/>
      <c r="T444" s="34"/>
      <c r="U444" s="34"/>
      <c r="V444" s="34"/>
      <c r="W444" s="29" t="s">
        <v>74</v>
      </c>
      <c r="X444" s="28">
        <v>35</v>
      </c>
      <c r="Y444" s="28">
        <v>1</v>
      </c>
      <c r="Z444" s="28">
        <v>2</v>
      </c>
      <c r="AA444" s="28">
        <v>2</v>
      </c>
      <c r="AB444" s="28">
        <v>1</v>
      </c>
      <c r="AC444" s="28">
        <v>2</v>
      </c>
      <c r="AD444" s="28">
        <v>2</v>
      </c>
      <c r="AE444" s="28">
        <v>2</v>
      </c>
      <c r="AF444" s="35">
        <v>3</v>
      </c>
      <c r="AG444" s="28">
        <v>2</v>
      </c>
      <c r="AH444" s="29" t="s">
        <v>2252</v>
      </c>
      <c r="AI444" s="36">
        <f>if(or(and(K444&lt;32, J444&lt;2), O444=1, P444=1, Q444=1, R444=1, S444=1, T444=1, U444=1, and(W444&lt;&gt;"", W444&lt;&gt;"Oxygen", W444&lt;&gt;"LowFlow")), "Intensive", "Intermediate")</f>
      </c>
      <c r="AJ444" s="37">
        <f>if(or(left(AH444, 1)="X", left(AH444, 1)="Y", left(AH444, 3)="J58M"), "CUSM", "No Match")</f>
      </c>
      <c r="AK444" s="37">
        <f>if(and(or(O444=3, P444=1, Q444=1, T444=1), AJ444="no Match"), "CUSM, CHU SJ, CHUQ", "")</f>
      </c>
      <c r="AL444" s="37">
        <f>IF(AND(O445=2, ISBLANK(P445), ISBLANK(Q445), ISBLANK(R445), ISBLANK(S445), ISBLANK(T445)), "CUSM, CHU SJ, CHUS, CHUQ", "")</f>
      </c>
      <c r="AM444" s="37">
        <f>if(and(AJ444="no match", AK444="", AL444="", K444&lt;26), "CUSM, CHU SJ, HGJ, CHUQ, CHUS", "")</f>
      </c>
      <c r="AN444" s="37">
        <f>if(and(AJ444="no match", AK444="", AL444="", K444&gt;26), "CUSM, CHU SJ, HGJ, CHUQ, CHUS, HMR", "")</f>
      </c>
    </row>
    <row x14ac:dyDescent="0.25" r="445" customHeight="1" ht="17.25">
      <c r="A445" s="27" t="s">
        <v>2253</v>
      </c>
      <c r="B445" s="28">
        <v>2</v>
      </c>
      <c r="C445" s="28">
        <v>815</v>
      </c>
      <c r="D445" s="29" t="s">
        <v>100</v>
      </c>
      <c r="E445" s="30" t="s">
        <v>78</v>
      </c>
      <c r="F445" s="31">
        <v>44427</v>
      </c>
      <c r="G445" s="32">
        <v>4.513888888888889</v>
      </c>
      <c r="H445" s="31">
        <v>44425</v>
      </c>
      <c r="I445" s="32">
        <v>4.602777777777778</v>
      </c>
      <c r="J445" s="33">
        <f>F445-H445</f>
      </c>
      <c r="K445" s="28">
        <v>36</v>
      </c>
      <c r="L445" s="28">
        <v>1</v>
      </c>
      <c r="M445" s="28">
        <v>1</v>
      </c>
      <c r="N445" s="38"/>
      <c r="O445" s="34"/>
      <c r="P445" s="38"/>
      <c r="Q445" s="34"/>
      <c r="R445" s="34"/>
      <c r="S445" s="34"/>
      <c r="T445" s="34"/>
      <c r="U445" s="34"/>
      <c r="V445" s="34"/>
      <c r="W445" s="29" t="s">
        <v>74</v>
      </c>
      <c r="X445" s="28">
        <v>37</v>
      </c>
      <c r="Y445" s="28">
        <v>1</v>
      </c>
      <c r="Z445" s="28">
        <v>2</v>
      </c>
      <c r="AA445" s="28">
        <v>1</v>
      </c>
      <c r="AB445" s="28">
        <v>2</v>
      </c>
      <c r="AC445" s="28">
        <v>2</v>
      </c>
      <c r="AD445" s="28">
        <v>2</v>
      </c>
      <c r="AE445" s="28">
        <v>4</v>
      </c>
      <c r="AF445" s="28">
        <v>3</v>
      </c>
      <c r="AG445" s="28">
        <v>2</v>
      </c>
      <c r="AH445" s="29" t="s">
        <v>143</v>
      </c>
      <c r="AI445" s="36">
        <f>if(or(and(K445&lt;32, J445&lt;2), O445=1, P445=1, Q445=1, R445=1, S445=1, T445=1, U445=1, and(W445&lt;&gt;"", W445&lt;&gt;"Oxygen", W445&lt;&gt;"LowFlow")), "Intensive", "Intermediate")</f>
      </c>
      <c r="AJ445" s="37">
        <f>if(or(left(AH445, 1)="X", left(AH445, 1)="Y", left(AH445, 3)="J59M"), "CUSM", "No Match")</f>
      </c>
      <c r="AK445" s="37">
        <f>if(and(or(O445=3, P445=1, Q445=1, T445=1), AJ445="no Match"), "CUSM, CHU SJ, CHUQ", "")</f>
      </c>
      <c r="AL445" s="37">
        <f>IF(AND(O446=2, ISBLANK(P446), ISBLANK(Q446), ISBLANK(R446), ISBLANK(S446), ISBLANK(T446)), "CUSM, CHU SJ, CHUS, CHUQ", "")</f>
      </c>
      <c r="AM445" s="37">
        <f>if(and(AJ445="no match", AK445="", AL445="", K445&lt;26), "CUSM, CHU SJ, HGJ, CHUQ, CHUS", "")</f>
      </c>
      <c r="AN445" s="37">
        <f>if(and(AJ445="no match", AK445="", AL445="", K445&gt;26), "CUSM, CHU SJ, HGJ, CHUQ, CHUS, HMR", "")</f>
      </c>
    </row>
    <row x14ac:dyDescent="0.25" r="446" customHeight="1" ht="17.25">
      <c r="A446" s="27" t="s">
        <v>2254</v>
      </c>
      <c r="B446" s="28">
        <v>2</v>
      </c>
      <c r="C446" s="28">
        <v>815</v>
      </c>
      <c r="D446" s="29" t="s">
        <v>100</v>
      </c>
      <c r="E446" s="30" t="s">
        <v>50</v>
      </c>
      <c r="F446" s="31">
        <v>44427</v>
      </c>
      <c r="G446" s="32">
        <v>4.336805555555555</v>
      </c>
      <c r="H446" s="31">
        <v>44426</v>
      </c>
      <c r="I446" s="32">
        <v>4.466666666666667</v>
      </c>
      <c r="J446" s="33">
        <f>F446-H446</f>
      </c>
      <c r="K446" s="28">
        <v>39</v>
      </c>
      <c r="L446" s="28">
        <v>4</v>
      </c>
      <c r="M446" s="28">
        <v>2</v>
      </c>
      <c r="N446" s="38"/>
      <c r="O446" s="38"/>
      <c r="P446" s="38"/>
      <c r="Q446" s="34"/>
      <c r="R446" s="34"/>
      <c r="S446" s="34"/>
      <c r="T446" s="35">
        <v>1</v>
      </c>
      <c r="U446" s="34"/>
      <c r="V446" s="34"/>
      <c r="W446" s="29" t="s">
        <v>600</v>
      </c>
      <c r="X446" s="28">
        <v>33</v>
      </c>
      <c r="Y446" s="28">
        <v>1</v>
      </c>
      <c r="Z446" s="28">
        <v>2</v>
      </c>
      <c r="AA446" s="28">
        <v>1</v>
      </c>
      <c r="AB446" s="28">
        <v>1</v>
      </c>
      <c r="AC446" s="28">
        <v>2</v>
      </c>
      <c r="AD446" s="28">
        <v>2</v>
      </c>
      <c r="AE446" s="28">
        <v>4</v>
      </c>
      <c r="AF446" s="28">
        <v>2</v>
      </c>
      <c r="AG446" s="28">
        <v>2</v>
      </c>
      <c r="AH446" s="29" t="s">
        <v>727</v>
      </c>
      <c r="AI446" s="36">
        <f>if(or(and(K446&lt;32, J446&lt;2), O446=1, P446=1, Q446=1, R446=1, S446=1, T446=1, U446=1, and(W446&lt;&gt;"", W446&lt;&gt;"Oxygen", W446&lt;&gt;"LowFlow")), "Intensive", "Intermediate")</f>
      </c>
      <c r="AJ446" s="37">
        <f>if(or(left(AH446, 1)="X", left(AH446, 1)="Y", left(AH446, 3)="J60M"), "CUSM", "No Match")</f>
      </c>
      <c r="AK446" s="37">
        <f>if(and(or(O446=3, P446=1, Q446=1, T446=1), AJ446="no Match"), "CUSM, CHU SJ, CHUQ", "")</f>
      </c>
      <c r="AL446" s="37">
        <f>IF(AND(O447=2, ISBLANK(P447), ISBLANK(Q447), ISBLANK(R447), ISBLANK(S447), ISBLANK(T447)), "CUSM, CHU SJ, CHUS, CHUQ", "")</f>
      </c>
      <c r="AM446" s="37">
        <f>if(and(AJ446="no match", AK446="", AL446="", K446&lt;26), "CUSM, CHU SJ, HGJ, CHUQ, CHUS", "")</f>
      </c>
      <c r="AN446" s="37">
        <f>if(and(AJ446="no match", AK446="", AL446="", K446&gt;26), "CUSM, CHU SJ, HGJ, CHUQ, CHUS, HMR", "")</f>
      </c>
    </row>
    <row x14ac:dyDescent="0.25" r="447" customHeight="1" ht="17.25">
      <c r="A447" s="27" t="s">
        <v>2255</v>
      </c>
      <c r="B447" s="28">
        <v>2</v>
      </c>
      <c r="C447" s="35">
        <v>812</v>
      </c>
      <c r="D447" s="29" t="s">
        <v>1133</v>
      </c>
      <c r="E447" s="30" t="s">
        <v>149</v>
      </c>
      <c r="F447" s="31">
        <v>44428</v>
      </c>
      <c r="G447" s="32">
        <v>4.680555555555555</v>
      </c>
      <c r="H447" s="31">
        <v>44428</v>
      </c>
      <c r="I447" s="32">
        <v>4.388888888888889</v>
      </c>
      <c r="J447" s="33">
        <f>F447-H447</f>
      </c>
      <c r="K447" s="28">
        <v>27</v>
      </c>
      <c r="L447" s="28">
        <v>0</v>
      </c>
      <c r="M447" s="28">
        <v>2</v>
      </c>
      <c r="N447" s="34"/>
      <c r="O447" s="38"/>
      <c r="P447" s="34"/>
      <c r="Q447" s="34"/>
      <c r="R447" s="34"/>
      <c r="S447" s="38"/>
      <c r="T447" s="34"/>
      <c r="U447" s="34"/>
      <c r="V447" s="34"/>
      <c r="W447" s="29" t="s">
        <v>74</v>
      </c>
      <c r="X447" s="28">
        <v>21</v>
      </c>
      <c r="Y447" s="28">
        <v>1</v>
      </c>
      <c r="Z447" s="28">
        <v>1</v>
      </c>
      <c r="AA447" s="28">
        <v>3</v>
      </c>
      <c r="AB447" s="28">
        <v>4</v>
      </c>
      <c r="AC447" s="28">
        <v>3</v>
      </c>
      <c r="AD447" s="28">
        <v>3</v>
      </c>
      <c r="AE447" s="28">
        <v>4</v>
      </c>
      <c r="AF447" s="28">
        <v>3</v>
      </c>
      <c r="AG447" s="28">
        <v>2</v>
      </c>
      <c r="AH447" s="29" t="s">
        <v>2256</v>
      </c>
      <c r="AI447" s="36">
        <f>if(or(and(K447&lt;32, J447&lt;2), O447=1, P447=1, Q447=1, R447=1, S447=1, T447=1, U447=1, and(W447&lt;&gt;"", W447&lt;&gt;"Oxygen", W447&lt;&gt;"LowFlow")), "Intensive", "Intermediate")</f>
      </c>
      <c r="AJ447" s="37">
        <f>if(or(left(AH447, 1)="X", left(AH447, 1)="Y", left(AH447, 3)="J61M"), "CUSM", "No Match")</f>
      </c>
      <c r="AK447" s="37">
        <f>if(and(or(O447=3, P447=1, Q447=1, T447=1), AJ447="no Match"), "CUSM, CHU SJ, CHUQ", "")</f>
      </c>
      <c r="AL447" s="37">
        <f>IF(AND(O448=2, ISBLANK(P448), ISBLANK(Q448), ISBLANK(R448), ISBLANK(S448), ISBLANK(T448)), "CUSM, CHU SJ, CHUS, CHUQ", "")</f>
      </c>
      <c r="AM447" s="37">
        <f>if(and(AJ447="no match", AK447="", AL447="", K447&lt;26), "CUSM, CHU SJ, HGJ, CHUQ, CHUS", "")</f>
      </c>
      <c r="AN447" s="37">
        <f>if(and(AJ447="no match", AK447="", AL447="", K447&gt;26), "CUSM, CHU SJ, HGJ, CHUQ, CHUS, HMR", "")</f>
      </c>
    </row>
    <row x14ac:dyDescent="0.25" r="448" customHeight="1" ht="17.25">
      <c r="A448" s="27" t="s">
        <v>2257</v>
      </c>
      <c r="B448" s="28">
        <v>2</v>
      </c>
      <c r="C448" s="35">
        <v>856</v>
      </c>
      <c r="D448" s="29" t="s">
        <v>674</v>
      </c>
      <c r="E448" s="30" t="s">
        <v>50</v>
      </c>
      <c r="F448" s="31">
        <v>44428</v>
      </c>
      <c r="G448" s="32">
        <v>4.666666666666666</v>
      </c>
      <c r="H448" s="31">
        <v>44426</v>
      </c>
      <c r="I448" s="32">
        <v>4.471527777777778</v>
      </c>
      <c r="J448" s="33">
        <f>F448-H448</f>
      </c>
      <c r="K448" s="28">
        <v>41</v>
      </c>
      <c r="L448" s="28">
        <v>0</v>
      </c>
      <c r="M448" s="28">
        <v>1</v>
      </c>
      <c r="N448" s="28">
        <v>1</v>
      </c>
      <c r="O448" s="34"/>
      <c r="P448" s="38"/>
      <c r="Q448" s="34"/>
      <c r="R448" s="34"/>
      <c r="S448" s="34"/>
      <c r="T448" s="34"/>
      <c r="U448" s="34"/>
      <c r="V448" s="34"/>
      <c r="W448" s="29"/>
      <c r="X448" s="28">
        <v>34</v>
      </c>
      <c r="Y448" s="28">
        <v>1</v>
      </c>
      <c r="Z448" s="28">
        <v>1</v>
      </c>
      <c r="AA448" s="28">
        <v>3</v>
      </c>
      <c r="AB448" s="28">
        <v>1</v>
      </c>
      <c r="AC448" s="28">
        <v>2</v>
      </c>
      <c r="AD448" s="28">
        <v>2</v>
      </c>
      <c r="AE448" s="28">
        <v>4</v>
      </c>
      <c r="AF448" s="28">
        <v>2</v>
      </c>
      <c r="AG448" s="28">
        <v>2</v>
      </c>
      <c r="AH448" s="29" t="s">
        <v>2258</v>
      </c>
      <c r="AI448" s="36">
        <f>if(or(and(K448&lt;32, J448&lt;2), O448=1, P448=1, Q448=1, R448=1, S448=1, T448=1, U448=1, and(W448&lt;&gt;"", W448&lt;&gt;"Oxygen", W448&lt;&gt;"LowFlow")), "Intensive", "Intermediate")</f>
      </c>
      <c r="AJ448" s="37">
        <f>if(or(left(AH448, 1)="X", left(AH448, 1)="Y", left(AH448, 3)="J62M"), "CUSM", "No Match")</f>
      </c>
      <c r="AK448" s="37">
        <f>if(and(or(O448=3, P448=1, Q448=1, T448=1), AJ448="no Match"), "CUSM, CHU SJ, CHUQ", "")</f>
      </c>
      <c r="AL448" s="37">
        <f>IF(AND(O449=2, ISBLANK(P449), ISBLANK(Q449), ISBLANK(R449), ISBLANK(S449), ISBLANK(T449)), "CUSM, CHU SJ, CHUS, CHUQ", "")</f>
      </c>
      <c r="AM448" s="37">
        <f>if(and(AJ448="no match", AK448="", AL448="", K448&lt;26), "CUSM, CHU SJ, HGJ, CHUQ, CHUS", "")</f>
      </c>
      <c r="AN448" s="37">
        <f>if(and(AJ448="no match", AK448="", AL448="", K448&gt;26), "CUSM, CHU SJ, HGJ, CHUQ, CHUS, HMR", "")</f>
      </c>
    </row>
    <row x14ac:dyDescent="0.25" r="449" customHeight="1" ht="17.25">
      <c r="A449" s="27" t="s">
        <v>2259</v>
      </c>
      <c r="B449" s="28">
        <v>2</v>
      </c>
      <c r="C449" s="35">
        <v>731</v>
      </c>
      <c r="D449" s="29" t="s">
        <v>103</v>
      </c>
      <c r="E449" s="30" t="s">
        <v>50</v>
      </c>
      <c r="F449" s="31">
        <v>44428</v>
      </c>
      <c r="G449" s="32">
        <v>4.402777777777778</v>
      </c>
      <c r="H449" s="31">
        <v>44427</v>
      </c>
      <c r="I449" s="32">
        <v>4.956944444444444</v>
      </c>
      <c r="J449" s="33">
        <f>F449-H449</f>
      </c>
      <c r="K449" s="28">
        <v>40</v>
      </c>
      <c r="L449" s="28">
        <v>0</v>
      </c>
      <c r="M449" s="28">
        <v>1</v>
      </c>
      <c r="N449" s="35">
        <v>1</v>
      </c>
      <c r="O449" s="34"/>
      <c r="P449" s="35">
        <v>1</v>
      </c>
      <c r="Q449" s="34"/>
      <c r="R449" s="34"/>
      <c r="S449" s="34"/>
      <c r="T449" s="34"/>
      <c r="U449" s="34"/>
      <c r="V449" s="34"/>
      <c r="W449" s="29" t="s">
        <v>58</v>
      </c>
      <c r="X449" s="28">
        <v>26</v>
      </c>
      <c r="Y449" s="28">
        <v>1</v>
      </c>
      <c r="Z449" s="28">
        <v>1</v>
      </c>
      <c r="AA449" s="28">
        <v>2</v>
      </c>
      <c r="AB449" s="28">
        <v>1</v>
      </c>
      <c r="AC449" s="28">
        <v>2</v>
      </c>
      <c r="AD449" s="28">
        <v>2</v>
      </c>
      <c r="AE449" s="28">
        <v>4</v>
      </c>
      <c r="AF449" s="28">
        <v>2</v>
      </c>
      <c r="AG449" s="28">
        <v>2</v>
      </c>
      <c r="AH449" s="29" t="s">
        <v>2260</v>
      </c>
      <c r="AI449" s="36">
        <f>if(or(and(K449&lt;32, J449&lt;2), O449=1, P449=1, Q449=1, R449=1, S449=1, T449=1, U449=1, and(W449&lt;&gt;"", W449&lt;&gt;"Oxygen", W449&lt;&gt;"LowFlow")), "Intensive", "Intermediate")</f>
      </c>
      <c r="AJ449" s="37">
        <f>if(or(left(AH449, 1)="X", left(AH449, 1)="Y", left(AH449, 3)="J63M"), "CUSM", "No Match")</f>
      </c>
      <c r="AK449" s="37">
        <f>if(and(or(O449=3, P449=1, Q449=1, T449=1), AJ449="no Match"), "CUSM, CHU SJ, CHUQ", "")</f>
      </c>
      <c r="AL449" s="37">
        <f>IF(AND(O450=2, ISBLANK(P450), ISBLANK(Q450), ISBLANK(R450), ISBLANK(S450), ISBLANK(T450)), "CUSM, CHU SJ, CHUS, CHUQ", "")</f>
      </c>
      <c r="AM449" s="37">
        <f>if(and(AJ449="no match", AK449="", AL449="", K449&lt;26), "CUSM, CHU SJ, HGJ, CHUQ, CHUS", "")</f>
      </c>
      <c r="AN449" s="37">
        <f>if(and(AJ449="no match", AK449="", AL449="", K449&gt;26), "CUSM, CHU SJ, HGJ, CHUQ, CHUS, HMR", "")</f>
      </c>
    </row>
    <row x14ac:dyDescent="0.25" r="450" customHeight="1" ht="17.25">
      <c r="A450" s="27" t="s">
        <v>2261</v>
      </c>
      <c r="B450" s="28">
        <v>2</v>
      </c>
      <c r="C450" s="28">
        <v>737</v>
      </c>
      <c r="D450" s="29" t="s">
        <v>202</v>
      </c>
      <c r="E450" s="30" t="s">
        <v>54</v>
      </c>
      <c r="F450" s="31">
        <v>44429</v>
      </c>
      <c r="G450" s="32">
        <v>4.770833333333334</v>
      </c>
      <c r="H450" s="31">
        <v>44425</v>
      </c>
      <c r="I450" s="39"/>
      <c r="J450" s="33">
        <f>F450-H450</f>
      </c>
      <c r="K450" s="28">
        <v>41</v>
      </c>
      <c r="L450" s="28">
        <v>0</v>
      </c>
      <c r="M450" s="28">
        <v>2</v>
      </c>
      <c r="N450" s="34"/>
      <c r="O450" s="34"/>
      <c r="P450" s="34"/>
      <c r="Q450" s="34"/>
      <c r="R450" s="34"/>
      <c r="S450" s="34"/>
      <c r="T450" s="34"/>
      <c r="U450" s="34"/>
      <c r="V450" s="34"/>
      <c r="W450" s="29"/>
      <c r="X450" s="28">
        <v>35</v>
      </c>
      <c r="Y450" s="28">
        <v>1</v>
      </c>
      <c r="Z450" s="28">
        <v>1</v>
      </c>
      <c r="AA450" s="28">
        <v>3</v>
      </c>
      <c r="AB450" s="28">
        <v>4</v>
      </c>
      <c r="AC450" s="28">
        <v>3</v>
      </c>
      <c r="AD450" s="28">
        <v>3</v>
      </c>
      <c r="AE450" s="28">
        <v>4</v>
      </c>
      <c r="AF450" s="28">
        <v>3</v>
      </c>
      <c r="AG450" s="28">
        <v>3</v>
      </c>
      <c r="AH450" s="29" t="s">
        <v>2262</v>
      </c>
      <c r="AI450" s="36">
        <f>if(or(and(K450&lt;32, J450&lt;2), O450=1, P450=1, Q450=1, R450=1, S450=1, T450=1, U450=1, and(W450&lt;&gt;"", W450&lt;&gt;"Oxygen", W450&lt;&gt;"LowFlow")), "Intensive", "Intermediate")</f>
      </c>
      <c r="AJ450" s="37">
        <f>if(or(left(AH450, 1)="X", left(AH450, 1)="Y", left(AH450, 3)="J0M"), "CUSM", "No Match")</f>
      </c>
      <c r="AK450" s="37">
        <f>if(and(or(O450=3, P450=1, Q450=1, T450=1), AJ450="no Match"), "CUSM, CHU SJ, CHUQ", "")</f>
      </c>
      <c r="AL450" s="37">
        <f>IF(AND(O451=2, ISBLANK(P451), ISBLANK(Q451), ISBLANK(R451), ISBLANK(S451), ISBLANK(T451)), "CUSM, CHU SJ, CHUS, CHUQ", "")</f>
      </c>
      <c r="AM450" s="37">
        <f>if(and(AJ450="no match", AK450="", AL450="", K450&lt;26), "CUSM, CHU SJ, HGJ, CHUQ, CHUS", "")</f>
      </c>
      <c r="AN450" s="37">
        <f>if(and(AJ450="no match", AK450="", AL450="", K450&gt;26), "CUSM, CHU SJ, HGJ, CHUQ, CHUS, HMR", "")</f>
      </c>
    </row>
    <row x14ac:dyDescent="0.25" r="451" customHeight="1" ht="17.25">
      <c r="A451" s="27" t="s">
        <v>2263</v>
      </c>
      <c r="B451" s="28">
        <v>2</v>
      </c>
      <c r="C451" s="28">
        <v>730</v>
      </c>
      <c r="D451" s="29" t="s">
        <v>81</v>
      </c>
      <c r="E451" s="30" t="s">
        <v>78</v>
      </c>
      <c r="F451" s="31">
        <v>44429</v>
      </c>
      <c r="G451" s="32">
        <v>4.447916666666666</v>
      </c>
      <c r="H451" s="31">
        <v>44429</v>
      </c>
      <c r="I451" s="32">
        <v>4.108333333333333</v>
      </c>
      <c r="J451" s="33">
        <f>F451-H451</f>
      </c>
      <c r="K451" s="28">
        <v>35</v>
      </c>
      <c r="L451" s="28">
        <v>0</v>
      </c>
      <c r="M451" s="28">
        <v>1</v>
      </c>
      <c r="N451" s="38"/>
      <c r="O451" s="38"/>
      <c r="P451" s="38"/>
      <c r="Q451" s="34"/>
      <c r="R451" s="34"/>
      <c r="S451" s="34"/>
      <c r="T451" s="34"/>
      <c r="U451" s="34"/>
      <c r="V451" s="34"/>
      <c r="W451" s="29" t="s">
        <v>164</v>
      </c>
      <c r="X451" s="28">
        <v>33</v>
      </c>
      <c r="Y451" s="28">
        <v>1</v>
      </c>
      <c r="Z451" s="28">
        <v>1</v>
      </c>
      <c r="AA451" s="28">
        <v>1</v>
      </c>
      <c r="AB451" s="28">
        <v>2</v>
      </c>
      <c r="AC451" s="28">
        <v>2</v>
      </c>
      <c r="AD451" s="28">
        <v>1</v>
      </c>
      <c r="AE451" s="28">
        <v>2</v>
      </c>
      <c r="AF451" s="28">
        <v>2</v>
      </c>
      <c r="AG451" s="28">
        <v>2</v>
      </c>
      <c r="AH451" s="29" t="s">
        <v>576</v>
      </c>
      <c r="AI451" s="36">
        <f>if(or(and(K451&lt;32, J451&lt;2), O451=1, P451=1, Q451=1, R451=1, S451=1, T451=1, U451=1, and(W451&lt;&gt;"", W451&lt;&gt;"Oxygen", W451&lt;&gt;"LowFlow")), "Intensive", "Intermediate")</f>
      </c>
      <c r="AJ451" s="37">
        <f>if(or(left(AH451, 1)="X", left(AH451, 1)="Y", left(AH451, 3)="J1M"), "CUSM", "No Match")</f>
      </c>
      <c r="AK451" s="37">
        <f>if(and(or(O451=3, P451=1, Q451=1, T451=1), AJ451="no Match"), "CUSM, CHU SJ, CHUQ", "")</f>
      </c>
      <c r="AL451" s="37">
        <f>IF(AND(O452=2, ISBLANK(P452), ISBLANK(Q452), ISBLANK(R452), ISBLANK(S452), ISBLANK(T452)), "CUSM, CHU SJ, CHUS, CHUQ", "")</f>
      </c>
      <c r="AM451" s="37">
        <f>if(and(AJ451="no match", AK451="", AL451="", K451&lt;26), "CUSM, CHU SJ, HGJ, CHUQ, CHUS", "")</f>
      </c>
      <c r="AN451" s="37">
        <f>if(and(AJ451="no match", AK451="", AL451="", K451&gt;26), "CUSM, CHU SJ, HGJ, CHUQ, CHUS, HMR", "")</f>
      </c>
    </row>
    <row x14ac:dyDescent="0.25" r="452" customHeight="1" ht="17.25">
      <c r="A452" s="27" t="s">
        <v>2264</v>
      </c>
      <c r="B452" s="28">
        <v>2</v>
      </c>
      <c r="C452" s="35">
        <v>831</v>
      </c>
      <c r="D452" s="29" t="s">
        <v>313</v>
      </c>
      <c r="E452" s="30" t="s">
        <v>50</v>
      </c>
      <c r="F452" s="31">
        <v>44429</v>
      </c>
      <c r="G452" s="32">
        <v>4.051388888888889</v>
      </c>
      <c r="H452" s="31">
        <v>44428</v>
      </c>
      <c r="I452" s="32">
        <v>4.761805555555556</v>
      </c>
      <c r="J452" s="33">
        <f>F452-H452</f>
      </c>
      <c r="K452" s="28">
        <v>32</v>
      </c>
      <c r="L452" s="28">
        <v>5</v>
      </c>
      <c r="M452" s="28">
        <v>2</v>
      </c>
      <c r="N452" s="34"/>
      <c r="O452" s="34"/>
      <c r="P452" s="34"/>
      <c r="Q452" s="34"/>
      <c r="R452" s="34"/>
      <c r="S452" s="34"/>
      <c r="T452" s="34"/>
      <c r="U452" s="34"/>
      <c r="V452" s="34"/>
      <c r="W452" s="29" t="s">
        <v>74</v>
      </c>
      <c r="X452" s="28">
        <v>26</v>
      </c>
      <c r="Y452" s="28">
        <v>1</v>
      </c>
      <c r="Z452" s="28">
        <v>2</v>
      </c>
      <c r="AA452" s="28">
        <v>1</v>
      </c>
      <c r="AB452" s="28">
        <v>1</v>
      </c>
      <c r="AC452" s="28">
        <v>2</v>
      </c>
      <c r="AD452" s="28">
        <v>2</v>
      </c>
      <c r="AE452" s="28">
        <v>4</v>
      </c>
      <c r="AF452" s="28">
        <v>2</v>
      </c>
      <c r="AG452" s="28">
        <v>2</v>
      </c>
      <c r="AH452" s="29" t="s">
        <v>2265</v>
      </c>
      <c r="AI452" s="36">
        <f>if(or(and(K452&lt;32, J452&lt;2), O452=1, P452=1, Q452=1, R452=1, S452=1, T452=1, U452=1, and(W452&lt;&gt;"", W452&lt;&gt;"Oxygen", W452&lt;&gt;"LowFlow")), "Intensive", "Intermediate")</f>
      </c>
      <c r="AJ452" s="37">
        <f>if(or(left(AH452, 1)="X", left(AH452, 1)="Y", left(AH452, 3)="J2M"), "CUSM", "No Match")</f>
      </c>
      <c r="AK452" s="37">
        <f>if(and(or(O452=3, P452=1, Q452=1, T452=1), AJ452="no Match"), "CUSM, CHU SJ, CHUQ", "")</f>
      </c>
      <c r="AL452" s="37">
        <f>IF(AND(O453=2, ISBLANK(P453), ISBLANK(Q453), ISBLANK(R453), ISBLANK(S453), ISBLANK(T453)), "CUSM, CHU SJ, CHUS, CHUQ", "")</f>
      </c>
      <c r="AM452" s="37">
        <f>if(and(AJ452="no match", AK452="", AL452="", K452&lt;26), "CUSM, CHU SJ, HGJ, CHUQ, CHUS", "")</f>
      </c>
      <c r="AN452" s="37">
        <f>if(and(AJ452="no match", AK452="", AL452="", K452&gt;26), "CUSM, CHU SJ, HGJ, CHUQ, CHUS, HMR", "")</f>
      </c>
    </row>
    <row x14ac:dyDescent="0.25" r="453" customHeight="1" ht="17.25">
      <c r="A453" s="27" t="s">
        <v>2266</v>
      </c>
      <c r="B453" s="28">
        <v>2</v>
      </c>
      <c r="C453" s="28">
        <v>780</v>
      </c>
      <c r="D453" s="29" t="s">
        <v>190</v>
      </c>
      <c r="E453" s="30" t="s">
        <v>50</v>
      </c>
      <c r="F453" s="31">
        <v>44430</v>
      </c>
      <c r="G453" s="32">
        <v>4.2</v>
      </c>
      <c r="H453" s="31">
        <v>44429</v>
      </c>
      <c r="I453" s="32">
        <v>4.95</v>
      </c>
      <c r="J453" s="33">
        <f>F453-H453</f>
      </c>
      <c r="K453" s="28">
        <v>32</v>
      </c>
      <c r="L453" s="28">
        <v>4</v>
      </c>
      <c r="M453" s="28">
        <v>2</v>
      </c>
      <c r="N453" s="34"/>
      <c r="O453" s="34"/>
      <c r="P453" s="34"/>
      <c r="Q453" s="34"/>
      <c r="R453" s="34"/>
      <c r="S453" s="34"/>
      <c r="T453" s="34"/>
      <c r="U453" s="34"/>
      <c r="V453" s="34"/>
      <c r="W453" s="29" t="s">
        <v>74</v>
      </c>
      <c r="X453" s="28">
        <v>27</v>
      </c>
      <c r="Y453" s="28">
        <v>1</v>
      </c>
      <c r="Z453" s="28">
        <v>2</v>
      </c>
      <c r="AA453" s="28">
        <v>3</v>
      </c>
      <c r="AB453" s="28">
        <v>4</v>
      </c>
      <c r="AC453" s="28">
        <v>2</v>
      </c>
      <c r="AD453" s="28">
        <v>1</v>
      </c>
      <c r="AE453" s="28">
        <v>4</v>
      </c>
      <c r="AF453" s="28">
        <v>2</v>
      </c>
      <c r="AG453" s="28">
        <v>2</v>
      </c>
      <c r="AH453" s="29" t="s">
        <v>2267</v>
      </c>
      <c r="AI453" s="36">
        <f>if(or(and(K453&lt;32, J453&lt;2), O453=1, P453=1, Q453=1, R453=1, S453=1, T453=1, U453=1, and(W453&lt;&gt;"", W453&lt;&gt;"Oxygen", W453&lt;&gt;"LowFlow")), "Intensive", "Intermediate")</f>
      </c>
      <c r="AJ453" s="37">
        <f>if(or(left(AH453, 1)="X", left(AH453, 1)="Y", left(AH453, 3)="J3M"), "CUSM", "No Match")</f>
      </c>
      <c r="AK453" s="37">
        <f>if(and(or(O453=3, P453=1, Q453=1, T453=1), AJ453="no Match"), "CUSM, CHU SJ, CHUQ", "")</f>
      </c>
      <c r="AL453" s="37">
        <f>IF(AND(O454=2, ISBLANK(P454), ISBLANK(Q454), ISBLANK(R454), ISBLANK(S454), ISBLANK(T454)), "CUSM, CHU SJ, CHUS, CHUQ", "")</f>
      </c>
      <c r="AM453" s="37">
        <f>if(and(AJ453="no match", AK453="", AL453="", K453&lt;26), "CUSM, CHU SJ, HGJ, CHUQ, CHUS", "")</f>
      </c>
      <c r="AN453" s="37">
        <f>if(and(AJ453="no match", AK453="", AL453="", K453&gt;26), "CUSM, CHU SJ, HGJ, CHUQ, CHUS, HMR", "")</f>
      </c>
    </row>
    <row x14ac:dyDescent="0.25" r="454" customHeight="1" ht="17.25">
      <c r="A454" s="27" t="s">
        <v>2268</v>
      </c>
      <c r="B454" s="28">
        <v>2</v>
      </c>
      <c r="C454" s="28">
        <v>817</v>
      </c>
      <c r="D454" s="29" t="s">
        <v>163</v>
      </c>
      <c r="E454" s="30" t="s">
        <v>54</v>
      </c>
      <c r="F454" s="31">
        <v>44431</v>
      </c>
      <c r="G454" s="32">
        <v>4.625</v>
      </c>
      <c r="H454" s="31">
        <v>44431</v>
      </c>
      <c r="I454" s="32">
        <v>4.477083333333333</v>
      </c>
      <c r="J454" s="33">
        <f>F454-H454</f>
      </c>
      <c r="K454" s="28">
        <v>36</v>
      </c>
      <c r="L454" s="28">
        <v>1</v>
      </c>
      <c r="M454" s="28">
        <v>2</v>
      </c>
      <c r="N454" s="34"/>
      <c r="O454" s="28">
        <v>2</v>
      </c>
      <c r="P454" s="34"/>
      <c r="Q454" s="34"/>
      <c r="R454" s="34"/>
      <c r="S454" s="34"/>
      <c r="T454" s="34"/>
      <c r="U454" s="35">
        <v>1</v>
      </c>
      <c r="V454" s="35">
        <v>1</v>
      </c>
      <c r="W454" s="29" t="s">
        <v>70</v>
      </c>
      <c r="X454" s="28">
        <v>31</v>
      </c>
      <c r="Y454" s="28">
        <v>1</v>
      </c>
      <c r="Z454" s="28">
        <v>2</v>
      </c>
      <c r="AA454" s="28">
        <v>2</v>
      </c>
      <c r="AB454" s="28">
        <v>1</v>
      </c>
      <c r="AC454" s="28">
        <v>2</v>
      </c>
      <c r="AD454" s="28">
        <v>1</v>
      </c>
      <c r="AE454" s="28">
        <v>4</v>
      </c>
      <c r="AF454" s="28">
        <v>1</v>
      </c>
      <c r="AG454" s="28">
        <v>2</v>
      </c>
      <c r="AH454" s="29" t="s">
        <v>2269</v>
      </c>
      <c r="AI454" s="36">
        <f>if(or(and(K454&lt;32, J454&lt;2), O454=1, P454=1, Q454=1, R454=1, S454=1, T454=1, U454=1, and(W454&lt;&gt;"", W454&lt;&gt;"Oxygen", W454&lt;&gt;"LowFlow")), "Intensive", "Intermediate")</f>
      </c>
      <c r="AJ454" s="37">
        <f>if(or(left(AH454, 1)="X", left(AH454, 1)="Y", left(AH454, 3)="J4M"), "CUSM", "No Match")</f>
      </c>
      <c r="AK454" s="37">
        <f>if(and(or(O454=3, P454=1, Q454=1, T454=1), AJ454="no Match"), "CUSM, CHU SJ, CHUQ", "")</f>
      </c>
      <c r="AL454" s="37">
        <f>IF(AND(O455=2, ISBLANK(P455), ISBLANK(Q455), ISBLANK(R455), ISBLANK(S455), ISBLANK(T455)), "CUSM, CHU SJ, CHUS, CHUQ", "")</f>
      </c>
      <c r="AM454" s="37">
        <f>if(and(AJ454="no match", AK454="", AL454="", K454&lt;26), "CUSM, CHU SJ, HGJ, CHUQ, CHUS", "")</f>
      </c>
      <c r="AN454" s="37">
        <f>if(and(AJ454="no match", AK454="", AL454="", K454&gt;26), "CUSM, CHU SJ, HGJ, CHUQ, CHUS, HMR", "")</f>
      </c>
    </row>
    <row x14ac:dyDescent="0.25" r="455" customHeight="1" ht="17.25">
      <c r="A455" s="27" t="s">
        <v>2270</v>
      </c>
      <c r="B455" s="28">
        <v>2</v>
      </c>
      <c r="C455" s="35">
        <v>835</v>
      </c>
      <c r="D455" s="29" t="s">
        <v>170</v>
      </c>
      <c r="E455" s="30" t="s">
        <v>54</v>
      </c>
      <c r="F455" s="31">
        <v>44431</v>
      </c>
      <c r="G455" s="32">
        <v>4.895833333333334</v>
      </c>
      <c r="H455" s="31">
        <v>44431</v>
      </c>
      <c r="I455" s="32">
        <v>4.7555555555555555</v>
      </c>
      <c r="J455" s="33">
        <f>F455-H455</f>
      </c>
      <c r="K455" s="28">
        <v>41</v>
      </c>
      <c r="L455" s="28">
        <v>1</v>
      </c>
      <c r="M455" s="28">
        <v>2</v>
      </c>
      <c r="N455" s="38"/>
      <c r="O455" s="38"/>
      <c r="P455" s="38"/>
      <c r="Q455" s="34"/>
      <c r="R455" s="38"/>
      <c r="S455" s="34"/>
      <c r="T455" s="35">
        <v>1</v>
      </c>
      <c r="U455" s="34"/>
      <c r="V455" s="38"/>
      <c r="W455" s="29"/>
      <c r="X455" s="28">
        <v>27</v>
      </c>
      <c r="Y455" s="28">
        <v>1</v>
      </c>
      <c r="Z455" s="28">
        <v>1</v>
      </c>
      <c r="AA455" s="28">
        <v>2</v>
      </c>
      <c r="AB455" s="28">
        <v>1</v>
      </c>
      <c r="AC455" s="28">
        <v>2</v>
      </c>
      <c r="AD455" s="28">
        <v>2</v>
      </c>
      <c r="AE455" s="28">
        <v>4</v>
      </c>
      <c r="AF455" s="28">
        <v>2</v>
      </c>
      <c r="AG455" s="28">
        <v>2</v>
      </c>
      <c r="AH455" s="29" t="s">
        <v>2271</v>
      </c>
      <c r="AI455" s="36">
        <f>if(or(and(K455&lt;32, J455&lt;2), O455=1, P455=1, Q455=1, R455=1, S455=1, T455=1, U455=1, and(W455&lt;&gt;"", W455&lt;&gt;"Oxygen", W455&lt;&gt;"LowFlow")), "Intensive", "Intermediate")</f>
      </c>
      <c r="AJ455" s="37">
        <f>if(or(left(AH455, 1)="X", left(AH455, 1)="Y", left(AH455, 3)="J5M"), "CUSM", "No Match")</f>
      </c>
      <c r="AK455" s="37">
        <f>if(and(or(O455=3, P455=1, Q455=1, T455=1), AJ455="no Match"), "CUSM, CHU SJ, CHUQ", "")</f>
      </c>
      <c r="AL455" s="37">
        <f>IF(AND(O456=2, ISBLANK(P456), ISBLANK(Q456), ISBLANK(R456), ISBLANK(S456), ISBLANK(T456)), "CUSM, CHU SJ, CHUS, CHUQ", "")</f>
      </c>
      <c r="AM455" s="37">
        <f>if(and(AJ455="no match", AK455="", AL455="", K455&lt;26), "CUSM, CHU SJ, HGJ, CHUQ, CHUS", "")</f>
      </c>
      <c r="AN455" s="37">
        <f>if(and(AJ455="no match", AK455="", AL455="", K455&gt;26), "CUSM, CHU SJ, HGJ, CHUQ, CHUS, HMR", "")</f>
      </c>
    </row>
    <row x14ac:dyDescent="0.25" r="456" customHeight="1" ht="17.25">
      <c r="A456" s="27" t="s">
        <v>2272</v>
      </c>
      <c r="B456" s="28">
        <v>2</v>
      </c>
      <c r="C456" s="28">
        <v>730</v>
      </c>
      <c r="D456" s="29" t="s">
        <v>81</v>
      </c>
      <c r="E456" s="30" t="s">
        <v>50</v>
      </c>
      <c r="F456" s="31">
        <v>44431</v>
      </c>
      <c r="G456" s="32">
        <v>4.073611111111111</v>
      </c>
      <c r="H456" s="31">
        <v>44430</v>
      </c>
      <c r="I456" s="32">
        <v>4.915277777777778</v>
      </c>
      <c r="J456" s="33">
        <f>F456-H456</f>
      </c>
      <c r="K456" s="28">
        <v>41</v>
      </c>
      <c r="L456" s="28">
        <v>3</v>
      </c>
      <c r="M456" s="28">
        <v>1</v>
      </c>
      <c r="N456" s="34"/>
      <c r="O456" s="34"/>
      <c r="P456" s="34"/>
      <c r="Q456" s="34"/>
      <c r="R456" s="34"/>
      <c r="S456" s="34"/>
      <c r="T456" s="34"/>
      <c r="U456" s="34"/>
      <c r="V456" s="34"/>
      <c r="W456" s="29"/>
      <c r="X456" s="28">
        <v>31</v>
      </c>
      <c r="Y456" s="28">
        <v>1</v>
      </c>
      <c r="Z456" s="28">
        <v>1</v>
      </c>
      <c r="AA456" s="28">
        <v>2</v>
      </c>
      <c r="AB456" s="28">
        <v>1</v>
      </c>
      <c r="AC456" s="28">
        <v>2</v>
      </c>
      <c r="AD456" s="28">
        <v>2</v>
      </c>
      <c r="AE456" s="28">
        <v>4</v>
      </c>
      <c r="AF456" s="28">
        <v>2</v>
      </c>
      <c r="AG456" s="28">
        <v>2</v>
      </c>
      <c r="AH456" s="29" t="s">
        <v>2273</v>
      </c>
      <c r="AI456" s="36">
        <f>if(or(and(K456&lt;32, J456&lt;2), O456=1, P456=1, Q456=1, R456=1, S456=1, T456=1, U456=1, and(W456&lt;&gt;"", W456&lt;&gt;"Oxygen", W456&lt;&gt;"LowFlow")), "Intensive", "Intermediate")</f>
      </c>
      <c r="AJ456" s="37">
        <f>if(or(left(AH456, 1)="X", left(AH456, 1)="Y", left(AH456, 3)="J6M"), "CUSM", "No Match")</f>
      </c>
      <c r="AK456" s="37">
        <f>if(and(or(O456=3, P456=1, Q456=1, T456=1), AJ456="no Match"), "CUSM, CHU SJ, CHUQ", "")</f>
      </c>
      <c r="AL456" s="37">
        <f>IF(AND(O457=2, ISBLANK(P457), ISBLANK(Q457), ISBLANK(R457), ISBLANK(S457), ISBLANK(T457)), "CUSM, CHU SJ, CHUS, CHUQ", "")</f>
      </c>
      <c r="AM456" s="37">
        <f>if(and(AJ456="no match", AK456="", AL456="", K456&lt;26), "CUSM, CHU SJ, HGJ, CHUQ, CHUS", "")</f>
      </c>
      <c r="AN456" s="37">
        <f>if(and(AJ456="no match", AK456="", AL456="", K456&gt;26), "CUSM, CHU SJ, HGJ, CHUQ, CHUS, HMR", "")</f>
      </c>
    </row>
    <row x14ac:dyDescent="0.25" r="457" customHeight="1" ht="17.25">
      <c r="A457" s="27" t="s">
        <v>2274</v>
      </c>
      <c r="B457" s="28">
        <v>2</v>
      </c>
      <c r="C457" s="35">
        <v>831</v>
      </c>
      <c r="D457" s="29" t="s">
        <v>313</v>
      </c>
      <c r="E457" s="30" t="s">
        <v>50</v>
      </c>
      <c r="F457" s="31">
        <v>44431</v>
      </c>
      <c r="G457" s="32">
        <v>4.777777777777778</v>
      </c>
      <c r="H457" s="31">
        <v>44431</v>
      </c>
      <c r="I457" s="32">
        <v>4.557638888888889</v>
      </c>
      <c r="J457" s="33">
        <f>F457-H457</f>
      </c>
      <c r="K457" s="28">
        <v>37</v>
      </c>
      <c r="L457" s="28">
        <v>5</v>
      </c>
      <c r="M457" s="28">
        <v>2</v>
      </c>
      <c r="N457" s="35">
        <v>1</v>
      </c>
      <c r="O457" s="34"/>
      <c r="P457" s="34"/>
      <c r="Q457" s="35">
        <v>1</v>
      </c>
      <c r="R457" s="34"/>
      <c r="S457" s="34"/>
      <c r="T457" s="34"/>
      <c r="U457" s="34"/>
      <c r="V457" s="34"/>
      <c r="W457" s="29" t="s">
        <v>164</v>
      </c>
      <c r="X457" s="28">
        <v>20</v>
      </c>
      <c r="Y457" s="28">
        <v>1</v>
      </c>
      <c r="Z457" s="28">
        <v>2</v>
      </c>
      <c r="AA457" s="28">
        <v>3</v>
      </c>
      <c r="AB457" s="28">
        <v>1</v>
      </c>
      <c r="AC457" s="28">
        <v>2</v>
      </c>
      <c r="AD457" s="28">
        <v>1</v>
      </c>
      <c r="AE457" s="28">
        <v>4</v>
      </c>
      <c r="AF457" s="28">
        <v>2</v>
      </c>
      <c r="AG457" s="28">
        <v>2</v>
      </c>
      <c r="AH457" s="29" t="s">
        <v>2275</v>
      </c>
      <c r="AI457" s="36">
        <f>if(or(and(K457&lt;32, J457&lt;2), O457=1, P457=1, Q457=1, R457=1, S457=1, T457=1, U457=1, and(W457&lt;&gt;"", W457&lt;&gt;"Oxygen", W457&lt;&gt;"LowFlow")), "Intensive", "Intermediate")</f>
      </c>
      <c r="AJ457" s="37">
        <f>if(or(left(AH457, 1)="X", left(AH457, 1)="Y", left(AH457, 3)="J7M"), "CUSM", "No Match")</f>
      </c>
      <c r="AK457" s="37">
        <f>if(and(or(O457=3, P457=1, Q457=1, T457=1), AJ457="no Match"), "CUSM, CHU SJ, CHUQ", "")</f>
      </c>
      <c r="AL457" s="37">
        <f>IF(AND(O458=2, ISBLANK(P458), ISBLANK(Q458), ISBLANK(R458), ISBLANK(S458), ISBLANK(T458)), "CUSM, CHU SJ, CHUS, CHUQ", "")</f>
      </c>
      <c r="AM457" s="37">
        <f>if(and(AJ457="no match", AK457="", AL457="", K457&lt;26), "CUSM, CHU SJ, HGJ, CHUQ, CHUS", "")</f>
      </c>
      <c r="AN457" s="37">
        <f>if(and(AJ457="no match", AK457="", AL457="", K457&gt;26), "CUSM, CHU SJ, HGJ, CHUQ, CHUS, HMR", "")</f>
      </c>
    </row>
    <row x14ac:dyDescent="0.25" r="458" customHeight="1" ht="17.25">
      <c r="A458" s="27" t="s">
        <v>2276</v>
      </c>
      <c r="B458" s="28">
        <v>2</v>
      </c>
      <c r="C458" s="28">
        <v>756</v>
      </c>
      <c r="D458" s="29" t="s">
        <v>66</v>
      </c>
      <c r="E458" s="30" t="s">
        <v>50</v>
      </c>
      <c r="F458" s="31">
        <v>44433</v>
      </c>
      <c r="G458" s="32">
        <v>4.635416666666666</v>
      </c>
      <c r="H458" s="31">
        <v>44409</v>
      </c>
      <c r="I458" s="32">
        <v>4.8284722222222225</v>
      </c>
      <c r="J458" s="33">
        <f>F458-H458</f>
      </c>
      <c r="K458" s="28">
        <v>34</v>
      </c>
      <c r="L458" s="28">
        <v>0</v>
      </c>
      <c r="M458" s="28">
        <v>2</v>
      </c>
      <c r="N458" s="34"/>
      <c r="O458" s="34"/>
      <c r="P458" s="34"/>
      <c r="Q458" s="34"/>
      <c r="R458" s="34"/>
      <c r="S458" s="34"/>
      <c r="T458" s="34"/>
      <c r="U458" s="34"/>
      <c r="V458" s="34"/>
      <c r="W458" s="29"/>
      <c r="X458" s="28">
        <v>32</v>
      </c>
      <c r="Y458" s="28">
        <v>1</v>
      </c>
      <c r="Z458" s="28">
        <v>1</v>
      </c>
      <c r="AA458" s="28">
        <v>1</v>
      </c>
      <c r="AB458" s="28">
        <v>2</v>
      </c>
      <c r="AC458" s="28">
        <v>2</v>
      </c>
      <c r="AD458" s="28">
        <v>2</v>
      </c>
      <c r="AE458" s="28">
        <v>4</v>
      </c>
      <c r="AF458" s="28">
        <v>2</v>
      </c>
      <c r="AG458" s="28">
        <v>2</v>
      </c>
      <c r="AH458" s="29" t="s">
        <v>2277</v>
      </c>
      <c r="AI458" s="36">
        <f>if(or(and(K458&lt;32, J458&lt;2), O458=1, P458=1, Q458=1, R458=1, S458=1, T458=1, U458=1, and(W458&lt;&gt;"", W458&lt;&gt;"Oxygen", W458&lt;&gt;"LowFlow")), "Intensive", "Intermediate")</f>
      </c>
      <c r="AJ458" s="37">
        <f>if(or(left(AH458, 1)="X", left(AH458, 1)="Y", left(AH458, 3)="J8M"), "CUSM", "No Match")</f>
      </c>
      <c r="AK458" s="37">
        <f>if(and(or(O458=3, P458=1, Q458=1, T458=1), AJ458="no Match"), "CUSM, CHU SJ, CHUQ", "")</f>
      </c>
      <c r="AL458" s="37">
        <f>IF(AND(O459=2, ISBLANK(P459), ISBLANK(Q459), ISBLANK(R459), ISBLANK(S459), ISBLANK(T459)), "CUSM, CHU SJ, CHUS, CHUQ", "")</f>
      </c>
      <c r="AM458" s="37">
        <f>if(and(AJ458="no match", AK458="", AL458="", K458&lt;26), "CUSM, CHU SJ, HGJ, CHUQ, CHUS", "")</f>
      </c>
      <c r="AN458" s="37">
        <f>if(and(AJ458="no match", AK458="", AL458="", K458&gt;26), "CUSM, CHU SJ, HGJ, CHUQ, CHUS, HMR", "")</f>
      </c>
    </row>
    <row x14ac:dyDescent="0.25" r="459" customHeight="1" ht="17.25">
      <c r="A459" s="27" t="s">
        <v>2278</v>
      </c>
      <c r="B459" s="28">
        <v>2</v>
      </c>
      <c r="C459" s="28">
        <v>756</v>
      </c>
      <c r="D459" s="29" t="s">
        <v>66</v>
      </c>
      <c r="E459" s="30" t="s">
        <v>50</v>
      </c>
      <c r="F459" s="31">
        <v>44434</v>
      </c>
      <c r="G459" s="32">
        <v>4.756944444444445</v>
      </c>
      <c r="H459" s="31">
        <v>44434</v>
      </c>
      <c r="I459" s="32">
        <v>4.620833333333334</v>
      </c>
      <c r="J459" s="33">
        <f>F459-H459</f>
      </c>
      <c r="K459" s="28">
        <v>33</v>
      </c>
      <c r="L459" s="28">
        <v>5</v>
      </c>
      <c r="M459" s="28">
        <v>1</v>
      </c>
      <c r="N459" s="28">
        <v>1</v>
      </c>
      <c r="O459" s="35">
        <v>2</v>
      </c>
      <c r="P459" s="38"/>
      <c r="Q459" s="34"/>
      <c r="R459" s="34"/>
      <c r="S459" s="34"/>
      <c r="T459" s="34"/>
      <c r="U459" s="34"/>
      <c r="V459" s="34"/>
      <c r="W459" s="29" t="s">
        <v>58</v>
      </c>
      <c r="X459" s="28">
        <v>30</v>
      </c>
      <c r="Y459" s="28">
        <v>1</v>
      </c>
      <c r="Z459" s="28">
        <v>1</v>
      </c>
      <c r="AA459" s="28">
        <v>1</v>
      </c>
      <c r="AB459" s="28">
        <v>1</v>
      </c>
      <c r="AC459" s="28">
        <v>2</v>
      </c>
      <c r="AD459" s="28">
        <v>2</v>
      </c>
      <c r="AE459" s="28">
        <v>4</v>
      </c>
      <c r="AF459" s="28">
        <v>2</v>
      </c>
      <c r="AG459" s="28">
        <v>1</v>
      </c>
      <c r="AH459" s="29" t="s">
        <v>2279</v>
      </c>
      <c r="AI459" s="36">
        <f>if(or(and(K459&lt;32, J459&lt;2), O459=1, P459=1, Q459=1, R459=1, S459=1, T459=1, U459=1, and(W459&lt;&gt;"", W459&lt;&gt;"Oxygen", W459&lt;&gt;"LowFlow")), "Intensive", "Intermediate")</f>
      </c>
      <c r="AJ459" s="37">
        <f>if(or(left(AH459, 1)="X", left(AH459, 1)="Y", left(AH459, 3)="J9M"), "CUSM", "No Match")</f>
      </c>
      <c r="AK459" s="37">
        <f>if(and(or(O459=3, P459=1, Q459=1, T459=1), AJ459="no Match"), "CUSM, CHU SJ, CHUQ", "")</f>
      </c>
      <c r="AL459" s="37">
        <f>IF(AND(O460=2, ISBLANK(P460), ISBLANK(Q460), ISBLANK(R460), ISBLANK(S460), ISBLANK(T460)), "CUSM, CHU SJ, CHUS, CHUQ", "")</f>
      </c>
      <c r="AM459" s="37">
        <f>if(and(AJ459="no match", AK459="", AL459="", K459&lt;26), "CUSM, CHU SJ, HGJ, CHUQ, CHUS", "")</f>
      </c>
      <c r="AN459" s="37">
        <f>if(and(AJ459="no match", AK459="", AL459="", K459&gt;26), "CUSM, CHU SJ, HGJ, CHUQ, CHUS, HMR", "")</f>
      </c>
    </row>
    <row x14ac:dyDescent="0.25" r="460" customHeight="1" ht="17.25">
      <c r="A460" s="27" t="s">
        <v>2280</v>
      </c>
      <c r="B460" s="28">
        <v>2</v>
      </c>
      <c r="C460" s="28">
        <v>779</v>
      </c>
      <c r="D460" s="29" t="s">
        <v>136</v>
      </c>
      <c r="E460" s="30" t="s">
        <v>50</v>
      </c>
      <c r="F460" s="31">
        <v>44434</v>
      </c>
      <c r="G460" s="32">
        <v>4.600694444444445</v>
      </c>
      <c r="H460" s="31">
        <v>44434</v>
      </c>
      <c r="I460" s="32">
        <v>4.38125</v>
      </c>
      <c r="J460" s="33">
        <f>F460-H460</f>
      </c>
      <c r="K460" s="28">
        <v>36</v>
      </c>
      <c r="L460" s="28">
        <v>2</v>
      </c>
      <c r="M460" s="28">
        <v>2</v>
      </c>
      <c r="N460" s="28">
        <v>1</v>
      </c>
      <c r="O460" s="35">
        <v>2</v>
      </c>
      <c r="P460" s="28">
        <v>1</v>
      </c>
      <c r="Q460" s="34"/>
      <c r="R460" s="34"/>
      <c r="S460" s="34"/>
      <c r="T460" s="34"/>
      <c r="U460" s="34"/>
      <c r="V460" s="34"/>
      <c r="W460" s="29"/>
      <c r="X460" s="28">
        <v>36</v>
      </c>
      <c r="Y460" s="28">
        <v>1</v>
      </c>
      <c r="Z460" s="28">
        <v>2</v>
      </c>
      <c r="AA460" s="28">
        <v>3</v>
      </c>
      <c r="AB460" s="28">
        <v>1</v>
      </c>
      <c r="AC460" s="28">
        <v>2</v>
      </c>
      <c r="AD460" s="28">
        <v>1</v>
      </c>
      <c r="AE460" s="28">
        <v>4</v>
      </c>
      <c r="AF460" s="28">
        <v>2</v>
      </c>
      <c r="AG460" s="28">
        <v>2</v>
      </c>
      <c r="AH460" s="29" t="s">
        <v>2281</v>
      </c>
      <c r="AI460" s="36">
        <f>if(or(and(K460&lt;32, J460&lt;2), O460=1, P460=1, Q460=1, R460=1, S460=1, T460=1, U460=1, and(W460&lt;&gt;"", W460&lt;&gt;"Oxygen", W460&lt;&gt;"LowFlow")), "Intensive", "Intermediate")</f>
      </c>
      <c r="AJ460" s="37">
        <f>if(or(left(AH460, 1)="X", left(AH460, 1)="Y", left(AH460, 3)="J10M"), "CUSM", "No Match")</f>
      </c>
      <c r="AK460" s="37">
        <f>if(and(or(O460=3, P460=1, Q460=1, T460=1), AJ460="no Match"), "CUSM, CHU SJ, CHUQ", "")</f>
      </c>
      <c r="AL460" s="37">
        <f>IF(AND(O461=2, ISBLANK(P461), ISBLANK(Q461), ISBLANK(R461), ISBLANK(S461), ISBLANK(T461)), "CUSM, CHU SJ, CHUS, CHUQ", "")</f>
      </c>
      <c r="AM460" s="37">
        <f>if(and(AJ460="no match", AK460="", AL460="", K460&lt;26), "CUSM, CHU SJ, HGJ, CHUQ, CHUS", "")</f>
      </c>
      <c r="AN460" s="37">
        <f>if(and(AJ460="no match", AK460="", AL460="", K460&gt;26), "CUSM, CHU SJ, HGJ, CHUQ, CHUS, HMR", "")</f>
      </c>
    </row>
    <row x14ac:dyDescent="0.25" r="461" customHeight="1" ht="17.25">
      <c r="A461" s="27" t="s">
        <v>2282</v>
      </c>
      <c r="B461" s="28">
        <v>2</v>
      </c>
      <c r="C461" s="35">
        <v>824</v>
      </c>
      <c r="D461" s="29" t="s">
        <v>57</v>
      </c>
      <c r="E461" s="30" t="s">
        <v>54</v>
      </c>
      <c r="F461" s="31">
        <v>44435</v>
      </c>
      <c r="G461" s="32">
        <v>4.392361111111111</v>
      </c>
      <c r="H461" s="31">
        <v>44435</v>
      </c>
      <c r="I461" s="32">
        <v>4.05</v>
      </c>
      <c r="J461" s="33">
        <f>F461-H461</f>
      </c>
      <c r="K461" s="28">
        <v>40</v>
      </c>
      <c r="L461" s="28">
        <v>2</v>
      </c>
      <c r="M461" s="28">
        <v>1</v>
      </c>
      <c r="N461" s="35">
        <v>1</v>
      </c>
      <c r="O461" s="35">
        <v>2</v>
      </c>
      <c r="P461" s="35">
        <v>1</v>
      </c>
      <c r="Q461" s="34"/>
      <c r="R461" s="35">
        <v>1</v>
      </c>
      <c r="S461" s="34"/>
      <c r="T461" s="34"/>
      <c r="U461" s="34"/>
      <c r="V461" s="34"/>
      <c r="W461" s="29" t="s">
        <v>74</v>
      </c>
      <c r="X461" s="28">
        <v>26</v>
      </c>
      <c r="Y461" s="28">
        <v>1</v>
      </c>
      <c r="Z461" s="28">
        <v>2</v>
      </c>
      <c r="AA461" s="28">
        <v>1</v>
      </c>
      <c r="AB461" s="28">
        <v>1</v>
      </c>
      <c r="AC461" s="28">
        <v>2</v>
      </c>
      <c r="AD461" s="28">
        <v>2</v>
      </c>
      <c r="AE461" s="28">
        <v>4</v>
      </c>
      <c r="AF461" s="35">
        <v>1</v>
      </c>
      <c r="AG461" s="28">
        <v>2</v>
      </c>
      <c r="AH461" s="29" t="s">
        <v>2283</v>
      </c>
      <c r="AI461" s="36">
        <f>if(or(and(K461&lt;32, J461&lt;2), O461=1, P461=1, Q461=1, R461=1, S461=1, T461=1, U461=1, and(W461&lt;&gt;"", W461&lt;&gt;"Oxygen", W461&lt;&gt;"LowFlow")), "Intensive", "Intermediate")</f>
      </c>
      <c r="AJ461" s="37">
        <f>if(or(left(AH461, 1)="X", left(AH461, 1)="Y", left(AH461, 3)="J11M"), "CUSM", "No Match")</f>
      </c>
      <c r="AK461" s="37">
        <f>if(and(or(O461=3, P461=1, Q461=1, T461=1), AJ461="no Match"), "CUSM, CHU SJ, CHUQ", "")</f>
      </c>
      <c r="AL461" s="37">
        <f>IF(AND(O462=2, ISBLANK(P462), ISBLANK(Q462), ISBLANK(R462), ISBLANK(S462), ISBLANK(T462)), "CUSM, CHU SJ, CHUS, CHUQ", "")</f>
      </c>
      <c r="AM461" s="37">
        <f>if(and(AJ461="no match", AK461="", AL461="", K461&lt;26), "CUSM, CHU SJ, HGJ, CHUQ, CHUS", "")</f>
      </c>
      <c r="AN461" s="37">
        <f>if(and(AJ461="no match", AK461="", AL461="", K461&gt;26), "CUSM, CHU SJ, HGJ, CHUQ, CHUS, HMR", "")</f>
      </c>
    </row>
    <row x14ac:dyDescent="0.25" r="462" customHeight="1" ht="17.25">
      <c r="A462" s="27" t="s">
        <v>2284</v>
      </c>
      <c r="B462" s="28">
        <v>2</v>
      </c>
      <c r="C462" s="28">
        <v>822</v>
      </c>
      <c r="D462" s="29" t="s">
        <v>167</v>
      </c>
      <c r="E462" s="30" t="s">
        <v>78</v>
      </c>
      <c r="F462" s="31">
        <v>44436</v>
      </c>
      <c r="G462" s="32">
        <v>4.416666666666666</v>
      </c>
      <c r="H462" s="31">
        <v>44436</v>
      </c>
      <c r="I462" s="32">
        <v>4.115972222222222</v>
      </c>
      <c r="J462" s="33">
        <f>F462-H462</f>
      </c>
      <c r="K462" s="28">
        <v>39</v>
      </c>
      <c r="L462" s="28">
        <v>0</v>
      </c>
      <c r="M462" s="28">
        <v>1</v>
      </c>
      <c r="N462" s="34"/>
      <c r="O462" s="34"/>
      <c r="P462" s="34"/>
      <c r="Q462" s="34"/>
      <c r="R462" s="34"/>
      <c r="S462" s="34"/>
      <c r="T462" s="34"/>
      <c r="U462" s="34"/>
      <c r="V462" s="34"/>
      <c r="W462" s="29"/>
      <c r="X462" s="28">
        <v>30</v>
      </c>
      <c r="Y462" s="28">
        <v>1</v>
      </c>
      <c r="Z462" s="28">
        <v>1</v>
      </c>
      <c r="AA462" s="28">
        <v>2</v>
      </c>
      <c r="AB462" s="28">
        <v>1</v>
      </c>
      <c r="AC462" s="28">
        <v>2</v>
      </c>
      <c r="AD462" s="28">
        <v>2</v>
      </c>
      <c r="AE462" s="28">
        <v>2</v>
      </c>
      <c r="AF462" s="28">
        <v>2</v>
      </c>
      <c r="AG462" s="28">
        <v>2</v>
      </c>
      <c r="AH462" s="29" t="s">
        <v>2285</v>
      </c>
      <c r="AI462" s="36">
        <f>if(or(and(K462&lt;32, J462&lt;2), O462=1, P462=1, Q462=1, R462=1, S462=1, T462=1, U462=1, and(W462&lt;&gt;"", W462&lt;&gt;"Oxygen", W462&lt;&gt;"LowFlow")), "Intensive", "Intermediate")</f>
      </c>
      <c r="AJ462" s="37">
        <f>if(or(left(AH462, 1)="X", left(AH462, 1)="Y", left(AH462, 3)="J12M"), "CUSM", "No Match")</f>
      </c>
      <c r="AK462" s="37">
        <f>if(and(or(O462=3, P462=1, Q462=1, T462=1), AJ462="no Match"), "CUSM, CHU SJ, CHUQ", "")</f>
      </c>
      <c r="AL462" s="37">
        <f>IF(AND(O463=2, ISBLANK(P463), ISBLANK(Q463), ISBLANK(R463), ISBLANK(S463), ISBLANK(T463)), "CUSM, CHU SJ, CHUS, CHUQ", "")</f>
      </c>
      <c r="AM462" s="37">
        <f>if(and(AJ462="no match", AK462="", AL462="", K462&lt;26), "CUSM, CHU SJ, HGJ, CHUQ, CHUS", "")</f>
      </c>
      <c r="AN462" s="37">
        <f>if(and(AJ462="no match", AK462="", AL462="", K462&gt;26), "CUSM, CHU SJ, HGJ, CHUQ, CHUS, HMR", "")</f>
      </c>
    </row>
    <row x14ac:dyDescent="0.25" r="463" customHeight="1" ht="17.25">
      <c r="A463" s="27" t="s">
        <v>2286</v>
      </c>
      <c r="B463" s="28">
        <v>2</v>
      </c>
      <c r="C463" s="28">
        <v>796</v>
      </c>
      <c r="D463" s="29" t="s">
        <v>63</v>
      </c>
      <c r="E463" s="30" t="s">
        <v>50</v>
      </c>
      <c r="F463" s="31">
        <v>44436</v>
      </c>
      <c r="G463" s="32">
        <v>4.986805555555556</v>
      </c>
      <c r="H463" s="31">
        <v>44436</v>
      </c>
      <c r="I463" s="32">
        <v>4.7</v>
      </c>
      <c r="J463" s="33">
        <f>F463-H463</f>
      </c>
      <c r="K463" s="28">
        <v>35</v>
      </c>
      <c r="L463" s="28">
        <v>2</v>
      </c>
      <c r="M463" s="28">
        <v>2</v>
      </c>
      <c r="N463" s="35">
        <v>1</v>
      </c>
      <c r="O463" s="34"/>
      <c r="P463" s="34"/>
      <c r="Q463" s="35">
        <v>1</v>
      </c>
      <c r="R463" s="34"/>
      <c r="S463" s="34"/>
      <c r="T463" s="34"/>
      <c r="U463" s="34"/>
      <c r="V463" s="34"/>
      <c r="W463" s="29"/>
      <c r="X463" s="28">
        <v>24</v>
      </c>
      <c r="Y463" s="28">
        <v>1</v>
      </c>
      <c r="Z463" s="28">
        <v>1</v>
      </c>
      <c r="AA463" s="28">
        <v>1</v>
      </c>
      <c r="AB463" s="28">
        <v>1</v>
      </c>
      <c r="AC463" s="28">
        <v>3</v>
      </c>
      <c r="AD463" s="28">
        <v>3</v>
      </c>
      <c r="AE463" s="28">
        <v>4</v>
      </c>
      <c r="AF463" s="28">
        <v>3</v>
      </c>
      <c r="AG463" s="28">
        <v>2</v>
      </c>
      <c r="AH463" s="29" t="s">
        <v>2287</v>
      </c>
      <c r="AI463" s="36">
        <f>if(or(and(K463&lt;32, J463&lt;2), O463=1, P463=1, Q463=1, R463=1, S463=1, T463=1, U463=1, and(W463&lt;&gt;"", W463&lt;&gt;"Oxygen", W463&lt;&gt;"LowFlow")), "Intensive", "Intermediate")</f>
      </c>
      <c r="AJ463" s="37">
        <f>if(or(left(AH463, 1)="X", left(AH463, 1)="Y", left(AH463, 3)="J13M"), "CUSM", "No Match")</f>
      </c>
      <c r="AK463" s="37">
        <f>if(and(or(O463=3, P463=1, Q463=1, T463=1), AJ463="no Match"), "CUSM, CHU SJ, CHUQ", "")</f>
      </c>
      <c r="AL463" s="37">
        <f>IF(AND(O464=2, ISBLANK(P464), ISBLANK(Q464), ISBLANK(R464), ISBLANK(S464), ISBLANK(T464)), "CUSM, CHU SJ, CHUS, CHUQ", "")</f>
      </c>
      <c r="AM463" s="37">
        <f>if(and(AJ463="no match", AK463="", AL463="", K463&lt;26), "CUSM, CHU SJ, HGJ, CHUQ, CHUS", "")</f>
      </c>
      <c r="AN463" s="37">
        <f>if(and(AJ463="no match", AK463="", AL463="", K463&gt;26), "CUSM, CHU SJ, HGJ, CHUQ, CHUS, HMR", "")</f>
      </c>
    </row>
    <row x14ac:dyDescent="0.25" r="464" customHeight="1" ht="17.25">
      <c r="A464" s="27" t="s">
        <v>2288</v>
      </c>
      <c r="B464" s="28">
        <v>2</v>
      </c>
      <c r="C464" s="28">
        <v>831</v>
      </c>
      <c r="D464" s="29" t="s">
        <v>313</v>
      </c>
      <c r="E464" s="30" t="s">
        <v>54</v>
      </c>
      <c r="F464" s="31">
        <v>44437</v>
      </c>
      <c r="G464" s="32">
        <v>4.898611111111111</v>
      </c>
      <c r="H464" s="31">
        <v>44437</v>
      </c>
      <c r="I464" s="32">
        <v>4.271527777777777</v>
      </c>
      <c r="J464" s="33">
        <f>F464-H464</f>
      </c>
      <c r="K464" s="28">
        <v>41</v>
      </c>
      <c r="L464" s="28">
        <v>3</v>
      </c>
      <c r="M464" s="28">
        <v>1</v>
      </c>
      <c r="N464" s="34"/>
      <c r="O464" s="34"/>
      <c r="P464" s="34"/>
      <c r="Q464" s="34"/>
      <c r="R464" s="34"/>
      <c r="S464" s="34"/>
      <c r="T464" s="34"/>
      <c r="U464" s="34"/>
      <c r="V464" s="34"/>
      <c r="W464" s="29"/>
      <c r="X464" s="28">
        <v>23</v>
      </c>
      <c r="Y464" s="28">
        <v>1</v>
      </c>
      <c r="Z464" s="28">
        <v>1</v>
      </c>
      <c r="AA464" s="28">
        <v>1</v>
      </c>
      <c r="AB464" s="28">
        <v>1</v>
      </c>
      <c r="AC464" s="28">
        <v>2</v>
      </c>
      <c r="AD464" s="28">
        <v>2</v>
      </c>
      <c r="AE464" s="28">
        <v>4</v>
      </c>
      <c r="AF464" s="28">
        <v>1</v>
      </c>
      <c r="AG464" s="28">
        <v>2</v>
      </c>
      <c r="AH464" s="29" t="s">
        <v>2289</v>
      </c>
      <c r="AI464" s="36">
        <f>if(or(and(K464&lt;32, J464&lt;2), O464=1, P464=1, Q464=1, R464=1, S464=1, T464=1, U464=1, and(W464&lt;&gt;"", W464&lt;&gt;"Oxygen", W464&lt;&gt;"LowFlow")), "Intensive", "Intermediate")</f>
      </c>
      <c r="AJ464" s="37">
        <f>if(or(left(AH464, 1)="X", left(AH464, 1)="Y", left(AH464, 3)="J14M"), "CUSM", "No Match")</f>
      </c>
      <c r="AK464" s="37">
        <f>if(and(or(O464=3, P464=1, Q464=1, T464=1), AJ464="no Match"), "CUSM, CHU SJ, CHUQ", "")</f>
      </c>
      <c r="AL464" s="37">
        <f>IF(AND(O465=2, ISBLANK(P465), ISBLANK(Q465), ISBLANK(R465), ISBLANK(S465), ISBLANK(T465)), "CUSM, CHU SJ, CHUS, CHUQ", "")</f>
      </c>
      <c r="AM464" s="37">
        <f>if(and(AJ464="no match", AK464="", AL464="", K464&lt;26), "CUSM, CHU SJ, HGJ, CHUQ, CHUS", "")</f>
      </c>
      <c r="AN464" s="37">
        <f>if(and(AJ464="no match", AK464="", AL464="", K464&gt;26), "CUSM, CHU SJ, HGJ, CHUQ, CHUS, HMR", "")</f>
      </c>
    </row>
    <row x14ac:dyDescent="0.25" r="465" customHeight="1" ht="17.25">
      <c r="A465" s="27" t="s">
        <v>2290</v>
      </c>
      <c r="B465" s="28">
        <v>2</v>
      </c>
      <c r="C465" s="28">
        <v>825</v>
      </c>
      <c r="D465" s="29" t="s">
        <v>77</v>
      </c>
      <c r="E465" s="30" t="s">
        <v>54</v>
      </c>
      <c r="F465" s="31">
        <v>44437</v>
      </c>
      <c r="G465" s="32">
        <v>4.097222222222222</v>
      </c>
      <c r="H465" s="31">
        <v>44435</v>
      </c>
      <c r="I465" s="32">
        <v>4.509722222222223</v>
      </c>
      <c r="J465" s="33">
        <f>F465-H465</f>
      </c>
      <c r="K465" s="28">
        <v>39</v>
      </c>
      <c r="L465" s="28">
        <v>3</v>
      </c>
      <c r="M465" s="28">
        <v>2</v>
      </c>
      <c r="N465" s="34"/>
      <c r="O465" s="34"/>
      <c r="P465" s="34"/>
      <c r="Q465" s="34"/>
      <c r="R465" s="34"/>
      <c r="S465" s="34"/>
      <c r="T465" s="34"/>
      <c r="U465" s="34"/>
      <c r="V465" s="34"/>
      <c r="W465" s="29" t="s">
        <v>74</v>
      </c>
      <c r="X465" s="28">
        <v>30</v>
      </c>
      <c r="Y465" s="28">
        <v>1</v>
      </c>
      <c r="Z465" s="28">
        <v>1</v>
      </c>
      <c r="AA465" s="28">
        <v>2</v>
      </c>
      <c r="AB465" s="28">
        <v>1</v>
      </c>
      <c r="AC465" s="28">
        <v>2</v>
      </c>
      <c r="AD465" s="28">
        <v>2</v>
      </c>
      <c r="AE465" s="28">
        <v>4</v>
      </c>
      <c r="AF465" s="28">
        <v>2</v>
      </c>
      <c r="AG465" s="28">
        <v>2</v>
      </c>
      <c r="AH465" s="29" t="s">
        <v>2291</v>
      </c>
      <c r="AI465" s="36">
        <f>if(or(and(K465&lt;32, J465&lt;2), O465=1, P465=1, Q465=1, R465=1, S465=1, T465=1, U465=1, and(W465&lt;&gt;"", W465&lt;&gt;"Oxygen", W465&lt;&gt;"LowFlow")), "Intensive", "Intermediate")</f>
      </c>
      <c r="AJ465" s="37">
        <f>if(or(left(AH465, 1)="X", left(AH465, 1)="Y", left(AH465, 3)="J15M"), "CUSM", "No Match")</f>
      </c>
      <c r="AK465" s="37">
        <f>if(and(or(O465=3, P465=1, Q465=1, T465=1), AJ465="no Match"), "CUSM, CHU SJ, CHUQ", "")</f>
      </c>
      <c r="AL465" s="37">
        <f>IF(AND(O466=2, ISBLANK(P466), ISBLANK(Q466), ISBLANK(R466), ISBLANK(S466), ISBLANK(T466)), "CUSM, CHU SJ, CHUS, CHUQ", "")</f>
      </c>
      <c r="AM465" s="37">
        <f>if(and(AJ465="no match", AK465="", AL465="", K465&lt;26), "CUSM, CHU SJ, HGJ, CHUQ, CHUS", "")</f>
      </c>
      <c r="AN465" s="37">
        <f>if(and(AJ465="no match", AK465="", AL465="", K465&gt;26), "CUSM, CHU SJ, HGJ, CHUQ, CHUS, HMR", "")</f>
      </c>
    </row>
    <row x14ac:dyDescent="0.25" r="466" customHeight="1" ht="17.25">
      <c r="A466" s="27" t="s">
        <v>2292</v>
      </c>
      <c r="B466" s="28">
        <v>2</v>
      </c>
      <c r="C466" s="28">
        <v>824</v>
      </c>
      <c r="D466" s="29" t="s">
        <v>57</v>
      </c>
      <c r="E466" s="30" t="s">
        <v>78</v>
      </c>
      <c r="F466" s="31">
        <v>44437</v>
      </c>
      <c r="G466" s="32">
        <v>4</v>
      </c>
      <c r="H466" s="31">
        <v>44436</v>
      </c>
      <c r="I466" s="32">
        <v>4.817361111111111</v>
      </c>
      <c r="J466" s="33">
        <f>F466-H466</f>
      </c>
      <c r="K466" s="28">
        <v>32</v>
      </c>
      <c r="L466" s="28">
        <v>5</v>
      </c>
      <c r="M466" s="28">
        <v>1</v>
      </c>
      <c r="N466" s="38"/>
      <c r="O466" s="34"/>
      <c r="P466" s="38"/>
      <c r="Q466" s="34"/>
      <c r="R466" s="34"/>
      <c r="S466" s="34"/>
      <c r="T466" s="34"/>
      <c r="U466" s="34"/>
      <c r="V466" s="34"/>
      <c r="W466" s="29" t="s">
        <v>164</v>
      </c>
      <c r="X466" s="28">
        <v>30</v>
      </c>
      <c r="Y466" s="28">
        <v>1</v>
      </c>
      <c r="Z466" s="28">
        <v>1</v>
      </c>
      <c r="AA466" s="28">
        <v>1</v>
      </c>
      <c r="AB466" s="28">
        <v>1</v>
      </c>
      <c r="AC466" s="28">
        <v>2</v>
      </c>
      <c r="AD466" s="28">
        <v>2</v>
      </c>
      <c r="AE466" s="28">
        <v>2</v>
      </c>
      <c r="AF466" s="28">
        <v>2</v>
      </c>
      <c r="AG466" s="28">
        <v>2</v>
      </c>
      <c r="AH466" s="29" t="s">
        <v>2293</v>
      </c>
      <c r="AI466" s="36">
        <f>if(or(and(K466&lt;32, J466&lt;2), O466=1, P466=1, Q466=1, R466=1, S466=1, T466=1, U466=1, and(W466&lt;&gt;"", W466&lt;&gt;"Oxygen", W466&lt;&gt;"LowFlow")), "Intensive", "Intermediate")</f>
      </c>
      <c r="AJ466" s="37">
        <f>if(or(left(AH466, 1)="X", left(AH466, 1)="Y", left(AH466, 3)="J16M"), "CUSM", "No Match")</f>
      </c>
      <c r="AK466" s="37">
        <f>if(and(or(O466=3, P466=1, Q466=1, T466=1), AJ466="no Match"), "CUSM, CHU SJ, CHUQ", "")</f>
      </c>
      <c r="AL466" s="37">
        <f>IF(AND(O467=2, ISBLANK(P467), ISBLANK(Q467), ISBLANK(R467), ISBLANK(S467), ISBLANK(T467)), "CUSM, CHU SJ, CHUS, CHUQ", "")</f>
      </c>
      <c r="AM466" s="37">
        <f>if(and(AJ466="no match", AK466="", AL466="", K466&lt;26), "CUSM, CHU SJ, HGJ, CHUQ, CHUS", "")</f>
      </c>
      <c r="AN466" s="37">
        <f>if(and(AJ466="no match", AK466="", AL466="", K466&gt;26), "CUSM, CHU SJ, HGJ, CHUQ, CHUS, HMR", "")</f>
      </c>
    </row>
    <row x14ac:dyDescent="0.25" r="467" customHeight="1" ht="17.25">
      <c r="A467" s="27" t="s">
        <v>2294</v>
      </c>
      <c r="B467" s="28">
        <v>2</v>
      </c>
      <c r="C467" s="28">
        <v>851</v>
      </c>
      <c r="D467" s="29" t="s">
        <v>1085</v>
      </c>
      <c r="E467" s="30" t="s">
        <v>149</v>
      </c>
      <c r="F467" s="31">
        <v>44438</v>
      </c>
      <c r="G467" s="32">
        <v>4.409722222222222</v>
      </c>
      <c r="H467" s="31">
        <v>44438</v>
      </c>
      <c r="I467" s="32">
        <v>4.356944444444444</v>
      </c>
      <c r="J467" s="33">
        <f>F467-H467</f>
      </c>
      <c r="K467" s="28">
        <v>30</v>
      </c>
      <c r="L467" s="28">
        <v>0</v>
      </c>
      <c r="M467" s="28">
        <v>1</v>
      </c>
      <c r="N467" s="34"/>
      <c r="O467" s="34"/>
      <c r="P467" s="34"/>
      <c r="Q467" s="34"/>
      <c r="R467" s="34"/>
      <c r="S467" s="34"/>
      <c r="T467" s="34"/>
      <c r="U467" s="34"/>
      <c r="V467" s="34"/>
      <c r="W467" s="29" t="s">
        <v>164</v>
      </c>
      <c r="X467" s="28">
        <v>31</v>
      </c>
      <c r="Y467" s="28">
        <v>1</v>
      </c>
      <c r="Z467" s="28">
        <v>1</v>
      </c>
      <c r="AA467" s="28">
        <v>1</v>
      </c>
      <c r="AB467" s="28">
        <v>4</v>
      </c>
      <c r="AC467" s="28">
        <v>2</v>
      </c>
      <c r="AD467" s="28">
        <v>2</v>
      </c>
      <c r="AE467" s="28">
        <v>4</v>
      </c>
      <c r="AF467" s="28">
        <v>3</v>
      </c>
      <c r="AG467" s="28">
        <v>3</v>
      </c>
      <c r="AH467" s="29" t="s">
        <v>2295</v>
      </c>
      <c r="AI467" s="36">
        <f>if(or(and(K467&lt;32, J467&lt;2), O467=1, P467=1, Q467=1, R467=1, S467=1, T467=1, U467=1, and(W467&lt;&gt;"", W467&lt;&gt;"Oxygen", W467&lt;&gt;"LowFlow")), "Intensive", "Intermediate")</f>
      </c>
      <c r="AJ467" s="37">
        <f>if(or(left(AH467, 1)="X", left(AH467, 1)="Y", left(AH467, 3)="J17M"), "CUSM", "No Match")</f>
      </c>
      <c r="AK467" s="37">
        <f>if(and(or(O467=3, P467=1, Q467=1, T467=1), AJ467="no Match"), "CUSM, CHU SJ, CHUQ", "")</f>
      </c>
      <c r="AL467" s="37">
        <f>IF(AND(O468=2, ISBLANK(P468), ISBLANK(Q468), ISBLANK(R468), ISBLANK(S468), ISBLANK(T468)), "CUSM, CHU SJ, CHUS, CHUQ", "")</f>
      </c>
      <c r="AM467" s="37">
        <f>if(and(AJ467="no match", AK467="", AL467="", K467&lt;26), "CUSM, CHU SJ, HGJ, CHUQ, CHUS", "")</f>
      </c>
      <c r="AN467" s="37">
        <f>if(and(AJ467="no match", AK467="", AL467="", K467&gt;26), "CUSM, CHU SJ, HGJ, CHUQ, CHUS, HMR", "")</f>
      </c>
    </row>
    <row x14ac:dyDescent="0.25" r="468" customHeight="1" ht="17.25">
      <c r="A468" s="27" t="s">
        <v>2296</v>
      </c>
      <c r="B468" s="28">
        <v>2</v>
      </c>
      <c r="C468" s="35">
        <v>795</v>
      </c>
      <c r="D468" s="29" t="s">
        <v>73</v>
      </c>
      <c r="E468" s="30" t="s">
        <v>149</v>
      </c>
      <c r="F468" s="31">
        <v>44439</v>
      </c>
      <c r="G468" s="32">
        <v>4.586805555555555</v>
      </c>
      <c r="H468" s="31">
        <v>44438</v>
      </c>
      <c r="I468" s="32">
        <v>4.9215277777777775</v>
      </c>
      <c r="J468" s="33">
        <f>F468-H468</f>
      </c>
      <c r="K468" s="28">
        <v>25</v>
      </c>
      <c r="L468" s="28">
        <v>0</v>
      </c>
      <c r="M468" s="28">
        <v>1</v>
      </c>
      <c r="N468" s="34"/>
      <c r="O468" s="34"/>
      <c r="P468" s="34"/>
      <c r="Q468" s="34"/>
      <c r="R468" s="34"/>
      <c r="S468" s="34"/>
      <c r="T468" s="34"/>
      <c r="U468" s="34"/>
      <c r="V468" s="34"/>
      <c r="W468" s="29" t="s">
        <v>74</v>
      </c>
      <c r="X468" s="28">
        <v>20</v>
      </c>
      <c r="Y468" s="28">
        <v>2</v>
      </c>
      <c r="Z468" s="28">
        <v>2</v>
      </c>
      <c r="AA468" s="28">
        <v>3</v>
      </c>
      <c r="AB468" s="28">
        <v>4</v>
      </c>
      <c r="AC468" s="28">
        <v>3</v>
      </c>
      <c r="AD468" s="28">
        <v>3</v>
      </c>
      <c r="AE468" s="28">
        <v>4</v>
      </c>
      <c r="AF468" s="28">
        <v>3</v>
      </c>
      <c r="AG468" s="28">
        <v>2</v>
      </c>
      <c r="AH468" s="29" t="s">
        <v>2297</v>
      </c>
      <c r="AI468" s="36">
        <f>if(or(and(K468&lt;32, J468&lt;2), O468=1, P468=1, Q468=1, R468=1, S468=1, T468=1, U468=1, and(W468&lt;&gt;"", W468&lt;&gt;"Oxygen", W468&lt;&gt;"LowFlow")), "Intensive", "Intermediate")</f>
      </c>
      <c r="AJ468" s="37">
        <f>if(or(left(AH468, 1)="X", left(AH468, 1)="Y", left(AH468, 3)="J18M"), "CUSM", "No Match")</f>
      </c>
      <c r="AK468" s="37">
        <f>if(and(or(O468=3, P468=1, Q468=1, T468=1), AJ468="no Match"), "CUSM, CHU SJ, CHUQ", "")</f>
      </c>
      <c r="AL468" s="37">
        <f>IF(AND(O469=2, ISBLANK(P469), ISBLANK(Q469), ISBLANK(R469), ISBLANK(S469), ISBLANK(T469)), "CUSM, CHU SJ, CHUS, CHUQ", "")</f>
      </c>
      <c r="AM468" s="37">
        <f>if(and(AJ468="no match", AK468="", AL468="", K468&lt;26), "CUSM, CHU SJ, HGJ, CHUQ, CHUS", "")</f>
      </c>
      <c r="AN468" s="37">
        <f>if(and(AJ468="no match", AK468="", AL468="", K468&gt;26), "CUSM, CHU SJ, HGJ, CHUQ, CHUS, HMR", "")</f>
      </c>
    </row>
    <row x14ac:dyDescent="0.25" r="469" customHeight="1" ht="17.25">
      <c r="A469" s="27" t="s">
        <v>2298</v>
      </c>
      <c r="B469" s="28">
        <v>2</v>
      </c>
      <c r="C469" s="28">
        <v>795</v>
      </c>
      <c r="D469" s="29" t="s">
        <v>73</v>
      </c>
      <c r="E469" s="30" t="s">
        <v>149</v>
      </c>
      <c r="F469" s="31">
        <v>44439</v>
      </c>
      <c r="G469" s="32">
        <v>4.600694444444445</v>
      </c>
      <c r="H469" s="31">
        <v>44438</v>
      </c>
      <c r="I469" s="32">
        <v>4.91875</v>
      </c>
      <c r="J469" s="33">
        <f>F469-H469</f>
      </c>
      <c r="K469" s="28">
        <v>25</v>
      </c>
      <c r="L469" s="28">
        <v>3</v>
      </c>
      <c r="M469" s="28">
        <v>1</v>
      </c>
      <c r="N469" s="34"/>
      <c r="O469" s="34"/>
      <c r="P469" s="34"/>
      <c r="Q469" s="34"/>
      <c r="R469" s="34"/>
      <c r="S469" s="34"/>
      <c r="T469" s="34"/>
      <c r="U469" s="34"/>
      <c r="V469" s="34"/>
      <c r="W469" s="29" t="s">
        <v>74</v>
      </c>
      <c r="X469" s="28">
        <v>20</v>
      </c>
      <c r="Y469" s="28">
        <v>2</v>
      </c>
      <c r="Z469" s="28">
        <v>2</v>
      </c>
      <c r="AA469" s="28">
        <v>3</v>
      </c>
      <c r="AB469" s="28">
        <v>4</v>
      </c>
      <c r="AC469" s="28">
        <v>3</v>
      </c>
      <c r="AD469" s="28">
        <v>2</v>
      </c>
      <c r="AE469" s="28">
        <v>4</v>
      </c>
      <c r="AF469" s="28">
        <v>3</v>
      </c>
      <c r="AG469" s="28">
        <v>2</v>
      </c>
      <c r="AH469" s="29" t="s">
        <v>2297</v>
      </c>
      <c r="AI469" s="36">
        <f>if(or(and(K469&lt;32, J469&lt;2), O469=1, P469=1, Q469=1, R469=1, S469=1, T469=1, U469=1, and(W469&lt;&gt;"", W469&lt;&gt;"Oxygen", W469&lt;&gt;"LowFlow")), "Intensive", "Intermediate")</f>
      </c>
      <c r="AJ469" s="37">
        <f>if(or(left(AH469, 1)="X", left(AH469, 1)="Y", left(AH469, 3)="J19M"), "CUSM", "No Match")</f>
      </c>
      <c r="AK469" s="37">
        <f>if(and(or(O469=3, P469=1, Q469=1, T469=1), AJ469="no Match"), "CUSM, CHU SJ, CHUQ", "")</f>
      </c>
      <c r="AL469" s="37">
        <f>IF(AND(O470=2, ISBLANK(P470), ISBLANK(Q470), ISBLANK(R470), ISBLANK(S470), ISBLANK(T470)), "CUSM, CHU SJ, CHUS, CHUQ", "")</f>
      </c>
      <c r="AM469" s="37">
        <f>if(and(AJ469="no match", AK469="", AL469="", K469&lt;26), "CUSM, CHU SJ, HGJ, CHUQ, CHUS", "")</f>
      </c>
      <c r="AN469" s="37">
        <f>if(and(AJ469="no match", AK469="", AL469="", K469&gt;26), "CUSM, CHU SJ, HGJ, CHUQ, CHUS, HMR", "")</f>
      </c>
    </row>
    <row x14ac:dyDescent="0.25" r="470" customHeight="1" ht="17.25">
      <c r="A470" s="27" t="s">
        <v>2299</v>
      </c>
      <c r="B470" s="28">
        <v>2</v>
      </c>
      <c r="C470" s="28">
        <v>730</v>
      </c>
      <c r="D470" s="29" t="s">
        <v>81</v>
      </c>
      <c r="E470" s="30" t="s">
        <v>78</v>
      </c>
      <c r="F470" s="31">
        <v>44439</v>
      </c>
      <c r="G470" s="32">
        <v>4.520833333333334</v>
      </c>
      <c r="H470" s="31">
        <v>44433</v>
      </c>
      <c r="I470" s="32">
        <v>4.805555555555555</v>
      </c>
      <c r="J470" s="33">
        <f>F470-H470</f>
      </c>
      <c r="K470" s="28">
        <v>38</v>
      </c>
      <c r="L470" s="28">
        <v>0</v>
      </c>
      <c r="M470" s="28">
        <v>1</v>
      </c>
      <c r="N470" s="38"/>
      <c r="O470" s="34"/>
      <c r="P470" s="34"/>
      <c r="Q470" s="34"/>
      <c r="R470" s="34"/>
      <c r="S470" s="34"/>
      <c r="T470" s="34"/>
      <c r="U470" s="34"/>
      <c r="V470" s="34"/>
      <c r="W470" s="29"/>
      <c r="X470" s="28">
        <v>40</v>
      </c>
      <c r="Y470" s="28">
        <v>1</v>
      </c>
      <c r="Z470" s="28">
        <v>1</v>
      </c>
      <c r="AA470" s="28">
        <v>2</v>
      </c>
      <c r="AB470" s="28">
        <v>1</v>
      </c>
      <c r="AC470" s="28">
        <v>2</v>
      </c>
      <c r="AD470" s="28">
        <v>2</v>
      </c>
      <c r="AE470" s="28">
        <v>2</v>
      </c>
      <c r="AF470" s="28">
        <v>2</v>
      </c>
      <c r="AG470" s="28">
        <v>2</v>
      </c>
      <c r="AH470" s="29" t="s">
        <v>2300</v>
      </c>
      <c r="AI470" s="36">
        <f>if(or(and(K470&lt;32, J470&lt;2), O470=1, P470=1, Q470=1, R470=1, S470=1, T470=1, U470=1, and(W470&lt;&gt;"", W470&lt;&gt;"Oxygen", W470&lt;&gt;"LowFlow")), "Intensive", "Intermediate")</f>
      </c>
      <c r="AJ470" s="37">
        <f>if(or(left(AH470, 1)="X", left(AH470, 1)="Y", left(AH470, 3)="J20M"), "CUSM", "No Match")</f>
      </c>
      <c r="AK470" s="37">
        <f>if(and(or(O470=3, P470=1, Q470=1, T470=1), AJ470="no Match"), "CUSM, CHU SJ, CHUQ", "")</f>
      </c>
      <c r="AL470" s="37">
        <f>IF(AND(O471=2, ISBLANK(P471), ISBLANK(Q471), ISBLANK(R471), ISBLANK(S471), ISBLANK(T471)), "CUSM, CHU SJ, CHUS, CHUQ", "")</f>
      </c>
      <c r="AM470" s="37">
        <f>if(and(AJ470="no match", AK470="", AL470="", K470&lt;26), "CUSM, CHU SJ, HGJ, CHUQ, CHUS", "")</f>
      </c>
      <c r="AN470" s="37">
        <f>if(and(AJ470="no match", AK470="", AL470="", K470&gt;26), "CUSM, CHU SJ, HGJ, CHUQ, CHUS, HMR", "")</f>
      </c>
    </row>
    <row x14ac:dyDescent="0.25" r="471" customHeight="1" ht="17.25">
      <c r="A471" s="27" t="s">
        <v>2301</v>
      </c>
      <c r="B471" s="28">
        <v>2</v>
      </c>
      <c r="C471" s="28">
        <v>796</v>
      </c>
      <c r="D471" s="29" t="s">
        <v>63</v>
      </c>
      <c r="E471" s="30" t="s">
        <v>78</v>
      </c>
      <c r="F471" s="31">
        <v>44439</v>
      </c>
      <c r="G471" s="32">
        <v>4.680555555555555</v>
      </c>
      <c r="H471" s="31">
        <v>44438</v>
      </c>
      <c r="I471" s="32">
        <v>4.485416666666667</v>
      </c>
      <c r="J471" s="33">
        <f>F471-H471</f>
      </c>
      <c r="K471" s="28">
        <v>38</v>
      </c>
      <c r="L471" s="28">
        <v>5</v>
      </c>
      <c r="M471" s="28">
        <v>2</v>
      </c>
      <c r="N471" s="34"/>
      <c r="O471" s="34"/>
      <c r="P471" s="34"/>
      <c r="Q471" s="34"/>
      <c r="R471" s="34"/>
      <c r="S471" s="34"/>
      <c r="T471" s="34"/>
      <c r="U471" s="34"/>
      <c r="V471" s="34"/>
      <c r="W471" s="29" t="s">
        <v>58</v>
      </c>
      <c r="X471" s="28">
        <v>33</v>
      </c>
      <c r="Y471" s="28">
        <v>1</v>
      </c>
      <c r="Z471" s="28">
        <v>2</v>
      </c>
      <c r="AA471" s="28">
        <v>1</v>
      </c>
      <c r="AB471" s="28">
        <v>1</v>
      </c>
      <c r="AC471" s="28">
        <v>2</v>
      </c>
      <c r="AD471" s="28">
        <v>2</v>
      </c>
      <c r="AE471" s="28">
        <v>4</v>
      </c>
      <c r="AF471" s="28">
        <v>2</v>
      </c>
      <c r="AG471" s="28">
        <v>2</v>
      </c>
      <c r="AH471" s="29" t="s">
        <v>2302</v>
      </c>
      <c r="AI471" s="36">
        <f>if(or(and(K471&lt;32, J471&lt;2), O471=1, P471=1, Q471=1, R471=1, S471=1, T471=1, U471=1, and(W471&lt;&gt;"", W471&lt;&gt;"Oxygen", W471&lt;&gt;"LowFlow")), "Intensive", "Intermediate")</f>
      </c>
      <c r="AJ471" s="37">
        <f>if(or(left(AH471, 1)="X", left(AH471, 1)="Y", left(AH471, 3)="J21M"), "CUSM", "No Match")</f>
      </c>
      <c r="AK471" s="37">
        <f>if(and(or(O471=3, P471=1, Q471=1, T471=1), AJ471="no Match"), "CUSM, CHU SJ, CHUQ", "")</f>
      </c>
      <c r="AL471" s="37">
        <f>IF(AND(O472=2, ISBLANK(P472), ISBLANK(Q472), ISBLANK(R472), ISBLANK(S472), ISBLANK(T472)), "CUSM, CHU SJ, CHUS, CHUQ", "")</f>
      </c>
      <c r="AM471" s="37">
        <f>if(and(AJ471="no match", AK471="", AL471="", K471&lt;26), "CUSM, CHU SJ, HGJ, CHUQ, CHUS", "")</f>
      </c>
      <c r="AN471" s="37">
        <f>if(and(AJ471="no match", AK471="", AL471="", K471&gt;26), "CUSM, CHU SJ, HGJ, CHUQ, CHUS, HMR", "")</f>
      </c>
    </row>
    <row x14ac:dyDescent="0.25" r="472" customHeight="1" ht="17.25">
      <c r="A472" s="27" t="s">
        <v>2303</v>
      </c>
      <c r="B472" s="28">
        <v>2</v>
      </c>
      <c r="C472" s="28">
        <v>756</v>
      </c>
      <c r="D472" s="29" t="s">
        <v>66</v>
      </c>
      <c r="E472" s="30" t="s">
        <v>50</v>
      </c>
      <c r="F472" s="31">
        <v>44439</v>
      </c>
      <c r="G472" s="32">
        <v>4.541666666666666</v>
      </c>
      <c r="H472" s="31">
        <v>44439</v>
      </c>
      <c r="I472" s="32">
        <v>4.383333333333333</v>
      </c>
      <c r="J472" s="33">
        <f>F472-H472</f>
      </c>
      <c r="K472" s="28">
        <v>40</v>
      </c>
      <c r="L472" s="28">
        <v>1</v>
      </c>
      <c r="M472" s="28">
        <v>1</v>
      </c>
      <c r="N472" s="34"/>
      <c r="O472" s="34"/>
      <c r="P472" s="34"/>
      <c r="Q472" s="34"/>
      <c r="R472" s="34"/>
      <c r="S472" s="34"/>
      <c r="T472" s="35">
        <v>1</v>
      </c>
      <c r="U472" s="34"/>
      <c r="V472" s="34"/>
      <c r="W472" s="29" t="s">
        <v>58</v>
      </c>
      <c r="X472" s="28">
        <v>30</v>
      </c>
      <c r="Y472" s="28">
        <v>1</v>
      </c>
      <c r="Z472" s="28">
        <v>1</v>
      </c>
      <c r="AA472" s="28">
        <v>3</v>
      </c>
      <c r="AB472" s="28">
        <v>1</v>
      </c>
      <c r="AC472" s="28">
        <v>2</v>
      </c>
      <c r="AD472" s="28">
        <v>2</v>
      </c>
      <c r="AE472" s="28">
        <v>4</v>
      </c>
      <c r="AF472" s="28">
        <v>2</v>
      </c>
      <c r="AG472" s="28">
        <v>2</v>
      </c>
      <c r="AH472" s="29" t="s">
        <v>533</v>
      </c>
      <c r="AI472" s="36">
        <f>if(or(and(K472&lt;32, J472&lt;2), O472=1, P472=1, Q472=1, R472=1, S472=1, T472=1, U472=1, and(W472&lt;&gt;"", W472&lt;&gt;"Oxygen", W472&lt;&gt;"LowFlow")), "Intensive", "Intermediate")</f>
      </c>
      <c r="AJ472" s="37">
        <f>if(or(left(AH472, 1)="X", left(AH472, 1)="Y", left(AH472, 3)="J22M"), "CUSM", "No Match")</f>
      </c>
      <c r="AK472" s="37">
        <f>if(and(or(O472=3, P472=1, Q472=1, T472=1), AJ472="no Match"), "CUSM, CHU SJ, CHUQ", "")</f>
      </c>
      <c r="AL472" s="37">
        <f>IF(AND(O473=2, ISBLANK(P473), ISBLANK(Q473), ISBLANK(R473), ISBLANK(S473), ISBLANK(T473)), "CUSM, CHU SJ, CHUS, CHUQ", "")</f>
      </c>
      <c r="AM472" s="37">
        <f>if(and(AJ472="no match", AK472="", AL472="", K472&lt;26), "CUSM, CHU SJ, HGJ, CHUQ, CHUS", "")</f>
      </c>
      <c r="AN472" s="37">
        <f>if(and(AJ472="no match", AK472="", AL472="", K472&gt;26), "CUSM, CHU SJ, HGJ, CHUQ, CHUS, HMR", "")</f>
      </c>
    </row>
    <row x14ac:dyDescent="0.25" r="473" customHeight="1" ht="17.25">
      <c r="A473" s="27" t="s">
        <v>2304</v>
      </c>
      <c r="B473" s="28">
        <v>2</v>
      </c>
      <c r="C473" s="35">
        <v>730</v>
      </c>
      <c r="D473" s="29" t="s">
        <v>81</v>
      </c>
      <c r="E473" s="30" t="s">
        <v>50</v>
      </c>
      <c r="F473" s="31">
        <v>44440</v>
      </c>
      <c r="G473" s="32">
        <v>4.207638888888889</v>
      </c>
      <c r="H473" s="31">
        <v>44440</v>
      </c>
      <c r="I473" s="32">
        <v>4.102777777777778</v>
      </c>
      <c r="J473" s="33">
        <f>F473-H473</f>
      </c>
      <c r="K473" s="28">
        <v>37</v>
      </c>
      <c r="L473" s="28">
        <v>5</v>
      </c>
      <c r="M473" s="28">
        <v>2</v>
      </c>
      <c r="N473" s="34"/>
      <c r="O473" s="35">
        <v>2</v>
      </c>
      <c r="P473" s="34"/>
      <c r="Q473" s="34"/>
      <c r="R473" s="34"/>
      <c r="S473" s="35">
        <v>1</v>
      </c>
      <c r="T473" s="34"/>
      <c r="U473" s="34"/>
      <c r="V473" s="34"/>
      <c r="W473" s="29" t="s">
        <v>74</v>
      </c>
      <c r="X473" s="28">
        <v>27</v>
      </c>
      <c r="Y473" s="28">
        <v>1</v>
      </c>
      <c r="Z473" s="28">
        <v>1</v>
      </c>
      <c r="AA473" s="28">
        <v>2</v>
      </c>
      <c r="AB473" s="28">
        <v>1</v>
      </c>
      <c r="AC473" s="28">
        <v>2</v>
      </c>
      <c r="AD473" s="28">
        <v>2</v>
      </c>
      <c r="AE473" s="28">
        <v>2</v>
      </c>
      <c r="AF473" s="28">
        <v>2</v>
      </c>
      <c r="AG473" s="28">
        <v>2</v>
      </c>
      <c r="AH473" s="29" t="s">
        <v>2305</v>
      </c>
      <c r="AI473" s="36">
        <f>if(or(and(K473&lt;32, J473&lt;2), O473=1, P473=1, Q473=1, R473=1, S473=1, T473=1, U473=1, and(W473&lt;&gt;"", W473&lt;&gt;"Oxygen", W473&lt;&gt;"LowFlow")), "Intensive", "Intermediate")</f>
      </c>
      <c r="AJ473" s="37">
        <f>if(or(left(AH473, 1)="X", left(AH473, 1)="Y", left(AH473, 3)="J23M"), "CUSM", "No Match")</f>
      </c>
      <c r="AK473" s="37">
        <f>if(and(or(O473=3, P473=1, Q473=1, T473=1), AJ473="no Match"), "CUSM, CHU SJ, CHUQ", "")</f>
      </c>
      <c r="AL473" s="37">
        <f>IF(AND(O474=2, ISBLANK(P474), ISBLANK(Q474), ISBLANK(R474), ISBLANK(S474), ISBLANK(T474)), "CUSM, CHU SJ, CHUS, CHUQ", "")</f>
      </c>
      <c r="AM473" s="37">
        <f>if(and(AJ473="no match", AK473="", AL473="", K473&lt;26), "CUSM, CHU SJ, HGJ, CHUQ, CHUS", "")</f>
      </c>
      <c r="AN473" s="37">
        <f>if(and(AJ473="no match", AK473="", AL473="", K473&gt;26), "CUSM, CHU SJ, HGJ, CHUQ, CHUS, HMR", "")</f>
      </c>
    </row>
    <row x14ac:dyDescent="0.25" r="474" customHeight="1" ht="17.25">
      <c r="A474" s="27" t="s">
        <v>2306</v>
      </c>
      <c r="B474" s="28">
        <v>2</v>
      </c>
      <c r="C474" s="28">
        <v>817</v>
      </c>
      <c r="D474" s="29" t="s">
        <v>163</v>
      </c>
      <c r="E474" s="30" t="s">
        <v>78</v>
      </c>
      <c r="F474" s="31">
        <v>44442</v>
      </c>
      <c r="G474" s="32">
        <v>4.138888888888889</v>
      </c>
      <c r="H474" s="31">
        <v>44441</v>
      </c>
      <c r="I474" s="32">
        <v>4.949305555555556</v>
      </c>
      <c r="J474" s="33">
        <f>F474-H474</f>
      </c>
      <c r="K474" s="28">
        <v>27</v>
      </c>
      <c r="L474" s="28">
        <v>0</v>
      </c>
      <c r="M474" s="28">
        <v>1</v>
      </c>
      <c r="N474" s="35">
        <v>1</v>
      </c>
      <c r="O474" s="38"/>
      <c r="P474" s="28">
        <v>1</v>
      </c>
      <c r="Q474" s="34"/>
      <c r="R474" s="34"/>
      <c r="S474" s="34"/>
      <c r="T474" s="34"/>
      <c r="U474" s="34"/>
      <c r="V474" s="34"/>
      <c r="W474" s="29" t="s">
        <v>74</v>
      </c>
      <c r="X474" s="28">
        <v>39</v>
      </c>
      <c r="Y474" s="28">
        <v>1</v>
      </c>
      <c r="Z474" s="28">
        <v>2</v>
      </c>
      <c r="AA474" s="28">
        <v>1</v>
      </c>
      <c r="AB474" s="28">
        <v>1</v>
      </c>
      <c r="AC474" s="28">
        <v>2</v>
      </c>
      <c r="AD474" s="28">
        <v>2</v>
      </c>
      <c r="AE474" s="28">
        <v>2</v>
      </c>
      <c r="AF474" s="28">
        <v>2</v>
      </c>
      <c r="AG474" s="28">
        <v>2</v>
      </c>
      <c r="AH474" s="29" t="s">
        <v>2307</v>
      </c>
      <c r="AI474" s="36">
        <f>if(or(and(K474&lt;32, J474&lt;2), O474=1, P474=1, Q474=1, R474=1, S474=1, T474=1, U474=1, and(W474&lt;&gt;"", W474&lt;&gt;"Oxygen", W474&lt;&gt;"LowFlow")), "Intensive", "Intermediate")</f>
      </c>
      <c r="AJ474" s="37">
        <f>if(or(left(AH474, 1)="X", left(AH474, 1)="Y", left(AH474, 3)="J24M"), "CUSM", "No Match")</f>
      </c>
      <c r="AK474" s="37">
        <f>if(and(or(O474=3, P474=1, Q474=1, T474=1), AJ474="no Match"), "CUSM, CHU SJ, CHUQ", "")</f>
      </c>
      <c r="AL474" s="37">
        <f>IF(AND(O475=2, ISBLANK(P475), ISBLANK(Q475), ISBLANK(R475), ISBLANK(S475), ISBLANK(T475)), "CUSM, CHU SJ, CHUS, CHUQ", "")</f>
      </c>
      <c r="AM474" s="37">
        <f>if(and(AJ474="no match", AK474="", AL474="", K474&lt;26), "CUSM, CHU SJ, HGJ, CHUQ, CHUS", "")</f>
      </c>
      <c r="AN474" s="37">
        <f>if(and(AJ474="no match", AK474="", AL474="", K474&gt;26), "CUSM, CHU SJ, HGJ, CHUQ, CHUS, HMR", "")</f>
      </c>
    </row>
    <row x14ac:dyDescent="0.25" r="475" customHeight="1" ht="17.25">
      <c r="A475" s="27" t="s">
        <v>2308</v>
      </c>
      <c r="B475" s="28">
        <v>2</v>
      </c>
      <c r="C475" s="28">
        <v>825</v>
      </c>
      <c r="D475" s="29" t="s">
        <v>77</v>
      </c>
      <c r="E475" s="30" t="s">
        <v>50</v>
      </c>
      <c r="F475" s="31">
        <v>44442</v>
      </c>
      <c r="G475" s="32">
        <v>4.243055555555555</v>
      </c>
      <c r="H475" s="31">
        <v>44442</v>
      </c>
      <c r="I475" s="32">
        <v>4.003472222222222</v>
      </c>
      <c r="J475" s="33">
        <f>F475-H475</f>
      </c>
      <c r="K475" s="28">
        <v>39</v>
      </c>
      <c r="L475" s="28">
        <v>3</v>
      </c>
      <c r="M475" s="28">
        <v>1</v>
      </c>
      <c r="N475" s="34"/>
      <c r="O475" s="34"/>
      <c r="P475" s="34"/>
      <c r="Q475" s="34"/>
      <c r="R475" s="34"/>
      <c r="S475" s="34"/>
      <c r="T475" s="34"/>
      <c r="U475" s="34"/>
      <c r="V475" s="34"/>
      <c r="W475" s="29"/>
      <c r="X475" s="28">
        <v>35</v>
      </c>
      <c r="Y475" s="28">
        <v>1</v>
      </c>
      <c r="Z475" s="28">
        <v>1</v>
      </c>
      <c r="AA475" s="28">
        <v>1</v>
      </c>
      <c r="AB475" s="28">
        <v>1</v>
      </c>
      <c r="AC475" s="28">
        <v>2</v>
      </c>
      <c r="AD475" s="28">
        <v>2</v>
      </c>
      <c r="AE475" s="28">
        <v>4</v>
      </c>
      <c r="AF475" s="35">
        <v>1</v>
      </c>
      <c r="AG475" s="28">
        <v>2</v>
      </c>
      <c r="AH475" s="29" t="s">
        <v>2309</v>
      </c>
      <c r="AI475" s="36">
        <f>if(or(and(K475&lt;32, J475&lt;2), O475=1, P475=1, Q475=1, R475=1, S475=1, T475=1, U475=1, and(W475&lt;&gt;"", W475&lt;&gt;"Oxygen", W475&lt;&gt;"LowFlow")), "Intensive", "Intermediate")</f>
      </c>
      <c r="AJ475" s="37">
        <f>if(or(left(AH475, 1)="X", left(AH475, 1)="Y", left(AH475, 3)="J25M"), "CUSM", "No Match")</f>
      </c>
      <c r="AK475" s="37">
        <f>if(and(or(O475=3, P475=1, Q475=1, T475=1), AJ475="no Match"), "CUSM, CHU SJ, CHUQ", "")</f>
      </c>
      <c r="AL475" s="37">
        <f>IF(AND(O476=2, ISBLANK(P476), ISBLANK(Q476), ISBLANK(R476), ISBLANK(S476), ISBLANK(T476)), "CUSM, CHU SJ, CHUS, CHUQ", "")</f>
      </c>
      <c r="AM475" s="37">
        <f>if(and(AJ475="no match", AK475="", AL475="", K475&lt;26), "CUSM, CHU SJ, HGJ, CHUQ, CHUS", "")</f>
      </c>
      <c r="AN475" s="37">
        <f>if(and(AJ475="no match", AK475="", AL475="", K475&gt;26), "CUSM, CHU SJ, HGJ, CHUQ, CHUS, HMR", "")</f>
      </c>
    </row>
    <row x14ac:dyDescent="0.25" r="476" customHeight="1" ht="17.25">
      <c r="A476" s="27" t="s">
        <v>2310</v>
      </c>
      <c r="B476" s="28">
        <v>2</v>
      </c>
      <c r="C476" s="28">
        <v>730</v>
      </c>
      <c r="D476" s="29" t="s">
        <v>81</v>
      </c>
      <c r="E476" s="30" t="s">
        <v>78</v>
      </c>
      <c r="F476" s="31">
        <v>44444</v>
      </c>
      <c r="G476" s="32">
        <v>4.833333333333334</v>
      </c>
      <c r="H476" s="31">
        <v>44444</v>
      </c>
      <c r="I476" s="32">
        <v>4.6930555555555555</v>
      </c>
      <c r="J476" s="33">
        <f>F476-H476</f>
      </c>
      <c r="K476" s="28">
        <v>33</v>
      </c>
      <c r="L476" s="28">
        <v>2</v>
      </c>
      <c r="M476" s="28">
        <v>1</v>
      </c>
      <c r="N476" s="34"/>
      <c r="O476" s="34"/>
      <c r="P476" s="34"/>
      <c r="Q476" s="34"/>
      <c r="R476" s="34"/>
      <c r="S476" s="34"/>
      <c r="T476" s="34"/>
      <c r="U476" s="34"/>
      <c r="V476" s="34"/>
      <c r="W476" s="29" t="s">
        <v>58</v>
      </c>
      <c r="X476" s="28">
        <v>36</v>
      </c>
      <c r="Y476" s="28">
        <v>1</v>
      </c>
      <c r="Z476" s="28">
        <v>2</v>
      </c>
      <c r="AA476" s="28">
        <v>2</v>
      </c>
      <c r="AB476" s="28">
        <v>1</v>
      </c>
      <c r="AC476" s="28">
        <v>2</v>
      </c>
      <c r="AD476" s="28">
        <v>2</v>
      </c>
      <c r="AE476" s="28">
        <v>4</v>
      </c>
      <c r="AF476" s="28">
        <v>2</v>
      </c>
      <c r="AG476" s="28">
        <v>2</v>
      </c>
      <c r="AH476" s="29" t="s">
        <v>2311</v>
      </c>
      <c r="AI476" s="36">
        <f>if(or(and(K476&lt;32, J476&lt;2), O476=1, P476=1, Q476=1, R476=1, S476=1, T476=1, U476=1, and(W476&lt;&gt;"", W476&lt;&gt;"Oxygen", W476&lt;&gt;"LowFlow")), "Intensive", "Intermediate")</f>
      </c>
      <c r="AJ476" s="37">
        <f>if(or(left(AH476, 1)="X", left(AH476, 1)="Y", left(AH476, 3)="J26M"), "CUSM", "No Match")</f>
      </c>
      <c r="AK476" s="37">
        <f>if(and(or(O476=3, P476=1, Q476=1, T476=1), AJ476="no Match"), "CUSM, CHU SJ, CHUQ", "")</f>
      </c>
      <c r="AL476" s="37">
        <f>IF(AND(O477=2, ISBLANK(P477), ISBLANK(Q477), ISBLANK(R477), ISBLANK(S477), ISBLANK(T477)), "CUSM, CHU SJ, CHUS, CHUQ", "")</f>
      </c>
      <c r="AM476" s="37">
        <f>if(and(AJ476="no match", AK476="", AL476="", K476&lt;26), "CUSM, CHU SJ, HGJ, CHUQ, CHUS", "")</f>
      </c>
      <c r="AN476" s="37">
        <f>if(and(AJ476="no match", AK476="", AL476="", K476&gt;26), "CUSM, CHU SJ, HGJ, CHUQ, CHUS, HMR", "")</f>
      </c>
    </row>
    <row x14ac:dyDescent="0.25" r="477" customHeight="1" ht="17.25">
      <c r="A477" s="27" t="s">
        <v>2312</v>
      </c>
      <c r="B477" s="28">
        <v>2</v>
      </c>
      <c r="C477" s="28">
        <v>720</v>
      </c>
      <c r="D477" s="29" t="s">
        <v>626</v>
      </c>
      <c r="E477" s="30" t="s">
        <v>50</v>
      </c>
      <c r="F477" s="31">
        <v>44445</v>
      </c>
      <c r="G477" s="32">
        <v>4.788194444444445</v>
      </c>
      <c r="H477" s="31">
        <v>44445</v>
      </c>
      <c r="I477" s="32">
        <v>4.274305555555555</v>
      </c>
      <c r="J477" s="33">
        <f>F477-H477</f>
      </c>
      <c r="K477" s="28">
        <v>28</v>
      </c>
      <c r="L477" s="28">
        <v>0</v>
      </c>
      <c r="M477" s="28">
        <v>2</v>
      </c>
      <c r="N477" s="28">
        <v>1</v>
      </c>
      <c r="O477" s="38"/>
      <c r="P477" s="28">
        <v>1</v>
      </c>
      <c r="Q477" s="34"/>
      <c r="R477" s="34"/>
      <c r="S477" s="34"/>
      <c r="T477" s="34"/>
      <c r="U477" s="34"/>
      <c r="V477" s="34"/>
      <c r="W477" s="29" t="s">
        <v>74</v>
      </c>
      <c r="X477" s="28">
        <v>36</v>
      </c>
      <c r="Y477" s="28">
        <v>1</v>
      </c>
      <c r="Z477" s="28">
        <v>1</v>
      </c>
      <c r="AA477" s="28">
        <v>1</v>
      </c>
      <c r="AB477" s="28">
        <v>1</v>
      </c>
      <c r="AC477" s="28">
        <v>2</v>
      </c>
      <c r="AD477" s="28">
        <v>2</v>
      </c>
      <c r="AE477" s="28">
        <v>4</v>
      </c>
      <c r="AF477" s="28">
        <v>3</v>
      </c>
      <c r="AG477" s="28">
        <v>1</v>
      </c>
      <c r="AH477" s="29" t="s">
        <v>1077</v>
      </c>
      <c r="AI477" s="36">
        <f>if(or(and(K477&lt;32, J477&lt;2), O477=1, P477=1, Q477=1, R477=1, S477=1, T477=1, U477=1, and(W477&lt;&gt;"", W477&lt;&gt;"Oxygen", W477&lt;&gt;"LowFlow")), "Intensive", "Intermediate")</f>
      </c>
      <c r="AJ477" s="37">
        <f>if(or(left(AH477, 1)="X", left(AH477, 1)="Y", left(AH477, 3)="J27M"), "CUSM", "No Match")</f>
      </c>
      <c r="AK477" s="37">
        <f>if(and(or(O477=3, P477=1, Q477=1, T477=1), AJ477="no Match"), "CUSM, CHU SJ, CHUQ", "")</f>
      </c>
      <c r="AL477" s="37">
        <f>IF(AND(O478=2, ISBLANK(P478), ISBLANK(Q478), ISBLANK(R478), ISBLANK(S478), ISBLANK(T478)), "CUSM, CHU SJ, CHUS, CHUQ", "")</f>
      </c>
      <c r="AM477" s="37">
        <f>if(and(AJ477="no match", AK477="", AL477="", K477&lt;26), "CUSM, CHU SJ, HGJ, CHUQ, CHUS", "")</f>
      </c>
      <c r="AN477" s="37">
        <f>if(and(AJ477="no match", AK477="", AL477="", K477&gt;26), "CUSM, CHU SJ, HGJ, CHUQ, CHUS, HMR", "")</f>
      </c>
    </row>
    <row x14ac:dyDescent="0.25" r="478" customHeight="1" ht="17.25">
      <c r="A478" s="27" t="s">
        <v>2313</v>
      </c>
      <c r="B478" s="28">
        <v>2</v>
      </c>
      <c r="C478" s="28">
        <v>782</v>
      </c>
      <c r="D478" s="29" t="s">
        <v>95</v>
      </c>
      <c r="E478" s="30" t="s">
        <v>50</v>
      </c>
      <c r="F478" s="31">
        <v>44445</v>
      </c>
      <c r="G478" s="32">
        <v>4.78125</v>
      </c>
      <c r="H478" s="31">
        <v>44440</v>
      </c>
      <c r="I478" s="32">
        <v>4.868055555555555</v>
      </c>
      <c r="J478" s="33">
        <f>F478-H478</f>
      </c>
      <c r="K478" s="28">
        <v>37</v>
      </c>
      <c r="L478" s="28">
        <v>5</v>
      </c>
      <c r="M478" s="28">
        <v>2</v>
      </c>
      <c r="N478" s="34"/>
      <c r="O478" s="34"/>
      <c r="P478" s="34"/>
      <c r="Q478" s="34"/>
      <c r="R478" s="34"/>
      <c r="S478" s="34"/>
      <c r="T478" s="34"/>
      <c r="U478" s="34"/>
      <c r="V478" s="38"/>
      <c r="W478" s="29"/>
      <c r="X478" s="28">
        <v>35</v>
      </c>
      <c r="Y478" s="28">
        <v>1</v>
      </c>
      <c r="Z478" s="28">
        <v>1</v>
      </c>
      <c r="AA478" s="28">
        <v>1</v>
      </c>
      <c r="AB478" s="28">
        <v>4</v>
      </c>
      <c r="AC478" s="28">
        <v>2</v>
      </c>
      <c r="AD478" s="28">
        <v>2</v>
      </c>
      <c r="AE478" s="28">
        <v>4</v>
      </c>
      <c r="AF478" s="28">
        <v>3</v>
      </c>
      <c r="AG478" s="28">
        <v>3</v>
      </c>
      <c r="AH478" s="29" t="s">
        <v>2314</v>
      </c>
      <c r="AI478" s="36">
        <f>if(or(and(K478&lt;32, J478&lt;2), O478=1, P478=1, Q478=1, R478=1, S478=1, T478=1, U478=1, and(W478&lt;&gt;"", W478&lt;&gt;"Oxygen", W478&lt;&gt;"LowFlow")), "Intensive", "Intermediate")</f>
      </c>
      <c r="AJ478" s="37">
        <f>if(or(left(AH478, 1)="X", left(AH478, 1)="Y", left(AH478, 3)="J28M"), "CUSM", "No Match")</f>
      </c>
      <c r="AK478" s="37">
        <f>if(and(or(O478=3, P478=1, Q478=1, T478=1), AJ478="no Match"), "CUSM, CHU SJ, CHUQ", "")</f>
      </c>
      <c r="AL478" s="37">
        <f>IF(AND(O479=2, ISBLANK(P479), ISBLANK(Q479), ISBLANK(R479), ISBLANK(S479), ISBLANK(T479)), "CUSM, CHU SJ, CHUS, CHUQ", "")</f>
      </c>
      <c r="AM478" s="37">
        <f>if(and(AJ478="no match", AK478="", AL478="", K478&lt;26), "CUSM, CHU SJ, HGJ, CHUQ, CHUS", "")</f>
      </c>
      <c r="AN478" s="37">
        <f>if(and(AJ478="no match", AK478="", AL478="", K478&gt;26), "CUSM, CHU SJ, HGJ, CHUQ, CHUS, HMR", "")</f>
      </c>
    </row>
    <row x14ac:dyDescent="0.25" r="479" customHeight="1" ht="17.25">
      <c r="A479" s="27" t="s">
        <v>2315</v>
      </c>
      <c r="B479" s="28">
        <v>2</v>
      </c>
      <c r="C479" s="28">
        <v>1019</v>
      </c>
      <c r="D479" s="29" t="s">
        <v>354</v>
      </c>
      <c r="E479" s="30" t="s">
        <v>54</v>
      </c>
      <c r="F479" s="31">
        <v>44446</v>
      </c>
      <c r="G479" s="32">
        <v>4.270833333333334</v>
      </c>
      <c r="H479" s="31">
        <v>44446</v>
      </c>
      <c r="I479" s="32">
        <v>4.117361111111111</v>
      </c>
      <c r="J479" s="33">
        <f>F479-H479</f>
      </c>
      <c r="K479" s="28">
        <v>37</v>
      </c>
      <c r="L479" s="28">
        <v>6</v>
      </c>
      <c r="M479" s="28">
        <v>2</v>
      </c>
      <c r="N479" s="28">
        <v>1</v>
      </c>
      <c r="O479" s="34"/>
      <c r="P479" s="34"/>
      <c r="Q479" s="34"/>
      <c r="R479" s="34"/>
      <c r="S479" s="34"/>
      <c r="T479" s="34"/>
      <c r="U479" s="34"/>
      <c r="V479" s="34"/>
      <c r="W479" s="29"/>
      <c r="X479" s="28">
        <v>41</v>
      </c>
      <c r="Y479" s="28">
        <v>1</v>
      </c>
      <c r="Z479" s="28">
        <v>1</v>
      </c>
      <c r="AA479" s="28">
        <v>2</v>
      </c>
      <c r="AB479" s="28">
        <v>1</v>
      </c>
      <c r="AC479" s="28">
        <v>2</v>
      </c>
      <c r="AD479" s="28">
        <v>2</v>
      </c>
      <c r="AE479" s="28">
        <v>4</v>
      </c>
      <c r="AF479" s="28">
        <v>2</v>
      </c>
      <c r="AG479" s="28">
        <v>2</v>
      </c>
      <c r="AH479" s="29" t="s">
        <v>2316</v>
      </c>
      <c r="AI479" s="36">
        <f>if(or(and(K479&lt;32, J479&lt;2), O479=1, P479=1, Q479=1, R479=1, S479=1, T479=1, U479=1, and(W479&lt;&gt;"", W479&lt;&gt;"Oxygen", W479&lt;&gt;"LowFlow")), "Intensive", "Intermediate")</f>
      </c>
      <c r="AJ479" s="37">
        <f>if(or(left(AH479, 1)="X", left(AH479, 1)="Y", left(AH479, 3)="J29M"), "CUSM", "No Match")</f>
      </c>
      <c r="AK479" s="37">
        <f>if(and(or(O479=3, P479=1, Q479=1, T479=1), AJ479="no Match"), "CUSM, CHU SJ, CHUQ", "")</f>
      </c>
      <c r="AL479" s="37">
        <f>IF(AND(O480=2, ISBLANK(P480), ISBLANK(Q480), ISBLANK(R480), ISBLANK(S480), ISBLANK(T480)), "CUSM, CHU SJ, CHUS, CHUQ", "")</f>
      </c>
      <c r="AM479" s="37">
        <f>if(and(AJ479="no match", AK479="", AL479="", K479&lt;26), "CUSM, CHU SJ, HGJ, CHUQ, CHUS", "")</f>
      </c>
      <c r="AN479" s="37">
        <f>if(and(AJ479="no match", AK479="", AL479="", K479&gt;26), "CUSM, CHU SJ, HGJ, CHUQ, CHUS, HMR", "")</f>
      </c>
    </row>
    <row x14ac:dyDescent="0.25" r="480" customHeight="1" ht="17.25">
      <c r="A480" s="27" t="s">
        <v>2317</v>
      </c>
      <c r="B480" s="28">
        <v>2</v>
      </c>
      <c r="C480" s="35">
        <v>796</v>
      </c>
      <c r="D480" s="29" t="s">
        <v>63</v>
      </c>
      <c r="E480" s="30" t="s">
        <v>50</v>
      </c>
      <c r="F480" s="31">
        <v>44446</v>
      </c>
      <c r="G480" s="32">
        <v>4.9631944444444445</v>
      </c>
      <c r="H480" s="31">
        <v>44445</v>
      </c>
      <c r="I480" s="32">
        <v>4.705555555555556</v>
      </c>
      <c r="J480" s="33">
        <f>F480-H480</f>
      </c>
      <c r="K480" s="28">
        <v>40</v>
      </c>
      <c r="L480" s="28">
        <v>0</v>
      </c>
      <c r="M480" s="28">
        <v>1</v>
      </c>
      <c r="N480" s="38"/>
      <c r="O480" s="34"/>
      <c r="P480" s="38"/>
      <c r="Q480" s="34"/>
      <c r="R480" s="34"/>
      <c r="S480" s="34"/>
      <c r="T480" s="34"/>
      <c r="U480" s="34"/>
      <c r="V480" s="34"/>
      <c r="W480" s="29"/>
      <c r="X480" s="28">
        <v>30</v>
      </c>
      <c r="Y480" s="28">
        <v>1</v>
      </c>
      <c r="Z480" s="28">
        <v>1</v>
      </c>
      <c r="AA480" s="28">
        <v>3</v>
      </c>
      <c r="AB480" s="28">
        <v>1</v>
      </c>
      <c r="AC480" s="28">
        <v>2</v>
      </c>
      <c r="AD480" s="28">
        <v>1</v>
      </c>
      <c r="AE480" s="28">
        <v>4</v>
      </c>
      <c r="AF480" s="28">
        <v>3</v>
      </c>
      <c r="AG480" s="28">
        <v>2</v>
      </c>
      <c r="AH480" s="29" t="s">
        <v>87</v>
      </c>
      <c r="AI480" s="36">
        <f>if(or(and(K480&lt;32, J480&lt;2), O480=1, P480=1, Q480=1, R480=1, S480=1, T480=1, U480=1, and(W480&lt;&gt;"", W480&lt;&gt;"Oxygen", W480&lt;&gt;"LowFlow")), "Intensive", "Intermediate")</f>
      </c>
      <c r="AJ480" s="37">
        <f>if(or(left(AH480, 1)="X", left(AH480, 1)="Y", left(AH480, 3)="J30M"), "CUSM", "No Match")</f>
      </c>
      <c r="AK480" s="37">
        <f>if(and(or(O480=3, P480=1, Q480=1, T480=1), AJ480="no Match"), "CUSM, CHU SJ, CHUQ", "")</f>
      </c>
      <c r="AL480" s="37">
        <f>IF(AND(O481=2, ISBLANK(P481), ISBLANK(Q481), ISBLANK(R481), ISBLANK(S481), ISBLANK(T481)), "CUSM, CHU SJ, CHUS, CHUQ", "")</f>
      </c>
      <c r="AM480" s="37">
        <f>if(and(AJ480="no match", AK480="", AL480="", K480&lt;26), "CUSM, CHU SJ, HGJ, CHUQ, CHUS", "")</f>
      </c>
      <c r="AN480" s="37">
        <f>if(and(AJ480="no match", AK480="", AL480="", K480&gt;26), "CUSM, CHU SJ, HGJ, CHUQ, CHUS, HMR", "")</f>
      </c>
    </row>
    <row x14ac:dyDescent="0.25" r="481" customHeight="1" ht="17.25">
      <c r="A481" s="27" t="s">
        <v>2318</v>
      </c>
      <c r="B481" s="28">
        <v>2</v>
      </c>
      <c r="C481" s="35">
        <v>720</v>
      </c>
      <c r="D481" s="29" t="s">
        <v>626</v>
      </c>
      <c r="E481" s="30" t="s">
        <v>50</v>
      </c>
      <c r="F481" s="31">
        <v>44446</v>
      </c>
      <c r="G481" s="32">
        <v>4.583333333333334</v>
      </c>
      <c r="H481" s="31">
        <v>44440</v>
      </c>
      <c r="I481" s="32">
        <v>4.541666666666666</v>
      </c>
      <c r="J481" s="33">
        <f>F481-H481</f>
      </c>
      <c r="K481" s="28">
        <v>39</v>
      </c>
      <c r="L481" s="28">
        <v>3</v>
      </c>
      <c r="M481" s="28">
        <v>1</v>
      </c>
      <c r="N481" s="35">
        <v>1</v>
      </c>
      <c r="O481" s="35">
        <v>2</v>
      </c>
      <c r="P481" s="34"/>
      <c r="Q481" s="34"/>
      <c r="R481" s="34"/>
      <c r="S481" s="34"/>
      <c r="T481" s="34"/>
      <c r="U481" s="34"/>
      <c r="V481" s="34"/>
      <c r="W481" s="29" t="s">
        <v>142</v>
      </c>
      <c r="X481" s="28">
        <v>21</v>
      </c>
      <c r="Y481" s="28">
        <v>1</v>
      </c>
      <c r="Z481" s="28">
        <v>1</v>
      </c>
      <c r="AA481" s="28">
        <v>1</v>
      </c>
      <c r="AB481" s="28">
        <v>4</v>
      </c>
      <c r="AC481" s="28">
        <v>2</v>
      </c>
      <c r="AD481" s="28">
        <v>1</v>
      </c>
      <c r="AE481" s="28">
        <v>4</v>
      </c>
      <c r="AF481" s="28">
        <v>3</v>
      </c>
      <c r="AG481" s="28">
        <v>3</v>
      </c>
      <c r="AH481" s="29" t="s">
        <v>883</v>
      </c>
      <c r="AI481" s="36">
        <f>if(or(and(K481&lt;32, J481&lt;2), O481=1, P481=1, Q481=1, R481=1, S481=1, T481=1, U481=1, and(W481&lt;&gt;"", W481&lt;&gt;"Oxygen", W481&lt;&gt;"LowFlow")), "Intensive", "Intermediate")</f>
      </c>
      <c r="AJ481" s="37">
        <f>if(or(left(AH481, 1)="X", left(AH481, 1)="Y", left(AH481, 3)="J31M"), "CUSM", "No Match")</f>
      </c>
      <c r="AK481" s="37">
        <f>if(and(or(O481=3, P481=1, Q481=1, T481=1), AJ481="no Match"), "CUSM, CHU SJ, CHUQ", "")</f>
      </c>
      <c r="AL481" s="37">
        <f>IF(AND(O482=2, ISBLANK(P482), ISBLANK(Q482), ISBLANK(R482), ISBLANK(S482), ISBLANK(T482)), "CUSM, CHU SJ, CHUS, CHUQ", "")</f>
      </c>
      <c r="AM481" s="37">
        <f>if(and(AJ481="no match", AK481="", AL481="", K481&lt;26), "CUSM, CHU SJ, HGJ, CHUQ, CHUS", "")</f>
      </c>
      <c r="AN481" s="37">
        <f>if(and(AJ481="no match", AK481="", AL481="", K481&gt;26), "CUSM, CHU SJ, HGJ, CHUQ, CHUS, HMR", "")</f>
      </c>
    </row>
    <row x14ac:dyDescent="0.25" r="482" customHeight="1" ht="17.25">
      <c r="A482" s="27" t="s">
        <v>2319</v>
      </c>
      <c r="B482" s="28">
        <v>2</v>
      </c>
      <c r="C482" s="35">
        <v>779</v>
      </c>
      <c r="D482" s="29" t="s">
        <v>136</v>
      </c>
      <c r="E482" s="30" t="s">
        <v>54</v>
      </c>
      <c r="F482" s="31">
        <v>44447</v>
      </c>
      <c r="G482" s="32">
        <v>4.989583333333334</v>
      </c>
      <c r="H482" s="31">
        <v>44446</v>
      </c>
      <c r="I482" s="32">
        <v>4.428472222222222</v>
      </c>
      <c r="J482" s="33">
        <f>F482-H482</f>
      </c>
      <c r="K482" s="28">
        <v>37</v>
      </c>
      <c r="L482" s="28">
        <v>0</v>
      </c>
      <c r="M482" s="28">
        <v>1</v>
      </c>
      <c r="N482" s="35">
        <v>1</v>
      </c>
      <c r="O482" s="34"/>
      <c r="P482" s="34"/>
      <c r="Q482" s="34"/>
      <c r="R482" s="34"/>
      <c r="S482" s="34"/>
      <c r="T482" s="34"/>
      <c r="U482" s="34"/>
      <c r="V482" s="34"/>
      <c r="W482" s="29"/>
      <c r="X482" s="28">
        <v>29</v>
      </c>
      <c r="Y482" s="28">
        <v>1</v>
      </c>
      <c r="Z482" s="28">
        <v>1</v>
      </c>
      <c r="AA482" s="28">
        <v>2</v>
      </c>
      <c r="AB482" s="28">
        <v>1</v>
      </c>
      <c r="AC482" s="28">
        <v>3</v>
      </c>
      <c r="AD482" s="28">
        <v>2</v>
      </c>
      <c r="AE482" s="28">
        <v>4</v>
      </c>
      <c r="AF482" s="35">
        <v>2</v>
      </c>
      <c r="AG482" s="28">
        <v>2</v>
      </c>
      <c r="AH482" s="29" t="s">
        <v>2320</v>
      </c>
      <c r="AI482" s="36">
        <f>if(or(and(K482&lt;32, J482&lt;2), O482=1, P482=1, Q482=1, R482=1, S482=1, T482=1, U482=1, and(W482&lt;&gt;"", W482&lt;&gt;"Oxygen", W482&lt;&gt;"LowFlow")), "Intensive", "Intermediate")</f>
      </c>
      <c r="AJ482" s="37">
        <f>if(or(left(AH482, 1)="X", left(AH482, 1)="Y", left(AH482, 3)="J32M"), "CUSM", "No Match")</f>
      </c>
      <c r="AK482" s="37">
        <f>if(and(or(O482=3, P482=1, Q482=1, T482=1), AJ482="no Match"), "CUSM, CHU SJ, CHUQ", "")</f>
      </c>
      <c r="AL482" s="37">
        <f>IF(AND(O483=2, ISBLANK(P483), ISBLANK(Q483), ISBLANK(R483), ISBLANK(S483), ISBLANK(T483)), "CUSM, CHU SJ, CHUS, CHUQ", "")</f>
      </c>
      <c r="AM482" s="37">
        <f>if(and(AJ482="no match", AK482="", AL482="", K482&lt;26), "CUSM, CHU SJ, HGJ, CHUQ, CHUS", "")</f>
      </c>
      <c r="AN482" s="37">
        <f>if(and(AJ482="no match", AK482="", AL482="", K482&gt;26), "CUSM, CHU SJ, HGJ, CHUQ, CHUS, HMR", "")</f>
      </c>
    </row>
    <row x14ac:dyDescent="0.25" r="483" customHeight="1" ht="17.25">
      <c r="A483" s="27" t="s">
        <v>2321</v>
      </c>
      <c r="B483" s="28">
        <v>2</v>
      </c>
      <c r="C483" s="28">
        <v>839</v>
      </c>
      <c r="D483" s="29" t="s">
        <v>53</v>
      </c>
      <c r="E483" s="30" t="s">
        <v>54</v>
      </c>
      <c r="F483" s="31">
        <v>44448</v>
      </c>
      <c r="G483" s="32">
        <v>4.645833333333334</v>
      </c>
      <c r="H483" s="31">
        <v>44448</v>
      </c>
      <c r="I483" s="32">
        <v>4.154166666666667</v>
      </c>
      <c r="J483" s="33">
        <f>F483-H483</f>
      </c>
      <c r="K483" s="28">
        <v>39</v>
      </c>
      <c r="L483" s="28">
        <v>6</v>
      </c>
      <c r="M483" s="28">
        <v>1</v>
      </c>
      <c r="N483" s="34"/>
      <c r="O483" s="34"/>
      <c r="P483" s="34"/>
      <c r="Q483" s="34"/>
      <c r="R483" s="34"/>
      <c r="S483" s="34"/>
      <c r="T483" s="34"/>
      <c r="U483" s="35">
        <v>1</v>
      </c>
      <c r="V483" s="35">
        <v>1</v>
      </c>
      <c r="W483" s="29" t="s">
        <v>58</v>
      </c>
      <c r="X483" s="28">
        <v>32</v>
      </c>
      <c r="Y483" s="28">
        <v>1</v>
      </c>
      <c r="Z483" s="28">
        <v>1</v>
      </c>
      <c r="AA483" s="28">
        <v>2</v>
      </c>
      <c r="AB483" s="28">
        <v>1</v>
      </c>
      <c r="AC483" s="28">
        <v>2</v>
      </c>
      <c r="AD483" s="28">
        <v>2</v>
      </c>
      <c r="AE483" s="28">
        <v>4</v>
      </c>
      <c r="AF483" s="28">
        <v>2</v>
      </c>
      <c r="AG483" s="28">
        <v>2</v>
      </c>
      <c r="AH483" s="29" t="s">
        <v>2322</v>
      </c>
      <c r="AI483" s="36">
        <f>if(or(and(K483&lt;32, J483&lt;2), O483=1, P483=1, Q483=1, R483=1, S483=1, T483=1, U483=1, and(W483&lt;&gt;"", W483&lt;&gt;"Oxygen", W483&lt;&gt;"LowFlow")), "Intensive", "Intermediate")</f>
      </c>
      <c r="AJ483" s="37">
        <f>if(or(left(AH483, 1)="X", left(AH483, 1)="Y", left(AH483, 3)="J33M"), "CUSM", "No Match")</f>
      </c>
      <c r="AK483" s="37">
        <f>if(and(or(O483=3, P483=1, Q483=1, T483=1), AJ483="no Match"), "CUSM, CHU SJ, CHUQ", "")</f>
      </c>
      <c r="AL483" s="37">
        <f>IF(AND(O484=2, ISBLANK(P484), ISBLANK(Q484), ISBLANK(R484), ISBLANK(S484), ISBLANK(T484)), "CUSM, CHU SJ, CHUS, CHUQ", "")</f>
      </c>
      <c r="AM483" s="37">
        <f>if(and(AJ483="no match", AK483="", AL483="", K483&lt;26), "CUSM, CHU SJ, HGJ, CHUQ, CHUS", "")</f>
      </c>
      <c r="AN483" s="37">
        <f>if(and(AJ483="no match", AK483="", AL483="", K483&gt;26), "CUSM, CHU SJ, HGJ, CHUQ, CHUS, HMR", "")</f>
      </c>
    </row>
    <row x14ac:dyDescent="0.25" r="484" customHeight="1" ht="17.25">
      <c r="A484" s="27" t="s">
        <v>2323</v>
      </c>
      <c r="B484" s="28">
        <v>2</v>
      </c>
      <c r="C484" s="28">
        <v>815</v>
      </c>
      <c r="D484" s="29" t="s">
        <v>100</v>
      </c>
      <c r="E484" s="30" t="s">
        <v>54</v>
      </c>
      <c r="F484" s="31">
        <v>44448</v>
      </c>
      <c r="G484" s="32">
        <v>4.458333333333334</v>
      </c>
      <c r="H484" s="31">
        <v>44443</v>
      </c>
      <c r="I484" s="32">
        <v>4.456944444444444</v>
      </c>
      <c r="J484" s="33">
        <f>F484-H484</f>
      </c>
      <c r="K484" s="28">
        <v>37</v>
      </c>
      <c r="L484" s="28">
        <v>5</v>
      </c>
      <c r="M484" s="28">
        <v>1</v>
      </c>
      <c r="N484" s="38"/>
      <c r="O484" s="34"/>
      <c r="P484" s="38"/>
      <c r="Q484" s="34"/>
      <c r="R484" s="34"/>
      <c r="S484" s="34"/>
      <c r="T484" s="34"/>
      <c r="U484" s="34"/>
      <c r="V484" s="34"/>
      <c r="W484" s="29"/>
      <c r="X484" s="28">
        <v>32</v>
      </c>
      <c r="Y484" s="28">
        <v>1</v>
      </c>
      <c r="Z484" s="28">
        <v>2</v>
      </c>
      <c r="AA484" s="28">
        <v>2</v>
      </c>
      <c r="AB484" s="28">
        <v>1</v>
      </c>
      <c r="AC484" s="28">
        <v>2</v>
      </c>
      <c r="AD484" s="28">
        <v>2</v>
      </c>
      <c r="AE484" s="28">
        <v>4</v>
      </c>
      <c r="AF484" s="28">
        <v>2</v>
      </c>
      <c r="AG484" s="28">
        <v>2</v>
      </c>
      <c r="AH484" s="29" t="s">
        <v>2324</v>
      </c>
      <c r="AI484" s="36">
        <f>if(or(and(K484&lt;32, J484&lt;2), O484=1, P484=1, Q484=1, R484=1, S484=1, T484=1, U484=1, and(W484&lt;&gt;"", W484&lt;&gt;"Oxygen", W484&lt;&gt;"LowFlow")), "Intensive", "Intermediate")</f>
      </c>
      <c r="AJ484" s="37">
        <f>if(or(left(AH484, 1)="X", left(AH484, 1)="Y", left(AH484, 3)="J34M"), "CUSM", "No Match")</f>
      </c>
      <c r="AK484" s="37">
        <f>if(and(or(O484=3, P484=1, Q484=1, T484=1), AJ484="no Match"), "CUSM, CHU SJ, CHUQ", "")</f>
      </c>
      <c r="AL484" s="37">
        <f>IF(AND(O485=2, ISBLANK(P485), ISBLANK(Q485), ISBLANK(R485), ISBLANK(S485), ISBLANK(T485)), "CUSM, CHU SJ, CHUS, CHUQ", "")</f>
      </c>
      <c r="AM484" s="37">
        <f>if(and(AJ484="no match", AK484="", AL484="", K484&lt;26), "CUSM, CHU SJ, HGJ, CHUQ, CHUS", "")</f>
      </c>
      <c r="AN484" s="37">
        <f>if(and(AJ484="no match", AK484="", AL484="", K484&gt;26), "CUSM, CHU SJ, HGJ, CHUQ, CHUS, HMR", "")</f>
      </c>
    </row>
    <row x14ac:dyDescent="0.25" r="485" customHeight="1" ht="17.25">
      <c r="A485" s="27" t="s">
        <v>2325</v>
      </c>
      <c r="B485" s="28">
        <v>2</v>
      </c>
      <c r="C485" s="28">
        <v>779</v>
      </c>
      <c r="D485" s="29" t="s">
        <v>136</v>
      </c>
      <c r="E485" s="30" t="s">
        <v>54</v>
      </c>
      <c r="F485" s="31">
        <v>44449</v>
      </c>
      <c r="G485" s="32">
        <v>4.152777777777778</v>
      </c>
      <c r="H485" s="31">
        <v>44448</v>
      </c>
      <c r="I485" s="32">
        <v>4.978472222222223</v>
      </c>
      <c r="J485" s="33">
        <f>F485-H485</f>
      </c>
      <c r="K485" s="28">
        <v>32</v>
      </c>
      <c r="L485" s="28">
        <v>3</v>
      </c>
      <c r="M485" s="28">
        <v>1</v>
      </c>
      <c r="N485" s="35">
        <v>1</v>
      </c>
      <c r="O485" s="35">
        <v>2</v>
      </c>
      <c r="P485" s="35">
        <v>1</v>
      </c>
      <c r="Q485" s="34"/>
      <c r="R485" s="34"/>
      <c r="S485" s="34"/>
      <c r="T485" s="34"/>
      <c r="U485" s="34"/>
      <c r="V485" s="34"/>
      <c r="W485" s="29" t="s">
        <v>164</v>
      </c>
      <c r="X485" s="28">
        <v>24</v>
      </c>
      <c r="Y485" s="28">
        <v>1</v>
      </c>
      <c r="Z485" s="28">
        <v>1</v>
      </c>
      <c r="AA485" s="28">
        <v>1</v>
      </c>
      <c r="AB485" s="28">
        <v>1</v>
      </c>
      <c r="AC485" s="28">
        <v>2</v>
      </c>
      <c r="AD485" s="28">
        <v>2</v>
      </c>
      <c r="AE485" s="28">
        <v>4</v>
      </c>
      <c r="AF485" s="28">
        <v>2</v>
      </c>
      <c r="AG485" s="28">
        <v>2</v>
      </c>
      <c r="AH485" s="29" t="s">
        <v>2326</v>
      </c>
      <c r="AI485" s="36">
        <f>if(or(and(K485&lt;32, J485&lt;2), O485=1, P485=1, Q485=1, R485=1, S485=1, T485=1, U485=1, and(W485&lt;&gt;"", W485&lt;&gt;"Oxygen", W485&lt;&gt;"LowFlow")), "Intensive", "Intermediate")</f>
      </c>
      <c r="AJ485" s="37">
        <f>if(or(left(AH485, 1)="X", left(AH485, 1)="Y", left(AH485, 3)="J35M"), "CUSM", "No Match")</f>
      </c>
      <c r="AK485" s="37">
        <f>if(and(or(O485=3, P485=1, Q485=1, T485=1), AJ485="no Match"), "CUSM, CHU SJ, CHUQ", "")</f>
      </c>
      <c r="AL485" s="37">
        <f>IF(AND(O486=2, ISBLANK(P486), ISBLANK(Q486), ISBLANK(R486), ISBLANK(S486), ISBLANK(T486)), "CUSM, CHU SJ, CHUS, CHUQ", "")</f>
      </c>
      <c r="AM485" s="37">
        <f>if(and(AJ485="no match", AK485="", AL485="", K485&lt;26), "CUSM, CHU SJ, HGJ, CHUQ, CHUS", "")</f>
      </c>
      <c r="AN485" s="37">
        <f>if(and(AJ485="no match", AK485="", AL485="", K485&gt;26), "CUSM, CHU SJ, HGJ, CHUQ, CHUS, HMR", "")</f>
      </c>
    </row>
    <row x14ac:dyDescent="0.25" r="486" customHeight="1" ht="17.25">
      <c r="A486" s="27" t="s">
        <v>2327</v>
      </c>
      <c r="B486" s="28">
        <v>2</v>
      </c>
      <c r="C486" s="28">
        <v>824</v>
      </c>
      <c r="D486" s="29" t="s">
        <v>57</v>
      </c>
      <c r="E486" s="30" t="s">
        <v>78</v>
      </c>
      <c r="F486" s="31">
        <v>44449</v>
      </c>
      <c r="G486" s="32">
        <v>4.583333333333334</v>
      </c>
      <c r="H486" s="31">
        <v>44449</v>
      </c>
      <c r="I486" s="32">
        <v>4.413194444444445</v>
      </c>
      <c r="J486" s="33">
        <f>F486-H486</f>
      </c>
      <c r="K486" s="28">
        <v>38</v>
      </c>
      <c r="L486" s="28">
        <v>0</v>
      </c>
      <c r="M486" s="28">
        <v>1</v>
      </c>
      <c r="N486" s="34"/>
      <c r="O486" s="34"/>
      <c r="P486" s="34"/>
      <c r="Q486" s="34"/>
      <c r="R486" s="34"/>
      <c r="S486" s="34"/>
      <c r="T486" s="34"/>
      <c r="U486" s="38"/>
      <c r="V486" s="38"/>
      <c r="W486" s="29" t="s">
        <v>74</v>
      </c>
      <c r="X486" s="28">
        <v>24</v>
      </c>
      <c r="Y486" s="28">
        <v>1</v>
      </c>
      <c r="Z486" s="28">
        <v>1</v>
      </c>
      <c r="AA486" s="28">
        <v>2</v>
      </c>
      <c r="AB486" s="28">
        <v>4</v>
      </c>
      <c r="AC486" s="28">
        <v>1</v>
      </c>
      <c r="AD486" s="28">
        <v>2</v>
      </c>
      <c r="AE486" s="28">
        <v>4</v>
      </c>
      <c r="AF486" s="28">
        <v>3</v>
      </c>
      <c r="AG486" s="28">
        <v>2</v>
      </c>
      <c r="AH486" s="29" t="s">
        <v>2328</v>
      </c>
      <c r="AI486" s="36">
        <f>if(or(and(K486&lt;32, J486&lt;2), O486=1, P486=1, Q486=1, R486=1, S486=1, T486=1, U486=1, and(W486&lt;&gt;"", W486&lt;&gt;"Oxygen", W486&lt;&gt;"LowFlow")), "Intensive", "Intermediate")</f>
      </c>
      <c r="AJ486" s="37">
        <f>if(or(left(AH486, 1)="X", left(AH486, 1)="Y", left(AH486, 3)="J36M"), "CUSM", "No Match")</f>
      </c>
      <c r="AK486" s="37">
        <f>if(and(or(O486=3, P486=1, Q486=1, T486=1), AJ486="no Match"), "CUSM, CHU SJ, CHUQ", "")</f>
      </c>
      <c r="AL486" s="37">
        <f>IF(AND(O487=2, ISBLANK(P487), ISBLANK(Q487), ISBLANK(R487), ISBLANK(S487), ISBLANK(T487)), "CUSM, CHU SJ, CHUS, CHUQ", "")</f>
      </c>
      <c r="AM486" s="37">
        <f>if(and(AJ486="no match", AK486="", AL486="", K486&lt;26), "CUSM, CHU SJ, HGJ, CHUQ, CHUS", "")</f>
      </c>
      <c r="AN486" s="37">
        <f>if(and(AJ486="no match", AK486="", AL486="", K486&gt;26), "CUSM, CHU SJ, HGJ, CHUQ, CHUS, HMR", "")</f>
      </c>
    </row>
    <row x14ac:dyDescent="0.25" r="487" customHeight="1" ht="17.25">
      <c r="A487" s="27" t="s">
        <v>2329</v>
      </c>
      <c r="B487" s="28">
        <v>2</v>
      </c>
      <c r="C487" s="35">
        <v>824</v>
      </c>
      <c r="D487" s="29" t="s">
        <v>57</v>
      </c>
      <c r="E487" s="30" t="s">
        <v>50</v>
      </c>
      <c r="F487" s="31">
        <v>44449</v>
      </c>
      <c r="G487" s="32">
        <v>4.58125</v>
      </c>
      <c r="H487" s="31">
        <v>44447</v>
      </c>
      <c r="I487" s="32">
        <v>4.25</v>
      </c>
      <c r="J487" s="33">
        <f>F487-H487</f>
      </c>
      <c r="K487" s="28">
        <v>39</v>
      </c>
      <c r="L487" s="28">
        <v>3</v>
      </c>
      <c r="M487" s="28">
        <v>1</v>
      </c>
      <c r="N487" s="38"/>
      <c r="O487" s="35">
        <v>2</v>
      </c>
      <c r="P487" s="38"/>
      <c r="Q487" s="34"/>
      <c r="R487" s="34"/>
      <c r="S487" s="34"/>
      <c r="T487" s="34"/>
      <c r="U487" s="34"/>
      <c r="V487" s="34"/>
      <c r="W487" s="29"/>
      <c r="X487" s="28">
        <v>26</v>
      </c>
      <c r="Y487" s="28">
        <v>1</v>
      </c>
      <c r="Z487" s="28">
        <v>1</v>
      </c>
      <c r="AA487" s="28">
        <v>3</v>
      </c>
      <c r="AB487" s="28">
        <v>1</v>
      </c>
      <c r="AC487" s="28">
        <v>2</v>
      </c>
      <c r="AD487" s="28">
        <v>2</v>
      </c>
      <c r="AE487" s="28">
        <v>4</v>
      </c>
      <c r="AF487" s="28">
        <v>3</v>
      </c>
      <c r="AG487" s="28">
        <v>2</v>
      </c>
      <c r="AH487" s="29" t="s">
        <v>2330</v>
      </c>
      <c r="AI487" s="36">
        <f>if(or(and(K487&lt;32, J487&lt;2), O487=1, P487=1, Q487=1, R487=1, S487=1, T487=1, U487=1, and(W487&lt;&gt;"", W487&lt;&gt;"Oxygen", W487&lt;&gt;"LowFlow")), "Intensive", "Intermediate")</f>
      </c>
      <c r="AJ487" s="37">
        <f>if(or(left(AH487, 1)="X", left(AH487, 1)="Y", left(AH487, 3)="J37M"), "CUSM", "No Match")</f>
      </c>
      <c r="AK487" s="37">
        <f>if(and(or(O487=3, P487=1, Q487=1, T487=1), AJ487="no Match"), "CUSM, CHU SJ, CHUQ", "")</f>
      </c>
      <c r="AL487" s="37">
        <f>IF(AND(O488=2, ISBLANK(P488), ISBLANK(Q488), ISBLANK(R488), ISBLANK(S488), ISBLANK(T488)), "CUSM, CHU SJ, CHUS, CHUQ", "")</f>
      </c>
      <c r="AM487" s="37">
        <f>if(and(AJ487="no match", AK487="", AL487="", K487&lt;26), "CUSM, CHU SJ, HGJ, CHUQ, CHUS", "")</f>
      </c>
      <c r="AN487" s="37">
        <f>if(and(AJ487="no match", AK487="", AL487="", K487&gt;26), "CUSM, CHU SJ, HGJ, CHUQ, CHUS, HMR", "")</f>
      </c>
    </row>
    <row x14ac:dyDescent="0.25" r="488" customHeight="1" ht="17.25">
      <c r="A488" s="27" t="s">
        <v>2331</v>
      </c>
      <c r="B488" s="28">
        <v>2</v>
      </c>
      <c r="C488" s="28">
        <v>831</v>
      </c>
      <c r="D488" s="29" t="s">
        <v>313</v>
      </c>
      <c r="E488" s="30" t="s">
        <v>50</v>
      </c>
      <c r="F488" s="31">
        <v>44449</v>
      </c>
      <c r="G488" s="32">
        <v>4.397916666666667</v>
      </c>
      <c r="H488" s="31">
        <v>44449</v>
      </c>
      <c r="I488" s="32">
        <v>4.1375</v>
      </c>
      <c r="J488" s="33">
        <f>F488-H488</f>
      </c>
      <c r="K488" s="28">
        <v>36</v>
      </c>
      <c r="L488" s="28">
        <v>5</v>
      </c>
      <c r="M488" s="28">
        <v>1</v>
      </c>
      <c r="N488" s="35">
        <v>1</v>
      </c>
      <c r="O488" s="34"/>
      <c r="P488" s="35">
        <v>1</v>
      </c>
      <c r="Q488" s="34"/>
      <c r="R488" s="34"/>
      <c r="S488" s="34"/>
      <c r="T488" s="35">
        <v>1</v>
      </c>
      <c r="U488" s="34"/>
      <c r="V488" s="35">
        <v>1</v>
      </c>
      <c r="W488" s="29" t="s">
        <v>74</v>
      </c>
      <c r="X488" s="28">
        <v>35</v>
      </c>
      <c r="Y488" s="28">
        <v>1</v>
      </c>
      <c r="Z488" s="28">
        <v>2</v>
      </c>
      <c r="AA488" s="28">
        <v>1</v>
      </c>
      <c r="AB488" s="28">
        <v>1</v>
      </c>
      <c r="AC488" s="28">
        <v>1</v>
      </c>
      <c r="AD488" s="28">
        <v>1</v>
      </c>
      <c r="AE488" s="28">
        <v>2</v>
      </c>
      <c r="AF488" s="28">
        <v>2</v>
      </c>
      <c r="AG488" s="28">
        <v>2</v>
      </c>
      <c r="AH488" s="29" t="s">
        <v>2332</v>
      </c>
      <c r="AI488" s="36">
        <f>if(or(and(K488&lt;32, J488&lt;2), O488=1, P488=1, Q488=1, R488=1, S488=1, T488=1, U488=1, and(W488&lt;&gt;"", W488&lt;&gt;"Oxygen", W488&lt;&gt;"LowFlow")), "Intensive", "Intermediate")</f>
      </c>
      <c r="AJ488" s="37">
        <f>if(or(left(AH488, 1)="X", left(AH488, 1)="Y", left(AH488, 3)="J38M"), "CUSM", "No Match")</f>
      </c>
      <c r="AK488" s="37">
        <f>if(and(or(O488=3, P488=1, Q488=1, T488=1), AJ488="no Match"), "CUSM, CHU SJ, CHUQ", "")</f>
      </c>
      <c r="AL488" s="37">
        <f>IF(AND(O489=2, ISBLANK(P489), ISBLANK(Q489), ISBLANK(R489), ISBLANK(S489), ISBLANK(T489)), "CUSM, CHU SJ, CHUS, CHUQ", "")</f>
      </c>
      <c r="AM488" s="37">
        <f>if(and(AJ488="no match", AK488="", AL488="", K488&lt;26), "CUSM, CHU SJ, HGJ, CHUQ, CHUS", "")</f>
      </c>
      <c r="AN488" s="37">
        <f>if(and(AJ488="no match", AK488="", AL488="", K488&gt;26), "CUSM, CHU SJ, HGJ, CHUQ, CHUS, HMR", "")</f>
      </c>
    </row>
    <row x14ac:dyDescent="0.25" r="489" customHeight="1" ht="17.25">
      <c r="A489" s="27" t="s">
        <v>2333</v>
      </c>
      <c r="B489" s="28">
        <v>2</v>
      </c>
      <c r="C489" s="28">
        <v>797</v>
      </c>
      <c r="D489" s="29" t="s">
        <v>1723</v>
      </c>
      <c r="E489" s="30" t="s">
        <v>78</v>
      </c>
      <c r="F489" s="31">
        <v>44451</v>
      </c>
      <c r="G489" s="32">
        <v>4.696527777777778</v>
      </c>
      <c r="H489" s="31">
        <v>44451</v>
      </c>
      <c r="I489" s="32">
        <v>4.419444444444444</v>
      </c>
      <c r="J489" s="33">
        <f>F489-H489</f>
      </c>
      <c r="K489" s="28">
        <v>29</v>
      </c>
      <c r="L489" s="28">
        <v>4</v>
      </c>
      <c r="M489" s="28">
        <v>1</v>
      </c>
      <c r="N489" s="34"/>
      <c r="O489" s="34"/>
      <c r="P489" s="34"/>
      <c r="Q489" s="34"/>
      <c r="R489" s="34"/>
      <c r="S489" s="34"/>
      <c r="T489" s="34"/>
      <c r="U489" s="34"/>
      <c r="V489" s="34"/>
      <c r="W489" s="29" t="s">
        <v>164</v>
      </c>
      <c r="X489" s="28">
        <v>34</v>
      </c>
      <c r="Y489" s="28">
        <v>1</v>
      </c>
      <c r="Z489" s="28">
        <v>1</v>
      </c>
      <c r="AA489" s="28">
        <v>1</v>
      </c>
      <c r="AB489" s="28">
        <v>3</v>
      </c>
      <c r="AC489" s="28">
        <v>2</v>
      </c>
      <c r="AD489" s="28">
        <v>2</v>
      </c>
      <c r="AE489" s="28">
        <v>4</v>
      </c>
      <c r="AF489" s="28">
        <v>2</v>
      </c>
      <c r="AG489" s="28">
        <v>2</v>
      </c>
      <c r="AH489" s="29" t="s">
        <v>2334</v>
      </c>
      <c r="AI489" s="36">
        <f>if(or(and(K489&lt;32, J489&lt;2), O489=1, P489=1, Q489=1, R489=1, S489=1, T489=1, U489=1, and(W489&lt;&gt;"", W489&lt;&gt;"Oxygen", W489&lt;&gt;"LowFlow")), "Intensive", "Intermediate")</f>
      </c>
      <c r="AJ489" s="37">
        <f>if(or(left(AH489, 1)="X", left(AH489, 1)="Y", left(AH489, 3)="J39M"), "CUSM", "No Match")</f>
      </c>
      <c r="AK489" s="37">
        <f>if(and(or(O489=3, P489=1, Q489=1, T489=1), AJ489="no Match"), "CUSM, CHU SJ, CHUQ", "")</f>
      </c>
      <c r="AL489" s="37">
        <f>IF(AND(O490=2, ISBLANK(P490), ISBLANK(Q490), ISBLANK(R490), ISBLANK(S490), ISBLANK(T490)), "CUSM, CHU SJ, CHUS, CHUQ", "")</f>
      </c>
      <c r="AM489" s="37">
        <f>if(and(AJ489="no match", AK489="", AL489="", K489&lt;26), "CUSM, CHU SJ, HGJ, CHUQ, CHUS", "")</f>
      </c>
      <c r="AN489" s="37">
        <f>if(and(AJ489="no match", AK489="", AL489="", K489&gt;26), "CUSM, CHU SJ, HGJ, CHUQ, CHUS, HMR", "")</f>
      </c>
    </row>
    <row x14ac:dyDescent="0.25" r="490" customHeight="1" ht="17.25">
      <c r="A490" s="27" t="s">
        <v>2335</v>
      </c>
      <c r="B490" s="28">
        <v>2</v>
      </c>
      <c r="C490" s="28">
        <v>827</v>
      </c>
      <c r="D490" s="29" t="s">
        <v>525</v>
      </c>
      <c r="E490" s="30" t="s">
        <v>118</v>
      </c>
      <c r="F490" s="31">
        <v>44452</v>
      </c>
      <c r="G490" s="32">
        <v>4.928472222222222</v>
      </c>
      <c r="H490" s="31">
        <v>44452</v>
      </c>
      <c r="I490" s="32">
        <v>4.807638888888889</v>
      </c>
      <c r="J490" s="33">
        <f>F490-H490</f>
      </c>
      <c r="K490" s="28">
        <v>23</v>
      </c>
      <c r="L490" s="28">
        <v>5</v>
      </c>
      <c r="M490" s="28">
        <v>2</v>
      </c>
      <c r="N490" s="38"/>
      <c r="O490" s="34"/>
      <c r="P490" s="38"/>
      <c r="Q490" s="34"/>
      <c r="R490" s="34"/>
      <c r="S490" s="34"/>
      <c r="T490" s="34"/>
      <c r="U490" s="34"/>
      <c r="V490" s="35">
        <v>1</v>
      </c>
      <c r="W490" s="29" t="s">
        <v>74</v>
      </c>
      <c r="X490" s="28">
        <v>35</v>
      </c>
      <c r="Y490" s="28">
        <v>1</v>
      </c>
      <c r="Z490" s="28">
        <v>1</v>
      </c>
      <c r="AA490" s="28">
        <v>1</v>
      </c>
      <c r="AB490" s="28">
        <v>1</v>
      </c>
      <c r="AC490" s="28">
        <v>2</v>
      </c>
      <c r="AD490" s="28">
        <v>1</v>
      </c>
      <c r="AE490" s="28">
        <v>4</v>
      </c>
      <c r="AF490" s="28">
        <v>2</v>
      </c>
      <c r="AG490" s="28">
        <v>2</v>
      </c>
      <c r="AH490" s="29" t="s">
        <v>2336</v>
      </c>
      <c r="AI490" s="36">
        <f>if(or(and(K490&lt;32, J490&lt;2), O490=1, P490=1, Q490=1, R490=1, S490=1, T490=1, U490=1, and(W490&lt;&gt;"", W490&lt;&gt;"Oxygen", W490&lt;&gt;"LowFlow")), "Intensive", "Intermediate")</f>
      </c>
      <c r="AJ490" s="37">
        <f>if(or(left(AH490, 1)="X", left(AH490, 1)="Y", left(AH490, 3)="J40M"), "CUSM", "No Match")</f>
      </c>
      <c r="AK490" s="37">
        <f>if(and(or(O490=3, P490=1, Q490=1, T490=1), AJ490="no Match"), "CUSM, CHU SJ, CHUQ", "")</f>
      </c>
      <c r="AL490" s="37">
        <f>IF(AND(O491=2, ISBLANK(P491), ISBLANK(Q491), ISBLANK(R491), ISBLANK(S491), ISBLANK(T491)), "CUSM, CHU SJ, CHUS, CHUQ", "")</f>
      </c>
      <c r="AM490" s="37">
        <f>if(and(AJ490="no match", AK490="", AL490="", K490&lt;26), "CUSM, CHU SJ, HGJ, CHUQ, CHUS", "")</f>
      </c>
      <c r="AN490" s="37">
        <f>if(and(AJ490="no match", AK490="", AL490="", K490&gt;26), "CUSM, CHU SJ, HGJ, CHUQ, CHUS, HMR", "")</f>
      </c>
    </row>
    <row x14ac:dyDescent="0.25" r="491" customHeight="1" ht="17.25">
      <c r="A491" s="27" t="s">
        <v>2337</v>
      </c>
      <c r="B491" s="28">
        <v>2</v>
      </c>
      <c r="C491" s="35">
        <v>1019</v>
      </c>
      <c r="D491" s="29" t="s">
        <v>354</v>
      </c>
      <c r="E491" s="30" t="s">
        <v>54</v>
      </c>
      <c r="F491" s="31">
        <v>44452</v>
      </c>
      <c r="G491" s="32">
        <v>4.253472222222222</v>
      </c>
      <c r="H491" s="31">
        <v>44452</v>
      </c>
      <c r="I491" s="32">
        <v>4.045833333333333</v>
      </c>
      <c r="J491" s="33">
        <f>F491-H491</f>
      </c>
      <c r="K491" s="28">
        <v>38</v>
      </c>
      <c r="L491" s="28">
        <v>0</v>
      </c>
      <c r="M491" s="28">
        <v>2</v>
      </c>
      <c r="N491" s="34"/>
      <c r="O491" s="34"/>
      <c r="P491" s="34"/>
      <c r="Q491" s="34"/>
      <c r="R491" s="34"/>
      <c r="S491" s="34"/>
      <c r="T491" s="35">
        <v>1</v>
      </c>
      <c r="U491" s="34"/>
      <c r="V491" s="34"/>
      <c r="W491" s="29" t="s">
        <v>74</v>
      </c>
      <c r="X491" s="28">
        <v>23</v>
      </c>
      <c r="Y491" s="28">
        <v>1</v>
      </c>
      <c r="Z491" s="28">
        <v>2</v>
      </c>
      <c r="AA491" s="28">
        <v>2</v>
      </c>
      <c r="AB491" s="28">
        <v>1</v>
      </c>
      <c r="AC491" s="28">
        <v>2</v>
      </c>
      <c r="AD491" s="28">
        <v>2</v>
      </c>
      <c r="AE491" s="28">
        <v>4</v>
      </c>
      <c r="AF491" s="28">
        <v>2</v>
      </c>
      <c r="AG491" s="28">
        <v>2</v>
      </c>
      <c r="AH491" s="29" t="s">
        <v>2338</v>
      </c>
      <c r="AI491" s="36">
        <f>if(or(and(K491&lt;32, J491&lt;2), O491=1, P491=1, Q491=1, R491=1, S491=1, T491=1, U491=1, and(W491&lt;&gt;"", W491&lt;&gt;"Oxygen", W491&lt;&gt;"LowFlow")), "Intensive", "Intermediate")</f>
      </c>
      <c r="AJ491" s="37">
        <f>if(or(left(AH491, 1)="X", left(AH491, 1)="Y", left(AH491, 3)="J41M"), "CUSM", "No Match")</f>
      </c>
      <c r="AK491" s="37">
        <f>if(and(or(O491=3, P491=1, Q491=1, T491=1), AJ491="no Match"), "CUSM, CHU SJ, CHUQ", "")</f>
      </c>
      <c r="AL491" s="37">
        <f>IF(AND(O492=2, ISBLANK(P492), ISBLANK(Q492), ISBLANK(R492), ISBLANK(S492), ISBLANK(T492)), "CUSM, CHU SJ, CHUS, CHUQ", "")</f>
      </c>
      <c r="AM491" s="37">
        <f>if(and(AJ491="no match", AK491="", AL491="", K491&lt;26), "CUSM, CHU SJ, HGJ, CHUQ, CHUS", "")</f>
      </c>
      <c r="AN491" s="37">
        <f>if(and(AJ491="no match", AK491="", AL491="", K491&gt;26), "CUSM, CHU SJ, HGJ, CHUQ, CHUS, HMR", "")</f>
      </c>
    </row>
    <row x14ac:dyDescent="0.25" r="492" customHeight="1" ht="17.25">
      <c r="A492" s="27" t="s">
        <v>2339</v>
      </c>
      <c r="B492" s="28">
        <v>2</v>
      </c>
      <c r="C492" s="28">
        <v>806</v>
      </c>
      <c r="D492" s="29" t="s">
        <v>438</v>
      </c>
      <c r="E492" s="30" t="s">
        <v>50</v>
      </c>
      <c r="F492" s="31">
        <v>44452</v>
      </c>
      <c r="G492" s="32">
        <v>4.645833333333334</v>
      </c>
      <c r="H492" s="31">
        <v>44452</v>
      </c>
      <c r="I492" s="32">
        <v>4.420833333333333</v>
      </c>
      <c r="J492" s="33">
        <f>F492-H492</f>
      </c>
      <c r="K492" s="28">
        <v>38</v>
      </c>
      <c r="L492" s="28">
        <v>1</v>
      </c>
      <c r="M492" s="28">
        <v>2</v>
      </c>
      <c r="N492" s="35">
        <v>1</v>
      </c>
      <c r="O492" s="34"/>
      <c r="P492" s="34"/>
      <c r="Q492" s="34"/>
      <c r="R492" s="34"/>
      <c r="S492" s="34"/>
      <c r="T492" s="35">
        <v>1</v>
      </c>
      <c r="U492" s="34"/>
      <c r="V492" s="34"/>
      <c r="W492" s="29" t="s">
        <v>74</v>
      </c>
      <c r="X492" s="28">
        <v>31</v>
      </c>
      <c r="Y492" s="28">
        <v>1</v>
      </c>
      <c r="Z492" s="28">
        <v>2</v>
      </c>
      <c r="AA492" s="28">
        <v>3</v>
      </c>
      <c r="AB492" s="28">
        <v>4</v>
      </c>
      <c r="AC492" s="28">
        <v>2</v>
      </c>
      <c r="AD492" s="28">
        <v>2</v>
      </c>
      <c r="AE492" s="28">
        <v>2</v>
      </c>
      <c r="AF492" s="28">
        <v>2</v>
      </c>
      <c r="AG492" s="28">
        <v>2</v>
      </c>
      <c r="AH492" s="29" t="s">
        <v>2340</v>
      </c>
      <c r="AI492" s="36">
        <f>if(or(and(K492&lt;32, J492&lt;2), O492=1, P492=1, Q492=1, R492=1, S492=1, T492=1, U492=1, and(W492&lt;&gt;"", W492&lt;&gt;"Oxygen", W492&lt;&gt;"LowFlow")), "Intensive", "Intermediate")</f>
      </c>
      <c r="AJ492" s="37">
        <f>if(or(left(AH492, 1)="X", left(AH492, 1)="Y", left(AH492, 3)="J42M"), "CUSM", "No Match")</f>
      </c>
      <c r="AK492" s="37">
        <f>if(and(or(O492=3, P492=1, Q492=1, T492=1), AJ492="no Match"), "CUSM, CHU SJ, CHUQ", "")</f>
      </c>
      <c r="AL492" s="37">
        <f>IF(AND(O493=2, ISBLANK(P493), ISBLANK(Q493), ISBLANK(R493), ISBLANK(S493), ISBLANK(T493)), "CUSM, CHU SJ, CHUS, CHUQ", "")</f>
      </c>
      <c r="AM492" s="37">
        <f>if(and(AJ492="no match", AK492="", AL492="", K492&lt;26), "CUSM, CHU SJ, HGJ, CHUQ, CHUS", "")</f>
      </c>
      <c r="AN492" s="37">
        <f>if(and(AJ492="no match", AK492="", AL492="", K492&gt;26), "CUSM, CHU SJ, HGJ, CHUQ, CHUS, HMR", "")</f>
      </c>
    </row>
    <row x14ac:dyDescent="0.25" r="493" customHeight="1" ht="17.25">
      <c r="A493" s="27" t="s">
        <v>2341</v>
      </c>
      <c r="B493" s="28">
        <v>2</v>
      </c>
      <c r="C493" s="35">
        <v>820</v>
      </c>
      <c r="D493" s="29" t="s">
        <v>69</v>
      </c>
      <c r="E493" s="30" t="s">
        <v>54</v>
      </c>
      <c r="F493" s="31">
        <v>44454</v>
      </c>
      <c r="G493" s="32">
        <v>4.506944444444445</v>
      </c>
      <c r="H493" s="31">
        <v>44452</v>
      </c>
      <c r="I493" s="32">
        <v>4.720138888888889</v>
      </c>
      <c r="J493" s="33">
        <f>F493-H493</f>
      </c>
      <c r="K493" s="28">
        <v>39</v>
      </c>
      <c r="L493" s="28">
        <v>4</v>
      </c>
      <c r="M493" s="28">
        <v>2</v>
      </c>
      <c r="N493" s="38"/>
      <c r="O493" s="34"/>
      <c r="P493" s="38"/>
      <c r="Q493" s="34"/>
      <c r="R493" s="34"/>
      <c r="S493" s="34"/>
      <c r="T493" s="34"/>
      <c r="U493" s="34"/>
      <c r="V493" s="34"/>
      <c r="W493" s="29" t="s">
        <v>74</v>
      </c>
      <c r="X493" s="28">
        <v>26</v>
      </c>
      <c r="Y493" s="28">
        <v>1</v>
      </c>
      <c r="Z493" s="28">
        <v>1</v>
      </c>
      <c r="AA493" s="28">
        <v>2</v>
      </c>
      <c r="AB493" s="28">
        <v>1</v>
      </c>
      <c r="AC493" s="28">
        <v>1</v>
      </c>
      <c r="AD493" s="28">
        <v>2</v>
      </c>
      <c r="AE493" s="28">
        <v>4</v>
      </c>
      <c r="AF493" s="28">
        <v>2</v>
      </c>
      <c r="AG493" s="28">
        <v>2</v>
      </c>
      <c r="AH493" s="29" t="s">
        <v>2342</v>
      </c>
      <c r="AI493" s="36">
        <f>if(or(and(K493&lt;32, J493&lt;2), O493=1, P493=1, Q493=1, R493=1, S493=1, T493=1, U493=1, and(W493&lt;&gt;"", W493&lt;&gt;"Oxygen", W493&lt;&gt;"LowFlow")), "Intensive", "Intermediate")</f>
      </c>
      <c r="AJ493" s="37">
        <f>if(or(left(AH493, 1)="X", left(AH493, 1)="Y", left(AH493, 3)="J43M"), "CUSM", "No Match")</f>
      </c>
      <c r="AK493" s="37">
        <f>if(and(or(O493=3, P493=1, Q493=1, T493=1), AJ493="no Match"), "CUSM, CHU SJ, CHUQ", "")</f>
      </c>
      <c r="AL493" s="37">
        <f>IF(AND(O494=2, ISBLANK(P494), ISBLANK(Q494), ISBLANK(R494), ISBLANK(S494), ISBLANK(T494)), "CUSM, CHU SJ, CHUS, CHUQ", "")</f>
      </c>
      <c r="AM493" s="37">
        <f>if(and(AJ493="no match", AK493="", AL493="", K493&lt;26), "CUSM, CHU SJ, HGJ, CHUQ, CHUS", "")</f>
      </c>
      <c r="AN493" s="37">
        <f>if(and(AJ493="no match", AK493="", AL493="", K493&gt;26), "CUSM, CHU SJ, HGJ, CHUQ, CHUS, HMR", "")</f>
      </c>
    </row>
    <row x14ac:dyDescent="0.25" r="494" customHeight="1" ht="17.25">
      <c r="A494" s="27" t="s">
        <v>2343</v>
      </c>
      <c r="B494" s="28">
        <v>2</v>
      </c>
      <c r="C494" s="28">
        <v>832</v>
      </c>
      <c r="D494" s="29" t="s">
        <v>308</v>
      </c>
      <c r="E494" s="30" t="s">
        <v>54</v>
      </c>
      <c r="F494" s="31">
        <v>44455</v>
      </c>
      <c r="G494" s="32">
        <v>4.267361111111111</v>
      </c>
      <c r="H494" s="31">
        <v>44454</v>
      </c>
      <c r="I494" s="32">
        <v>4.993055555555555</v>
      </c>
      <c r="J494" s="33">
        <f>F494-H494</f>
      </c>
      <c r="K494" s="28">
        <v>40</v>
      </c>
      <c r="L494" s="28">
        <v>2</v>
      </c>
      <c r="M494" s="28">
        <v>2</v>
      </c>
      <c r="N494" s="35">
        <v>1</v>
      </c>
      <c r="O494" s="35">
        <v>2</v>
      </c>
      <c r="P494" s="35">
        <v>1</v>
      </c>
      <c r="Q494" s="34"/>
      <c r="R494" s="34"/>
      <c r="S494" s="34"/>
      <c r="T494" s="34"/>
      <c r="U494" s="35">
        <v>1</v>
      </c>
      <c r="V494" s="35">
        <v>1</v>
      </c>
      <c r="W494" s="29" t="s">
        <v>74</v>
      </c>
      <c r="X494" s="28">
        <v>20</v>
      </c>
      <c r="Y494" s="28">
        <v>1</v>
      </c>
      <c r="Z494" s="28">
        <v>2</v>
      </c>
      <c r="AA494" s="28">
        <v>2</v>
      </c>
      <c r="AB494" s="28">
        <v>4</v>
      </c>
      <c r="AC494" s="28">
        <v>2</v>
      </c>
      <c r="AD494" s="28">
        <v>2</v>
      </c>
      <c r="AE494" s="28">
        <v>4</v>
      </c>
      <c r="AF494" s="28">
        <v>2</v>
      </c>
      <c r="AG494" s="28">
        <v>2</v>
      </c>
      <c r="AH494" s="29" t="s">
        <v>2344</v>
      </c>
      <c r="AI494" s="36">
        <f>if(or(and(K494&lt;32, J494&lt;2), O494=1, P494=1, Q494=1, R494=1, S494=1, T494=1, U494=1, and(W494&lt;&gt;"", W494&lt;&gt;"Oxygen", W494&lt;&gt;"LowFlow")), "Intensive", "Intermediate")</f>
      </c>
      <c r="AJ494" s="37">
        <f>if(or(left(AH494, 1)="X", left(AH494, 1)="Y", left(AH494, 3)="J44M"), "CUSM", "No Match")</f>
      </c>
      <c r="AK494" s="37">
        <f>if(and(or(O494=3, P494=1, Q494=1, T494=1), AJ494="no Match"), "CUSM, CHU SJ, CHUQ", "")</f>
      </c>
      <c r="AL494" s="37">
        <f>IF(AND(O495=2, ISBLANK(P495), ISBLANK(Q495), ISBLANK(R495), ISBLANK(S495), ISBLANK(T495)), "CUSM, CHU SJ, CHUS, CHUQ", "")</f>
      </c>
      <c r="AM494" s="37">
        <f>if(and(AJ494="no match", AK494="", AL494="", K494&lt;26), "CUSM, CHU SJ, HGJ, CHUQ, CHUS", "")</f>
      </c>
      <c r="AN494" s="37">
        <f>if(and(AJ494="no match", AK494="", AL494="", K494&gt;26), "CUSM, CHU SJ, HGJ, CHUQ, CHUS, HMR", "")</f>
      </c>
    </row>
    <row x14ac:dyDescent="0.25" r="495" customHeight="1" ht="17.25">
      <c r="A495" s="27" t="s">
        <v>2345</v>
      </c>
      <c r="B495" s="28">
        <v>2</v>
      </c>
      <c r="C495" s="35">
        <v>825</v>
      </c>
      <c r="D495" s="29" t="s">
        <v>77</v>
      </c>
      <c r="E495" s="30" t="s">
        <v>50</v>
      </c>
      <c r="F495" s="31">
        <v>44455</v>
      </c>
      <c r="G495" s="32">
        <v>4.177083333333334</v>
      </c>
      <c r="H495" s="31">
        <v>44454</v>
      </c>
      <c r="I495" s="32">
        <v>4.988888888888889</v>
      </c>
      <c r="J495" s="33">
        <f>F495-H495</f>
      </c>
      <c r="K495" s="28">
        <v>37</v>
      </c>
      <c r="L495" s="28">
        <v>2</v>
      </c>
      <c r="M495" s="28">
        <v>1</v>
      </c>
      <c r="N495" s="34"/>
      <c r="O495" s="34"/>
      <c r="P495" s="34"/>
      <c r="Q495" s="34"/>
      <c r="R495" s="34"/>
      <c r="S495" s="34"/>
      <c r="T495" s="35">
        <v>1</v>
      </c>
      <c r="U495" s="34"/>
      <c r="V495" s="34"/>
      <c r="W495" s="29"/>
      <c r="X495" s="28">
        <v>33</v>
      </c>
      <c r="Y495" s="28">
        <v>1</v>
      </c>
      <c r="Z495" s="28">
        <v>1</v>
      </c>
      <c r="AA495" s="28">
        <v>1</v>
      </c>
      <c r="AB495" s="28">
        <v>1</v>
      </c>
      <c r="AC495" s="28">
        <v>2</v>
      </c>
      <c r="AD495" s="28">
        <v>2</v>
      </c>
      <c r="AE495" s="28">
        <v>2</v>
      </c>
      <c r="AF495" s="35">
        <v>1</v>
      </c>
      <c r="AG495" s="28">
        <v>2</v>
      </c>
      <c r="AH495" s="29" t="s">
        <v>2346</v>
      </c>
      <c r="AI495" s="36">
        <f>if(or(and(K495&lt;32, J495&lt;2), O495=1, P495=1, Q495=1, R495=1, S495=1, T495=1, U495=1, and(W495&lt;&gt;"", W495&lt;&gt;"Oxygen", W495&lt;&gt;"LowFlow")), "Intensive", "Intermediate")</f>
      </c>
      <c r="AJ495" s="37">
        <f>if(or(left(AH495, 1)="X", left(AH495, 1)="Y", left(AH495, 3)="J45M"), "CUSM", "No Match")</f>
      </c>
      <c r="AK495" s="37">
        <f>if(and(or(O495=3, P495=1, Q495=1, T495=1), AJ495="no Match"), "CUSM, CHU SJ, CHUQ", "")</f>
      </c>
      <c r="AL495" s="37">
        <f>IF(AND(O496=2, ISBLANK(P496), ISBLANK(Q496), ISBLANK(R496), ISBLANK(S496), ISBLANK(T496)), "CUSM, CHU SJ, CHUS, CHUQ", "")</f>
      </c>
      <c r="AM495" s="37">
        <f>if(and(AJ495="no match", AK495="", AL495="", K495&lt;26), "CUSM, CHU SJ, HGJ, CHUQ, CHUS", "")</f>
      </c>
      <c r="AN495" s="37">
        <f>if(and(AJ495="no match", AK495="", AL495="", K495&gt;26), "CUSM, CHU SJ, HGJ, CHUQ, CHUS, HMR", "")</f>
      </c>
    </row>
    <row x14ac:dyDescent="0.25" r="496" customHeight="1" ht="17.25">
      <c r="A496" s="27" t="s">
        <v>2347</v>
      </c>
      <c r="B496" s="28">
        <v>2</v>
      </c>
      <c r="C496" s="35">
        <v>796</v>
      </c>
      <c r="D496" s="29" t="s">
        <v>63</v>
      </c>
      <c r="E496" s="30" t="s">
        <v>50</v>
      </c>
      <c r="F496" s="31">
        <v>44455</v>
      </c>
      <c r="G496" s="32">
        <v>4.59375</v>
      </c>
      <c r="H496" s="31">
        <v>44455</v>
      </c>
      <c r="I496" s="32">
        <v>4.373611111111111</v>
      </c>
      <c r="J496" s="33">
        <f>F496-H496</f>
      </c>
      <c r="K496" s="28">
        <v>39</v>
      </c>
      <c r="L496" s="28">
        <v>2</v>
      </c>
      <c r="M496" s="28">
        <v>2</v>
      </c>
      <c r="N496" s="34"/>
      <c r="O496" s="34"/>
      <c r="P496" s="34"/>
      <c r="Q496" s="34"/>
      <c r="R496" s="34"/>
      <c r="S496" s="34"/>
      <c r="T496" s="35">
        <v>1</v>
      </c>
      <c r="U496" s="35">
        <v>1</v>
      </c>
      <c r="V496" s="35">
        <v>1</v>
      </c>
      <c r="W496" s="29" t="s">
        <v>74</v>
      </c>
      <c r="X496" s="28">
        <v>20</v>
      </c>
      <c r="Y496" s="28">
        <v>1</v>
      </c>
      <c r="Z496" s="28">
        <v>1</v>
      </c>
      <c r="AA496" s="28">
        <v>1</v>
      </c>
      <c r="AB496" s="28">
        <v>1</v>
      </c>
      <c r="AC496" s="28">
        <v>1</v>
      </c>
      <c r="AD496" s="28">
        <v>2</v>
      </c>
      <c r="AE496" s="28">
        <v>4</v>
      </c>
      <c r="AF496" s="28">
        <v>1</v>
      </c>
      <c r="AG496" s="28">
        <v>2</v>
      </c>
      <c r="AH496" s="29" t="s">
        <v>2348</v>
      </c>
      <c r="AI496" s="36">
        <f>if(or(and(K496&lt;32, J496&lt;2), O496=1, P496=1, Q496=1, R496=1, S496=1, T496=1, U496=1, and(W496&lt;&gt;"", W496&lt;&gt;"Oxygen", W496&lt;&gt;"LowFlow")), "Intensive", "Intermediate")</f>
      </c>
      <c r="AJ496" s="37">
        <f>if(or(left(AH496, 1)="X", left(AH496, 1)="Y", left(AH496, 3)="J46M"), "CUSM", "No Match")</f>
      </c>
      <c r="AK496" s="37">
        <f>if(and(or(O496=3, P496=1, Q496=1, T496=1), AJ496="no Match"), "CUSM, CHU SJ, CHUQ", "")</f>
      </c>
      <c r="AL496" s="37">
        <f>IF(AND(O497=2, ISBLANK(P497), ISBLANK(Q497), ISBLANK(R497), ISBLANK(S497), ISBLANK(T497)), "CUSM, CHU SJ, CHUS, CHUQ", "")</f>
      </c>
      <c r="AM496" s="37">
        <f>if(and(AJ496="no match", AK496="", AL496="", K496&lt;26), "CUSM, CHU SJ, HGJ, CHUQ, CHUS", "")</f>
      </c>
      <c r="AN496" s="37">
        <f>if(and(AJ496="no match", AK496="", AL496="", K496&gt;26), "CUSM, CHU SJ, HGJ, CHUQ, CHUS, HMR", "")</f>
      </c>
    </row>
    <row x14ac:dyDescent="0.25" r="497" customHeight="1" ht="17.25">
      <c r="A497" s="27" t="s">
        <v>2349</v>
      </c>
      <c r="B497" s="28">
        <v>2</v>
      </c>
      <c r="C497" s="35">
        <v>779</v>
      </c>
      <c r="D497" s="29" t="s">
        <v>136</v>
      </c>
      <c r="E497" s="30" t="s">
        <v>54</v>
      </c>
      <c r="F497" s="31">
        <v>44456</v>
      </c>
      <c r="G497" s="32">
        <v>4.288194444444445</v>
      </c>
      <c r="H497" s="31">
        <v>44456</v>
      </c>
      <c r="I497" s="32">
        <v>4.025</v>
      </c>
      <c r="J497" s="33">
        <f>F497-H497</f>
      </c>
      <c r="K497" s="28">
        <v>37</v>
      </c>
      <c r="L497" s="28">
        <v>4</v>
      </c>
      <c r="M497" s="28">
        <v>1</v>
      </c>
      <c r="N497" s="34"/>
      <c r="O497" s="34"/>
      <c r="P497" s="34"/>
      <c r="Q497" s="34"/>
      <c r="R497" s="34"/>
      <c r="S497" s="34"/>
      <c r="T497" s="34"/>
      <c r="U497" s="34"/>
      <c r="V497" s="34"/>
      <c r="W497" s="29"/>
      <c r="X497" s="28">
        <v>26</v>
      </c>
      <c r="Y497" s="28">
        <v>1</v>
      </c>
      <c r="Z497" s="28">
        <v>2</v>
      </c>
      <c r="AA497" s="28">
        <v>2</v>
      </c>
      <c r="AB497" s="28">
        <v>2</v>
      </c>
      <c r="AC497" s="28">
        <v>2</v>
      </c>
      <c r="AD497" s="28">
        <v>2</v>
      </c>
      <c r="AE497" s="28">
        <v>4</v>
      </c>
      <c r="AF497" s="28">
        <v>2</v>
      </c>
      <c r="AG497" s="28">
        <v>2</v>
      </c>
      <c r="AH497" s="29" t="s">
        <v>2350</v>
      </c>
      <c r="AI497" s="36">
        <f>if(or(and(K497&lt;32, J497&lt;2), O497=1, P497=1, Q497=1, R497=1, S497=1, T497=1, U497=1, and(W497&lt;&gt;"", W497&lt;&gt;"Oxygen", W497&lt;&gt;"LowFlow")), "Intensive", "Intermediate")</f>
      </c>
      <c r="AJ497" s="37">
        <f>if(or(left(AH497, 1)="X", left(AH497, 1)="Y", left(AH497, 3)="J47M"), "CUSM", "No Match")</f>
      </c>
      <c r="AK497" s="37">
        <f>if(and(or(O497=3, P497=1, Q497=1, T497=1), AJ497="no Match"), "CUSM, CHU SJ, CHUQ", "")</f>
      </c>
      <c r="AL497" s="37">
        <f>IF(AND(O498=2, ISBLANK(P498), ISBLANK(Q498), ISBLANK(R498), ISBLANK(S498), ISBLANK(T498)), "CUSM, CHU SJ, CHUS, CHUQ", "")</f>
      </c>
      <c r="AM497" s="37">
        <f>if(and(AJ497="no match", AK497="", AL497="", K497&lt;26), "CUSM, CHU SJ, HGJ, CHUQ, CHUS", "")</f>
      </c>
      <c r="AN497" s="37">
        <f>if(and(AJ497="no match", AK497="", AL497="", K497&gt;26), "CUSM, CHU SJ, HGJ, CHUQ, CHUS, HMR", "")</f>
      </c>
    </row>
    <row x14ac:dyDescent="0.25" r="498" customHeight="1" ht="17.25">
      <c r="A498" s="27" t="s">
        <v>2351</v>
      </c>
      <c r="B498" s="28">
        <v>2</v>
      </c>
      <c r="C498" s="28">
        <v>779</v>
      </c>
      <c r="D498" s="29" t="s">
        <v>136</v>
      </c>
      <c r="E498" s="30" t="s">
        <v>54</v>
      </c>
      <c r="F498" s="31">
        <v>44456</v>
      </c>
      <c r="G498" s="32">
        <v>4.819444444444445</v>
      </c>
      <c r="H498" s="31">
        <v>44456</v>
      </c>
      <c r="I498" s="32">
        <v>4.475694444444445</v>
      </c>
      <c r="J498" s="33">
        <f>F498-H498</f>
      </c>
      <c r="K498" s="28">
        <v>38</v>
      </c>
      <c r="L498" s="28">
        <v>6</v>
      </c>
      <c r="M498" s="28">
        <v>1</v>
      </c>
      <c r="N498" s="34"/>
      <c r="O498" s="34"/>
      <c r="P498" s="34"/>
      <c r="Q498" s="34"/>
      <c r="R498" s="34"/>
      <c r="S498" s="34"/>
      <c r="T498" s="34"/>
      <c r="U498" s="34"/>
      <c r="V498" s="34"/>
      <c r="W498" s="29"/>
      <c r="X498" s="28">
        <v>33</v>
      </c>
      <c r="Y498" s="28">
        <v>1</v>
      </c>
      <c r="Z498" s="28">
        <v>1</v>
      </c>
      <c r="AA498" s="28">
        <v>2</v>
      </c>
      <c r="AB498" s="28">
        <v>1</v>
      </c>
      <c r="AC498" s="28">
        <v>2</v>
      </c>
      <c r="AD498" s="28">
        <v>2</v>
      </c>
      <c r="AE498" s="28">
        <v>4</v>
      </c>
      <c r="AF498" s="28">
        <v>2</v>
      </c>
      <c r="AG498" s="28">
        <v>2</v>
      </c>
      <c r="AH498" s="29" t="s">
        <v>2352</v>
      </c>
      <c r="AI498" s="36">
        <f>if(or(and(K498&lt;32, J498&lt;2), O498=1, P498=1, Q498=1, R498=1, S498=1, T498=1, U498=1, and(W498&lt;&gt;"", W498&lt;&gt;"Oxygen", W498&lt;&gt;"LowFlow")), "Intensive", "Intermediate")</f>
      </c>
      <c r="AJ498" s="37">
        <f>if(or(left(AH498, 1)="X", left(AH498, 1)="Y", left(AH498, 3)="J48M"), "CUSM", "No Match")</f>
      </c>
      <c r="AK498" s="37">
        <f>if(and(or(O498=3, P498=1, Q498=1, T498=1), AJ498="no Match"), "CUSM, CHU SJ, CHUQ", "")</f>
      </c>
      <c r="AL498" s="37">
        <f>IF(AND(O499=2, ISBLANK(P499), ISBLANK(Q499), ISBLANK(R499), ISBLANK(S499), ISBLANK(T499)), "CUSM, CHU SJ, CHUS, CHUQ", "")</f>
      </c>
      <c r="AM498" s="37">
        <f>if(and(AJ498="no match", AK498="", AL498="", K498&lt;26), "CUSM, CHU SJ, HGJ, CHUQ, CHUS", "")</f>
      </c>
      <c r="AN498" s="37">
        <f>if(and(AJ498="no match", AK498="", AL498="", K498&gt;26), "CUSM, CHU SJ, HGJ, CHUQ, CHUS, HMR", "")</f>
      </c>
    </row>
    <row x14ac:dyDescent="0.25" r="499" customHeight="1" ht="17.25">
      <c r="A499" s="27" t="s">
        <v>2353</v>
      </c>
      <c r="B499" s="28">
        <v>2</v>
      </c>
      <c r="C499" s="28">
        <v>6</v>
      </c>
      <c r="D499" s="29" t="s">
        <v>131</v>
      </c>
      <c r="E499" s="30" t="s">
        <v>50</v>
      </c>
      <c r="F499" s="31">
        <v>44456</v>
      </c>
      <c r="G499" s="32">
        <v>4.7</v>
      </c>
      <c r="H499" s="31">
        <v>44456</v>
      </c>
      <c r="I499" s="32">
        <v>4.377083333333333</v>
      </c>
      <c r="J499" s="33">
        <f>F499-H499</f>
      </c>
      <c r="K499" s="28">
        <v>40</v>
      </c>
      <c r="L499" s="28">
        <v>2</v>
      </c>
      <c r="M499" s="28">
        <v>2</v>
      </c>
      <c r="N499" s="38"/>
      <c r="O499" s="28">
        <v>2</v>
      </c>
      <c r="P499" s="38"/>
      <c r="Q499" s="34"/>
      <c r="R499" s="34"/>
      <c r="S499" s="34"/>
      <c r="T499" s="34"/>
      <c r="U499" s="34"/>
      <c r="V499" s="34"/>
      <c r="W499" s="29"/>
      <c r="X499" s="28">
        <v>30</v>
      </c>
      <c r="Y499" s="28">
        <v>1</v>
      </c>
      <c r="Z499" s="28">
        <v>1</v>
      </c>
      <c r="AA499" s="28">
        <v>2</v>
      </c>
      <c r="AB499" s="28">
        <v>1</v>
      </c>
      <c r="AC499" s="28">
        <v>2</v>
      </c>
      <c r="AD499" s="28">
        <v>2</v>
      </c>
      <c r="AE499" s="28">
        <v>4</v>
      </c>
      <c r="AF499" s="28">
        <v>3</v>
      </c>
      <c r="AG499" s="28">
        <v>2</v>
      </c>
      <c r="AH499" s="29" t="s">
        <v>2354</v>
      </c>
      <c r="AI499" s="36">
        <f>if(or(and(K499&lt;32, J499&lt;2), O499=1, P499=1, Q499=1, R499=1, S499=1, T499=1, U499=1, and(W499&lt;&gt;"", W499&lt;&gt;"Oxygen", W499&lt;&gt;"LowFlow")), "Intensive", "Intermediate")</f>
      </c>
      <c r="AJ499" s="37">
        <f>if(or(left(AH499, 1)="X", left(AH499, 1)="Y", left(AH499, 3)="J49M"), "CUSM", "No Match")</f>
      </c>
      <c r="AK499" s="37">
        <f>if(and(or(O499=3, P499=1, Q499=1, T499=1), AJ499="no Match"), "CUSM, CHU SJ, CHUQ", "")</f>
      </c>
      <c r="AL499" s="37">
        <f>IF(AND(O500=2, ISBLANK(P500), ISBLANK(Q500), ISBLANK(R500), ISBLANK(S500), ISBLANK(T500)), "CUSM, CHU SJ, CHUS, CHUQ", "")</f>
      </c>
      <c r="AM499" s="37">
        <f>if(and(AJ499="no match", AK499="", AL499="", K499&lt;26), "CUSM, CHU SJ, HGJ, CHUQ, CHUS", "")</f>
      </c>
      <c r="AN499" s="37">
        <f>if(and(AJ499="no match", AK499="", AL499="", K499&gt;26), "CUSM, CHU SJ, HGJ, CHUQ, CHUS, HMR", "")</f>
      </c>
    </row>
    <row x14ac:dyDescent="0.25" r="500" customHeight="1" ht="17.25">
      <c r="A500" s="27" t="s">
        <v>2355</v>
      </c>
      <c r="B500" s="28">
        <v>2</v>
      </c>
      <c r="C500" s="35">
        <v>831</v>
      </c>
      <c r="D500" s="29" t="s">
        <v>313</v>
      </c>
      <c r="E500" s="30" t="s">
        <v>54</v>
      </c>
      <c r="F500" s="31">
        <v>44457</v>
      </c>
      <c r="G500" s="32">
        <v>4.865972222222222</v>
      </c>
      <c r="H500" s="31">
        <v>44457</v>
      </c>
      <c r="I500" s="32">
        <v>4.69375</v>
      </c>
      <c r="J500" s="33">
        <f>F500-H500</f>
      </c>
      <c r="K500" s="28">
        <v>39</v>
      </c>
      <c r="L500" s="28">
        <v>1</v>
      </c>
      <c r="M500" s="28">
        <v>1</v>
      </c>
      <c r="N500" s="28">
        <v>1</v>
      </c>
      <c r="O500" s="35">
        <v>2</v>
      </c>
      <c r="P500" s="34"/>
      <c r="Q500" s="35">
        <v>1</v>
      </c>
      <c r="R500" s="34"/>
      <c r="S500" s="34"/>
      <c r="T500" s="35">
        <v>1</v>
      </c>
      <c r="U500" s="34"/>
      <c r="V500" s="34"/>
      <c r="W500" s="29" t="s">
        <v>74</v>
      </c>
      <c r="X500" s="28">
        <v>42</v>
      </c>
      <c r="Y500" s="28">
        <v>1</v>
      </c>
      <c r="Z500" s="28">
        <v>1</v>
      </c>
      <c r="AA500" s="28">
        <v>1</v>
      </c>
      <c r="AB500" s="28">
        <v>1</v>
      </c>
      <c r="AC500" s="28">
        <v>2</v>
      </c>
      <c r="AD500" s="28">
        <v>2</v>
      </c>
      <c r="AE500" s="28">
        <v>4</v>
      </c>
      <c r="AF500" s="28">
        <v>2</v>
      </c>
      <c r="AG500" s="28">
        <v>2</v>
      </c>
      <c r="AH500" s="29" t="s">
        <v>2356</v>
      </c>
      <c r="AI500" s="36">
        <f>if(or(and(K500&lt;32, J500&lt;2), O500=1, P500=1, Q500=1, R500=1, S500=1, T500=1, U500=1, and(W500&lt;&gt;"", W500&lt;&gt;"Oxygen", W500&lt;&gt;"LowFlow")), "Intensive", "Intermediate")</f>
      </c>
      <c r="AJ500" s="37">
        <f>if(or(left(AH500, 1)="X", left(AH500, 1)="Y", left(AH500, 3)="J50M"), "CUSM", "No Match")</f>
      </c>
      <c r="AK500" s="37">
        <f>if(and(or(O500=3, P500=1, Q500=1, T500=1), AJ500="no Match"), "CUSM, CHU SJ, CHUQ", "")</f>
      </c>
      <c r="AL500" s="37">
        <f>IF(AND(O501=2, ISBLANK(P501), ISBLANK(Q501), ISBLANK(R501), ISBLANK(S501), ISBLANK(T501)), "CUSM, CHU SJ, CHUS, CHUQ", "")</f>
      </c>
      <c r="AM500" s="37">
        <f>if(and(AJ500="no match", AK500="", AL500="", K500&lt;26), "CUSM, CHU SJ, HGJ, CHUQ, CHUS", "")</f>
      </c>
      <c r="AN500" s="37">
        <f>if(and(AJ500="no match", AK500="", AL500="", K500&gt;26), "CUSM, CHU SJ, HGJ, CHUQ, CHUS, HMR", "")</f>
      </c>
    </row>
    <row x14ac:dyDescent="0.25" r="501" customHeight="1" ht="17.25">
      <c r="A501" s="27" t="s">
        <v>2357</v>
      </c>
      <c r="B501" s="28">
        <v>2</v>
      </c>
      <c r="C501" s="28">
        <v>824</v>
      </c>
      <c r="D501" s="29" t="s">
        <v>57</v>
      </c>
      <c r="E501" s="30" t="s">
        <v>54</v>
      </c>
      <c r="F501" s="31">
        <v>44459</v>
      </c>
      <c r="G501" s="32">
        <v>4.8125</v>
      </c>
      <c r="H501" s="31">
        <v>44459</v>
      </c>
      <c r="I501" s="32">
        <v>4.617361111111111</v>
      </c>
      <c r="J501" s="33">
        <f>F501-H501</f>
      </c>
      <c r="K501" s="28">
        <v>40</v>
      </c>
      <c r="L501" s="28">
        <v>4</v>
      </c>
      <c r="M501" s="28">
        <v>2</v>
      </c>
      <c r="N501" s="34"/>
      <c r="O501" s="34"/>
      <c r="P501" s="34"/>
      <c r="Q501" s="34"/>
      <c r="R501" s="34"/>
      <c r="S501" s="34"/>
      <c r="T501" s="34"/>
      <c r="U501" s="34"/>
      <c r="V501" s="34"/>
      <c r="W501" s="29"/>
      <c r="X501" s="28">
        <v>34</v>
      </c>
      <c r="Y501" s="28">
        <v>1</v>
      </c>
      <c r="Z501" s="28">
        <v>1</v>
      </c>
      <c r="AA501" s="28">
        <v>1</v>
      </c>
      <c r="AB501" s="28">
        <v>1</v>
      </c>
      <c r="AC501" s="28">
        <v>2</v>
      </c>
      <c r="AD501" s="28">
        <v>2</v>
      </c>
      <c r="AE501" s="28">
        <v>4</v>
      </c>
      <c r="AF501" s="28">
        <v>2</v>
      </c>
      <c r="AG501" s="28">
        <v>2</v>
      </c>
      <c r="AH501" s="29" t="s">
        <v>2358</v>
      </c>
      <c r="AI501" s="36">
        <f>if(or(and(K501&lt;32, J501&lt;2), O501=1, P501=1, Q501=1, R501=1, S501=1, T501=1, U501=1, and(W501&lt;&gt;"", W501&lt;&gt;"Oxygen", W501&lt;&gt;"LowFlow")), "Intensive", "Intermediate")</f>
      </c>
      <c r="AJ501" s="37">
        <f>if(or(left(AH501, 1)="X", left(AH501, 1)="Y", left(AH501, 3)="J51M"), "CUSM", "No Match")</f>
      </c>
      <c r="AK501" s="37">
        <f>if(and(or(O501=3, P501=1, Q501=1, T501=1), AJ501="no Match"), "CUSM, CHU SJ, CHUQ", "")</f>
      </c>
      <c r="AL501" s="37">
        <f>IF(AND(O502=2, ISBLANK(P502), ISBLANK(Q502), ISBLANK(R502), ISBLANK(S502), ISBLANK(T502)), "CUSM, CHU SJ, CHUS, CHUQ", "")</f>
      </c>
      <c r="AM501" s="37">
        <f>if(and(AJ501="no match", AK501="", AL501="", K501&lt;26), "CUSM, CHU SJ, HGJ, CHUQ, CHUS", "")</f>
      </c>
      <c r="AN501" s="37">
        <f>if(and(AJ501="no match", AK501="", AL501="", K501&gt;26), "CUSM, CHU SJ, HGJ, CHUQ, CHUS, HMR", "")</f>
      </c>
    </row>
    <row x14ac:dyDescent="0.25" r="502" customHeight="1" ht="17.25">
      <c r="A502" s="27" t="s">
        <v>2359</v>
      </c>
      <c r="B502" s="28">
        <v>2</v>
      </c>
      <c r="C502" s="35">
        <v>730</v>
      </c>
      <c r="D502" s="29" t="s">
        <v>81</v>
      </c>
      <c r="E502" s="30" t="s">
        <v>50</v>
      </c>
      <c r="F502" s="31">
        <v>44459</v>
      </c>
      <c r="G502" s="32">
        <v>4.008333333333333</v>
      </c>
      <c r="H502" s="31">
        <v>44457</v>
      </c>
      <c r="I502" s="32">
        <v>4.899305555555555</v>
      </c>
      <c r="J502" s="33">
        <f>F502-H502</f>
      </c>
      <c r="K502" s="28">
        <v>39</v>
      </c>
      <c r="L502" s="28">
        <v>1</v>
      </c>
      <c r="M502" s="28">
        <v>2</v>
      </c>
      <c r="N502" s="34"/>
      <c r="O502" s="34"/>
      <c r="P502" s="34"/>
      <c r="Q502" s="34"/>
      <c r="R502" s="34"/>
      <c r="S502" s="34"/>
      <c r="T502" s="34"/>
      <c r="U502" s="34"/>
      <c r="V502" s="34"/>
      <c r="W502" s="29"/>
      <c r="X502" s="28">
        <v>39</v>
      </c>
      <c r="Y502" s="28">
        <v>1</v>
      </c>
      <c r="Z502" s="28">
        <v>1</v>
      </c>
      <c r="AA502" s="28">
        <v>2</v>
      </c>
      <c r="AB502" s="28">
        <v>1</v>
      </c>
      <c r="AC502" s="28">
        <v>2</v>
      </c>
      <c r="AD502" s="28">
        <v>1</v>
      </c>
      <c r="AE502" s="28">
        <v>4</v>
      </c>
      <c r="AF502" s="28">
        <v>3</v>
      </c>
      <c r="AG502" s="28">
        <v>2</v>
      </c>
      <c r="AH502" s="29" t="s">
        <v>2360</v>
      </c>
      <c r="AI502" s="36">
        <f>if(or(and(K502&lt;32, J502&lt;2), O502=1, P502=1, Q502=1, R502=1, S502=1, T502=1, U502=1, and(W502&lt;&gt;"", W502&lt;&gt;"Oxygen", W502&lt;&gt;"LowFlow")), "Intensive", "Intermediate")</f>
      </c>
      <c r="AJ502" s="37">
        <f>if(or(left(AH502, 1)="X", left(AH502, 1)="Y", left(AH502, 3)="J52M"), "CUSM", "No Match")</f>
      </c>
      <c r="AK502" s="37">
        <f>if(and(or(O502=3, P502=1, Q502=1, T502=1), AJ502="no Match"), "CUSM, CHU SJ, CHUQ", "")</f>
      </c>
      <c r="AL502" s="37">
        <f>IF(AND(O503=2, ISBLANK(P503), ISBLANK(Q503), ISBLANK(R503), ISBLANK(S503), ISBLANK(T503)), "CUSM, CHU SJ, CHUS, CHUQ", "")</f>
      </c>
      <c r="AM502" s="37">
        <f>if(and(AJ502="no match", AK502="", AL502="", K502&lt;26), "CUSM, CHU SJ, HGJ, CHUQ, CHUS", "")</f>
      </c>
      <c r="AN502" s="37">
        <f>if(and(AJ502="no match", AK502="", AL502="", K502&gt;26), "CUSM, CHU SJ, HGJ, CHUQ, CHUS, HMR", "")</f>
      </c>
    </row>
    <row x14ac:dyDescent="0.25" r="503" customHeight="1" ht="17.25">
      <c r="A503" s="27" t="s">
        <v>2361</v>
      </c>
      <c r="B503" s="28">
        <v>2</v>
      </c>
      <c r="C503" s="35">
        <v>6</v>
      </c>
      <c r="D503" s="29" t="s">
        <v>131</v>
      </c>
      <c r="E503" s="30" t="s">
        <v>50</v>
      </c>
      <c r="F503" s="31">
        <v>44461</v>
      </c>
      <c r="G503" s="32">
        <v>4.7756944444444445</v>
      </c>
      <c r="H503" s="31">
        <v>44453</v>
      </c>
      <c r="I503" s="32">
        <v>4.365972222222222</v>
      </c>
      <c r="J503" s="33">
        <f>F503-H503</f>
      </c>
      <c r="K503" s="28">
        <v>38</v>
      </c>
      <c r="L503" s="28">
        <v>2</v>
      </c>
      <c r="M503" s="28">
        <v>1</v>
      </c>
      <c r="N503" s="34"/>
      <c r="O503" s="34"/>
      <c r="P503" s="34"/>
      <c r="Q503" s="34"/>
      <c r="R503" s="34"/>
      <c r="S503" s="34"/>
      <c r="T503" s="34"/>
      <c r="U503" s="34"/>
      <c r="V503" s="34"/>
      <c r="W503" s="29"/>
      <c r="X503" s="28">
        <v>31</v>
      </c>
      <c r="Y503" s="28">
        <v>1</v>
      </c>
      <c r="Z503" s="28">
        <v>2</v>
      </c>
      <c r="AA503" s="28">
        <v>3</v>
      </c>
      <c r="AB503" s="28">
        <v>1</v>
      </c>
      <c r="AC503" s="28">
        <v>3</v>
      </c>
      <c r="AD503" s="28">
        <v>3</v>
      </c>
      <c r="AE503" s="28">
        <v>4</v>
      </c>
      <c r="AF503" s="28">
        <v>3</v>
      </c>
      <c r="AG503" s="28">
        <v>3</v>
      </c>
      <c r="AH503" s="29" t="s">
        <v>2362</v>
      </c>
      <c r="AI503" s="36">
        <f>if(or(and(K503&lt;32, J503&lt;2), O503=1, P503=1, Q503=1, R503=1, S503=1, T503=1, U503=1, and(W503&lt;&gt;"", W503&lt;&gt;"Oxygen", W503&lt;&gt;"LowFlow")), "Intensive", "Intermediate")</f>
      </c>
      <c r="AJ503" s="37">
        <f>if(or(left(AH503, 1)="X", left(AH503, 1)="Y", left(AH503, 3)="J53M"), "CUSM", "No Match")</f>
      </c>
      <c r="AK503" s="37">
        <f>if(and(or(O503=3, P503=1, Q503=1, T503=1), AJ503="no Match"), "CUSM, CHU SJ, CHUQ", "")</f>
      </c>
      <c r="AL503" s="37">
        <f>IF(AND(O504=2, ISBLANK(P504), ISBLANK(Q504), ISBLANK(R504), ISBLANK(S504), ISBLANK(T504)), "CUSM, CHU SJ, CHUS, CHUQ", "")</f>
      </c>
      <c r="AM503" s="37">
        <f>if(and(AJ503="no match", AK503="", AL503="", K503&lt;26), "CUSM, CHU SJ, HGJ, CHUQ, CHUS", "")</f>
      </c>
      <c r="AN503" s="37">
        <f>if(and(AJ503="no match", AK503="", AL503="", K503&gt;26), "CUSM, CHU SJ, HGJ, CHUQ, CHUS, HMR", "")</f>
      </c>
    </row>
    <row x14ac:dyDescent="0.25" r="504" customHeight="1" ht="17.25">
      <c r="A504" s="27" t="s">
        <v>2363</v>
      </c>
      <c r="B504" s="28">
        <v>2</v>
      </c>
      <c r="C504" s="35">
        <v>730</v>
      </c>
      <c r="D504" s="29" t="s">
        <v>81</v>
      </c>
      <c r="E504" s="30" t="s">
        <v>50</v>
      </c>
      <c r="F504" s="31">
        <v>44461</v>
      </c>
      <c r="G504" s="32">
        <v>4.382638888888889</v>
      </c>
      <c r="H504" s="31">
        <v>44461</v>
      </c>
      <c r="I504" s="32">
        <v>4.227083333333333</v>
      </c>
      <c r="J504" s="33">
        <f>F504-H504</f>
      </c>
      <c r="K504" s="28">
        <v>38</v>
      </c>
      <c r="L504" s="28">
        <v>4</v>
      </c>
      <c r="M504" s="28">
        <v>2</v>
      </c>
      <c r="N504" s="34"/>
      <c r="O504" s="34"/>
      <c r="P504" s="34"/>
      <c r="Q504" s="34"/>
      <c r="R504" s="34"/>
      <c r="S504" s="34"/>
      <c r="T504" s="35">
        <v>1</v>
      </c>
      <c r="U504" s="34"/>
      <c r="V504" s="34"/>
      <c r="W504" s="29" t="s">
        <v>106</v>
      </c>
      <c r="X504" s="28">
        <v>35</v>
      </c>
      <c r="Y504" s="28">
        <v>1</v>
      </c>
      <c r="Z504" s="28">
        <v>1</v>
      </c>
      <c r="AA504" s="28">
        <v>3</v>
      </c>
      <c r="AB504" s="28">
        <v>1</v>
      </c>
      <c r="AC504" s="28">
        <v>1</v>
      </c>
      <c r="AD504" s="28">
        <v>1</v>
      </c>
      <c r="AE504" s="28">
        <v>2</v>
      </c>
      <c r="AF504" s="28">
        <v>2</v>
      </c>
      <c r="AG504" s="28">
        <v>3</v>
      </c>
      <c r="AH504" s="29" t="s">
        <v>2364</v>
      </c>
      <c r="AI504" s="36">
        <f>if(or(and(K504&lt;32, J504&lt;2), O504=1, P504=1, Q504=1, R504=1, S504=1, T504=1, U504=1, and(W504&lt;&gt;"", W504&lt;&gt;"Oxygen", W504&lt;&gt;"LowFlow")), "Intensive", "Intermediate")</f>
      </c>
      <c r="AJ504" s="37">
        <f>if(or(left(AH504, 1)="X", left(AH504, 1)="Y", left(AH504, 3)="J54M"), "CUSM", "No Match")</f>
      </c>
      <c r="AK504" s="37">
        <f>if(and(or(O504=3, P504=1, Q504=1, T504=1), AJ504="no Match"), "CUSM, CHU SJ, CHUQ", "")</f>
      </c>
      <c r="AL504" s="37">
        <f>IF(AND(O505=2, ISBLANK(P505), ISBLANK(Q505), ISBLANK(R505), ISBLANK(S505), ISBLANK(T505)), "CUSM, CHU SJ, CHUS, CHUQ", "")</f>
      </c>
      <c r="AM504" s="37">
        <f>if(and(AJ504="no match", AK504="", AL504="", K504&lt;26), "CUSM, CHU SJ, HGJ, CHUQ, CHUS", "")</f>
      </c>
      <c r="AN504" s="37">
        <f>if(and(AJ504="no match", AK504="", AL504="", K504&gt;26), "CUSM, CHU SJ, HGJ, CHUQ, CHUS, HMR", "")</f>
      </c>
    </row>
    <row x14ac:dyDescent="0.25" r="505" customHeight="1" ht="17.25">
      <c r="A505" s="27" t="s">
        <v>2365</v>
      </c>
      <c r="B505" s="28">
        <v>2</v>
      </c>
      <c r="C505" s="28">
        <v>6</v>
      </c>
      <c r="D505" s="29" t="s">
        <v>131</v>
      </c>
      <c r="E505" s="30" t="s">
        <v>50</v>
      </c>
      <c r="F505" s="31">
        <v>44463</v>
      </c>
      <c r="G505" s="32">
        <v>4.416666666666666</v>
      </c>
      <c r="H505" s="31">
        <v>44463</v>
      </c>
      <c r="I505" s="32">
        <v>4.097916666666666</v>
      </c>
      <c r="J505" s="33">
        <f>F505-H505</f>
      </c>
      <c r="K505" s="28">
        <v>40</v>
      </c>
      <c r="L505" s="28">
        <v>3</v>
      </c>
      <c r="M505" s="28">
        <v>1</v>
      </c>
      <c r="N505" s="35">
        <v>1</v>
      </c>
      <c r="O505" s="34"/>
      <c r="P505" s="34"/>
      <c r="Q505" s="34"/>
      <c r="R505" s="34"/>
      <c r="S505" s="34"/>
      <c r="T505" s="38"/>
      <c r="U505" s="34"/>
      <c r="V505" s="34"/>
      <c r="W505" s="29"/>
      <c r="X505" s="28">
        <v>37</v>
      </c>
      <c r="Y505" s="28">
        <v>1</v>
      </c>
      <c r="Z505" s="28">
        <v>1</v>
      </c>
      <c r="AA505" s="28">
        <v>3</v>
      </c>
      <c r="AB505" s="28">
        <v>1</v>
      </c>
      <c r="AC505" s="28">
        <v>2</v>
      </c>
      <c r="AD505" s="28">
        <v>2</v>
      </c>
      <c r="AE505" s="28">
        <v>4</v>
      </c>
      <c r="AF505" s="28">
        <v>3</v>
      </c>
      <c r="AG505" s="28">
        <v>2</v>
      </c>
      <c r="AH505" s="29" t="s">
        <v>2366</v>
      </c>
      <c r="AI505" s="36">
        <f>if(or(and(K505&lt;32, J505&lt;2), O505=1, P505=1, Q505=1, R505=1, S505=1, T505=1, U505=1, and(W505&lt;&gt;"", W505&lt;&gt;"Oxygen", W505&lt;&gt;"LowFlow")), "Intensive", "Intermediate")</f>
      </c>
      <c r="AJ505" s="37">
        <f>if(or(left(AH505, 1)="X", left(AH505, 1)="Y", left(AH505, 3)="J55M"), "CUSM", "No Match")</f>
      </c>
      <c r="AK505" s="37">
        <f>if(and(or(O505=3, P505=1, Q505=1, T505=1), AJ505="no Match"), "CUSM, CHU SJ, CHUQ", "")</f>
      </c>
      <c r="AL505" s="37">
        <f>IF(AND(O506=2, ISBLANK(P506), ISBLANK(Q506), ISBLANK(R506), ISBLANK(S506), ISBLANK(T506)), "CUSM, CHU SJ, CHUS, CHUQ", "")</f>
      </c>
      <c r="AM505" s="37">
        <f>if(and(AJ505="no match", AK505="", AL505="", K505&lt;26), "CUSM, CHU SJ, HGJ, CHUQ, CHUS", "")</f>
      </c>
      <c r="AN505" s="37">
        <f>if(and(AJ505="no match", AK505="", AL505="", K505&gt;26), "CUSM, CHU SJ, HGJ, CHUQ, CHUS, HMR", "")</f>
      </c>
    </row>
    <row x14ac:dyDescent="0.25" r="506" customHeight="1" ht="17.25">
      <c r="A506" s="27" t="s">
        <v>2367</v>
      </c>
      <c r="B506" s="28">
        <v>2</v>
      </c>
      <c r="C506" s="35">
        <v>820</v>
      </c>
      <c r="D506" s="29" t="s">
        <v>69</v>
      </c>
      <c r="E506" s="30" t="s">
        <v>50</v>
      </c>
      <c r="F506" s="31">
        <v>44463</v>
      </c>
      <c r="G506" s="32">
        <v>4.354166666666666</v>
      </c>
      <c r="H506" s="31">
        <v>44463</v>
      </c>
      <c r="I506" s="32">
        <v>4.135416666666666</v>
      </c>
      <c r="J506" s="33">
        <f>F506-H506</f>
      </c>
      <c r="K506" s="28">
        <v>40</v>
      </c>
      <c r="L506" s="28">
        <v>4</v>
      </c>
      <c r="M506" s="28">
        <v>1</v>
      </c>
      <c r="N506" s="34"/>
      <c r="O506" s="34"/>
      <c r="P506" s="34"/>
      <c r="Q506" s="34"/>
      <c r="R506" s="34"/>
      <c r="S506" s="34"/>
      <c r="T506" s="35">
        <v>1</v>
      </c>
      <c r="U506" s="34"/>
      <c r="V506" s="34"/>
      <c r="W506" s="29" t="s">
        <v>74</v>
      </c>
      <c r="X506" s="28">
        <v>34</v>
      </c>
      <c r="Y506" s="28">
        <v>1</v>
      </c>
      <c r="Z506" s="28">
        <v>2</v>
      </c>
      <c r="AA506" s="28">
        <v>1</v>
      </c>
      <c r="AB506" s="28">
        <v>2</v>
      </c>
      <c r="AC506" s="28">
        <v>2</v>
      </c>
      <c r="AD506" s="28">
        <v>2</v>
      </c>
      <c r="AE506" s="28">
        <v>1</v>
      </c>
      <c r="AF506" s="28">
        <v>1</v>
      </c>
      <c r="AG506" s="28">
        <v>2</v>
      </c>
      <c r="AH506" s="29" t="s">
        <v>2368</v>
      </c>
      <c r="AI506" s="36">
        <f>if(or(and(K506&lt;32, J506&lt;2), O506=1, P506=1, Q506=1, R506=1, S506=1, T506=1, U506=1, and(W506&lt;&gt;"", W506&lt;&gt;"Oxygen", W506&lt;&gt;"LowFlow")), "Intensive", "Intermediate")</f>
      </c>
      <c r="AJ506" s="37">
        <f>if(or(left(AH506, 1)="X", left(AH506, 1)="Y", left(AH506, 3)="J56M"), "CUSM", "No Match")</f>
      </c>
      <c r="AK506" s="37">
        <f>if(and(or(O506=3, P506=1, Q506=1, T506=1), AJ506="no Match"), "CUSM, CHU SJ, CHUQ", "")</f>
      </c>
      <c r="AL506" s="37">
        <f>IF(AND(O507=2, ISBLANK(P507), ISBLANK(Q507), ISBLANK(R507), ISBLANK(S507), ISBLANK(T507)), "CUSM, CHU SJ, CHUS, CHUQ", "")</f>
      </c>
      <c r="AM506" s="37">
        <f>if(and(AJ506="no match", AK506="", AL506="", K506&lt;26), "CUSM, CHU SJ, HGJ, CHUQ, CHUS", "")</f>
      </c>
      <c r="AN506" s="37">
        <f>if(and(AJ506="no match", AK506="", AL506="", K506&gt;26), "CUSM, CHU SJ, HGJ, CHUQ, CHUS, HMR", "")</f>
      </c>
    </row>
    <row x14ac:dyDescent="0.25" r="507" customHeight="1" ht="17.25">
      <c r="A507" s="27" t="s">
        <v>2369</v>
      </c>
      <c r="B507" s="28">
        <v>2</v>
      </c>
      <c r="C507" s="35">
        <v>782</v>
      </c>
      <c r="D507" s="29" t="s">
        <v>95</v>
      </c>
      <c r="E507" s="30" t="s">
        <v>54</v>
      </c>
      <c r="F507" s="31">
        <v>44464</v>
      </c>
      <c r="G507" s="32">
        <v>4.253472222222222</v>
      </c>
      <c r="H507" s="31">
        <v>44463</v>
      </c>
      <c r="I507" s="32">
        <v>4.986111111111111</v>
      </c>
      <c r="J507" s="33">
        <f>F507-H507</f>
      </c>
      <c r="K507" s="28">
        <v>41</v>
      </c>
      <c r="L507" s="28">
        <v>0</v>
      </c>
      <c r="M507" s="28">
        <v>1</v>
      </c>
      <c r="N507" s="34"/>
      <c r="O507" s="34"/>
      <c r="P507" s="34"/>
      <c r="Q507" s="34"/>
      <c r="R507" s="34"/>
      <c r="S507" s="34"/>
      <c r="T507" s="34"/>
      <c r="U507" s="34"/>
      <c r="V507" s="34"/>
      <c r="W507" s="29"/>
      <c r="X507" s="28">
        <v>38</v>
      </c>
      <c r="Y507" s="28">
        <v>1</v>
      </c>
      <c r="Z507" s="28">
        <v>2</v>
      </c>
      <c r="AA507" s="28">
        <v>2</v>
      </c>
      <c r="AB507" s="28">
        <v>1</v>
      </c>
      <c r="AC507" s="28">
        <v>2</v>
      </c>
      <c r="AD507" s="28">
        <v>2</v>
      </c>
      <c r="AE507" s="28">
        <v>4</v>
      </c>
      <c r="AF507" s="28">
        <v>2</v>
      </c>
      <c r="AG507" s="28">
        <v>2</v>
      </c>
      <c r="AH507" s="29" t="s">
        <v>2370</v>
      </c>
      <c r="AI507" s="36">
        <f>if(or(and(K507&lt;32, J507&lt;2), O507=1, P507=1, Q507=1, R507=1, S507=1, T507=1, U507=1, and(W507&lt;&gt;"", W507&lt;&gt;"Oxygen", W507&lt;&gt;"LowFlow")), "Intensive", "Intermediate")</f>
      </c>
      <c r="AJ507" s="37">
        <f>if(or(left(AH507, 1)="X", left(AH507, 1)="Y", left(AH507, 3)="J57M"), "CUSM", "No Match")</f>
      </c>
      <c r="AK507" s="37">
        <f>if(and(or(O507=3, P507=1, Q507=1, T507=1), AJ507="no Match"), "CUSM, CHU SJ, CHUQ", "")</f>
      </c>
      <c r="AL507" s="37">
        <f>IF(AND(O508=2, ISBLANK(P508), ISBLANK(Q508), ISBLANK(R508), ISBLANK(S508), ISBLANK(T508)), "CUSM, CHU SJ, CHUS, CHUQ", "")</f>
      </c>
      <c r="AM507" s="37">
        <f>if(and(AJ507="no match", AK507="", AL507="", K507&lt;26), "CUSM, CHU SJ, HGJ, CHUQ, CHUS", "")</f>
      </c>
      <c r="AN507" s="37">
        <f>if(and(AJ507="no match", AK507="", AL507="", K507&gt;26), "CUSM, CHU SJ, HGJ, CHUQ, CHUS, HMR", "")</f>
      </c>
    </row>
    <row x14ac:dyDescent="0.25" r="508" customHeight="1" ht="17.25">
      <c r="A508" s="27" t="s">
        <v>2371</v>
      </c>
      <c r="B508" s="28">
        <v>2</v>
      </c>
      <c r="C508" s="28">
        <v>738</v>
      </c>
      <c r="D508" s="29" t="s">
        <v>2372</v>
      </c>
      <c r="E508" s="30" t="s">
        <v>54</v>
      </c>
      <c r="F508" s="31">
        <v>44464</v>
      </c>
      <c r="G508" s="32">
        <v>4.029166666666667</v>
      </c>
      <c r="H508" s="31">
        <v>44461</v>
      </c>
      <c r="I508" s="32">
        <v>4.425694444444444</v>
      </c>
      <c r="J508" s="33">
        <f>F508-H508</f>
      </c>
      <c r="K508" s="28">
        <v>37</v>
      </c>
      <c r="L508" s="28">
        <v>0</v>
      </c>
      <c r="M508" s="28">
        <v>2</v>
      </c>
      <c r="N508" s="35">
        <v>1</v>
      </c>
      <c r="O508" s="34"/>
      <c r="P508" s="34"/>
      <c r="Q508" s="34"/>
      <c r="R508" s="34"/>
      <c r="S508" s="34"/>
      <c r="T508" s="34"/>
      <c r="U508" s="34"/>
      <c r="V508" s="34"/>
      <c r="W508" s="29" t="s">
        <v>74</v>
      </c>
      <c r="X508" s="28">
        <v>26</v>
      </c>
      <c r="Y508" s="28">
        <v>1</v>
      </c>
      <c r="Z508" s="28">
        <v>2</v>
      </c>
      <c r="AA508" s="28">
        <v>2</v>
      </c>
      <c r="AB508" s="28">
        <v>1</v>
      </c>
      <c r="AC508" s="28">
        <v>2</v>
      </c>
      <c r="AD508" s="28">
        <v>2</v>
      </c>
      <c r="AE508" s="28">
        <v>4</v>
      </c>
      <c r="AF508" s="28">
        <v>2</v>
      </c>
      <c r="AG508" s="28">
        <v>2</v>
      </c>
      <c r="AH508" s="29" t="s">
        <v>2373</v>
      </c>
      <c r="AI508" s="36">
        <f>if(or(and(K508&lt;32, J508&lt;2), O508=1, P508=1, Q508=1, R508=1, S508=1, T508=1, U508=1, and(W508&lt;&gt;"", W508&lt;&gt;"Oxygen", W508&lt;&gt;"LowFlow")), "Intensive", "Intermediate")</f>
      </c>
      <c r="AJ508" s="37">
        <f>if(or(left(AH508, 1)="X", left(AH508, 1)="Y", left(AH508, 3)="J58M"), "CUSM", "No Match")</f>
      </c>
      <c r="AK508" s="37">
        <f>if(and(or(O508=3, P508=1, Q508=1, T508=1), AJ508="no Match"), "CUSM, CHU SJ, CHUQ", "")</f>
      </c>
      <c r="AL508" s="37">
        <f>IF(AND(O509=2, ISBLANK(P509), ISBLANK(Q509), ISBLANK(R509), ISBLANK(S509), ISBLANK(T509)), "CUSM, CHU SJ, CHUS, CHUQ", "")</f>
      </c>
      <c r="AM508" s="37">
        <f>if(and(AJ508="no match", AK508="", AL508="", K508&lt;26), "CUSM, CHU SJ, HGJ, CHUQ, CHUS", "")</f>
      </c>
      <c r="AN508" s="37">
        <f>if(and(AJ508="no match", AK508="", AL508="", K508&gt;26), "CUSM, CHU SJ, HGJ, CHUQ, CHUS, HMR", "")</f>
      </c>
    </row>
    <row x14ac:dyDescent="0.25" r="509" customHeight="1" ht="17.25">
      <c r="A509" s="27" t="s">
        <v>2374</v>
      </c>
      <c r="B509" s="28">
        <v>2</v>
      </c>
      <c r="C509" s="28">
        <v>779</v>
      </c>
      <c r="D509" s="29" t="s">
        <v>136</v>
      </c>
      <c r="E509" s="30" t="s">
        <v>54</v>
      </c>
      <c r="F509" s="31">
        <v>44466</v>
      </c>
      <c r="G509" s="32">
        <v>4.809027777777778</v>
      </c>
      <c r="H509" s="31">
        <v>44427</v>
      </c>
      <c r="I509" s="32">
        <v>4.6930555555555555</v>
      </c>
      <c r="J509" s="33">
        <f>F509-H509</f>
      </c>
      <c r="K509" s="28">
        <v>33</v>
      </c>
      <c r="L509" s="28">
        <v>2</v>
      </c>
      <c r="M509" s="28">
        <v>2</v>
      </c>
      <c r="N509" s="34"/>
      <c r="O509" s="34"/>
      <c r="P509" s="34"/>
      <c r="Q509" s="34"/>
      <c r="R509" s="34"/>
      <c r="S509" s="34"/>
      <c r="T509" s="34"/>
      <c r="U509" s="34"/>
      <c r="V509" s="34"/>
      <c r="W509" s="29"/>
      <c r="X509" s="28">
        <v>33</v>
      </c>
      <c r="Y509" s="28">
        <v>1</v>
      </c>
      <c r="Z509" s="28">
        <v>1</v>
      </c>
      <c r="AA509" s="28">
        <v>1</v>
      </c>
      <c r="AB509" s="28">
        <v>4</v>
      </c>
      <c r="AC509" s="28">
        <v>2</v>
      </c>
      <c r="AD509" s="28">
        <v>1</v>
      </c>
      <c r="AE509" s="28">
        <v>4</v>
      </c>
      <c r="AF509" s="28">
        <v>2</v>
      </c>
      <c r="AG509" s="28">
        <v>2</v>
      </c>
      <c r="AH509" s="29" t="s">
        <v>2375</v>
      </c>
      <c r="AI509" s="36">
        <f>if(or(and(K509&lt;32, J509&lt;2), O509=1, P509=1, Q509=1, R509=1, S509=1, T509=1, U509=1, and(W509&lt;&gt;"", W509&lt;&gt;"Oxygen", W509&lt;&gt;"LowFlow")), "Intensive", "Intermediate")</f>
      </c>
      <c r="AJ509" s="37">
        <f>if(or(left(AH509, 1)="X", left(AH509, 1)="Y", left(AH509, 3)="J59M"), "CUSM", "No Match")</f>
      </c>
      <c r="AK509" s="37">
        <f>if(and(or(O509=3, P509=1, Q509=1, T509=1), AJ509="no Match"), "CUSM, CHU SJ, CHUQ", "")</f>
      </c>
      <c r="AL509" s="37">
        <f>IF(AND(O510=2, ISBLANK(P510), ISBLANK(Q510), ISBLANK(R510), ISBLANK(S510), ISBLANK(T510)), "CUSM, CHU SJ, CHUS, CHUQ", "")</f>
      </c>
      <c r="AM509" s="37">
        <f>if(and(AJ509="no match", AK509="", AL509="", K509&lt;26), "CUSM, CHU SJ, HGJ, CHUQ, CHUS", "")</f>
      </c>
      <c r="AN509" s="37">
        <f>if(and(AJ509="no match", AK509="", AL509="", K509&gt;26), "CUSM, CHU SJ, HGJ, CHUQ, CHUS, HMR", "")</f>
      </c>
    </row>
    <row x14ac:dyDescent="0.25" r="510" customHeight="1" ht="17.25">
      <c r="A510" s="27" t="s">
        <v>2376</v>
      </c>
      <c r="B510" s="28">
        <v>2</v>
      </c>
      <c r="C510" s="35">
        <v>779</v>
      </c>
      <c r="D510" s="29" t="s">
        <v>136</v>
      </c>
      <c r="E510" s="30" t="s">
        <v>50</v>
      </c>
      <c r="F510" s="31">
        <v>44466</v>
      </c>
      <c r="G510" s="32">
        <v>4.756944444444445</v>
      </c>
      <c r="H510" s="31">
        <v>44466</v>
      </c>
      <c r="I510" s="32">
        <v>4.361805555555556</v>
      </c>
      <c r="J510" s="33">
        <f>F510-H510</f>
      </c>
      <c r="K510" s="28">
        <v>37</v>
      </c>
      <c r="L510" s="28">
        <v>2</v>
      </c>
      <c r="M510" s="28">
        <v>2</v>
      </c>
      <c r="N510" s="38"/>
      <c r="O510" s="34"/>
      <c r="P510" s="34"/>
      <c r="Q510" s="34"/>
      <c r="R510" s="34"/>
      <c r="S510" s="34"/>
      <c r="T510" s="34"/>
      <c r="U510" s="34"/>
      <c r="V510" s="34"/>
      <c r="W510" s="29" t="s">
        <v>164</v>
      </c>
      <c r="X510" s="28">
        <v>30</v>
      </c>
      <c r="Y510" s="28">
        <v>1</v>
      </c>
      <c r="Z510" s="28">
        <v>2</v>
      </c>
      <c r="AA510" s="28">
        <v>1</v>
      </c>
      <c r="AB510" s="28">
        <v>1</v>
      </c>
      <c r="AC510" s="28">
        <v>1</v>
      </c>
      <c r="AD510" s="28">
        <v>2</v>
      </c>
      <c r="AE510" s="28">
        <v>4</v>
      </c>
      <c r="AF510" s="28">
        <v>3</v>
      </c>
      <c r="AG510" s="28">
        <v>2</v>
      </c>
      <c r="AH510" s="29" t="s">
        <v>2377</v>
      </c>
      <c r="AI510" s="36">
        <f>if(or(and(K510&lt;32, J510&lt;2), O510=1, P510=1, Q510=1, R510=1, S510=1, T510=1, U510=1, and(W510&lt;&gt;"", W510&lt;&gt;"Oxygen", W510&lt;&gt;"LowFlow")), "Intensive", "Intermediate")</f>
      </c>
      <c r="AJ510" s="37">
        <f>if(or(left(AH510, 1)="X", left(AH510, 1)="Y", left(AH510, 3)="J60M"), "CUSM", "No Match")</f>
      </c>
      <c r="AK510" s="37">
        <f>if(and(or(O510=3, P510=1, Q510=1, T510=1), AJ510="no Match"), "CUSM, CHU SJ, CHUQ", "")</f>
      </c>
      <c r="AL510" s="37">
        <f>IF(AND(O511=2, ISBLANK(P511), ISBLANK(Q511), ISBLANK(R511), ISBLANK(S511), ISBLANK(T511)), "CUSM, CHU SJ, CHUS, CHUQ", "")</f>
      </c>
      <c r="AM510" s="37">
        <f>if(and(AJ510="no match", AK510="", AL510="", K510&lt;26), "CUSM, CHU SJ, HGJ, CHUQ, CHUS", "")</f>
      </c>
      <c r="AN510" s="37">
        <f>if(and(AJ510="no match", AK510="", AL510="", K510&gt;26), "CUSM, CHU SJ, HGJ, CHUQ, CHUS, HMR", "")</f>
      </c>
    </row>
    <row x14ac:dyDescent="0.25" r="511" customHeight="1" ht="17.25">
      <c r="A511" s="27" t="s">
        <v>2378</v>
      </c>
      <c r="B511" s="28">
        <v>2</v>
      </c>
      <c r="C511" s="28">
        <v>796</v>
      </c>
      <c r="D511" s="29" t="s">
        <v>63</v>
      </c>
      <c r="E511" s="30" t="s">
        <v>54</v>
      </c>
      <c r="F511" s="31">
        <v>44467</v>
      </c>
      <c r="G511" s="32">
        <v>4.375</v>
      </c>
      <c r="H511" s="31">
        <v>44467</v>
      </c>
      <c r="I511" s="32">
        <v>4.148611111111111</v>
      </c>
      <c r="J511" s="33">
        <f>F511-H511</f>
      </c>
      <c r="K511" s="28">
        <v>41</v>
      </c>
      <c r="L511" s="28">
        <v>1</v>
      </c>
      <c r="M511" s="28">
        <v>2</v>
      </c>
      <c r="N511" s="34"/>
      <c r="O511" s="34"/>
      <c r="P511" s="34"/>
      <c r="Q511" s="34"/>
      <c r="R511" s="34"/>
      <c r="S511" s="34"/>
      <c r="T511" s="35">
        <v>1</v>
      </c>
      <c r="U511" s="34"/>
      <c r="V511" s="34"/>
      <c r="W511" s="29"/>
      <c r="X511" s="28">
        <v>32</v>
      </c>
      <c r="Y511" s="28">
        <v>1</v>
      </c>
      <c r="Z511" s="28">
        <v>1</v>
      </c>
      <c r="AA511" s="28">
        <v>1</v>
      </c>
      <c r="AB511" s="28">
        <v>2</v>
      </c>
      <c r="AC511" s="28">
        <v>2</v>
      </c>
      <c r="AD511" s="28">
        <v>2</v>
      </c>
      <c r="AE511" s="28">
        <v>4</v>
      </c>
      <c r="AF511" s="28">
        <v>1</v>
      </c>
      <c r="AG511" s="28">
        <v>2</v>
      </c>
      <c r="AH511" s="29" t="s">
        <v>1052</v>
      </c>
      <c r="AI511" s="36">
        <f>if(or(and(K511&lt;32, J511&lt;2), O511=1, P511=1, Q511=1, R511=1, S511=1, T511=1, U511=1, and(W511&lt;&gt;"", W511&lt;&gt;"Oxygen", W511&lt;&gt;"LowFlow")), "Intensive", "Intermediate")</f>
      </c>
      <c r="AJ511" s="37">
        <f>if(or(left(AH511, 1)="X", left(AH511, 1)="Y", left(AH511, 3)="J61M"), "CUSM", "No Match")</f>
      </c>
      <c r="AK511" s="37">
        <f>if(and(or(O511=3, P511=1, Q511=1, T511=1), AJ511="no Match"), "CUSM, CHU SJ, CHUQ", "")</f>
      </c>
      <c r="AL511" s="37">
        <f>IF(AND(O512=2, ISBLANK(P512), ISBLANK(Q512), ISBLANK(R512), ISBLANK(S512), ISBLANK(T512)), "CUSM, CHU SJ, CHUS, CHUQ", "")</f>
      </c>
      <c r="AM511" s="37">
        <f>if(and(AJ511="no match", AK511="", AL511="", K511&lt;26), "CUSM, CHU SJ, HGJ, CHUQ, CHUS", "")</f>
      </c>
      <c r="AN511" s="37">
        <f>if(and(AJ511="no match", AK511="", AL511="", K511&gt;26), "CUSM, CHU SJ, HGJ, CHUQ, CHUS, HMR", "")</f>
      </c>
    </row>
    <row x14ac:dyDescent="0.25" r="512" customHeight="1" ht="17.25">
      <c r="A512" s="27" t="s">
        <v>2379</v>
      </c>
      <c r="B512" s="28">
        <v>2</v>
      </c>
      <c r="C512" s="28">
        <v>730</v>
      </c>
      <c r="D512" s="29" t="s">
        <v>81</v>
      </c>
      <c r="E512" s="30" t="s">
        <v>78</v>
      </c>
      <c r="F512" s="31">
        <v>44467</v>
      </c>
      <c r="G512" s="32">
        <v>4.097222222222222</v>
      </c>
      <c r="H512" s="31">
        <v>44466</v>
      </c>
      <c r="I512" s="32">
        <v>4.949305555555556</v>
      </c>
      <c r="J512" s="33">
        <f>F512-H512</f>
      </c>
      <c r="K512" s="28">
        <v>37</v>
      </c>
      <c r="L512" s="28">
        <v>0</v>
      </c>
      <c r="M512" s="28">
        <v>1</v>
      </c>
      <c r="N512" s="34"/>
      <c r="O512" s="34"/>
      <c r="P512" s="34"/>
      <c r="Q512" s="34"/>
      <c r="R512" s="34"/>
      <c r="S512" s="34"/>
      <c r="T512" s="34"/>
      <c r="U512" s="34"/>
      <c r="V512" s="34"/>
      <c r="W512" s="29" t="s">
        <v>58</v>
      </c>
      <c r="X512" s="28">
        <v>38</v>
      </c>
      <c r="Y512" s="28">
        <v>1</v>
      </c>
      <c r="Z512" s="28">
        <v>2</v>
      </c>
      <c r="AA512" s="28">
        <v>1</v>
      </c>
      <c r="AB512" s="28">
        <v>1</v>
      </c>
      <c r="AC512" s="28">
        <v>1</v>
      </c>
      <c r="AD512" s="28">
        <v>2</v>
      </c>
      <c r="AE512" s="28">
        <v>4</v>
      </c>
      <c r="AF512" s="28">
        <v>2</v>
      </c>
      <c r="AG512" s="28">
        <v>2</v>
      </c>
      <c r="AH512" s="29" t="s">
        <v>2380</v>
      </c>
      <c r="AI512" s="36">
        <f>if(or(and(K512&lt;32, J512&lt;2), O512=1, P512=1, Q512=1, R512=1, S512=1, T512=1, U512=1, and(W512&lt;&gt;"", W512&lt;&gt;"Oxygen", W512&lt;&gt;"LowFlow")), "Intensive", "Intermediate")</f>
      </c>
      <c r="AJ512" s="37">
        <f>if(or(left(AH512, 1)="X", left(AH512, 1)="Y", left(AH512, 3)="J62M"), "CUSM", "No Match")</f>
      </c>
      <c r="AK512" s="37">
        <f>if(and(or(O512=3, P512=1, Q512=1, T512=1), AJ512="no Match"), "CUSM, CHU SJ, CHUQ", "")</f>
      </c>
      <c r="AL512" s="37">
        <f>IF(AND(O513=2, ISBLANK(P513), ISBLANK(Q513), ISBLANK(R513), ISBLANK(S513), ISBLANK(T513)), "CUSM, CHU SJ, CHUS, CHUQ", "")</f>
      </c>
      <c r="AM512" s="37">
        <f>if(and(AJ512="no match", AK512="", AL512="", K512&lt;26), "CUSM, CHU SJ, HGJ, CHUQ, CHUS", "")</f>
      </c>
      <c r="AN512" s="37">
        <f>if(and(AJ512="no match", AK512="", AL512="", K512&gt;26), "CUSM, CHU SJ, HGJ, CHUQ, CHUS, HMR", "")</f>
      </c>
    </row>
    <row x14ac:dyDescent="0.25" r="513" customHeight="1" ht="17.25">
      <c r="A513" s="27" t="s">
        <v>2381</v>
      </c>
      <c r="B513" s="28">
        <v>2</v>
      </c>
      <c r="C513" s="28">
        <v>735</v>
      </c>
      <c r="D513" s="29" t="s">
        <v>49</v>
      </c>
      <c r="E513" s="30" t="s">
        <v>50</v>
      </c>
      <c r="F513" s="31">
        <v>44467</v>
      </c>
      <c r="G513" s="32">
        <v>4.677083333333334</v>
      </c>
      <c r="H513" s="31">
        <v>44463</v>
      </c>
      <c r="I513" s="32">
        <v>4.780555555555555</v>
      </c>
      <c r="J513" s="33">
        <f>F513-H513</f>
      </c>
      <c r="K513" s="28">
        <v>39</v>
      </c>
      <c r="L513" s="28">
        <v>0</v>
      </c>
      <c r="M513" s="28">
        <v>1</v>
      </c>
      <c r="N513" s="28">
        <v>1</v>
      </c>
      <c r="O513" s="35">
        <v>2</v>
      </c>
      <c r="P513" s="28">
        <v>1</v>
      </c>
      <c r="Q513" s="34"/>
      <c r="R513" s="34"/>
      <c r="S513" s="34"/>
      <c r="T513" s="34"/>
      <c r="U513" s="34"/>
      <c r="V513" s="34"/>
      <c r="W513" s="29"/>
      <c r="X513" s="28">
        <v>29</v>
      </c>
      <c r="Y513" s="28">
        <v>1</v>
      </c>
      <c r="Z513" s="28">
        <v>1</v>
      </c>
      <c r="AA513" s="28">
        <v>2</v>
      </c>
      <c r="AB513" s="28">
        <v>4</v>
      </c>
      <c r="AC513" s="28">
        <v>2</v>
      </c>
      <c r="AD513" s="28">
        <v>2</v>
      </c>
      <c r="AE513" s="28">
        <v>4</v>
      </c>
      <c r="AF513" s="35">
        <v>3</v>
      </c>
      <c r="AG513" s="28">
        <v>2</v>
      </c>
      <c r="AH513" s="29" t="s">
        <v>2382</v>
      </c>
      <c r="AI513" s="36">
        <f>if(or(and(K513&lt;32, J513&lt;2), O513=1, P513=1, Q513=1, R513=1, S513=1, T513=1, U513=1, and(W513&lt;&gt;"", W513&lt;&gt;"Oxygen", W513&lt;&gt;"LowFlow")), "Intensive", "Intermediate")</f>
      </c>
      <c r="AJ513" s="37">
        <f>if(or(left(AH513, 1)="X", left(AH513, 1)="Y", left(AH513, 3)="J63M"), "CUSM", "No Match")</f>
      </c>
      <c r="AK513" s="37">
        <f>if(and(or(O513=3, P513=1, Q513=1, T513=1), AJ513="no Match"), "CUSM, CHU SJ, CHUQ", "")</f>
      </c>
      <c r="AL513" s="37">
        <f>IF(AND(O514=2, ISBLANK(P514), ISBLANK(Q514), ISBLANK(R514), ISBLANK(S514), ISBLANK(T514)), "CUSM, CHU SJ, CHUS, CHUQ", "")</f>
      </c>
      <c r="AM513" s="37">
        <f>if(and(AJ513="no match", AK513="", AL513="", K513&lt;26), "CUSM, CHU SJ, HGJ, CHUQ, CHUS", "")</f>
      </c>
      <c r="AN513" s="37">
        <f>if(and(AJ513="no match", AK513="", AL513="", K513&gt;26), "CUSM, CHU SJ, HGJ, CHUQ, CHUS, HMR", "")</f>
      </c>
    </row>
    <row x14ac:dyDescent="0.25" r="514" customHeight="1" ht="17.25">
      <c r="A514" s="27" t="s">
        <v>2383</v>
      </c>
      <c r="B514" s="28">
        <v>2</v>
      </c>
      <c r="C514" s="28">
        <v>835</v>
      </c>
      <c r="D514" s="29" t="s">
        <v>170</v>
      </c>
      <c r="E514" s="30" t="s">
        <v>50</v>
      </c>
      <c r="F514" s="31">
        <v>44467</v>
      </c>
      <c r="G514" s="32">
        <v>4.305555555555555</v>
      </c>
      <c r="H514" s="31">
        <v>44465</v>
      </c>
      <c r="I514" s="32">
        <v>4.279861111111111</v>
      </c>
      <c r="J514" s="33">
        <f>F514-H514</f>
      </c>
      <c r="K514" s="28">
        <v>40</v>
      </c>
      <c r="L514" s="28">
        <v>4</v>
      </c>
      <c r="M514" s="28">
        <v>1</v>
      </c>
      <c r="N514" s="28">
        <v>1</v>
      </c>
      <c r="O514" s="35">
        <v>2</v>
      </c>
      <c r="P514" s="28">
        <v>1</v>
      </c>
      <c r="Q514" s="34"/>
      <c r="R514" s="34"/>
      <c r="S514" s="34"/>
      <c r="T514" s="34"/>
      <c r="U514" s="34"/>
      <c r="V514" s="34"/>
      <c r="W514" s="29" t="s">
        <v>58</v>
      </c>
      <c r="X514" s="28">
        <v>33</v>
      </c>
      <c r="Y514" s="28">
        <v>1</v>
      </c>
      <c r="Z514" s="28">
        <v>1</v>
      </c>
      <c r="AA514" s="28">
        <v>2</v>
      </c>
      <c r="AB514" s="28">
        <v>1</v>
      </c>
      <c r="AC514" s="28">
        <v>2</v>
      </c>
      <c r="AD514" s="28">
        <v>2</v>
      </c>
      <c r="AE514" s="28">
        <v>2</v>
      </c>
      <c r="AF514" s="28">
        <v>2</v>
      </c>
      <c r="AG514" s="28">
        <v>2</v>
      </c>
      <c r="AH514" s="29" t="s">
        <v>2384</v>
      </c>
      <c r="AI514" s="36">
        <f>if(or(and(K514&lt;32, J514&lt;2), O514=1, P514=1, Q514=1, R514=1, S514=1, T514=1, U514=1, and(W514&lt;&gt;"", W514&lt;&gt;"Oxygen", W514&lt;&gt;"LowFlow")), "Intensive", "Intermediate")</f>
      </c>
      <c r="AJ514" s="37">
        <f>if(or(left(AH514, 1)="X", left(AH514, 1)="Y", left(AH514, 3)="J0M"), "CUSM", "No Match")</f>
      </c>
      <c r="AK514" s="37">
        <f>if(and(or(O514=3, P514=1, Q514=1, T514=1), AJ514="no Match"), "CUSM, CHU SJ, CHUQ", "")</f>
      </c>
      <c r="AL514" s="37">
        <f>IF(AND(O515=2, ISBLANK(P515), ISBLANK(Q515), ISBLANK(R515), ISBLANK(S515), ISBLANK(T515)), "CUSM, CHU SJ, CHUS, CHUQ", "")</f>
      </c>
      <c r="AM514" s="37">
        <f>if(and(AJ514="no match", AK514="", AL514="", K514&lt;26), "CUSM, CHU SJ, HGJ, CHUQ, CHUS", "")</f>
      </c>
      <c r="AN514" s="37">
        <f>if(and(AJ514="no match", AK514="", AL514="", K514&gt;26), "CUSM, CHU SJ, HGJ, CHUQ, CHUS, HMR", "")</f>
      </c>
    </row>
    <row x14ac:dyDescent="0.25" r="515" customHeight="1" ht="17.25">
      <c r="A515" s="27" t="s">
        <v>2385</v>
      </c>
      <c r="B515" s="28">
        <v>2</v>
      </c>
      <c r="C515" s="35">
        <v>564</v>
      </c>
      <c r="D515" s="29" t="s">
        <v>153</v>
      </c>
      <c r="E515" s="30" t="s">
        <v>220</v>
      </c>
      <c r="F515" s="31">
        <v>44467</v>
      </c>
      <c r="G515" s="32">
        <v>4.697916666666666</v>
      </c>
      <c r="H515" s="31">
        <v>44467</v>
      </c>
      <c r="I515" s="32">
        <v>4.570138888888889</v>
      </c>
      <c r="J515" s="33">
        <f>F515-H515</f>
      </c>
      <c r="K515" s="28">
        <v>29</v>
      </c>
      <c r="L515" s="28">
        <v>0</v>
      </c>
      <c r="M515" s="28">
        <v>1</v>
      </c>
      <c r="N515" s="34"/>
      <c r="O515" s="34"/>
      <c r="P515" s="34"/>
      <c r="Q515" s="34"/>
      <c r="R515" s="34"/>
      <c r="S515" s="34"/>
      <c r="T515" s="34"/>
      <c r="U515" s="34"/>
      <c r="V515" s="34"/>
      <c r="W515" s="29" t="s">
        <v>74</v>
      </c>
      <c r="X515" s="28">
        <v>31</v>
      </c>
      <c r="Y515" s="28">
        <v>1</v>
      </c>
      <c r="Z515" s="28">
        <v>1</v>
      </c>
      <c r="AA515" s="28">
        <v>2</v>
      </c>
      <c r="AB515" s="28">
        <v>1</v>
      </c>
      <c r="AC515" s="28">
        <v>2</v>
      </c>
      <c r="AD515" s="28">
        <v>2</v>
      </c>
      <c r="AE515" s="28">
        <v>4</v>
      </c>
      <c r="AF515" s="28">
        <v>2</v>
      </c>
      <c r="AG515" s="28">
        <v>2</v>
      </c>
      <c r="AH515" s="29" t="s">
        <v>2386</v>
      </c>
      <c r="AI515" s="36">
        <f>if(or(and(K515&lt;32, J515&lt;2), O515=1, P515=1, Q515=1, R515=1, S515=1, T515=1, U515=1, and(W515&lt;&gt;"", W515&lt;&gt;"Oxygen", W515&lt;&gt;"LowFlow")), "Intensive", "Intermediate")</f>
      </c>
      <c r="AJ515" s="37">
        <f>if(or(left(AH515, 1)="X", left(AH515, 1)="Y", left(AH515, 3)="J1M"), "CUSM", "No Match")</f>
      </c>
      <c r="AK515" s="37">
        <f>if(and(or(O515=3, P515=1, Q515=1, T515=1), AJ515="no Match"), "CUSM, CHU SJ, CHUQ", "")</f>
      </c>
      <c r="AL515" s="37">
        <f>IF(AND(O516=2, ISBLANK(P516), ISBLANK(Q516), ISBLANK(R516), ISBLANK(S516), ISBLANK(T516)), "CUSM, CHU SJ, CHUS, CHUQ", "")</f>
      </c>
      <c r="AM515" s="37">
        <f>if(and(AJ515="no match", AK515="", AL515="", K515&lt;26), "CUSM, CHU SJ, HGJ, CHUQ, CHUS", "")</f>
      </c>
      <c r="AN515" s="37">
        <f>if(and(AJ515="no match", AK515="", AL515="", K515&gt;26), "CUSM, CHU SJ, HGJ, CHUQ, CHUS, HMR", "")</f>
      </c>
    </row>
    <row x14ac:dyDescent="0.25" r="516" customHeight="1" ht="17.25">
      <c r="A516" s="27" t="s">
        <v>2387</v>
      </c>
      <c r="B516" s="28">
        <v>2</v>
      </c>
      <c r="C516" s="35">
        <v>831</v>
      </c>
      <c r="D516" s="29" t="s">
        <v>313</v>
      </c>
      <c r="E516" s="30" t="s">
        <v>54</v>
      </c>
      <c r="F516" s="31">
        <v>44468</v>
      </c>
      <c r="G516" s="32">
        <v>4.680555555555555</v>
      </c>
      <c r="H516" s="31">
        <v>44467</v>
      </c>
      <c r="I516" s="32">
        <v>4.372916666666667</v>
      </c>
      <c r="J516" s="33">
        <f>F516-H516</f>
      </c>
      <c r="K516" s="28">
        <v>37</v>
      </c>
      <c r="L516" s="28">
        <v>2</v>
      </c>
      <c r="M516" s="28">
        <v>2</v>
      </c>
      <c r="N516" s="35">
        <v>1</v>
      </c>
      <c r="O516" s="34"/>
      <c r="P516" s="35">
        <v>1</v>
      </c>
      <c r="Q516" s="34"/>
      <c r="R516" s="34"/>
      <c r="S516" s="34"/>
      <c r="T516" s="34"/>
      <c r="U516" s="34"/>
      <c r="V516" s="34"/>
      <c r="W516" s="29"/>
      <c r="X516" s="28">
        <v>28</v>
      </c>
      <c r="Y516" s="28">
        <v>1</v>
      </c>
      <c r="Z516" s="28">
        <v>2</v>
      </c>
      <c r="AA516" s="28">
        <v>2</v>
      </c>
      <c r="AB516" s="28">
        <v>1</v>
      </c>
      <c r="AC516" s="28">
        <v>2</v>
      </c>
      <c r="AD516" s="28">
        <v>2</v>
      </c>
      <c r="AE516" s="28">
        <v>4</v>
      </c>
      <c r="AF516" s="28">
        <v>2</v>
      </c>
      <c r="AG516" s="28">
        <v>2</v>
      </c>
      <c r="AH516" s="29" t="s">
        <v>2388</v>
      </c>
      <c r="AI516" s="36">
        <f>if(or(and(K516&lt;32, J516&lt;2), O516=1, P516=1, Q516=1, R516=1, S516=1, T516=1, U516=1, and(W516&lt;&gt;"", W516&lt;&gt;"Oxygen", W516&lt;&gt;"LowFlow")), "Intensive", "Intermediate")</f>
      </c>
      <c r="AJ516" s="37">
        <f>if(or(left(AH516, 1)="X", left(AH516, 1)="Y", left(AH516, 3)="J2M"), "CUSM", "No Match")</f>
      </c>
      <c r="AK516" s="37">
        <f>if(and(or(O516=3, P516=1, Q516=1, T516=1), AJ516="no Match"), "CUSM, CHU SJ, CHUQ", "")</f>
      </c>
      <c r="AL516" s="37">
        <f>IF(AND(O517=2, ISBLANK(P517), ISBLANK(Q517), ISBLANK(R517), ISBLANK(S517), ISBLANK(T517)), "CUSM, CHU SJ, CHUS, CHUQ", "")</f>
      </c>
      <c r="AM516" s="37">
        <f>if(and(AJ516="no match", AK516="", AL516="", K516&lt;26), "CUSM, CHU SJ, HGJ, CHUQ, CHUS", "")</f>
      </c>
      <c r="AN516" s="37">
        <f>if(and(AJ516="no match", AK516="", AL516="", K516&gt;26), "CUSM, CHU SJ, HGJ, CHUQ, CHUS, HMR", "")</f>
      </c>
    </row>
    <row x14ac:dyDescent="0.25" r="517" customHeight="1" ht="17.25">
      <c r="A517" s="27" t="s">
        <v>2389</v>
      </c>
      <c r="B517" s="28">
        <v>2</v>
      </c>
      <c r="C517" s="35">
        <v>734</v>
      </c>
      <c r="D517" s="29" t="s">
        <v>264</v>
      </c>
      <c r="E517" s="30" t="s">
        <v>78</v>
      </c>
      <c r="F517" s="31">
        <v>44468</v>
      </c>
      <c r="G517" s="32">
        <v>4.916666666666666</v>
      </c>
      <c r="H517" s="31">
        <v>44468</v>
      </c>
      <c r="I517" s="32">
        <v>4.8381944444444445</v>
      </c>
      <c r="J517" s="33">
        <f>F517-H517</f>
      </c>
      <c r="K517" s="28">
        <v>30</v>
      </c>
      <c r="L517" s="28">
        <v>0</v>
      </c>
      <c r="M517" s="28">
        <v>1</v>
      </c>
      <c r="N517" s="34"/>
      <c r="O517" s="34"/>
      <c r="P517" s="34"/>
      <c r="Q517" s="34"/>
      <c r="R517" s="34"/>
      <c r="S517" s="34"/>
      <c r="T517" s="34"/>
      <c r="U517" s="34"/>
      <c r="V517" s="34"/>
      <c r="W517" s="29" t="s">
        <v>74</v>
      </c>
      <c r="X517" s="28">
        <v>38</v>
      </c>
      <c r="Y517" s="28">
        <v>1</v>
      </c>
      <c r="Z517" s="28">
        <v>2</v>
      </c>
      <c r="AA517" s="28">
        <v>3</v>
      </c>
      <c r="AB517" s="28">
        <v>1</v>
      </c>
      <c r="AC517" s="28">
        <v>2</v>
      </c>
      <c r="AD517" s="28">
        <v>2</v>
      </c>
      <c r="AE517" s="28">
        <v>4</v>
      </c>
      <c r="AF517" s="28">
        <v>3</v>
      </c>
      <c r="AG517" s="28">
        <v>2</v>
      </c>
      <c r="AH517" s="29" t="s">
        <v>2390</v>
      </c>
      <c r="AI517" s="36">
        <f>if(or(and(K517&lt;32, J517&lt;2), O517=1, P517=1, Q517=1, R517=1, S517=1, T517=1, U517=1, and(W517&lt;&gt;"", W517&lt;&gt;"Oxygen", W517&lt;&gt;"LowFlow")), "Intensive", "Intermediate")</f>
      </c>
      <c r="AJ517" s="37">
        <f>if(or(left(AH517, 1)="X", left(AH517, 1)="Y", left(AH517, 3)="J3M"), "CUSM", "No Match")</f>
      </c>
      <c r="AK517" s="37">
        <f>if(and(or(O517=3, P517=1, Q517=1, T517=1), AJ517="no Match"), "CUSM, CHU SJ, CHUQ", "")</f>
      </c>
      <c r="AL517" s="37">
        <f>IF(AND(O518=2, ISBLANK(P518), ISBLANK(Q518), ISBLANK(R518), ISBLANK(S518), ISBLANK(T518)), "CUSM, CHU SJ, CHUS, CHUQ", "")</f>
      </c>
      <c r="AM517" s="37">
        <f>if(and(AJ517="no match", AK517="", AL517="", K517&lt;26), "CUSM, CHU SJ, HGJ, CHUQ, CHUS", "")</f>
      </c>
      <c r="AN517" s="37">
        <f>if(and(AJ517="no match", AK517="", AL517="", K517&gt;26), "CUSM, CHU SJ, HGJ, CHUQ, CHUS, HMR", "")</f>
      </c>
    </row>
    <row x14ac:dyDescent="0.25" r="518" customHeight="1" ht="17.25">
      <c r="A518" s="27" t="s">
        <v>2391</v>
      </c>
      <c r="B518" s="28">
        <v>2</v>
      </c>
      <c r="C518" s="35">
        <v>824</v>
      </c>
      <c r="D518" s="29" t="s">
        <v>57</v>
      </c>
      <c r="E518" s="30" t="s">
        <v>50</v>
      </c>
      <c r="F518" s="31">
        <v>44468</v>
      </c>
      <c r="G518" s="32">
        <v>4.232638888888889</v>
      </c>
      <c r="H518" s="31">
        <v>44468</v>
      </c>
      <c r="I518" s="32">
        <v>4.0777777777777775</v>
      </c>
      <c r="J518" s="33">
        <f>F518-H518</f>
      </c>
      <c r="K518" s="28">
        <v>36</v>
      </c>
      <c r="L518" s="28">
        <v>5</v>
      </c>
      <c r="M518" s="28">
        <v>2</v>
      </c>
      <c r="N518" s="34"/>
      <c r="O518" s="34"/>
      <c r="P518" s="34"/>
      <c r="Q518" s="34"/>
      <c r="R518" s="34"/>
      <c r="S518" s="34"/>
      <c r="T518" s="35">
        <v>1</v>
      </c>
      <c r="U518" s="34"/>
      <c r="V518" s="34"/>
      <c r="W518" s="29"/>
      <c r="X518" s="28">
        <v>29</v>
      </c>
      <c r="Y518" s="28">
        <v>1</v>
      </c>
      <c r="Z518" s="28">
        <v>1</v>
      </c>
      <c r="AA518" s="28">
        <v>2</v>
      </c>
      <c r="AB518" s="28">
        <v>1</v>
      </c>
      <c r="AC518" s="28">
        <v>2</v>
      </c>
      <c r="AD518" s="28">
        <v>2</v>
      </c>
      <c r="AE518" s="28">
        <v>2</v>
      </c>
      <c r="AF518" s="28">
        <v>2</v>
      </c>
      <c r="AG518" s="28">
        <v>3</v>
      </c>
      <c r="AH518" s="29" t="s">
        <v>2392</v>
      </c>
      <c r="AI518" s="36">
        <f>if(or(and(K518&lt;32, J518&lt;2), O518=1, P518=1, Q518=1, R518=1, S518=1, T518=1, U518=1, and(W518&lt;&gt;"", W518&lt;&gt;"Oxygen", W518&lt;&gt;"LowFlow")), "Intensive", "Intermediate")</f>
      </c>
      <c r="AJ518" s="37">
        <f>if(or(left(AH518, 1)="X", left(AH518, 1)="Y", left(AH518, 3)="J4M"), "CUSM", "No Match")</f>
      </c>
      <c r="AK518" s="37">
        <f>if(and(or(O518=3, P518=1, Q518=1, T518=1), AJ518="no Match"), "CUSM, CHU SJ, CHUQ", "")</f>
      </c>
      <c r="AL518" s="37">
        <f>IF(AND(O519=2, ISBLANK(P519), ISBLANK(Q519), ISBLANK(R519), ISBLANK(S519), ISBLANK(T519)), "CUSM, CHU SJ, CHUS, CHUQ", "")</f>
      </c>
      <c r="AM518" s="37">
        <f>if(and(AJ518="no match", AK518="", AL518="", K518&lt;26), "CUSM, CHU SJ, HGJ, CHUQ, CHUS", "")</f>
      </c>
      <c r="AN518" s="37">
        <f>if(and(AJ518="no match", AK518="", AL518="", K518&gt;26), "CUSM, CHU SJ, HGJ, CHUQ, CHUS, HMR", "")</f>
      </c>
    </row>
    <row x14ac:dyDescent="0.25" r="519" customHeight="1" ht="17.25">
      <c r="A519" s="27" t="s">
        <v>2393</v>
      </c>
      <c r="B519" s="28">
        <v>2</v>
      </c>
      <c r="C519" s="28">
        <v>734</v>
      </c>
      <c r="D519" s="29" t="s">
        <v>264</v>
      </c>
      <c r="E519" s="30" t="s">
        <v>54</v>
      </c>
      <c r="F519" s="31">
        <v>44469</v>
      </c>
      <c r="G519" s="32">
        <v>4.189583333333333</v>
      </c>
      <c r="H519" s="31">
        <v>44469</v>
      </c>
      <c r="I519" s="32">
        <v>4.072916666666666</v>
      </c>
      <c r="J519" s="33">
        <f>F519-H519</f>
      </c>
      <c r="K519" s="28">
        <v>33</v>
      </c>
      <c r="L519" s="28">
        <v>4</v>
      </c>
      <c r="M519" s="28">
        <v>1</v>
      </c>
      <c r="N519" s="34"/>
      <c r="O519" s="34"/>
      <c r="P519" s="34"/>
      <c r="Q519" s="34"/>
      <c r="R519" s="34"/>
      <c r="S519" s="34"/>
      <c r="T519" s="34"/>
      <c r="U519" s="34"/>
      <c r="V519" s="34"/>
      <c r="W519" s="29" t="s">
        <v>74</v>
      </c>
      <c r="X519" s="28">
        <v>43</v>
      </c>
      <c r="Y519" s="28">
        <v>1</v>
      </c>
      <c r="Z519" s="28">
        <v>2</v>
      </c>
      <c r="AA519" s="28">
        <v>1</v>
      </c>
      <c r="AB519" s="28">
        <v>3</v>
      </c>
      <c r="AC519" s="28">
        <v>2</v>
      </c>
      <c r="AD519" s="28">
        <v>2</v>
      </c>
      <c r="AE519" s="28">
        <v>4</v>
      </c>
      <c r="AF519" s="28">
        <v>2</v>
      </c>
      <c r="AG519" s="28">
        <v>2</v>
      </c>
      <c r="AH519" s="29" t="s">
        <v>2394</v>
      </c>
      <c r="AI519" s="36">
        <f>if(or(and(K519&lt;32, J519&lt;2), O519=1, P519=1, Q519=1, R519=1, S519=1, T519=1, U519=1, and(W519&lt;&gt;"", W519&lt;&gt;"Oxygen", W519&lt;&gt;"LowFlow")), "Intensive", "Intermediate")</f>
      </c>
      <c r="AJ519" s="37">
        <f>if(or(left(AH519, 1)="X", left(AH519, 1)="Y", left(AH519, 3)="J5M"), "CUSM", "No Match")</f>
      </c>
      <c r="AK519" s="37">
        <f>if(and(or(O519=3, P519=1, Q519=1, T519=1), AJ519="no Match"), "CUSM, CHU SJ, CHUQ", "")</f>
      </c>
      <c r="AL519" s="37">
        <f>IF(AND(O520=2, ISBLANK(P520), ISBLANK(Q520), ISBLANK(R520), ISBLANK(S520), ISBLANK(T520)), "CUSM, CHU SJ, CHUS, CHUQ", "")</f>
      </c>
      <c r="AM519" s="37">
        <f>if(and(AJ519="no match", AK519="", AL519="", K519&lt;26), "CUSM, CHU SJ, HGJ, CHUQ, CHUS", "")</f>
      </c>
      <c r="AN519" s="37">
        <f>if(and(AJ519="no match", AK519="", AL519="", K519&gt;26), "CUSM, CHU SJ, HGJ, CHUQ, CHUS, HMR", "")</f>
      </c>
    </row>
    <row x14ac:dyDescent="0.25" r="520" customHeight="1" ht="17.25">
      <c r="A520" s="27" t="s">
        <v>2395</v>
      </c>
      <c r="B520" s="28">
        <v>2</v>
      </c>
      <c r="C520" s="28">
        <v>756</v>
      </c>
      <c r="D520" s="29" t="s">
        <v>66</v>
      </c>
      <c r="E520" s="30" t="s">
        <v>54</v>
      </c>
      <c r="F520" s="31">
        <v>44470</v>
      </c>
      <c r="G520" s="32">
        <v>4.972222222222222</v>
      </c>
      <c r="H520" s="31">
        <v>44470</v>
      </c>
      <c r="I520" s="32">
        <v>4.736805555555556</v>
      </c>
      <c r="J520" s="33">
        <f>F520-H520</f>
      </c>
      <c r="K520" s="28">
        <v>40</v>
      </c>
      <c r="L520" s="28">
        <v>4</v>
      </c>
      <c r="M520" s="28">
        <v>2</v>
      </c>
      <c r="N520" s="35">
        <v>1</v>
      </c>
      <c r="O520" s="34"/>
      <c r="P520" s="35">
        <v>1</v>
      </c>
      <c r="Q520" s="34"/>
      <c r="R520" s="34"/>
      <c r="S520" s="34"/>
      <c r="T520" s="35">
        <v>1</v>
      </c>
      <c r="U520" s="34"/>
      <c r="V520" s="34"/>
      <c r="W520" s="29" t="s">
        <v>74</v>
      </c>
      <c r="X520" s="28">
        <v>28</v>
      </c>
      <c r="Y520" s="28">
        <v>1</v>
      </c>
      <c r="Z520" s="28">
        <v>1</v>
      </c>
      <c r="AA520" s="28">
        <v>2</v>
      </c>
      <c r="AB520" s="28">
        <v>1</v>
      </c>
      <c r="AC520" s="28">
        <v>2</v>
      </c>
      <c r="AD520" s="28">
        <v>2</v>
      </c>
      <c r="AE520" s="28">
        <v>4</v>
      </c>
      <c r="AF520" s="28">
        <v>2</v>
      </c>
      <c r="AG520" s="28">
        <v>2</v>
      </c>
      <c r="AH520" s="29" t="s">
        <v>2396</v>
      </c>
      <c r="AI520" s="36">
        <f>if(or(and(K520&lt;32, J520&lt;2), O520=1, P520=1, Q520=1, R520=1, S520=1, T520=1, U520=1, and(W520&lt;&gt;"", W520&lt;&gt;"Oxygen", W520&lt;&gt;"LowFlow")), "Intensive", "Intermediate")</f>
      </c>
      <c r="AJ520" s="37">
        <f>if(or(left(AH520, 1)="X", left(AH520, 1)="Y", left(AH520, 3)="J6M"), "CUSM", "No Match")</f>
      </c>
      <c r="AK520" s="37">
        <f>if(and(or(O520=3, P520=1, Q520=1, T520=1), AJ520="no Match"), "CUSM, CHU SJ, CHUQ", "")</f>
      </c>
      <c r="AL520" s="37">
        <f>IF(AND(O521=2, ISBLANK(P521), ISBLANK(Q521), ISBLANK(R521), ISBLANK(S521), ISBLANK(T521)), "CUSM, CHU SJ, CHUS, CHUQ", "")</f>
      </c>
      <c r="AM520" s="37">
        <f>if(and(AJ520="no match", AK520="", AL520="", K520&lt;26), "CUSM, CHU SJ, HGJ, CHUQ, CHUS", "")</f>
      </c>
      <c r="AN520" s="37">
        <f>if(and(AJ520="no match", AK520="", AL520="", K520&gt;26), "CUSM, CHU SJ, HGJ, CHUQ, CHUS, HMR", "")</f>
      </c>
    </row>
    <row x14ac:dyDescent="0.25" r="521" customHeight="1" ht="17.25">
      <c r="A521" s="27" t="s">
        <v>2397</v>
      </c>
      <c r="B521" s="28">
        <v>2</v>
      </c>
      <c r="C521" s="35">
        <v>1019</v>
      </c>
      <c r="D521" s="29" t="s">
        <v>354</v>
      </c>
      <c r="E521" s="30" t="s">
        <v>54</v>
      </c>
      <c r="F521" s="31">
        <v>44470</v>
      </c>
      <c r="G521" s="32">
        <v>4.083333333333334</v>
      </c>
      <c r="H521" s="31">
        <v>44469</v>
      </c>
      <c r="I521" s="32">
        <v>4.913888888888889</v>
      </c>
      <c r="J521" s="33">
        <f>F521-H521</f>
      </c>
      <c r="K521" s="28">
        <v>37</v>
      </c>
      <c r="L521" s="28">
        <v>5</v>
      </c>
      <c r="M521" s="28">
        <v>2</v>
      </c>
      <c r="N521" s="34"/>
      <c r="O521" s="34"/>
      <c r="P521" s="34"/>
      <c r="Q521" s="34"/>
      <c r="R521" s="34"/>
      <c r="S521" s="34"/>
      <c r="T521" s="35">
        <v>1</v>
      </c>
      <c r="U521" s="34"/>
      <c r="V521" s="34"/>
      <c r="W521" s="29" t="s">
        <v>74</v>
      </c>
      <c r="X521" s="28">
        <v>34</v>
      </c>
      <c r="Y521" s="28">
        <v>1</v>
      </c>
      <c r="Z521" s="28">
        <v>1</v>
      </c>
      <c r="AA521" s="28">
        <v>1</v>
      </c>
      <c r="AB521" s="28">
        <v>1</v>
      </c>
      <c r="AC521" s="28">
        <v>1</v>
      </c>
      <c r="AD521" s="28">
        <v>2</v>
      </c>
      <c r="AE521" s="28">
        <v>4</v>
      </c>
      <c r="AF521" s="28">
        <v>1</v>
      </c>
      <c r="AG521" s="28">
        <v>2</v>
      </c>
      <c r="AH521" s="29" t="s">
        <v>2398</v>
      </c>
      <c r="AI521" s="36">
        <f>if(or(and(K521&lt;32, J521&lt;2), O521=1, P521=1, Q521=1, R521=1, S521=1, T521=1, U521=1, and(W521&lt;&gt;"", W521&lt;&gt;"Oxygen", W521&lt;&gt;"LowFlow")), "Intensive", "Intermediate")</f>
      </c>
      <c r="AJ521" s="37">
        <f>if(or(left(AH521, 1)="X", left(AH521, 1)="Y", left(AH521, 3)="J7M"), "CUSM", "No Match")</f>
      </c>
      <c r="AK521" s="37">
        <f>if(and(or(O521=3, P521=1, Q521=1, T521=1), AJ521="no Match"), "CUSM, CHU SJ, CHUQ", "")</f>
      </c>
      <c r="AL521" s="37">
        <f>IF(AND(O522=2, ISBLANK(P522), ISBLANK(Q522), ISBLANK(R522), ISBLANK(S522), ISBLANK(T522)), "CUSM, CHU SJ, CHUS, CHUQ", "")</f>
      </c>
      <c r="AM521" s="37">
        <f>if(and(AJ521="no match", AK521="", AL521="", K521&lt;26), "CUSM, CHU SJ, HGJ, CHUQ, CHUS", "")</f>
      </c>
      <c r="AN521" s="37">
        <f>if(and(AJ521="no match", AK521="", AL521="", K521&gt;26), "CUSM, CHU SJ, HGJ, CHUQ, CHUS, HMR", "")</f>
      </c>
    </row>
    <row x14ac:dyDescent="0.25" r="522" customHeight="1" ht="17.25">
      <c r="A522" s="27" t="s">
        <v>2399</v>
      </c>
      <c r="B522" s="28">
        <v>2</v>
      </c>
      <c r="C522" s="28">
        <v>730</v>
      </c>
      <c r="D522" s="29" t="s">
        <v>81</v>
      </c>
      <c r="E522" s="30" t="s">
        <v>78</v>
      </c>
      <c r="F522" s="31">
        <v>44470</v>
      </c>
      <c r="G522" s="32">
        <v>4.895833333333334</v>
      </c>
      <c r="H522" s="31">
        <v>44470</v>
      </c>
      <c r="I522" s="32">
        <v>4.69375</v>
      </c>
      <c r="J522" s="33">
        <f>F522-H522</f>
      </c>
      <c r="K522" s="28">
        <v>39</v>
      </c>
      <c r="L522" s="28">
        <v>0</v>
      </c>
      <c r="M522" s="28">
        <v>2</v>
      </c>
      <c r="N522" s="34"/>
      <c r="O522" s="34"/>
      <c r="P522" s="34"/>
      <c r="Q522" s="34"/>
      <c r="R522" s="34"/>
      <c r="S522" s="34"/>
      <c r="T522" s="34"/>
      <c r="U522" s="34"/>
      <c r="V522" s="34"/>
      <c r="W522" s="29" t="s">
        <v>58</v>
      </c>
      <c r="X522" s="28">
        <v>41</v>
      </c>
      <c r="Y522" s="28">
        <v>1</v>
      </c>
      <c r="Z522" s="28">
        <v>1</v>
      </c>
      <c r="AA522" s="28">
        <v>2</v>
      </c>
      <c r="AB522" s="28">
        <v>1</v>
      </c>
      <c r="AC522" s="28">
        <v>2</v>
      </c>
      <c r="AD522" s="28">
        <v>2</v>
      </c>
      <c r="AE522" s="28">
        <v>2</v>
      </c>
      <c r="AF522" s="28">
        <v>2</v>
      </c>
      <c r="AG522" s="28">
        <v>2</v>
      </c>
      <c r="AH522" s="29" t="s">
        <v>2400</v>
      </c>
      <c r="AI522" s="36">
        <f>if(or(and(K522&lt;32, J522&lt;2), O522=1, P522=1, Q522=1, R522=1, S522=1, T522=1, U522=1, and(W522&lt;&gt;"", W522&lt;&gt;"Oxygen", W522&lt;&gt;"LowFlow")), "Intensive", "Intermediate")</f>
      </c>
      <c r="AJ522" s="37">
        <f>if(or(left(AH522, 1)="X", left(AH522, 1)="Y", left(AH522, 3)="J8M"), "CUSM", "No Match")</f>
      </c>
      <c r="AK522" s="37">
        <f>if(and(or(O522=3, P522=1, Q522=1, T522=1), AJ522="no Match"), "CUSM, CHU SJ, CHUQ", "")</f>
      </c>
      <c r="AL522" s="37">
        <f>IF(AND(O523=2, ISBLANK(P523), ISBLANK(Q523), ISBLANK(R523), ISBLANK(S523), ISBLANK(T523)), "CUSM, CHU SJ, CHUS, CHUQ", "")</f>
      </c>
      <c r="AM522" s="37">
        <f>if(and(AJ522="no match", AK522="", AL522="", K522&lt;26), "CUSM, CHU SJ, HGJ, CHUQ, CHUS", "")</f>
      </c>
      <c r="AN522" s="37">
        <f>if(and(AJ522="no match", AK522="", AL522="", K522&gt;26), "CUSM, CHU SJ, HGJ, CHUQ, CHUS, HMR", "")</f>
      </c>
    </row>
    <row x14ac:dyDescent="0.25" r="523" customHeight="1" ht="17.25">
      <c r="A523" s="27" t="s">
        <v>2401</v>
      </c>
      <c r="B523" s="28">
        <v>2</v>
      </c>
      <c r="C523" s="28">
        <v>779</v>
      </c>
      <c r="D523" s="29" t="s">
        <v>136</v>
      </c>
      <c r="E523" s="30" t="s">
        <v>54</v>
      </c>
      <c r="F523" s="31">
        <v>44471</v>
      </c>
      <c r="G523" s="32">
        <v>4.752777777777778</v>
      </c>
      <c r="H523" s="31">
        <v>44471</v>
      </c>
      <c r="I523" s="32">
        <v>4.173611111111111</v>
      </c>
      <c r="J523" s="33">
        <f>F523-H523</f>
      </c>
      <c r="K523" s="28">
        <v>36</v>
      </c>
      <c r="L523" s="28">
        <v>0</v>
      </c>
      <c r="M523" s="28">
        <v>2</v>
      </c>
      <c r="N523" s="34"/>
      <c r="O523" s="34"/>
      <c r="P523" s="34"/>
      <c r="Q523" s="34"/>
      <c r="R523" s="34"/>
      <c r="S523" s="34"/>
      <c r="T523" s="34"/>
      <c r="U523" s="34"/>
      <c r="V523" s="34"/>
      <c r="W523" s="29" t="s">
        <v>58</v>
      </c>
      <c r="X523" s="28">
        <v>28</v>
      </c>
      <c r="Y523" s="28">
        <v>1</v>
      </c>
      <c r="Z523" s="28">
        <v>2</v>
      </c>
      <c r="AA523" s="28">
        <v>2</v>
      </c>
      <c r="AB523" s="28">
        <v>1</v>
      </c>
      <c r="AC523" s="28">
        <v>2</v>
      </c>
      <c r="AD523" s="28">
        <v>1</v>
      </c>
      <c r="AE523" s="28">
        <v>4</v>
      </c>
      <c r="AF523" s="28">
        <v>2</v>
      </c>
      <c r="AG523" s="28">
        <v>2</v>
      </c>
      <c r="AH523" s="29" t="s">
        <v>2402</v>
      </c>
      <c r="AI523" s="36">
        <f>if(or(and(K523&lt;32, J523&lt;2), O523=1, P523=1, Q523=1, R523=1, S523=1, T523=1, U523=1, and(W523&lt;&gt;"", W523&lt;&gt;"Oxygen", W523&lt;&gt;"LowFlow")), "Intensive", "Intermediate")</f>
      </c>
      <c r="AJ523" s="37">
        <f>if(or(left(AH523, 1)="X", left(AH523, 1)="Y", left(AH523, 3)="J9M"), "CUSM", "No Match")</f>
      </c>
      <c r="AK523" s="37">
        <f>if(and(or(O523=3, P523=1, Q523=1, T523=1), AJ523="no Match"), "CUSM, CHU SJ, CHUQ", "")</f>
      </c>
      <c r="AL523" s="37">
        <f>IF(AND(O524=2, ISBLANK(P524), ISBLANK(Q524), ISBLANK(R524), ISBLANK(S524), ISBLANK(T524)), "CUSM, CHU SJ, CHUS, CHUQ", "")</f>
      </c>
      <c r="AM523" s="37">
        <f>if(and(AJ523="no match", AK523="", AL523="", K523&lt;26), "CUSM, CHU SJ, HGJ, CHUQ, CHUS", "")</f>
      </c>
      <c r="AN523" s="37">
        <f>if(and(AJ523="no match", AK523="", AL523="", K523&gt;26), "CUSM, CHU SJ, HGJ, CHUQ, CHUS, HMR", "")</f>
      </c>
    </row>
    <row x14ac:dyDescent="0.25" r="524" customHeight="1" ht="17.25">
      <c r="A524" s="27" t="s">
        <v>2403</v>
      </c>
      <c r="B524" s="28">
        <v>2</v>
      </c>
      <c r="C524" s="35">
        <v>822</v>
      </c>
      <c r="D524" s="29" t="s">
        <v>167</v>
      </c>
      <c r="E524" s="30" t="s">
        <v>54</v>
      </c>
      <c r="F524" s="31">
        <v>44471</v>
      </c>
      <c r="G524" s="32">
        <v>4.670138888888889</v>
      </c>
      <c r="H524" s="31">
        <v>44470</v>
      </c>
      <c r="I524" s="32">
        <v>4.805555555555555</v>
      </c>
      <c r="J524" s="33">
        <f>F524-H524</f>
      </c>
      <c r="K524" s="28">
        <v>38</v>
      </c>
      <c r="L524" s="28">
        <v>3</v>
      </c>
      <c r="M524" s="28">
        <v>1</v>
      </c>
      <c r="N524" s="34"/>
      <c r="O524" s="34"/>
      <c r="P524" s="34"/>
      <c r="Q524" s="34"/>
      <c r="R524" s="34"/>
      <c r="S524" s="34"/>
      <c r="T524" s="34"/>
      <c r="U524" s="34"/>
      <c r="V524" s="34"/>
      <c r="W524" s="29" t="s">
        <v>600</v>
      </c>
      <c r="X524" s="28">
        <v>43</v>
      </c>
      <c r="Y524" s="28">
        <v>1</v>
      </c>
      <c r="Z524" s="28">
        <v>1</v>
      </c>
      <c r="AA524" s="28">
        <v>2</v>
      </c>
      <c r="AB524" s="28">
        <v>1</v>
      </c>
      <c r="AC524" s="28">
        <v>2</v>
      </c>
      <c r="AD524" s="28">
        <v>2</v>
      </c>
      <c r="AE524" s="28">
        <v>4</v>
      </c>
      <c r="AF524" s="28">
        <v>2</v>
      </c>
      <c r="AG524" s="28">
        <v>2</v>
      </c>
      <c r="AH524" s="29" t="s">
        <v>2404</v>
      </c>
      <c r="AI524" s="36">
        <f>if(or(and(K524&lt;32, J524&lt;2), O524=1, P524=1, Q524=1, R524=1, S524=1, T524=1, U524=1, and(W524&lt;&gt;"", W524&lt;&gt;"Oxygen", W524&lt;&gt;"LowFlow")), "Intensive", "Intermediate")</f>
      </c>
      <c r="AJ524" s="37">
        <f>if(or(left(AH524, 1)="X", left(AH524, 1)="Y", left(AH524, 3)="J10M"), "CUSM", "No Match")</f>
      </c>
      <c r="AK524" s="37">
        <f>if(and(or(O524=3, P524=1, Q524=1, T524=1), AJ524="no Match"), "CUSM, CHU SJ, CHUQ", "")</f>
      </c>
      <c r="AL524" s="37">
        <f>IF(AND(O525=2, ISBLANK(P525), ISBLANK(Q525), ISBLANK(R525), ISBLANK(S525), ISBLANK(T525)), "CUSM, CHU SJ, CHUS, CHUQ", "")</f>
      </c>
      <c r="AM524" s="37">
        <f>if(and(AJ524="no match", AK524="", AL524="", K524&lt;26), "CUSM, CHU SJ, HGJ, CHUQ, CHUS", "")</f>
      </c>
      <c r="AN524" s="37">
        <f>if(and(AJ524="no match", AK524="", AL524="", K524&gt;26), "CUSM, CHU SJ, HGJ, CHUQ, CHUS, HMR", "")</f>
      </c>
    </row>
    <row x14ac:dyDescent="0.25" r="525" customHeight="1" ht="17.25">
      <c r="A525" s="27" t="s">
        <v>2405</v>
      </c>
      <c r="B525" s="28">
        <v>2</v>
      </c>
      <c r="C525" s="28">
        <v>831</v>
      </c>
      <c r="D525" s="29" t="s">
        <v>313</v>
      </c>
      <c r="E525" s="30" t="s">
        <v>50</v>
      </c>
      <c r="F525" s="31">
        <v>44471</v>
      </c>
      <c r="G525" s="32">
        <v>4.59375</v>
      </c>
      <c r="H525" s="31">
        <v>44471</v>
      </c>
      <c r="I525" s="32">
        <v>4.4215277777777775</v>
      </c>
      <c r="J525" s="33">
        <f>F525-H525</f>
      </c>
      <c r="K525" s="28">
        <v>40</v>
      </c>
      <c r="L525" s="28">
        <v>0</v>
      </c>
      <c r="M525" s="28">
        <v>1</v>
      </c>
      <c r="N525" s="34"/>
      <c r="O525" s="34"/>
      <c r="P525" s="34"/>
      <c r="Q525" s="34"/>
      <c r="R525" s="34"/>
      <c r="S525" s="34"/>
      <c r="T525" s="34"/>
      <c r="U525" s="34"/>
      <c r="V525" s="34"/>
      <c r="W525" s="29"/>
      <c r="X525" s="28">
        <v>31</v>
      </c>
      <c r="Y525" s="28">
        <v>1</v>
      </c>
      <c r="Z525" s="28">
        <v>1</v>
      </c>
      <c r="AA525" s="28">
        <v>2</v>
      </c>
      <c r="AB525" s="28">
        <v>1</v>
      </c>
      <c r="AC525" s="28">
        <v>2</v>
      </c>
      <c r="AD525" s="28">
        <v>2</v>
      </c>
      <c r="AE525" s="28">
        <v>4</v>
      </c>
      <c r="AF525" s="35">
        <v>2</v>
      </c>
      <c r="AG525" s="28">
        <v>2</v>
      </c>
      <c r="AH525" s="29" t="s">
        <v>2406</v>
      </c>
      <c r="AI525" s="36">
        <f>if(or(and(K525&lt;32, J525&lt;2), O525=1, P525=1, Q525=1, R525=1, S525=1, T525=1, U525=1, and(W525&lt;&gt;"", W525&lt;&gt;"Oxygen", W525&lt;&gt;"LowFlow")), "Intensive", "Intermediate")</f>
      </c>
      <c r="AJ525" s="37">
        <f>if(or(left(AH525, 1)="X", left(AH525, 1)="Y", left(AH525, 3)="J11M"), "CUSM", "No Match")</f>
      </c>
      <c r="AK525" s="37">
        <f>if(and(or(O525=3, P525=1, Q525=1, T525=1), AJ525="no Match"), "CUSM, CHU SJ, CHUQ", "")</f>
      </c>
      <c r="AL525" s="37">
        <f>IF(AND(O526=2, ISBLANK(P526), ISBLANK(Q526), ISBLANK(R526), ISBLANK(S526), ISBLANK(T526)), "CUSM, CHU SJ, CHUS, CHUQ", "")</f>
      </c>
      <c r="AM525" s="37">
        <f>if(and(AJ525="no match", AK525="", AL525="", K525&lt;26), "CUSM, CHU SJ, HGJ, CHUQ, CHUS", "")</f>
      </c>
      <c r="AN525" s="37">
        <f>if(and(AJ525="no match", AK525="", AL525="", K525&gt;26), "CUSM, CHU SJ, HGJ, CHUQ, CHUS, HMR", "")</f>
      </c>
    </row>
    <row x14ac:dyDescent="0.25" r="526" customHeight="1" ht="17.25">
      <c r="A526" s="27" t="s">
        <v>2407</v>
      </c>
      <c r="B526" s="28">
        <v>2</v>
      </c>
      <c r="C526" s="28">
        <v>817</v>
      </c>
      <c r="D526" s="29" t="s">
        <v>163</v>
      </c>
      <c r="E526" s="30" t="s">
        <v>54</v>
      </c>
      <c r="F526" s="31">
        <v>44472</v>
      </c>
      <c r="G526" s="32">
        <v>4.5</v>
      </c>
      <c r="H526" s="31">
        <v>44470</v>
      </c>
      <c r="I526" s="32">
        <v>4.002083333333333</v>
      </c>
      <c r="J526" s="33">
        <f>F526-H526</f>
      </c>
      <c r="K526" s="28">
        <v>37</v>
      </c>
      <c r="L526" s="28">
        <v>6</v>
      </c>
      <c r="M526" s="28">
        <v>2</v>
      </c>
      <c r="N526" s="35">
        <v>1</v>
      </c>
      <c r="O526" s="34"/>
      <c r="P526" s="34"/>
      <c r="Q526" s="34"/>
      <c r="R526" s="34"/>
      <c r="S526" s="34"/>
      <c r="T526" s="38"/>
      <c r="U526" s="34"/>
      <c r="V526" s="34"/>
      <c r="W526" s="29"/>
      <c r="X526" s="28">
        <v>32</v>
      </c>
      <c r="Y526" s="28">
        <v>1</v>
      </c>
      <c r="Z526" s="28">
        <v>2</v>
      </c>
      <c r="AA526" s="28">
        <v>1</v>
      </c>
      <c r="AB526" s="28">
        <v>1</v>
      </c>
      <c r="AC526" s="28">
        <v>2</v>
      </c>
      <c r="AD526" s="28">
        <v>1</v>
      </c>
      <c r="AE526" s="28">
        <v>4</v>
      </c>
      <c r="AF526" s="28">
        <v>2</v>
      </c>
      <c r="AG526" s="28">
        <v>2</v>
      </c>
      <c r="AH526" s="29" t="s">
        <v>2408</v>
      </c>
      <c r="AI526" s="36">
        <f>if(or(and(K526&lt;32, J526&lt;2), O526=1, P526=1, Q526=1, R526=1, S526=1, T526=1, U526=1, and(W526&lt;&gt;"", W526&lt;&gt;"Oxygen", W526&lt;&gt;"LowFlow")), "Intensive", "Intermediate")</f>
      </c>
      <c r="AJ526" s="37">
        <f>if(or(left(AH526, 1)="X", left(AH526, 1)="Y", left(AH526, 3)="J12M"), "CUSM", "No Match")</f>
      </c>
      <c r="AK526" s="37">
        <f>if(and(or(O526=3, P526=1, Q526=1, T526=1), AJ526="no Match"), "CUSM, CHU SJ, CHUQ", "")</f>
      </c>
      <c r="AL526" s="37">
        <f>IF(AND(O527=2, ISBLANK(P527), ISBLANK(Q527), ISBLANK(R527), ISBLANK(S527), ISBLANK(T527)), "CUSM, CHU SJ, CHUS, CHUQ", "")</f>
      </c>
      <c r="AM526" s="37">
        <f>if(and(AJ526="no match", AK526="", AL526="", K526&lt;26), "CUSM, CHU SJ, HGJ, CHUQ, CHUS", "")</f>
      </c>
      <c r="AN526" s="37">
        <f>if(and(AJ526="no match", AK526="", AL526="", K526&gt;26), "CUSM, CHU SJ, HGJ, CHUQ, CHUS, HMR", "")</f>
      </c>
    </row>
    <row x14ac:dyDescent="0.25" r="527" customHeight="1" ht="17.25">
      <c r="A527" s="27" t="s">
        <v>2409</v>
      </c>
      <c r="B527" s="28">
        <v>2</v>
      </c>
      <c r="C527" s="28">
        <v>815</v>
      </c>
      <c r="D527" s="29" t="s">
        <v>100</v>
      </c>
      <c r="E527" s="30" t="s">
        <v>78</v>
      </c>
      <c r="F527" s="31">
        <v>44472</v>
      </c>
      <c r="G527" s="32">
        <v>4.038194444444445</v>
      </c>
      <c r="H527" s="31">
        <v>44471</v>
      </c>
      <c r="I527" s="32">
        <v>4.6618055555555555</v>
      </c>
      <c r="J527" s="33">
        <f>F527-H527</f>
      </c>
      <c r="K527" s="28">
        <v>36</v>
      </c>
      <c r="L527" s="28">
        <v>0</v>
      </c>
      <c r="M527" s="28">
        <v>2</v>
      </c>
      <c r="N527" s="38"/>
      <c r="O527" s="38"/>
      <c r="P527" s="38"/>
      <c r="Q527" s="34"/>
      <c r="R527" s="34"/>
      <c r="S527" s="34"/>
      <c r="T527" s="34"/>
      <c r="U527" s="34"/>
      <c r="V527" s="34"/>
      <c r="W527" s="29" t="s">
        <v>58</v>
      </c>
      <c r="X527" s="28">
        <v>28</v>
      </c>
      <c r="Y527" s="28">
        <v>1</v>
      </c>
      <c r="Z527" s="28">
        <v>2</v>
      </c>
      <c r="AA527" s="28">
        <v>2</v>
      </c>
      <c r="AB527" s="28">
        <v>1</v>
      </c>
      <c r="AC527" s="28">
        <v>2</v>
      </c>
      <c r="AD527" s="28">
        <v>2</v>
      </c>
      <c r="AE527" s="28">
        <v>2</v>
      </c>
      <c r="AF527" s="28">
        <v>3</v>
      </c>
      <c r="AG527" s="28">
        <v>2</v>
      </c>
      <c r="AH527" s="29" t="s">
        <v>2410</v>
      </c>
      <c r="AI527" s="36">
        <f>if(or(and(K527&lt;32, J527&lt;2), O527=1, P527=1, Q527=1, R527=1, S527=1, T527=1, U527=1, and(W527&lt;&gt;"", W527&lt;&gt;"Oxygen", W527&lt;&gt;"LowFlow")), "Intensive", "Intermediate")</f>
      </c>
      <c r="AJ527" s="37">
        <f>if(or(left(AH527, 1)="X", left(AH527, 1)="Y", left(AH527, 3)="J13M"), "CUSM", "No Match")</f>
      </c>
      <c r="AK527" s="37">
        <f>if(and(or(O527=3, P527=1, Q527=1, T527=1), AJ527="no Match"), "CUSM, CHU SJ, CHUQ", "")</f>
      </c>
      <c r="AL527" s="37">
        <f>IF(AND(O528=2, ISBLANK(P528), ISBLANK(Q528), ISBLANK(R528), ISBLANK(S528), ISBLANK(T528)), "CUSM, CHU SJ, CHUS, CHUQ", "")</f>
      </c>
      <c r="AM527" s="37">
        <f>if(and(AJ527="no match", AK527="", AL527="", K527&lt;26), "CUSM, CHU SJ, HGJ, CHUQ, CHUS", "")</f>
      </c>
      <c r="AN527" s="37">
        <f>if(and(AJ527="no match", AK527="", AL527="", K527&gt;26), "CUSM, CHU SJ, HGJ, CHUQ, CHUS, HMR", "")</f>
      </c>
    </row>
    <row x14ac:dyDescent="0.25" r="528" customHeight="1" ht="17.25">
      <c r="A528" s="27" t="s">
        <v>2411</v>
      </c>
      <c r="B528" s="28">
        <v>2</v>
      </c>
      <c r="C528" s="28">
        <v>831</v>
      </c>
      <c r="D528" s="29" t="s">
        <v>313</v>
      </c>
      <c r="E528" s="30" t="s">
        <v>54</v>
      </c>
      <c r="F528" s="31">
        <v>44473</v>
      </c>
      <c r="G528" s="32">
        <v>4.791666666666666</v>
      </c>
      <c r="H528" s="31">
        <v>44473</v>
      </c>
      <c r="I528" s="32">
        <v>4.534722222222222</v>
      </c>
      <c r="J528" s="33">
        <f>F528-H528</f>
      </c>
      <c r="K528" s="28">
        <v>36</v>
      </c>
      <c r="L528" s="28">
        <v>0</v>
      </c>
      <c r="M528" s="28">
        <v>1</v>
      </c>
      <c r="N528" s="38"/>
      <c r="O528" s="34"/>
      <c r="P528" s="34"/>
      <c r="Q528" s="34"/>
      <c r="R528" s="34"/>
      <c r="S528" s="34"/>
      <c r="T528" s="35">
        <v>1</v>
      </c>
      <c r="U528" s="34"/>
      <c r="V528" s="34"/>
      <c r="W528" s="29" t="s">
        <v>164</v>
      </c>
      <c r="X528" s="28">
        <v>36</v>
      </c>
      <c r="Y528" s="28">
        <v>1</v>
      </c>
      <c r="Z528" s="28">
        <v>2</v>
      </c>
      <c r="AA528" s="28">
        <v>2</v>
      </c>
      <c r="AB528" s="28">
        <v>1</v>
      </c>
      <c r="AC528" s="28">
        <v>2</v>
      </c>
      <c r="AD528" s="28">
        <v>2</v>
      </c>
      <c r="AE528" s="28">
        <v>4</v>
      </c>
      <c r="AF528" s="28">
        <v>2</v>
      </c>
      <c r="AG528" s="28">
        <v>2</v>
      </c>
      <c r="AH528" s="29" t="s">
        <v>609</v>
      </c>
      <c r="AI528" s="36">
        <f>if(or(and(K528&lt;32, J528&lt;2), O528=1, P528=1, Q528=1, R528=1, S528=1, T528=1, U528=1, and(W528&lt;&gt;"", W528&lt;&gt;"Oxygen", W528&lt;&gt;"LowFlow")), "Intensive", "Intermediate")</f>
      </c>
      <c r="AJ528" s="37">
        <f>if(or(left(AH528, 1)="X", left(AH528, 1)="Y", left(AH528, 3)="J14M"), "CUSM", "No Match")</f>
      </c>
      <c r="AK528" s="37">
        <f>if(and(or(O528=3, P528=1, Q528=1, T528=1), AJ528="no Match"), "CUSM, CHU SJ, CHUQ", "")</f>
      </c>
      <c r="AL528" s="37">
        <f>IF(AND(O529=2, ISBLANK(P529), ISBLANK(Q529), ISBLANK(R529), ISBLANK(S529), ISBLANK(T529)), "CUSM, CHU SJ, CHUS, CHUQ", "")</f>
      </c>
      <c r="AM528" s="37">
        <f>if(and(AJ528="no match", AK528="", AL528="", K528&lt;26), "CUSM, CHU SJ, HGJ, CHUQ, CHUS", "")</f>
      </c>
      <c r="AN528" s="37">
        <f>if(and(AJ528="no match", AK528="", AL528="", K528&gt;26), "CUSM, CHU SJ, HGJ, CHUQ, CHUS, HMR", "")</f>
      </c>
    </row>
    <row x14ac:dyDescent="0.25" r="529" customHeight="1" ht="17.25">
      <c r="A529" s="27" t="s">
        <v>2412</v>
      </c>
      <c r="B529" s="28">
        <v>2</v>
      </c>
      <c r="C529" s="35">
        <v>825</v>
      </c>
      <c r="D529" s="29" t="s">
        <v>77</v>
      </c>
      <c r="E529" s="30" t="s">
        <v>78</v>
      </c>
      <c r="F529" s="31">
        <v>44473</v>
      </c>
      <c r="G529" s="32">
        <v>4.934027777777778</v>
      </c>
      <c r="H529" s="31">
        <v>44473</v>
      </c>
      <c r="I529" s="32">
        <v>4.802083333333334</v>
      </c>
      <c r="J529" s="33">
        <f>F529-H529</f>
      </c>
      <c r="K529" s="28">
        <v>24</v>
      </c>
      <c r="L529" s="28">
        <v>0</v>
      </c>
      <c r="M529" s="28">
        <v>1</v>
      </c>
      <c r="N529" s="35">
        <v>1</v>
      </c>
      <c r="O529" s="34"/>
      <c r="P529" s="34"/>
      <c r="Q529" s="34"/>
      <c r="R529" s="34"/>
      <c r="S529" s="34"/>
      <c r="T529" s="34"/>
      <c r="U529" s="34"/>
      <c r="V529" s="35">
        <v>1</v>
      </c>
      <c r="W529" s="29" t="s">
        <v>74</v>
      </c>
      <c r="X529" s="28">
        <v>31</v>
      </c>
      <c r="Y529" s="28">
        <v>1</v>
      </c>
      <c r="Z529" s="28">
        <v>2</v>
      </c>
      <c r="AA529" s="28">
        <v>1</v>
      </c>
      <c r="AB529" s="28">
        <v>1</v>
      </c>
      <c r="AC529" s="28">
        <v>2</v>
      </c>
      <c r="AD529" s="28">
        <v>2</v>
      </c>
      <c r="AE529" s="28">
        <v>4</v>
      </c>
      <c r="AF529" s="28">
        <v>3</v>
      </c>
      <c r="AG529" s="28">
        <v>2</v>
      </c>
      <c r="AH529" s="29" t="s">
        <v>2413</v>
      </c>
      <c r="AI529" s="36">
        <f>if(or(and(K529&lt;32, J529&lt;2), O529=1, P529=1, Q529=1, R529=1, S529=1, T529=1, U529=1, and(W529&lt;&gt;"", W529&lt;&gt;"Oxygen", W529&lt;&gt;"LowFlow")), "Intensive", "Intermediate")</f>
      </c>
      <c r="AJ529" s="37">
        <f>if(or(left(AH529, 1)="X", left(AH529, 1)="Y", left(AH529, 3)="J15M"), "CUSM", "No Match")</f>
      </c>
      <c r="AK529" s="37">
        <f>if(and(or(O529=3, P529=1, Q529=1, T529=1), AJ529="no Match"), "CUSM, CHU SJ, CHUQ", "")</f>
      </c>
      <c r="AL529" s="37">
        <f>IF(AND(O530=2, ISBLANK(P530), ISBLANK(Q530), ISBLANK(R530), ISBLANK(S530), ISBLANK(T530)), "CUSM, CHU SJ, CHUS, CHUQ", "")</f>
      </c>
      <c r="AM529" s="37">
        <f>if(and(AJ529="no match", AK529="", AL529="", K529&lt;26), "CUSM, CHU SJ, HGJ, CHUQ, CHUS", "")</f>
      </c>
      <c r="AN529" s="37">
        <f>if(and(AJ529="no match", AK529="", AL529="", K529&gt;26), "CUSM, CHU SJ, HGJ, CHUQ, CHUS, HMR", "")</f>
      </c>
    </row>
    <row x14ac:dyDescent="0.25" r="530" customHeight="1" ht="17.25">
      <c r="A530" s="27" t="s">
        <v>2414</v>
      </c>
      <c r="B530" s="28">
        <v>2</v>
      </c>
      <c r="C530" s="35">
        <v>6</v>
      </c>
      <c r="D530" s="29" t="s">
        <v>131</v>
      </c>
      <c r="E530" s="30" t="s">
        <v>50</v>
      </c>
      <c r="F530" s="31">
        <v>44473</v>
      </c>
      <c r="G530" s="32">
        <v>4.572916666666666</v>
      </c>
      <c r="H530" s="31">
        <v>44465</v>
      </c>
      <c r="I530" s="32">
        <v>4.323611111111111</v>
      </c>
      <c r="J530" s="33">
        <f>F530-H530</f>
      </c>
      <c r="K530" s="28">
        <v>39</v>
      </c>
      <c r="L530" s="28">
        <v>6</v>
      </c>
      <c r="M530" s="28">
        <v>2</v>
      </c>
      <c r="N530" s="34"/>
      <c r="O530" s="34"/>
      <c r="P530" s="34"/>
      <c r="Q530" s="34"/>
      <c r="R530" s="34"/>
      <c r="S530" s="34"/>
      <c r="T530" s="34"/>
      <c r="U530" s="34"/>
      <c r="V530" s="34"/>
      <c r="W530" s="29" t="s">
        <v>74</v>
      </c>
      <c r="X530" s="28">
        <v>37</v>
      </c>
      <c r="Y530" s="28">
        <v>1</v>
      </c>
      <c r="Z530" s="28">
        <v>1</v>
      </c>
      <c r="AA530" s="28">
        <v>3</v>
      </c>
      <c r="AB530" s="28">
        <v>1</v>
      </c>
      <c r="AC530" s="28">
        <v>2</v>
      </c>
      <c r="AD530" s="28">
        <v>2</v>
      </c>
      <c r="AE530" s="28">
        <v>4</v>
      </c>
      <c r="AF530" s="28">
        <v>2</v>
      </c>
      <c r="AG530" s="28">
        <v>2</v>
      </c>
      <c r="AH530" s="29" t="s">
        <v>2415</v>
      </c>
      <c r="AI530" s="36">
        <f>if(or(and(K530&lt;32, J530&lt;2), O530=1, P530=1, Q530=1, R530=1, S530=1, T530=1, U530=1, and(W530&lt;&gt;"", W530&lt;&gt;"Oxygen", W530&lt;&gt;"LowFlow")), "Intensive", "Intermediate")</f>
      </c>
      <c r="AJ530" s="37">
        <f>if(or(left(AH530, 1)="X", left(AH530, 1)="Y", left(AH530, 3)="J16M"), "CUSM", "No Match")</f>
      </c>
      <c r="AK530" s="37">
        <f>if(and(or(O530=3, P530=1, Q530=1, T530=1), AJ530="no Match"), "CUSM, CHU SJ, CHUQ", "")</f>
      </c>
      <c r="AL530" s="37">
        <f>IF(AND(O531=2, ISBLANK(P531), ISBLANK(Q531), ISBLANK(R531), ISBLANK(S531), ISBLANK(T531)), "CUSM, CHU SJ, CHUS, CHUQ", "")</f>
      </c>
      <c r="AM530" s="37">
        <f>if(and(AJ530="no match", AK530="", AL530="", K530&lt;26), "CUSM, CHU SJ, HGJ, CHUQ, CHUS", "")</f>
      </c>
      <c r="AN530" s="37">
        <f>if(and(AJ530="no match", AK530="", AL530="", K530&gt;26), "CUSM, CHU SJ, HGJ, CHUQ, CHUS, HMR", "")</f>
      </c>
    </row>
    <row x14ac:dyDescent="0.25" r="531" customHeight="1" ht="17.25">
      <c r="A531" s="27" t="s">
        <v>2416</v>
      </c>
      <c r="B531" s="28">
        <v>2</v>
      </c>
      <c r="C531" s="35">
        <v>822</v>
      </c>
      <c r="D531" s="29" t="s">
        <v>167</v>
      </c>
      <c r="E531" s="30" t="s">
        <v>54</v>
      </c>
      <c r="F531" s="31">
        <v>44474</v>
      </c>
      <c r="G531" s="32">
        <v>4.541666666666666</v>
      </c>
      <c r="H531" s="31">
        <v>44474</v>
      </c>
      <c r="I531" s="32">
        <v>4.166666666666666</v>
      </c>
      <c r="J531" s="33">
        <f>F531-H531</f>
      </c>
      <c r="K531" s="28">
        <v>37</v>
      </c>
      <c r="L531" s="28">
        <v>6</v>
      </c>
      <c r="M531" s="28">
        <v>1</v>
      </c>
      <c r="N531" s="35">
        <v>1</v>
      </c>
      <c r="O531" s="34"/>
      <c r="P531" s="35">
        <v>1</v>
      </c>
      <c r="Q531" s="34"/>
      <c r="R531" s="34"/>
      <c r="S531" s="34"/>
      <c r="T531" s="34"/>
      <c r="U531" s="34"/>
      <c r="V531" s="34"/>
      <c r="W531" s="29"/>
      <c r="X531" s="28">
        <v>25</v>
      </c>
      <c r="Y531" s="28">
        <v>1</v>
      </c>
      <c r="Z531" s="28">
        <v>2</v>
      </c>
      <c r="AA531" s="28">
        <v>3</v>
      </c>
      <c r="AB531" s="28">
        <v>4</v>
      </c>
      <c r="AC531" s="28">
        <v>2</v>
      </c>
      <c r="AD531" s="28">
        <v>1</v>
      </c>
      <c r="AE531" s="28">
        <v>4</v>
      </c>
      <c r="AF531" s="28">
        <v>2</v>
      </c>
      <c r="AG531" s="28">
        <v>2</v>
      </c>
      <c r="AH531" s="29" t="s">
        <v>154</v>
      </c>
      <c r="AI531" s="36">
        <f>if(or(and(K531&lt;32, J531&lt;2), O531=1, P531=1, Q531=1, R531=1, S531=1, T531=1, U531=1, and(W531&lt;&gt;"", W531&lt;&gt;"Oxygen", W531&lt;&gt;"LowFlow")), "Intensive", "Intermediate")</f>
      </c>
      <c r="AJ531" s="37">
        <f>if(or(left(AH531, 1)="X", left(AH531, 1)="Y", left(AH531, 3)="J17M"), "CUSM", "No Match")</f>
      </c>
      <c r="AK531" s="37">
        <f>if(and(or(O531=3, P531=1, Q531=1, T531=1), AJ531="no Match"), "CUSM, CHU SJ, CHUQ", "")</f>
      </c>
      <c r="AL531" s="37">
        <f>IF(AND(O532=2, ISBLANK(P532), ISBLANK(Q532), ISBLANK(R532), ISBLANK(S532), ISBLANK(T532)), "CUSM, CHU SJ, CHUS, CHUQ", "")</f>
      </c>
      <c r="AM531" s="37">
        <f>if(and(AJ531="no match", AK531="", AL531="", K531&lt;26), "CUSM, CHU SJ, HGJ, CHUQ, CHUS", "")</f>
      </c>
      <c r="AN531" s="37">
        <f>if(and(AJ531="no match", AK531="", AL531="", K531&gt;26), "CUSM, CHU SJ, HGJ, CHUQ, CHUS, HMR", "")</f>
      </c>
    </row>
    <row x14ac:dyDescent="0.25" r="532" customHeight="1" ht="17.25">
      <c r="A532" s="27" t="s">
        <v>2417</v>
      </c>
      <c r="B532" s="28">
        <v>2</v>
      </c>
      <c r="C532" s="35">
        <v>796</v>
      </c>
      <c r="D532" s="29" t="s">
        <v>63</v>
      </c>
      <c r="E532" s="30" t="s">
        <v>50</v>
      </c>
      <c r="F532" s="31">
        <v>44474</v>
      </c>
      <c r="G532" s="32">
        <v>4.104861111111111</v>
      </c>
      <c r="H532" s="31">
        <v>44473</v>
      </c>
      <c r="I532" s="32">
        <v>4.206944444444444</v>
      </c>
      <c r="J532" s="33">
        <f>F532-H532</f>
      </c>
      <c r="K532" s="28">
        <v>36</v>
      </c>
      <c r="L532" s="28">
        <v>1</v>
      </c>
      <c r="M532" s="28">
        <v>1</v>
      </c>
      <c r="N532" s="38"/>
      <c r="O532" s="34"/>
      <c r="P532" s="34"/>
      <c r="Q532" s="34"/>
      <c r="R532" s="34"/>
      <c r="S532" s="34"/>
      <c r="T532" s="34"/>
      <c r="U532" s="34"/>
      <c r="V532" s="34"/>
      <c r="W532" s="29" t="s">
        <v>164</v>
      </c>
      <c r="X532" s="28">
        <v>23</v>
      </c>
      <c r="Y532" s="28">
        <v>1</v>
      </c>
      <c r="Z532" s="28">
        <v>2</v>
      </c>
      <c r="AA532" s="28">
        <v>3</v>
      </c>
      <c r="AB532" s="28">
        <v>1</v>
      </c>
      <c r="AC532" s="28">
        <v>2</v>
      </c>
      <c r="AD532" s="28">
        <v>2</v>
      </c>
      <c r="AE532" s="28">
        <v>4</v>
      </c>
      <c r="AF532" s="28">
        <v>2</v>
      </c>
      <c r="AG532" s="28">
        <v>2</v>
      </c>
      <c r="AH532" s="29" t="s">
        <v>2418</v>
      </c>
      <c r="AI532" s="36">
        <f>if(or(and(K532&lt;32, J532&lt;2), O532=1, P532=1, Q532=1, R532=1, S532=1, T532=1, U532=1, and(W532&lt;&gt;"", W532&lt;&gt;"Oxygen", W532&lt;&gt;"LowFlow")), "Intensive", "Intermediate")</f>
      </c>
      <c r="AJ532" s="37">
        <f>if(or(left(AH532, 1)="X", left(AH532, 1)="Y", left(AH532, 3)="J18M"), "CUSM", "No Match")</f>
      </c>
      <c r="AK532" s="37">
        <f>if(and(or(O532=3, P532=1, Q532=1, T532=1), AJ532="no Match"), "CUSM, CHU SJ, CHUQ", "")</f>
      </c>
      <c r="AL532" s="37">
        <f>IF(AND(O533=2, ISBLANK(P533), ISBLANK(Q533), ISBLANK(R533), ISBLANK(S533), ISBLANK(T533)), "CUSM, CHU SJ, CHUS, CHUQ", "")</f>
      </c>
      <c r="AM532" s="37">
        <f>if(and(AJ532="no match", AK532="", AL532="", K532&lt;26), "CUSM, CHU SJ, HGJ, CHUQ, CHUS", "")</f>
      </c>
      <c r="AN532" s="37">
        <f>if(and(AJ532="no match", AK532="", AL532="", K532&gt;26), "CUSM, CHU SJ, HGJ, CHUQ, CHUS, HMR", "")</f>
      </c>
    </row>
    <row x14ac:dyDescent="0.25" r="533" customHeight="1" ht="17.25">
      <c r="A533" s="27" t="s">
        <v>2419</v>
      </c>
      <c r="B533" s="28">
        <v>2</v>
      </c>
      <c r="C533" s="35">
        <v>822</v>
      </c>
      <c r="D533" s="29" t="s">
        <v>167</v>
      </c>
      <c r="E533" s="30" t="s">
        <v>50</v>
      </c>
      <c r="F533" s="31">
        <v>44474</v>
      </c>
      <c r="G533" s="32">
        <v>4.4125</v>
      </c>
      <c r="H533" s="31">
        <v>44474</v>
      </c>
      <c r="I533" s="32">
        <v>4.290277777777778</v>
      </c>
      <c r="J533" s="33">
        <f>F533-H533</f>
      </c>
      <c r="K533" s="28">
        <v>37</v>
      </c>
      <c r="L533" s="28">
        <v>1</v>
      </c>
      <c r="M533" s="28">
        <v>1</v>
      </c>
      <c r="N533" s="34"/>
      <c r="O533" s="34"/>
      <c r="P533" s="34"/>
      <c r="Q533" s="34"/>
      <c r="R533" s="34"/>
      <c r="S533" s="34"/>
      <c r="T533" s="35">
        <v>1</v>
      </c>
      <c r="U533" s="34"/>
      <c r="V533" s="34"/>
      <c r="W533" s="29"/>
      <c r="X533" s="28">
        <v>47</v>
      </c>
      <c r="Y533" s="28">
        <v>1</v>
      </c>
      <c r="Z533" s="28">
        <v>2</v>
      </c>
      <c r="AA533" s="28">
        <v>3</v>
      </c>
      <c r="AB533" s="28">
        <v>1</v>
      </c>
      <c r="AC533" s="28">
        <v>2</v>
      </c>
      <c r="AD533" s="28">
        <v>2</v>
      </c>
      <c r="AE533" s="28">
        <v>4</v>
      </c>
      <c r="AF533" s="28">
        <v>2</v>
      </c>
      <c r="AG533" s="28">
        <v>2</v>
      </c>
      <c r="AH533" s="29" t="s">
        <v>2420</v>
      </c>
      <c r="AI533" s="36">
        <f>if(or(and(K533&lt;32, J533&lt;2), O533=1, P533=1, Q533=1, R533=1, S533=1, T533=1, U533=1, and(W533&lt;&gt;"", W533&lt;&gt;"Oxygen", W533&lt;&gt;"LowFlow")), "Intensive", "Intermediate")</f>
      </c>
      <c r="AJ533" s="37">
        <f>if(or(left(AH533, 1)="X", left(AH533, 1)="Y", left(AH533, 3)="J19M"), "CUSM", "No Match")</f>
      </c>
      <c r="AK533" s="37">
        <f>if(and(or(O533=3, P533=1, Q533=1, T533=1), AJ533="no Match"), "CUSM, CHU SJ, CHUQ", "")</f>
      </c>
      <c r="AL533" s="37">
        <f>IF(AND(O534=2, ISBLANK(P534), ISBLANK(Q534), ISBLANK(R534), ISBLANK(S534), ISBLANK(T534)), "CUSM, CHU SJ, CHUS, CHUQ", "")</f>
      </c>
      <c r="AM533" s="37">
        <f>if(and(AJ533="no match", AK533="", AL533="", K533&lt;26), "CUSM, CHU SJ, HGJ, CHUQ, CHUS", "")</f>
      </c>
      <c r="AN533" s="37">
        <f>if(and(AJ533="no match", AK533="", AL533="", K533&gt;26), "CUSM, CHU SJ, HGJ, CHUQ, CHUS, HMR", "")</f>
      </c>
    </row>
    <row x14ac:dyDescent="0.25" r="534" customHeight="1" ht="17.25">
      <c r="A534" s="27" t="s">
        <v>2421</v>
      </c>
      <c r="B534" s="28">
        <v>2</v>
      </c>
      <c r="C534" s="35">
        <v>824</v>
      </c>
      <c r="D534" s="29" t="s">
        <v>57</v>
      </c>
      <c r="E534" s="30" t="s">
        <v>50</v>
      </c>
      <c r="F534" s="31">
        <v>44474</v>
      </c>
      <c r="G534" s="32">
        <v>4.729166666666666</v>
      </c>
      <c r="H534" s="31">
        <v>44472</v>
      </c>
      <c r="I534" s="32">
        <v>4.15</v>
      </c>
      <c r="J534" s="33">
        <f>F534-H534</f>
      </c>
      <c r="K534" s="28">
        <v>40</v>
      </c>
      <c r="L534" s="28">
        <v>2</v>
      </c>
      <c r="M534" s="28">
        <v>2</v>
      </c>
      <c r="N534" s="35">
        <v>1</v>
      </c>
      <c r="O534" s="34"/>
      <c r="P534" s="34"/>
      <c r="Q534" s="34"/>
      <c r="R534" s="34"/>
      <c r="S534" s="34"/>
      <c r="T534" s="34"/>
      <c r="U534" s="34"/>
      <c r="V534" s="34"/>
      <c r="W534" s="29"/>
      <c r="X534" s="28">
        <v>26</v>
      </c>
      <c r="Y534" s="28">
        <v>1</v>
      </c>
      <c r="Z534" s="28">
        <v>1</v>
      </c>
      <c r="AA534" s="28">
        <v>2</v>
      </c>
      <c r="AB534" s="28">
        <v>1</v>
      </c>
      <c r="AC534" s="28">
        <v>2</v>
      </c>
      <c r="AD534" s="28">
        <v>2</v>
      </c>
      <c r="AE534" s="28">
        <v>4</v>
      </c>
      <c r="AF534" s="28">
        <v>2</v>
      </c>
      <c r="AG534" s="28">
        <v>2</v>
      </c>
      <c r="AH534" s="29" t="s">
        <v>2422</v>
      </c>
      <c r="AI534" s="36">
        <f>if(or(and(K534&lt;32, J534&lt;2), O534=1, P534=1, Q534=1, R534=1, S534=1, T534=1, U534=1, and(W534&lt;&gt;"", W534&lt;&gt;"Oxygen", W534&lt;&gt;"LowFlow")), "Intensive", "Intermediate")</f>
      </c>
      <c r="AJ534" s="37">
        <f>if(or(left(AH534, 1)="X", left(AH534, 1)="Y", left(AH534, 3)="J20M"), "CUSM", "No Match")</f>
      </c>
      <c r="AK534" s="37">
        <f>if(and(or(O534=3, P534=1, Q534=1, T534=1), AJ534="no Match"), "CUSM, CHU SJ, CHUQ", "")</f>
      </c>
      <c r="AL534" s="37">
        <f>IF(AND(O535=2, ISBLANK(P535), ISBLANK(Q535), ISBLANK(R535), ISBLANK(S535), ISBLANK(T535)), "CUSM, CHU SJ, CHUS, CHUQ", "")</f>
      </c>
      <c r="AM534" s="37">
        <f>if(and(AJ534="no match", AK534="", AL534="", K534&lt;26), "CUSM, CHU SJ, HGJ, CHUQ, CHUS", "")</f>
      </c>
      <c r="AN534" s="37">
        <f>if(and(AJ534="no match", AK534="", AL534="", K534&gt;26), "CUSM, CHU SJ, HGJ, CHUQ, CHUS, HMR", "")</f>
      </c>
    </row>
    <row x14ac:dyDescent="0.25" r="535" customHeight="1" ht="17.25">
      <c r="A535" s="27" t="s">
        <v>2423</v>
      </c>
      <c r="B535" s="28">
        <v>2</v>
      </c>
      <c r="C535" s="35">
        <v>825</v>
      </c>
      <c r="D535" s="29" t="s">
        <v>77</v>
      </c>
      <c r="E535" s="30" t="s">
        <v>50</v>
      </c>
      <c r="F535" s="31">
        <v>44474</v>
      </c>
      <c r="G535" s="32">
        <v>4.809027777777778</v>
      </c>
      <c r="H535" s="31">
        <v>44473</v>
      </c>
      <c r="I535" s="32">
        <v>4.659722222222222</v>
      </c>
      <c r="J535" s="33">
        <f>F535-H535</f>
      </c>
      <c r="K535" s="28">
        <v>40</v>
      </c>
      <c r="L535" s="28">
        <v>1</v>
      </c>
      <c r="M535" s="28">
        <v>1</v>
      </c>
      <c r="N535" s="28">
        <v>1</v>
      </c>
      <c r="O535" s="35">
        <v>2</v>
      </c>
      <c r="P535" s="28">
        <v>1</v>
      </c>
      <c r="Q535" s="34"/>
      <c r="R535" s="34"/>
      <c r="S535" s="34"/>
      <c r="T535" s="34"/>
      <c r="U535" s="34"/>
      <c r="V535" s="34"/>
      <c r="W535" s="29" t="s">
        <v>58</v>
      </c>
      <c r="X535" s="28">
        <v>36</v>
      </c>
      <c r="Y535" s="28">
        <v>1</v>
      </c>
      <c r="Z535" s="28">
        <v>1</v>
      </c>
      <c r="AA535" s="28">
        <v>2</v>
      </c>
      <c r="AB535" s="28">
        <v>1</v>
      </c>
      <c r="AC535" s="28">
        <v>2</v>
      </c>
      <c r="AD535" s="28">
        <v>2</v>
      </c>
      <c r="AE535" s="28">
        <v>4</v>
      </c>
      <c r="AF535" s="28">
        <v>2</v>
      </c>
      <c r="AG535" s="28">
        <v>2</v>
      </c>
      <c r="AH535" s="29" t="s">
        <v>2424</v>
      </c>
      <c r="AI535" s="36">
        <f>if(or(and(K535&lt;32, J535&lt;2), O535=1, P535=1, Q535=1, R535=1, S535=1, T535=1, U535=1, and(W535&lt;&gt;"", W535&lt;&gt;"Oxygen", W535&lt;&gt;"LowFlow")), "Intensive", "Intermediate")</f>
      </c>
      <c r="AJ535" s="37">
        <f>if(or(left(AH535, 1)="X", left(AH535, 1)="Y", left(AH535, 3)="J21M"), "CUSM", "No Match")</f>
      </c>
      <c r="AK535" s="37">
        <f>if(and(or(O535=3, P535=1, Q535=1, T535=1), AJ535="no Match"), "CUSM, CHU SJ, CHUQ", "")</f>
      </c>
      <c r="AL535" s="37">
        <f>IF(AND(O536=2, ISBLANK(P536), ISBLANK(Q536), ISBLANK(R536), ISBLANK(S536), ISBLANK(T536)), "CUSM, CHU SJ, CHUS, CHUQ", "")</f>
      </c>
      <c r="AM535" s="37">
        <f>if(and(AJ535="no match", AK535="", AL535="", K535&lt;26), "CUSM, CHU SJ, HGJ, CHUQ, CHUS", "")</f>
      </c>
      <c r="AN535" s="37">
        <f>if(and(AJ535="no match", AK535="", AL535="", K535&gt;26), "CUSM, CHU SJ, HGJ, CHUQ, CHUS, HMR", "")</f>
      </c>
    </row>
    <row x14ac:dyDescent="0.25" r="536" customHeight="1" ht="17.25">
      <c r="A536" s="27" t="s">
        <v>2425</v>
      </c>
      <c r="B536" s="28">
        <v>2</v>
      </c>
      <c r="C536" s="28">
        <v>832</v>
      </c>
      <c r="D536" s="29" t="s">
        <v>308</v>
      </c>
      <c r="E536" s="30" t="s">
        <v>54</v>
      </c>
      <c r="F536" s="31">
        <v>44475</v>
      </c>
      <c r="G536" s="32">
        <v>4.086805555555555</v>
      </c>
      <c r="H536" s="31">
        <v>44474</v>
      </c>
      <c r="I536" s="32">
        <v>4.813888888888889</v>
      </c>
      <c r="J536" s="33">
        <f>F536-H536</f>
      </c>
      <c r="K536" s="28">
        <v>40</v>
      </c>
      <c r="L536" s="28">
        <v>4</v>
      </c>
      <c r="M536" s="28">
        <v>1</v>
      </c>
      <c r="N536" s="34"/>
      <c r="O536" s="34"/>
      <c r="P536" s="34"/>
      <c r="Q536" s="34"/>
      <c r="R536" s="34"/>
      <c r="S536" s="34"/>
      <c r="T536" s="34"/>
      <c r="U536" s="34"/>
      <c r="V536" s="34"/>
      <c r="W536" s="29"/>
      <c r="X536" s="28">
        <v>33</v>
      </c>
      <c r="Y536" s="28">
        <v>1</v>
      </c>
      <c r="Z536" s="28">
        <v>1</v>
      </c>
      <c r="AA536" s="28">
        <v>2</v>
      </c>
      <c r="AB536" s="28">
        <v>1</v>
      </c>
      <c r="AC536" s="28">
        <v>2</v>
      </c>
      <c r="AD536" s="28">
        <v>2</v>
      </c>
      <c r="AE536" s="28">
        <v>4</v>
      </c>
      <c r="AF536" s="28">
        <v>2</v>
      </c>
      <c r="AG536" s="28">
        <v>2</v>
      </c>
      <c r="AH536" s="29" t="s">
        <v>2426</v>
      </c>
      <c r="AI536" s="36">
        <f>if(or(and(K536&lt;32, J536&lt;2), O536=1, P536=1, Q536=1, R536=1, S536=1, T536=1, U536=1, and(W536&lt;&gt;"", W536&lt;&gt;"Oxygen", W536&lt;&gt;"LowFlow")), "Intensive", "Intermediate")</f>
      </c>
      <c r="AJ536" s="37">
        <f>if(or(left(AH536, 1)="X", left(AH536, 1)="Y", left(AH536, 3)="J22M"), "CUSM", "No Match")</f>
      </c>
      <c r="AK536" s="37">
        <f>if(and(or(O536=3, P536=1, Q536=1, T536=1), AJ536="no Match"), "CUSM, CHU SJ, CHUQ", "")</f>
      </c>
      <c r="AL536" s="37">
        <f>IF(AND(O537=2, ISBLANK(P537), ISBLANK(Q537), ISBLANK(R537), ISBLANK(S537), ISBLANK(T537)), "CUSM, CHU SJ, CHUS, CHUQ", "")</f>
      </c>
      <c r="AM536" s="37">
        <f>if(and(AJ536="no match", AK536="", AL536="", K536&lt;26), "CUSM, CHU SJ, HGJ, CHUQ, CHUS", "")</f>
      </c>
      <c r="AN536" s="37">
        <f>if(and(AJ536="no match", AK536="", AL536="", K536&gt;26), "CUSM, CHU SJ, HGJ, CHUQ, CHUS, HMR", "")</f>
      </c>
    </row>
    <row x14ac:dyDescent="0.25" r="537" customHeight="1" ht="17.25">
      <c r="A537" s="27" t="s">
        <v>2427</v>
      </c>
      <c r="B537" s="28">
        <v>2</v>
      </c>
      <c r="C537" s="35">
        <v>734</v>
      </c>
      <c r="D537" s="29" t="s">
        <v>264</v>
      </c>
      <c r="E537" s="30" t="s">
        <v>50</v>
      </c>
      <c r="F537" s="31">
        <v>44475</v>
      </c>
      <c r="G537" s="32">
        <v>4.576388888888889</v>
      </c>
      <c r="H537" s="31">
        <v>44473</v>
      </c>
      <c r="I537" s="32">
        <v>4.395138888888889</v>
      </c>
      <c r="J537" s="33">
        <f>F537-H537</f>
      </c>
      <c r="K537" s="28">
        <v>36</v>
      </c>
      <c r="L537" s="28">
        <v>2</v>
      </c>
      <c r="M537" s="28">
        <v>2</v>
      </c>
      <c r="N537" s="34"/>
      <c r="O537" s="35">
        <v>2</v>
      </c>
      <c r="P537" s="34"/>
      <c r="Q537" s="34"/>
      <c r="R537" s="34"/>
      <c r="S537" s="34"/>
      <c r="T537" s="34"/>
      <c r="U537" s="34"/>
      <c r="V537" s="38"/>
      <c r="W537" s="29"/>
      <c r="X537" s="28">
        <v>34</v>
      </c>
      <c r="Y537" s="28">
        <v>2</v>
      </c>
      <c r="Z537" s="28">
        <v>2</v>
      </c>
      <c r="AA537" s="28">
        <v>1</v>
      </c>
      <c r="AB537" s="28">
        <v>1</v>
      </c>
      <c r="AC537" s="28">
        <v>2</v>
      </c>
      <c r="AD537" s="28">
        <v>2</v>
      </c>
      <c r="AE537" s="28">
        <v>4</v>
      </c>
      <c r="AF537" s="35">
        <v>2</v>
      </c>
      <c r="AG537" s="28">
        <v>2</v>
      </c>
      <c r="AH537" s="29" t="s">
        <v>2428</v>
      </c>
      <c r="AI537" s="36">
        <f>if(or(and(K537&lt;32, J537&lt;2), O537=1, P537=1, Q537=1, R537=1, S537=1, T537=1, U537=1, and(W537&lt;&gt;"", W537&lt;&gt;"Oxygen", W537&lt;&gt;"LowFlow")), "Intensive", "Intermediate")</f>
      </c>
      <c r="AJ537" s="37">
        <f>if(or(left(AH537, 1)="X", left(AH537, 1)="Y", left(AH537, 3)="J23M"), "CUSM", "No Match")</f>
      </c>
      <c r="AK537" s="37">
        <f>if(and(or(O537=3, P537=1, Q537=1, T537=1), AJ537="no Match"), "CUSM, CHU SJ, CHUQ", "")</f>
      </c>
      <c r="AL537" s="37">
        <f>IF(AND(O538=2, ISBLANK(P538), ISBLANK(Q538), ISBLANK(R538), ISBLANK(S538), ISBLANK(T538)), "CUSM, CHU SJ, CHUS, CHUQ", "")</f>
      </c>
      <c r="AM537" s="37">
        <f>if(and(AJ537="no match", AK537="", AL537="", K537&lt;26), "CUSM, CHU SJ, HGJ, CHUQ, CHUS", "")</f>
      </c>
      <c r="AN537" s="37">
        <f>if(and(AJ537="no match", AK537="", AL537="", K537&gt;26), "CUSM, CHU SJ, HGJ, CHUQ, CHUS, HMR", "")</f>
      </c>
    </row>
    <row x14ac:dyDescent="0.25" r="538" customHeight="1" ht="17.25">
      <c r="A538" s="27" t="s">
        <v>2429</v>
      </c>
      <c r="B538" s="28">
        <v>2</v>
      </c>
      <c r="C538" s="35">
        <v>1019</v>
      </c>
      <c r="D538" s="29" t="s">
        <v>354</v>
      </c>
      <c r="E538" s="30" t="s">
        <v>50</v>
      </c>
      <c r="F538" s="31">
        <v>44475</v>
      </c>
      <c r="G538" s="32">
        <v>4.875</v>
      </c>
      <c r="H538" s="31">
        <v>44475</v>
      </c>
      <c r="I538" s="32">
        <v>4.720833333333333</v>
      </c>
      <c r="J538" s="33">
        <f>F538-H538</f>
      </c>
      <c r="K538" s="28">
        <v>36</v>
      </c>
      <c r="L538" s="28">
        <v>2</v>
      </c>
      <c r="M538" s="28">
        <v>1</v>
      </c>
      <c r="N538" s="34"/>
      <c r="O538" s="38"/>
      <c r="P538" s="34"/>
      <c r="Q538" s="34"/>
      <c r="R538" s="38"/>
      <c r="S538" s="34"/>
      <c r="T538" s="35">
        <v>1</v>
      </c>
      <c r="U538" s="38"/>
      <c r="V538" s="38"/>
      <c r="W538" s="29" t="s">
        <v>74</v>
      </c>
      <c r="X538" s="28">
        <v>21</v>
      </c>
      <c r="Y538" s="28">
        <v>1</v>
      </c>
      <c r="Z538" s="28">
        <v>2</v>
      </c>
      <c r="AA538" s="28">
        <v>2</v>
      </c>
      <c r="AB538" s="28">
        <v>2</v>
      </c>
      <c r="AC538" s="28">
        <v>1</v>
      </c>
      <c r="AD538" s="28">
        <v>2</v>
      </c>
      <c r="AE538" s="28">
        <v>2</v>
      </c>
      <c r="AF538" s="28">
        <v>2</v>
      </c>
      <c r="AG538" s="28">
        <v>2</v>
      </c>
      <c r="AH538" s="29" t="s">
        <v>2430</v>
      </c>
      <c r="AI538" s="36">
        <f>if(or(and(K538&lt;32, J538&lt;2), O538=1, P538=1, Q538=1, R538=1, S538=1, T538=1, U538=1, and(W538&lt;&gt;"", W538&lt;&gt;"Oxygen", W538&lt;&gt;"LowFlow")), "Intensive", "Intermediate")</f>
      </c>
      <c r="AJ538" s="37">
        <f>if(or(left(AH538, 1)="X", left(AH538, 1)="Y", left(AH538, 3)="J24M"), "CUSM", "No Match")</f>
      </c>
      <c r="AK538" s="37">
        <f>if(and(or(O538=3, P538=1, Q538=1, T538=1), AJ538="no Match"), "CUSM, CHU SJ, CHUQ", "")</f>
      </c>
      <c r="AL538" s="37">
        <f>IF(AND(O539=2, ISBLANK(P539), ISBLANK(Q539), ISBLANK(R539), ISBLANK(S539), ISBLANK(T539)), "CUSM, CHU SJ, CHUS, CHUQ", "")</f>
      </c>
      <c r="AM538" s="37">
        <f>if(and(AJ538="no match", AK538="", AL538="", K538&lt;26), "CUSM, CHU SJ, HGJ, CHUQ, CHUS", "")</f>
      </c>
      <c r="AN538" s="37">
        <f>if(and(AJ538="no match", AK538="", AL538="", K538&gt;26), "CUSM, CHU SJ, HGJ, CHUQ, CHUS, HMR", "")</f>
      </c>
    </row>
    <row x14ac:dyDescent="0.25" r="539" customHeight="1" ht="17.25">
      <c r="A539" s="27" t="s">
        <v>2431</v>
      </c>
      <c r="B539" s="28">
        <v>2</v>
      </c>
      <c r="C539" s="35">
        <v>532</v>
      </c>
      <c r="D539" s="29" t="s">
        <v>195</v>
      </c>
      <c r="E539" s="30" t="s">
        <v>50</v>
      </c>
      <c r="F539" s="31">
        <v>44475</v>
      </c>
      <c r="G539" s="32">
        <v>4.486111111111111</v>
      </c>
      <c r="H539" s="31">
        <v>44467</v>
      </c>
      <c r="I539" s="32">
        <v>4.36875</v>
      </c>
      <c r="J539" s="33">
        <f>F539-H539</f>
      </c>
      <c r="K539" s="28">
        <v>39</v>
      </c>
      <c r="L539" s="28">
        <v>2</v>
      </c>
      <c r="M539" s="28">
        <v>1</v>
      </c>
      <c r="N539" s="35">
        <v>1</v>
      </c>
      <c r="O539" s="35">
        <v>2</v>
      </c>
      <c r="P539" s="35">
        <v>1</v>
      </c>
      <c r="Q539" s="34"/>
      <c r="R539" s="34"/>
      <c r="S539" s="34"/>
      <c r="T539" s="34"/>
      <c r="U539" s="34"/>
      <c r="V539" s="34"/>
      <c r="W539" s="29" t="s">
        <v>58</v>
      </c>
      <c r="X539" s="28">
        <v>39</v>
      </c>
      <c r="Y539" s="28">
        <v>1</v>
      </c>
      <c r="Z539" s="28">
        <v>2</v>
      </c>
      <c r="AA539" s="28">
        <v>1</v>
      </c>
      <c r="AB539" s="28">
        <v>1</v>
      </c>
      <c r="AC539" s="28">
        <v>2</v>
      </c>
      <c r="AD539" s="28">
        <v>2</v>
      </c>
      <c r="AE539" s="28">
        <v>4</v>
      </c>
      <c r="AF539" s="28">
        <v>2</v>
      </c>
      <c r="AG539" s="28">
        <v>2</v>
      </c>
      <c r="AH539" s="29" t="s">
        <v>2432</v>
      </c>
      <c r="AI539" s="36">
        <f>if(or(and(K539&lt;32, J539&lt;2), O539=1, P539=1, Q539=1, R539=1, S539=1, T539=1, U539=1, and(W539&lt;&gt;"", W539&lt;&gt;"Oxygen", W539&lt;&gt;"LowFlow")), "Intensive", "Intermediate")</f>
      </c>
      <c r="AJ539" s="37">
        <f>if(or(left(AH539, 1)="X", left(AH539, 1)="Y", left(AH539, 3)="J25M"), "CUSM", "No Match")</f>
      </c>
      <c r="AK539" s="37">
        <f>if(and(or(O539=3, P539=1, Q539=1, T539=1), AJ539="no Match"), "CUSM, CHU SJ, CHUQ", "")</f>
      </c>
      <c r="AL539" s="37">
        <f>IF(AND(O540=2, ISBLANK(P540), ISBLANK(Q540), ISBLANK(R540), ISBLANK(S540), ISBLANK(T540)), "CUSM, CHU SJ, CHUS, CHUQ", "")</f>
      </c>
      <c r="AM539" s="37">
        <f>if(and(AJ539="no match", AK539="", AL539="", K539&lt;26), "CUSM, CHU SJ, HGJ, CHUQ, CHUS", "")</f>
      </c>
      <c r="AN539" s="37">
        <f>if(and(AJ539="no match", AK539="", AL539="", K539&gt;26), "CUSM, CHU SJ, HGJ, CHUQ, CHUS, HMR", "")</f>
      </c>
    </row>
    <row x14ac:dyDescent="0.25" r="540" customHeight="1" ht="17.25">
      <c r="A540" s="27" t="s">
        <v>2433</v>
      </c>
      <c r="B540" s="28">
        <v>2</v>
      </c>
      <c r="C540" s="35">
        <v>1019</v>
      </c>
      <c r="D540" s="29" t="s">
        <v>354</v>
      </c>
      <c r="E540" s="30" t="s">
        <v>50</v>
      </c>
      <c r="F540" s="31">
        <v>44476</v>
      </c>
      <c r="G540" s="32">
        <v>4.552083333333334</v>
      </c>
      <c r="H540" s="31">
        <v>44476</v>
      </c>
      <c r="I540" s="32">
        <v>4.402777777777778</v>
      </c>
      <c r="J540" s="33">
        <f>F540-H540</f>
      </c>
      <c r="K540" s="28">
        <v>35</v>
      </c>
      <c r="L540" s="28">
        <v>6</v>
      </c>
      <c r="M540" s="28">
        <v>1</v>
      </c>
      <c r="N540" s="34"/>
      <c r="O540" s="34"/>
      <c r="P540" s="34"/>
      <c r="Q540" s="34"/>
      <c r="R540" s="34"/>
      <c r="S540" s="34"/>
      <c r="T540" s="35">
        <v>1</v>
      </c>
      <c r="U540" s="34"/>
      <c r="V540" s="34"/>
      <c r="W540" s="29" t="s">
        <v>74</v>
      </c>
      <c r="X540" s="28">
        <v>39</v>
      </c>
      <c r="Y540" s="28">
        <v>1</v>
      </c>
      <c r="Z540" s="28">
        <v>2</v>
      </c>
      <c r="AA540" s="28">
        <v>2</v>
      </c>
      <c r="AB540" s="28">
        <v>4</v>
      </c>
      <c r="AC540" s="28">
        <v>2</v>
      </c>
      <c r="AD540" s="28">
        <v>2</v>
      </c>
      <c r="AE540" s="28">
        <v>4</v>
      </c>
      <c r="AF540" s="28">
        <v>2</v>
      </c>
      <c r="AG540" s="28">
        <v>2</v>
      </c>
      <c r="AH540" s="29" t="s">
        <v>2434</v>
      </c>
      <c r="AI540" s="36">
        <f>if(or(and(K540&lt;32, J540&lt;2), O540=1, P540=1, Q540=1, R540=1, S540=1, T540=1, U540=1, and(W540&lt;&gt;"", W540&lt;&gt;"Oxygen", W540&lt;&gt;"LowFlow")), "Intensive", "Intermediate")</f>
      </c>
      <c r="AJ540" s="37">
        <f>if(or(left(AH540, 1)="X", left(AH540, 1)="Y", left(AH540, 3)="J26M"), "CUSM", "No Match")</f>
      </c>
      <c r="AK540" s="37">
        <f>if(and(or(O540=3, P540=1, Q540=1, T540=1), AJ540="no Match"), "CUSM, CHU SJ, CHUQ", "")</f>
      </c>
      <c r="AL540" s="37">
        <f>IF(AND(O541=2, ISBLANK(P541), ISBLANK(Q541), ISBLANK(R541), ISBLANK(S541), ISBLANK(T541)), "CUSM, CHU SJ, CHUS, CHUQ", "")</f>
      </c>
      <c r="AM540" s="37">
        <f>if(and(AJ540="no match", AK540="", AL540="", K540&lt;26), "CUSM, CHU SJ, HGJ, CHUQ, CHUS", "")</f>
      </c>
      <c r="AN540" s="37">
        <f>if(and(AJ540="no match", AK540="", AL540="", K540&gt;26), "CUSM, CHU SJ, HGJ, CHUQ, CHUS, HMR", "")</f>
      </c>
    </row>
    <row x14ac:dyDescent="0.25" r="541" customHeight="1" ht="17.25">
      <c r="A541" s="27" t="s">
        <v>2435</v>
      </c>
      <c r="B541" s="28">
        <v>2</v>
      </c>
      <c r="C541" s="28">
        <v>809</v>
      </c>
      <c r="D541" s="29" t="s">
        <v>117</v>
      </c>
      <c r="E541" s="30" t="s">
        <v>54</v>
      </c>
      <c r="F541" s="31">
        <v>44478</v>
      </c>
      <c r="G541" s="32">
        <v>4.9375</v>
      </c>
      <c r="H541" s="31">
        <v>44474</v>
      </c>
      <c r="I541" s="32">
        <v>4.482638888888889</v>
      </c>
      <c r="J541" s="33">
        <f>F541-H541</f>
      </c>
      <c r="K541" s="28">
        <v>37</v>
      </c>
      <c r="L541" s="28">
        <v>1</v>
      </c>
      <c r="M541" s="28">
        <v>2</v>
      </c>
      <c r="N541" s="34"/>
      <c r="O541" s="34"/>
      <c r="P541" s="34"/>
      <c r="Q541" s="34"/>
      <c r="R541" s="34"/>
      <c r="S541" s="34"/>
      <c r="T541" s="34"/>
      <c r="U541" s="34"/>
      <c r="V541" s="34"/>
      <c r="W541" s="29"/>
      <c r="X541" s="28">
        <v>22</v>
      </c>
      <c r="Y541" s="28">
        <v>1</v>
      </c>
      <c r="Z541" s="28">
        <v>1</v>
      </c>
      <c r="AA541" s="28">
        <v>2</v>
      </c>
      <c r="AB541" s="28">
        <v>1</v>
      </c>
      <c r="AC541" s="28">
        <v>3</v>
      </c>
      <c r="AD541" s="28">
        <v>3</v>
      </c>
      <c r="AE541" s="28">
        <v>4</v>
      </c>
      <c r="AF541" s="28">
        <v>2</v>
      </c>
      <c r="AG541" s="28">
        <v>2</v>
      </c>
      <c r="AH541" s="29" t="s">
        <v>2436</v>
      </c>
      <c r="AI541" s="36">
        <f>if(or(and(K541&lt;32, J541&lt;2), O541=1, P541=1, Q541=1, R541=1, S541=1, T541=1, U541=1, and(W541&lt;&gt;"", W541&lt;&gt;"Oxygen", W541&lt;&gt;"LowFlow")), "Intensive", "Intermediate")</f>
      </c>
      <c r="AJ541" s="37">
        <f>if(or(left(AH541, 1)="X", left(AH541, 1)="Y", left(AH541, 3)="J27M"), "CUSM", "No Match")</f>
      </c>
      <c r="AK541" s="37">
        <f>if(and(or(O541=3, P541=1, Q541=1, T541=1), AJ541="no Match"), "CUSM, CHU SJ, CHUQ", "")</f>
      </c>
      <c r="AL541" s="37">
        <f>IF(AND(O542=2, ISBLANK(P542), ISBLANK(Q542), ISBLANK(R542), ISBLANK(S542), ISBLANK(T542)), "CUSM, CHU SJ, CHUS, CHUQ", "")</f>
      </c>
      <c r="AM541" s="37">
        <f>if(and(AJ541="no match", AK541="", AL541="", K541&lt;26), "CUSM, CHU SJ, HGJ, CHUQ, CHUS", "")</f>
      </c>
      <c r="AN541" s="37">
        <f>if(and(AJ541="no match", AK541="", AL541="", K541&gt;26), "CUSM, CHU SJ, HGJ, CHUQ, CHUS, HMR", "")</f>
      </c>
    </row>
    <row x14ac:dyDescent="0.25" r="542" customHeight="1" ht="17.25">
      <c r="A542" s="27" t="s">
        <v>2437</v>
      </c>
      <c r="B542" s="28">
        <v>2</v>
      </c>
      <c r="C542" s="28">
        <v>824</v>
      </c>
      <c r="D542" s="29" t="s">
        <v>57</v>
      </c>
      <c r="E542" s="30" t="s">
        <v>50</v>
      </c>
      <c r="F542" s="31">
        <v>44478</v>
      </c>
      <c r="G542" s="32">
        <v>4.604166666666666</v>
      </c>
      <c r="H542" s="31">
        <v>44476</v>
      </c>
      <c r="I542" s="32">
        <v>4.995138888888889</v>
      </c>
      <c r="J542" s="33">
        <f>F542-H542</f>
      </c>
      <c r="K542" s="28">
        <v>41</v>
      </c>
      <c r="L542" s="28">
        <v>5</v>
      </c>
      <c r="M542" s="28">
        <v>1</v>
      </c>
      <c r="N542" s="34"/>
      <c r="O542" s="34"/>
      <c r="P542" s="34"/>
      <c r="Q542" s="34"/>
      <c r="R542" s="34"/>
      <c r="S542" s="34"/>
      <c r="T542" s="34"/>
      <c r="U542" s="34"/>
      <c r="V542" s="34"/>
      <c r="W542" s="29" t="s">
        <v>106</v>
      </c>
      <c r="X542" s="28">
        <v>31</v>
      </c>
      <c r="Y542" s="28">
        <v>1</v>
      </c>
      <c r="Z542" s="28">
        <v>1</v>
      </c>
      <c r="AA542" s="28">
        <v>2</v>
      </c>
      <c r="AB542" s="28">
        <v>1</v>
      </c>
      <c r="AC542" s="28">
        <v>2</v>
      </c>
      <c r="AD542" s="28">
        <v>2</v>
      </c>
      <c r="AE542" s="28">
        <v>4</v>
      </c>
      <c r="AF542" s="28">
        <v>2</v>
      </c>
      <c r="AG542" s="28">
        <v>2</v>
      </c>
      <c r="AH542" s="29" t="s">
        <v>2438</v>
      </c>
      <c r="AI542" s="36">
        <f>if(or(and(K542&lt;32, J542&lt;2), O542=1, P542=1, Q542=1, R542=1, S542=1, T542=1, U542=1, and(W542&lt;&gt;"", W542&lt;&gt;"Oxygen", W542&lt;&gt;"LowFlow")), "Intensive", "Intermediate")</f>
      </c>
      <c r="AJ542" s="37">
        <f>if(or(left(AH542, 1)="X", left(AH542, 1)="Y", left(AH542, 3)="J28M"), "CUSM", "No Match")</f>
      </c>
      <c r="AK542" s="37">
        <f>if(and(or(O542=3, P542=1, Q542=1, T542=1), AJ542="no Match"), "CUSM, CHU SJ, CHUQ", "")</f>
      </c>
      <c r="AL542" s="37">
        <f>IF(AND(O543=2, ISBLANK(P543), ISBLANK(Q543), ISBLANK(R543), ISBLANK(S543), ISBLANK(T543)), "CUSM, CHU SJ, CHUS, CHUQ", "")</f>
      </c>
      <c r="AM542" s="37">
        <f>if(and(AJ542="no match", AK542="", AL542="", K542&lt;26), "CUSM, CHU SJ, HGJ, CHUQ, CHUS", "")</f>
      </c>
      <c r="AN542" s="37">
        <f>if(and(AJ542="no match", AK542="", AL542="", K542&gt;26), "CUSM, CHU SJ, HGJ, CHUQ, CHUS, HMR", "")</f>
      </c>
    </row>
    <row x14ac:dyDescent="0.25" r="543" customHeight="1" ht="17.25">
      <c r="A543" s="27" t="s">
        <v>2439</v>
      </c>
      <c r="B543" s="28">
        <v>2</v>
      </c>
      <c r="C543" s="28">
        <v>779</v>
      </c>
      <c r="D543" s="29" t="s">
        <v>136</v>
      </c>
      <c r="E543" s="30" t="s">
        <v>50</v>
      </c>
      <c r="F543" s="31">
        <v>44479</v>
      </c>
      <c r="G543" s="32">
        <v>4.46875</v>
      </c>
      <c r="H543" s="31">
        <v>44462</v>
      </c>
      <c r="I543" s="32">
        <v>4.153472222222222</v>
      </c>
      <c r="J543" s="33">
        <f>F543-H543</f>
      </c>
      <c r="K543" s="28">
        <v>37</v>
      </c>
      <c r="L543" s="28">
        <v>1</v>
      </c>
      <c r="M543" s="28">
        <v>1</v>
      </c>
      <c r="N543" s="34"/>
      <c r="O543" s="34"/>
      <c r="P543" s="34"/>
      <c r="Q543" s="34"/>
      <c r="R543" s="34"/>
      <c r="S543" s="34"/>
      <c r="T543" s="34"/>
      <c r="U543" s="34"/>
      <c r="V543" s="34"/>
      <c r="W543" s="29"/>
      <c r="X543" s="28">
        <v>30</v>
      </c>
      <c r="Y543" s="28">
        <v>1</v>
      </c>
      <c r="Z543" s="28">
        <v>1</v>
      </c>
      <c r="AA543" s="28">
        <v>2</v>
      </c>
      <c r="AB543" s="28">
        <v>1</v>
      </c>
      <c r="AC543" s="28">
        <v>1</v>
      </c>
      <c r="AD543" s="28">
        <v>2</v>
      </c>
      <c r="AE543" s="28">
        <v>4</v>
      </c>
      <c r="AF543" s="28">
        <v>2</v>
      </c>
      <c r="AG543" s="28">
        <v>2</v>
      </c>
      <c r="AH543" s="29" t="s">
        <v>2440</v>
      </c>
      <c r="AI543" s="36">
        <f>if(or(and(K543&lt;32, J543&lt;2), O543=1, P543=1, Q543=1, R543=1, S543=1, T543=1, U543=1, and(W543&lt;&gt;"", W543&lt;&gt;"Oxygen", W543&lt;&gt;"LowFlow")), "Intensive", "Intermediate")</f>
      </c>
      <c r="AJ543" s="37">
        <f>if(or(left(AH543, 1)="X", left(AH543, 1)="Y", left(AH543, 3)="J29M"), "CUSM", "No Match")</f>
      </c>
      <c r="AK543" s="37">
        <f>if(and(or(O543=3, P543=1, Q543=1, T543=1), AJ543="no Match"), "CUSM, CHU SJ, CHUQ", "")</f>
      </c>
      <c r="AL543" s="37">
        <f>IF(AND(O544=2, ISBLANK(P544), ISBLANK(Q544), ISBLANK(R544), ISBLANK(S544), ISBLANK(T544)), "CUSM, CHU SJ, CHUS, CHUQ", "")</f>
      </c>
      <c r="AM543" s="37">
        <f>if(and(AJ543="no match", AK543="", AL543="", K543&lt;26), "CUSM, CHU SJ, HGJ, CHUQ, CHUS", "")</f>
      </c>
      <c r="AN543" s="37">
        <f>if(and(AJ543="no match", AK543="", AL543="", K543&gt;26), "CUSM, CHU SJ, HGJ, CHUQ, CHUS, HMR", "")</f>
      </c>
    </row>
    <row x14ac:dyDescent="0.25" r="544" customHeight="1" ht="17.25">
      <c r="A544" s="27" t="s">
        <v>2441</v>
      </c>
      <c r="B544" s="28">
        <v>2</v>
      </c>
      <c r="C544" s="28">
        <v>757</v>
      </c>
      <c r="D544" s="29" t="s">
        <v>124</v>
      </c>
      <c r="E544" s="30" t="s">
        <v>54</v>
      </c>
      <c r="F544" s="31">
        <v>44480</v>
      </c>
      <c r="G544" s="32">
        <v>4.350694444444445</v>
      </c>
      <c r="H544" s="31">
        <v>44478</v>
      </c>
      <c r="I544" s="32">
        <v>4.257638888888889</v>
      </c>
      <c r="J544" s="33">
        <f>F544-H544</f>
      </c>
      <c r="K544" s="28">
        <v>32</v>
      </c>
      <c r="L544" s="28">
        <v>3</v>
      </c>
      <c r="M544" s="28">
        <v>2</v>
      </c>
      <c r="N544" s="34"/>
      <c r="O544" s="34"/>
      <c r="P544" s="34"/>
      <c r="Q544" s="34"/>
      <c r="R544" s="34"/>
      <c r="S544" s="34"/>
      <c r="T544" s="34"/>
      <c r="U544" s="34"/>
      <c r="V544" s="34"/>
      <c r="W544" s="29" t="s">
        <v>74</v>
      </c>
      <c r="X544" s="28">
        <v>31</v>
      </c>
      <c r="Y544" s="28">
        <v>2</v>
      </c>
      <c r="Z544" s="28">
        <v>2</v>
      </c>
      <c r="AA544" s="28">
        <v>2</v>
      </c>
      <c r="AB544" s="28">
        <v>1</v>
      </c>
      <c r="AC544" s="28">
        <v>2</v>
      </c>
      <c r="AD544" s="28">
        <v>2</v>
      </c>
      <c r="AE544" s="28">
        <v>4</v>
      </c>
      <c r="AF544" s="28">
        <v>2</v>
      </c>
      <c r="AG544" s="28">
        <v>2</v>
      </c>
      <c r="AH544" s="29" t="s">
        <v>2442</v>
      </c>
      <c r="AI544" s="36">
        <f>if(or(and(K544&lt;32, J544&lt;2), O544=1, P544=1, Q544=1, R544=1, S544=1, T544=1, U544=1, and(W544&lt;&gt;"", W544&lt;&gt;"Oxygen", W544&lt;&gt;"LowFlow")), "Intensive", "Intermediate")</f>
      </c>
      <c r="AJ544" s="37">
        <f>if(or(left(AH544, 1)="X", left(AH544, 1)="Y", left(AH544, 3)="J30M"), "CUSM", "No Match")</f>
      </c>
      <c r="AK544" s="37">
        <f>if(and(or(O544=3, P544=1, Q544=1, T544=1), AJ544="no Match"), "CUSM, CHU SJ, CHUQ", "")</f>
      </c>
      <c r="AL544" s="37">
        <f>IF(AND(O545=2, ISBLANK(P545), ISBLANK(Q545), ISBLANK(R545), ISBLANK(S545), ISBLANK(T545)), "CUSM, CHU SJ, CHUS, CHUQ", "")</f>
      </c>
      <c r="AM544" s="37">
        <f>if(and(AJ544="no match", AK544="", AL544="", K544&lt;26), "CUSM, CHU SJ, HGJ, CHUQ, CHUS", "")</f>
      </c>
      <c r="AN544" s="37">
        <f>if(and(AJ544="no match", AK544="", AL544="", K544&gt;26), "CUSM, CHU SJ, HGJ, CHUQ, CHUS, HMR", "")</f>
      </c>
    </row>
    <row x14ac:dyDescent="0.25" r="545" customHeight="1" ht="17.25">
      <c r="A545" s="27" t="s">
        <v>2443</v>
      </c>
      <c r="B545" s="28">
        <v>2</v>
      </c>
      <c r="C545" s="35">
        <v>782</v>
      </c>
      <c r="D545" s="29" t="s">
        <v>95</v>
      </c>
      <c r="E545" s="30" t="s">
        <v>78</v>
      </c>
      <c r="F545" s="31">
        <v>44480</v>
      </c>
      <c r="G545" s="32">
        <v>4.958333333333334</v>
      </c>
      <c r="H545" s="31">
        <v>44480</v>
      </c>
      <c r="I545" s="32">
        <v>4.690277777777778</v>
      </c>
      <c r="J545" s="33">
        <f>F545-H545</f>
      </c>
      <c r="K545" s="28">
        <v>34</v>
      </c>
      <c r="L545" s="28">
        <v>0</v>
      </c>
      <c r="M545" s="28">
        <v>1</v>
      </c>
      <c r="N545" s="34"/>
      <c r="O545" s="38"/>
      <c r="P545" s="34"/>
      <c r="Q545" s="34"/>
      <c r="R545" s="34"/>
      <c r="S545" s="38"/>
      <c r="T545" s="34"/>
      <c r="U545" s="34"/>
      <c r="V545" s="34"/>
      <c r="W545" s="29" t="s">
        <v>74</v>
      </c>
      <c r="X545" s="28">
        <v>36</v>
      </c>
      <c r="Y545" s="28">
        <v>2</v>
      </c>
      <c r="Z545" s="28">
        <v>2</v>
      </c>
      <c r="AA545" s="28">
        <v>1</v>
      </c>
      <c r="AB545" s="28">
        <v>3</v>
      </c>
      <c r="AC545" s="28">
        <v>2</v>
      </c>
      <c r="AD545" s="28">
        <v>2</v>
      </c>
      <c r="AE545" s="28">
        <v>2</v>
      </c>
      <c r="AF545" s="28">
        <v>2</v>
      </c>
      <c r="AG545" s="28">
        <v>2</v>
      </c>
      <c r="AH545" s="29" t="s">
        <v>2444</v>
      </c>
      <c r="AI545" s="36">
        <f>if(or(and(K545&lt;32, J545&lt;2), O545=1, P545=1, Q545=1, R545=1, S545=1, T545=1, U545=1, and(W545&lt;&gt;"", W545&lt;&gt;"Oxygen", W545&lt;&gt;"LowFlow")), "Intensive", "Intermediate")</f>
      </c>
      <c r="AJ545" s="37">
        <f>if(or(left(AH545, 1)="X", left(AH545, 1)="Y", left(AH545, 3)="J31M"), "CUSM", "No Match")</f>
      </c>
      <c r="AK545" s="37">
        <f>if(and(or(O545=3, P545=1, Q545=1, T545=1), AJ545="no Match"), "CUSM, CHU SJ, CHUQ", "")</f>
      </c>
      <c r="AL545" s="37">
        <f>IF(AND(O546=2, ISBLANK(P546), ISBLANK(Q546), ISBLANK(R546), ISBLANK(S546), ISBLANK(T546)), "CUSM, CHU SJ, CHUS, CHUQ", "")</f>
      </c>
      <c r="AM545" s="37">
        <f>if(and(AJ545="no match", AK545="", AL545="", K545&lt;26), "CUSM, CHU SJ, HGJ, CHUQ, CHUS", "")</f>
      </c>
      <c r="AN545" s="37">
        <f>if(and(AJ545="no match", AK545="", AL545="", K545&gt;26), "CUSM, CHU SJ, HGJ, CHUQ, CHUS, HMR", "")</f>
      </c>
    </row>
    <row x14ac:dyDescent="0.25" r="546" customHeight="1" ht="17.25">
      <c r="A546" s="27" t="s">
        <v>2445</v>
      </c>
      <c r="B546" s="28">
        <v>2</v>
      </c>
      <c r="C546" s="35">
        <v>782</v>
      </c>
      <c r="D546" s="29" t="s">
        <v>95</v>
      </c>
      <c r="E546" s="30" t="s">
        <v>78</v>
      </c>
      <c r="F546" s="31">
        <v>44480</v>
      </c>
      <c r="G546" s="32">
        <v>4.958333333333334</v>
      </c>
      <c r="H546" s="31">
        <v>44480</v>
      </c>
      <c r="I546" s="32">
        <v>4.690277777777778</v>
      </c>
      <c r="J546" s="33">
        <f>F546-H546</f>
      </c>
      <c r="K546" s="28">
        <v>34</v>
      </c>
      <c r="L546" s="28">
        <v>5</v>
      </c>
      <c r="M546" s="28">
        <v>1</v>
      </c>
      <c r="N546" s="38"/>
      <c r="O546" s="34"/>
      <c r="P546" s="38"/>
      <c r="Q546" s="34"/>
      <c r="R546" s="34"/>
      <c r="S546" s="34"/>
      <c r="T546" s="34"/>
      <c r="U546" s="34"/>
      <c r="V546" s="38"/>
      <c r="W546" s="29" t="s">
        <v>74</v>
      </c>
      <c r="X546" s="28">
        <v>36</v>
      </c>
      <c r="Y546" s="28">
        <v>2</v>
      </c>
      <c r="Z546" s="28">
        <v>2</v>
      </c>
      <c r="AA546" s="28">
        <v>1</v>
      </c>
      <c r="AB546" s="28">
        <v>3</v>
      </c>
      <c r="AC546" s="28">
        <v>2</v>
      </c>
      <c r="AD546" s="28">
        <v>2</v>
      </c>
      <c r="AE546" s="28">
        <v>2</v>
      </c>
      <c r="AF546" s="28">
        <v>2</v>
      </c>
      <c r="AG546" s="28">
        <v>2</v>
      </c>
      <c r="AH546" s="29" t="s">
        <v>2444</v>
      </c>
      <c r="AI546" s="36">
        <f>if(or(and(K546&lt;32, J546&lt;2), O546=1, P546=1, Q546=1, R546=1, S546=1, T546=1, U546=1, and(W546&lt;&gt;"", W546&lt;&gt;"Oxygen", W546&lt;&gt;"LowFlow")), "Intensive", "Intermediate")</f>
      </c>
      <c r="AJ546" s="37">
        <f>if(or(left(AH546, 1)="X", left(AH546, 1)="Y", left(AH546, 3)="J32M"), "CUSM", "No Match")</f>
      </c>
      <c r="AK546" s="37">
        <f>if(and(or(O546=3, P546=1, Q546=1, T546=1), AJ546="no Match"), "CUSM, CHU SJ, CHUQ", "")</f>
      </c>
      <c r="AL546" s="37">
        <f>IF(AND(O547=2, ISBLANK(P547), ISBLANK(Q547), ISBLANK(R547), ISBLANK(S547), ISBLANK(T547)), "CUSM, CHU SJ, CHUS, CHUQ", "")</f>
      </c>
      <c r="AM546" s="37">
        <f>if(and(AJ546="no match", AK546="", AL546="", K546&lt;26), "CUSM, CHU SJ, HGJ, CHUQ, CHUS", "")</f>
      </c>
      <c r="AN546" s="37">
        <f>if(and(AJ546="no match", AK546="", AL546="", K546&gt;26), "CUSM, CHU SJ, HGJ, CHUQ, CHUS, HMR", "")</f>
      </c>
    </row>
    <row x14ac:dyDescent="0.25" r="547" customHeight="1" ht="17.25">
      <c r="A547" s="27" t="s">
        <v>2446</v>
      </c>
      <c r="B547" s="28">
        <v>2</v>
      </c>
      <c r="C547" s="28">
        <v>756</v>
      </c>
      <c r="D547" s="29" t="s">
        <v>66</v>
      </c>
      <c r="E547" s="30" t="s">
        <v>50</v>
      </c>
      <c r="F547" s="31">
        <v>44480</v>
      </c>
      <c r="G547" s="32">
        <v>4.458333333333334</v>
      </c>
      <c r="H547" s="31">
        <v>44464</v>
      </c>
      <c r="I547" s="32">
        <v>4.038194444444445</v>
      </c>
      <c r="J547" s="33">
        <f>F547-H547</f>
      </c>
      <c r="K547" s="28">
        <v>40</v>
      </c>
      <c r="L547" s="28">
        <v>2</v>
      </c>
      <c r="M547" s="28">
        <v>2</v>
      </c>
      <c r="N547" s="34"/>
      <c r="O547" s="34"/>
      <c r="P547" s="34"/>
      <c r="Q547" s="34"/>
      <c r="R547" s="34"/>
      <c r="S547" s="34"/>
      <c r="T547" s="34"/>
      <c r="U547" s="34"/>
      <c r="V547" s="34"/>
      <c r="W547" s="29"/>
      <c r="X547" s="28">
        <v>30</v>
      </c>
      <c r="Y547" s="28">
        <v>1</v>
      </c>
      <c r="Z547" s="28">
        <v>1</v>
      </c>
      <c r="AA547" s="28">
        <v>2</v>
      </c>
      <c r="AB547" s="28">
        <v>1</v>
      </c>
      <c r="AC547" s="28">
        <v>2</v>
      </c>
      <c r="AD547" s="28">
        <v>2</v>
      </c>
      <c r="AE547" s="28">
        <v>4</v>
      </c>
      <c r="AF547" s="28">
        <v>2</v>
      </c>
      <c r="AG547" s="28">
        <v>2</v>
      </c>
      <c r="AH547" s="29" t="s">
        <v>2447</v>
      </c>
      <c r="AI547" s="36">
        <f>if(or(and(K547&lt;32, J547&lt;2), O547=1, P547=1, Q547=1, R547=1, S547=1, T547=1, U547=1, and(W547&lt;&gt;"", W547&lt;&gt;"Oxygen", W547&lt;&gt;"LowFlow")), "Intensive", "Intermediate")</f>
      </c>
      <c r="AJ547" s="37">
        <f>if(or(left(AH547, 1)="X", left(AH547, 1)="Y", left(AH547, 3)="J33M"), "CUSM", "No Match")</f>
      </c>
      <c r="AK547" s="37">
        <f>if(and(or(O547=3, P547=1, Q547=1, T547=1), AJ547="no Match"), "CUSM, CHU SJ, CHUQ", "")</f>
      </c>
      <c r="AL547" s="37">
        <f>IF(AND(O548=2, ISBLANK(P548), ISBLANK(Q548), ISBLANK(R548), ISBLANK(S548), ISBLANK(T548)), "CUSM, CHU SJ, CHUS, CHUQ", "")</f>
      </c>
      <c r="AM547" s="37">
        <f>if(and(AJ547="no match", AK547="", AL547="", K547&lt;26), "CUSM, CHU SJ, HGJ, CHUQ, CHUS", "")</f>
      </c>
      <c r="AN547" s="37">
        <f>if(and(AJ547="no match", AK547="", AL547="", K547&gt;26), "CUSM, CHU SJ, HGJ, CHUQ, CHUS, HMR", "")</f>
      </c>
    </row>
    <row x14ac:dyDescent="0.25" r="548" customHeight="1" ht="17.25">
      <c r="A548" s="27" t="s">
        <v>2448</v>
      </c>
      <c r="B548" s="28">
        <v>2</v>
      </c>
      <c r="C548" s="28">
        <v>835</v>
      </c>
      <c r="D548" s="29" t="s">
        <v>170</v>
      </c>
      <c r="E548" s="30" t="s">
        <v>50</v>
      </c>
      <c r="F548" s="31">
        <v>44480</v>
      </c>
      <c r="G548" s="32">
        <v>4.833333333333334</v>
      </c>
      <c r="H548" s="31">
        <v>44480</v>
      </c>
      <c r="I548" s="32">
        <v>4.664583333333333</v>
      </c>
      <c r="J548" s="33">
        <f>F548-H548</f>
      </c>
      <c r="K548" s="28">
        <v>38</v>
      </c>
      <c r="L548" s="28">
        <v>4</v>
      </c>
      <c r="M548" s="28">
        <v>1</v>
      </c>
      <c r="N548" s="38"/>
      <c r="O548" s="34"/>
      <c r="P548" s="34"/>
      <c r="Q548" s="34"/>
      <c r="R548" s="34"/>
      <c r="S548" s="34"/>
      <c r="T548" s="35">
        <v>1</v>
      </c>
      <c r="U548" s="34"/>
      <c r="V548" s="34"/>
      <c r="W548" s="29" t="s">
        <v>74</v>
      </c>
      <c r="X548" s="28">
        <v>33</v>
      </c>
      <c r="Y548" s="28">
        <v>1</v>
      </c>
      <c r="Z548" s="28">
        <v>2</v>
      </c>
      <c r="AA548" s="28">
        <v>1</v>
      </c>
      <c r="AB548" s="28">
        <v>1</v>
      </c>
      <c r="AC548" s="28">
        <v>2</v>
      </c>
      <c r="AD548" s="28">
        <v>1</v>
      </c>
      <c r="AE548" s="28">
        <v>1</v>
      </c>
      <c r="AF548" s="38"/>
      <c r="AG548" s="28">
        <v>2</v>
      </c>
      <c r="AH548" s="29" t="s">
        <v>2449</v>
      </c>
      <c r="AI548" s="36">
        <f>if(or(and(K548&lt;32, J548&lt;2), O548=1, P548=1, Q548=1, R548=1, S548=1, T548=1, U548=1, and(W548&lt;&gt;"", W548&lt;&gt;"Oxygen", W548&lt;&gt;"LowFlow")), "Intensive", "Intermediate")</f>
      </c>
      <c r="AJ548" s="37">
        <f>if(or(left(AH548, 1)="X", left(AH548, 1)="Y", left(AH548, 3)="J34M"), "CUSM", "No Match")</f>
      </c>
      <c r="AK548" s="37">
        <f>if(and(or(O548=3, P548=1, Q548=1, T548=1), AJ548="no Match"), "CUSM, CHU SJ, CHUQ", "")</f>
      </c>
      <c r="AL548" s="37">
        <f>IF(AND(O549=2, ISBLANK(P549), ISBLANK(Q549), ISBLANK(R549), ISBLANK(S549), ISBLANK(T549)), "CUSM, CHU SJ, CHUS, CHUQ", "")</f>
      </c>
      <c r="AM548" s="37">
        <f>if(and(AJ548="no match", AK548="", AL548="", K548&lt;26), "CUSM, CHU SJ, HGJ, CHUQ, CHUS", "")</f>
      </c>
      <c r="AN548" s="37">
        <f>if(and(AJ548="no match", AK548="", AL548="", K548&gt;26), "CUSM, CHU SJ, HGJ, CHUQ, CHUS, HMR", "")</f>
      </c>
    </row>
    <row x14ac:dyDescent="0.25" r="549" customHeight="1" ht="17.25">
      <c r="A549" s="27" t="s">
        <v>2450</v>
      </c>
      <c r="B549" s="28">
        <v>2</v>
      </c>
      <c r="C549" s="35">
        <v>779</v>
      </c>
      <c r="D549" s="29" t="s">
        <v>136</v>
      </c>
      <c r="E549" s="30" t="s">
        <v>54</v>
      </c>
      <c r="F549" s="31">
        <v>44481</v>
      </c>
      <c r="G549" s="32">
        <v>4.583333333333334</v>
      </c>
      <c r="H549" s="31">
        <v>44473</v>
      </c>
      <c r="I549" s="32">
        <v>4.885416666666666</v>
      </c>
      <c r="J549" s="33">
        <f>F549-H549</f>
      </c>
      <c r="K549" s="28">
        <v>39</v>
      </c>
      <c r="L549" s="28">
        <v>1</v>
      </c>
      <c r="M549" s="28">
        <v>1</v>
      </c>
      <c r="N549" s="34"/>
      <c r="O549" s="34"/>
      <c r="P549" s="34"/>
      <c r="Q549" s="34"/>
      <c r="R549" s="34"/>
      <c r="S549" s="34"/>
      <c r="T549" s="34"/>
      <c r="U549" s="34"/>
      <c r="V549" s="34"/>
      <c r="W549" s="29"/>
      <c r="X549" s="28">
        <v>29</v>
      </c>
      <c r="Y549" s="28">
        <v>1</v>
      </c>
      <c r="Z549" s="28">
        <v>1</v>
      </c>
      <c r="AA549" s="28">
        <v>2</v>
      </c>
      <c r="AB549" s="28">
        <v>1</v>
      </c>
      <c r="AC549" s="28">
        <v>2</v>
      </c>
      <c r="AD549" s="28">
        <v>1</v>
      </c>
      <c r="AE549" s="28">
        <v>4</v>
      </c>
      <c r="AF549" s="28">
        <v>2</v>
      </c>
      <c r="AG549" s="28">
        <v>2</v>
      </c>
      <c r="AH549" s="29" t="s">
        <v>2451</v>
      </c>
      <c r="AI549" s="36">
        <f>if(or(and(K549&lt;32, J549&lt;2), O549=1, P549=1, Q549=1, R549=1, S549=1, T549=1, U549=1, and(W549&lt;&gt;"", W549&lt;&gt;"Oxygen", W549&lt;&gt;"LowFlow")), "Intensive", "Intermediate")</f>
      </c>
      <c r="AJ549" s="37">
        <f>if(or(left(AH549, 1)="X", left(AH549, 1)="Y", left(AH549, 3)="J35M"), "CUSM", "No Match")</f>
      </c>
      <c r="AK549" s="37">
        <f>if(and(or(O549=3, P549=1, Q549=1, T549=1), AJ549="no Match"), "CUSM, CHU SJ, CHUQ", "")</f>
      </c>
      <c r="AL549" s="37">
        <f>IF(AND(O550=2, ISBLANK(P550), ISBLANK(Q550), ISBLANK(R550), ISBLANK(S550), ISBLANK(T550)), "CUSM, CHU SJ, CHUS, CHUQ", "")</f>
      </c>
      <c r="AM549" s="37">
        <f>if(and(AJ549="no match", AK549="", AL549="", K549&lt;26), "CUSM, CHU SJ, HGJ, CHUQ, CHUS", "")</f>
      </c>
      <c r="AN549" s="37">
        <f>if(and(AJ549="no match", AK549="", AL549="", K549&gt;26), "CUSM, CHU SJ, HGJ, CHUQ, CHUS, HMR", "")</f>
      </c>
    </row>
    <row x14ac:dyDescent="0.25" r="550" customHeight="1" ht="17.25">
      <c r="A550" s="27" t="s">
        <v>2452</v>
      </c>
      <c r="B550" s="28">
        <v>2</v>
      </c>
      <c r="C550" s="35">
        <v>730</v>
      </c>
      <c r="D550" s="29" t="s">
        <v>81</v>
      </c>
      <c r="E550" s="30" t="s">
        <v>50</v>
      </c>
      <c r="F550" s="31">
        <v>44481</v>
      </c>
      <c r="G550" s="32">
        <v>4.8597222222222225</v>
      </c>
      <c r="H550" s="31">
        <v>44481</v>
      </c>
      <c r="I550" s="32">
        <v>4.683333333333334</v>
      </c>
      <c r="J550" s="33">
        <f>F550-H550</f>
      </c>
      <c r="K550" s="28">
        <v>38</v>
      </c>
      <c r="L550" s="28">
        <v>3</v>
      </c>
      <c r="M550" s="28">
        <v>1</v>
      </c>
      <c r="N550" s="34"/>
      <c r="O550" s="34"/>
      <c r="P550" s="34"/>
      <c r="Q550" s="34"/>
      <c r="R550" s="34"/>
      <c r="S550" s="34"/>
      <c r="T550" s="35">
        <v>1</v>
      </c>
      <c r="U550" s="34"/>
      <c r="V550" s="34"/>
      <c r="W550" s="29" t="s">
        <v>58</v>
      </c>
      <c r="X550" s="28">
        <v>40</v>
      </c>
      <c r="Y550" s="28">
        <v>1</v>
      </c>
      <c r="Z550" s="28">
        <v>2</v>
      </c>
      <c r="AA550" s="28">
        <v>2</v>
      </c>
      <c r="AB550" s="28">
        <v>1</v>
      </c>
      <c r="AC550" s="28">
        <v>2</v>
      </c>
      <c r="AD550" s="28">
        <v>2</v>
      </c>
      <c r="AE550" s="28">
        <v>4</v>
      </c>
      <c r="AF550" s="28">
        <v>2</v>
      </c>
      <c r="AG550" s="28">
        <v>2</v>
      </c>
      <c r="AH550" s="29" t="s">
        <v>2453</v>
      </c>
      <c r="AI550" s="36">
        <f>if(or(and(K550&lt;32, J550&lt;2), O550=1, P550=1, Q550=1, R550=1, S550=1, T550=1, U550=1, and(W550&lt;&gt;"", W550&lt;&gt;"Oxygen", W550&lt;&gt;"LowFlow")), "Intensive", "Intermediate")</f>
      </c>
      <c r="AJ550" s="37">
        <f>if(or(left(AH550, 1)="X", left(AH550, 1)="Y", left(AH550, 3)="J36M"), "CUSM", "No Match")</f>
      </c>
      <c r="AK550" s="37">
        <f>if(and(or(O550=3, P550=1, Q550=1, T550=1), AJ550="no Match"), "CUSM, CHU SJ, CHUQ", "")</f>
      </c>
      <c r="AL550" s="37">
        <f>IF(AND(O551=2, ISBLANK(P551), ISBLANK(Q551), ISBLANK(R551), ISBLANK(S551), ISBLANK(T551)), "CUSM, CHU SJ, CHUS, CHUQ", "")</f>
      </c>
      <c r="AM550" s="37">
        <f>if(and(AJ550="no match", AK550="", AL550="", K550&lt;26), "CUSM, CHU SJ, HGJ, CHUQ, CHUS", "")</f>
      </c>
      <c r="AN550" s="37">
        <f>if(and(AJ550="no match", AK550="", AL550="", K550&gt;26), "CUSM, CHU SJ, HGJ, CHUQ, CHUS, HMR", "")</f>
      </c>
    </row>
    <row x14ac:dyDescent="0.25" r="551" customHeight="1" ht="17.25">
      <c r="A551" s="27" t="s">
        <v>2454</v>
      </c>
      <c r="B551" s="28">
        <v>2</v>
      </c>
      <c r="C551" s="35">
        <v>754</v>
      </c>
      <c r="D551" s="29" t="s">
        <v>504</v>
      </c>
      <c r="E551" s="30" t="s">
        <v>149</v>
      </c>
      <c r="F551" s="31">
        <v>44482</v>
      </c>
      <c r="G551" s="32">
        <v>4.733333333333333</v>
      </c>
      <c r="H551" s="31">
        <v>44482</v>
      </c>
      <c r="I551" s="32">
        <v>4.325694444444444</v>
      </c>
      <c r="J551" s="33">
        <f>F551-H551</f>
      </c>
      <c r="K551" s="28">
        <v>26</v>
      </c>
      <c r="L551" s="28">
        <v>0</v>
      </c>
      <c r="M551" s="28">
        <v>2</v>
      </c>
      <c r="N551" s="34"/>
      <c r="O551" s="34"/>
      <c r="P551" s="34"/>
      <c r="Q551" s="34"/>
      <c r="R551" s="34"/>
      <c r="S551" s="34"/>
      <c r="T551" s="34"/>
      <c r="U551" s="34"/>
      <c r="V551" s="34"/>
      <c r="W551" s="29" t="s">
        <v>74</v>
      </c>
      <c r="X551" s="28">
        <v>33</v>
      </c>
      <c r="Y551" s="28">
        <v>2</v>
      </c>
      <c r="Z551" s="28">
        <v>1</v>
      </c>
      <c r="AA551" s="28">
        <v>3</v>
      </c>
      <c r="AB551" s="28">
        <v>4</v>
      </c>
      <c r="AC551" s="28">
        <v>3</v>
      </c>
      <c r="AD551" s="28">
        <v>3</v>
      </c>
      <c r="AE551" s="28">
        <v>4</v>
      </c>
      <c r="AF551" s="28">
        <v>3</v>
      </c>
      <c r="AG551" s="28">
        <v>2</v>
      </c>
      <c r="AH551" s="29" t="s">
        <v>2455</v>
      </c>
      <c r="AI551" s="36">
        <f>if(or(and(K551&lt;32, J551&lt;2), O551=1, P551=1, Q551=1, R551=1, S551=1, T551=1, U551=1, and(W551&lt;&gt;"", W551&lt;&gt;"Oxygen", W551&lt;&gt;"LowFlow")), "Intensive", "Intermediate")</f>
      </c>
      <c r="AJ551" s="37">
        <f>if(or(left(AH551, 1)="X", left(AH551, 1)="Y", left(AH551, 3)="J37M"), "CUSM", "No Match")</f>
      </c>
      <c r="AK551" s="37">
        <f>if(and(or(O551=3, P551=1, Q551=1, T551=1), AJ551="no Match"), "CUSM, CHU SJ, CHUQ", "")</f>
      </c>
      <c r="AL551" s="37">
        <f>IF(AND(O552=2, ISBLANK(P552), ISBLANK(Q552), ISBLANK(R552), ISBLANK(S552), ISBLANK(T552)), "CUSM, CHU SJ, CHUS, CHUQ", "")</f>
      </c>
      <c r="AM551" s="37">
        <f>if(and(AJ551="no match", AK551="", AL551="", K551&lt;26), "CUSM, CHU SJ, HGJ, CHUQ, CHUS", "")</f>
      </c>
      <c r="AN551" s="37">
        <f>if(and(AJ551="no match", AK551="", AL551="", K551&gt;26), "CUSM, CHU SJ, HGJ, CHUQ, CHUS, HMR", "")</f>
      </c>
    </row>
    <row x14ac:dyDescent="0.25" r="552" customHeight="1" ht="17.25">
      <c r="A552" s="27" t="s">
        <v>2456</v>
      </c>
      <c r="B552" s="28">
        <v>2</v>
      </c>
      <c r="C552" s="28">
        <v>754</v>
      </c>
      <c r="D552" s="29" t="s">
        <v>504</v>
      </c>
      <c r="E552" s="30" t="s">
        <v>149</v>
      </c>
      <c r="F552" s="31">
        <v>44482</v>
      </c>
      <c r="G552" s="32">
        <v>4.697916666666666</v>
      </c>
      <c r="H552" s="31">
        <v>44482</v>
      </c>
      <c r="I552" s="32">
        <v>4.331944444444444</v>
      </c>
      <c r="J552" s="33">
        <f>F552-H552</f>
      </c>
      <c r="K552" s="28">
        <v>26</v>
      </c>
      <c r="L552" s="28">
        <v>0</v>
      </c>
      <c r="M552" s="28">
        <v>2</v>
      </c>
      <c r="N552" s="34"/>
      <c r="O552" s="34"/>
      <c r="P552" s="34"/>
      <c r="Q552" s="34"/>
      <c r="R552" s="34"/>
      <c r="S552" s="34"/>
      <c r="T552" s="38"/>
      <c r="U552" s="34"/>
      <c r="V552" s="38"/>
      <c r="W552" s="29" t="s">
        <v>74</v>
      </c>
      <c r="X552" s="28">
        <v>33</v>
      </c>
      <c r="Y552" s="28">
        <v>2</v>
      </c>
      <c r="Z552" s="28">
        <v>1</v>
      </c>
      <c r="AA552" s="28">
        <v>3</v>
      </c>
      <c r="AB552" s="28">
        <v>4</v>
      </c>
      <c r="AC552" s="28">
        <v>3</v>
      </c>
      <c r="AD552" s="28">
        <v>3</v>
      </c>
      <c r="AE552" s="28">
        <v>4</v>
      </c>
      <c r="AF552" s="28">
        <v>3</v>
      </c>
      <c r="AG552" s="28">
        <v>2</v>
      </c>
      <c r="AH552" s="29" t="s">
        <v>2455</v>
      </c>
      <c r="AI552" s="36">
        <f>if(or(and(K552&lt;32, J552&lt;2), O552=1, P552=1, Q552=1, R552=1, S552=1, T552=1, U552=1, and(W552&lt;&gt;"", W552&lt;&gt;"Oxygen", W552&lt;&gt;"LowFlow")), "Intensive", "Intermediate")</f>
      </c>
      <c r="AJ552" s="37">
        <f>if(or(left(AH552, 1)="X", left(AH552, 1)="Y", left(AH552, 3)="J38M"), "CUSM", "No Match")</f>
      </c>
      <c r="AK552" s="37">
        <f>if(and(or(O552=3, P552=1, Q552=1, T552=1), AJ552="no Match"), "CUSM, CHU SJ, CHUQ", "")</f>
      </c>
      <c r="AL552" s="37">
        <f>IF(AND(O553=2, ISBLANK(P553), ISBLANK(Q553), ISBLANK(R553), ISBLANK(S553), ISBLANK(T553)), "CUSM, CHU SJ, CHUS, CHUQ", "")</f>
      </c>
      <c r="AM552" s="37">
        <f>if(and(AJ552="no match", AK552="", AL552="", K552&lt;26), "CUSM, CHU SJ, HGJ, CHUQ, CHUS", "")</f>
      </c>
      <c r="AN552" s="37">
        <f>if(and(AJ552="no match", AK552="", AL552="", K552&gt;26), "CUSM, CHU SJ, HGJ, CHUQ, CHUS, HMR", "")</f>
      </c>
    </row>
    <row x14ac:dyDescent="0.25" r="553" customHeight="1" ht="17.25">
      <c r="A553" s="27" t="s">
        <v>2457</v>
      </c>
      <c r="B553" s="28">
        <v>2</v>
      </c>
      <c r="C553" s="28">
        <v>796</v>
      </c>
      <c r="D553" s="29" t="s">
        <v>63</v>
      </c>
      <c r="E553" s="30" t="s">
        <v>78</v>
      </c>
      <c r="F553" s="31">
        <v>44482</v>
      </c>
      <c r="G553" s="32">
        <v>4.479166666666666</v>
      </c>
      <c r="H553" s="31">
        <v>44482</v>
      </c>
      <c r="I553" s="32">
        <v>4.270138888888889</v>
      </c>
      <c r="J553" s="33">
        <f>F553-H553</f>
      </c>
      <c r="K553" s="28">
        <v>32</v>
      </c>
      <c r="L553" s="28">
        <v>2</v>
      </c>
      <c r="M553" s="28">
        <v>2</v>
      </c>
      <c r="N553" s="34"/>
      <c r="O553" s="34"/>
      <c r="P553" s="34"/>
      <c r="Q553" s="34"/>
      <c r="R553" s="34"/>
      <c r="S553" s="34"/>
      <c r="T553" s="34"/>
      <c r="U553" s="34"/>
      <c r="V553" s="34"/>
      <c r="W553" s="29" t="s">
        <v>74</v>
      </c>
      <c r="X553" s="28">
        <v>38</v>
      </c>
      <c r="Y553" s="28">
        <v>1</v>
      </c>
      <c r="Z553" s="28">
        <v>1</v>
      </c>
      <c r="AA553" s="28">
        <v>1</v>
      </c>
      <c r="AB553" s="28">
        <v>1</v>
      </c>
      <c r="AC553" s="28">
        <v>2</v>
      </c>
      <c r="AD553" s="28">
        <v>1</v>
      </c>
      <c r="AE553" s="28">
        <v>4</v>
      </c>
      <c r="AF553" s="28">
        <v>3</v>
      </c>
      <c r="AG553" s="28">
        <v>2</v>
      </c>
      <c r="AH553" s="29" t="s">
        <v>2458</v>
      </c>
      <c r="AI553" s="36">
        <f>if(or(and(K553&lt;32, J553&lt;2), O553=1, P553=1, Q553=1, R553=1, S553=1, T553=1, U553=1, and(W553&lt;&gt;"", W553&lt;&gt;"Oxygen", W553&lt;&gt;"LowFlow")), "Intensive", "Intermediate")</f>
      </c>
      <c r="AJ553" s="37">
        <f>if(or(left(AH553, 1)="X", left(AH553, 1)="Y", left(AH553, 3)="J39M"), "CUSM", "No Match")</f>
      </c>
      <c r="AK553" s="37">
        <f>if(and(or(O553=3, P553=1, Q553=1, T553=1), AJ553="no Match"), "CUSM, CHU SJ, CHUQ", "")</f>
      </c>
      <c r="AL553" s="37">
        <f>IF(AND(O554=2, ISBLANK(P554), ISBLANK(Q554), ISBLANK(R554), ISBLANK(S554), ISBLANK(T554)), "CUSM, CHU SJ, CHUS, CHUQ", "")</f>
      </c>
      <c r="AM553" s="37">
        <f>if(and(AJ553="no match", AK553="", AL553="", K553&lt;26), "CUSM, CHU SJ, HGJ, CHUQ, CHUS", "")</f>
      </c>
      <c r="AN553" s="37">
        <f>if(and(AJ553="no match", AK553="", AL553="", K553&gt;26), "CUSM, CHU SJ, HGJ, CHUQ, CHUS, HMR", "")</f>
      </c>
    </row>
    <row x14ac:dyDescent="0.25" r="554" customHeight="1" ht="17.25">
      <c r="A554" s="27" t="s">
        <v>2459</v>
      </c>
      <c r="B554" s="28">
        <v>2</v>
      </c>
      <c r="C554" s="28">
        <v>796</v>
      </c>
      <c r="D554" s="29" t="s">
        <v>63</v>
      </c>
      <c r="E554" s="30" t="s">
        <v>50</v>
      </c>
      <c r="F554" s="31">
        <v>44482</v>
      </c>
      <c r="G554" s="32">
        <v>4.15625</v>
      </c>
      <c r="H554" s="31">
        <v>44481</v>
      </c>
      <c r="I554" s="32">
        <v>4.945138888888889</v>
      </c>
      <c r="J554" s="33">
        <f>F554-H554</f>
      </c>
      <c r="K554" s="28">
        <v>36</v>
      </c>
      <c r="L554" s="28">
        <v>1</v>
      </c>
      <c r="M554" s="28">
        <v>1</v>
      </c>
      <c r="N554" s="38"/>
      <c r="O554" s="38"/>
      <c r="P554" s="38"/>
      <c r="Q554" s="34"/>
      <c r="R554" s="34"/>
      <c r="S554" s="34"/>
      <c r="T554" s="35">
        <v>1</v>
      </c>
      <c r="U554" s="34"/>
      <c r="V554" s="34"/>
      <c r="W554" s="29" t="s">
        <v>74</v>
      </c>
      <c r="X554" s="28">
        <v>26</v>
      </c>
      <c r="Y554" s="28">
        <v>2</v>
      </c>
      <c r="Z554" s="28">
        <v>1</v>
      </c>
      <c r="AA554" s="28">
        <v>1</v>
      </c>
      <c r="AB554" s="28">
        <v>1</v>
      </c>
      <c r="AC554" s="28">
        <v>2</v>
      </c>
      <c r="AD554" s="28">
        <v>2</v>
      </c>
      <c r="AE554" s="28">
        <v>4</v>
      </c>
      <c r="AF554" s="28">
        <v>2</v>
      </c>
      <c r="AG554" s="28">
        <v>2</v>
      </c>
      <c r="AH554" s="29" t="s">
        <v>1052</v>
      </c>
      <c r="AI554" s="36">
        <f>if(or(and(K554&lt;32, J554&lt;2), O554=1, P554=1, Q554=1, R554=1, S554=1, T554=1, U554=1, and(W554&lt;&gt;"", W554&lt;&gt;"Oxygen", W554&lt;&gt;"LowFlow")), "Intensive", "Intermediate")</f>
      </c>
      <c r="AJ554" s="37">
        <f>if(or(left(AH554, 1)="X", left(AH554, 1)="Y", left(AH554, 3)="J40M"), "CUSM", "No Match")</f>
      </c>
      <c r="AK554" s="37">
        <f>if(and(or(O554=3, P554=1, Q554=1, T554=1), AJ554="no Match"), "CUSM, CHU SJ, CHUQ", "")</f>
      </c>
      <c r="AL554" s="37">
        <f>IF(AND(O555=2, ISBLANK(P555), ISBLANK(Q555), ISBLANK(R555), ISBLANK(S555), ISBLANK(T555)), "CUSM, CHU SJ, CHUS, CHUQ", "")</f>
      </c>
      <c r="AM554" s="37">
        <f>if(and(AJ554="no match", AK554="", AL554="", K554&lt;26), "CUSM, CHU SJ, HGJ, CHUQ, CHUS", "")</f>
      </c>
      <c r="AN554" s="37">
        <f>if(and(AJ554="no match", AK554="", AL554="", K554&gt;26), "CUSM, CHU SJ, HGJ, CHUQ, CHUS, HMR", "")</f>
      </c>
    </row>
    <row x14ac:dyDescent="0.25" r="555" customHeight="1" ht="17.25">
      <c r="A555" s="27" t="s">
        <v>2460</v>
      </c>
      <c r="B555" s="28">
        <v>2</v>
      </c>
      <c r="C555" s="28">
        <v>825</v>
      </c>
      <c r="D555" s="29" t="s">
        <v>77</v>
      </c>
      <c r="E555" s="30" t="s">
        <v>50</v>
      </c>
      <c r="F555" s="31">
        <v>44482</v>
      </c>
      <c r="G555" s="32">
        <v>4.736111111111111</v>
      </c>
      <c r="H555" s="31">
        <v>44482</v>
      </c>
      <c r="I555" s="32">
        <v>4.447916666666666</v>
      </c>
      <c r="J555" s="33">
        <f>F555-H555</f>
      </c>
      <c r="K555" s="28">
        <v>38</v>
      </c>
      <c r="L555" s="28">
        <v>5</v>
      </c>
      <c r="M555" s="28">
        <v>1</v>
      </c>
      <c r="N555" s="34"/>
      <c r="O555" s="34"/>
      <c r="P555" s="34"/>
      <c r="Q555" s="34"/>
      <c r="R555" s="34"/>
      <c r="S555" s="34"/>
      <c r="T555" s="38"/>
      <c r="U555" s="34"/>
      <c r="V555" s="38"/>
      <c r="W555" s="29" t="s">
        <v>58</v>
      </c>
      <c r="X555" s="28">
        <v>36</v>
      </c>
      <c r="Y555" s="28">
        <v>1</v>
      </c>
      <c r="Z555" s="28">
        <v>2</v>
      </c>
      <c r="AA555" s="28">
        <v>1</v>
      </c>
      <c r="AB555" s="28">
        <v>1</v>
      </c>
      <c r="AC555" s="28">
        <v>2</v>
      </c>
      <c r="AD555" s="28">
        <v>1</v>
      </c>
      <c r="AE555" s="28">
        <v>4</v>
      </c>
      <c r="AF555" s="28">
        <v>2</v>
      </c>
      <c r="AG555" s="28">
        <v>2</v>
      </c>
      <c r="AH555" s="29" t="s">
        <v>566</v>
      </c>
      <c r="AI555" s="36">
        <f>if(or(and(K555&lt;32, J555&lt;2), O555=1, P555=1, Q555=1, R555=1, S555=1, T555=1, U555=1, and(W555&lt;&gt;"", W555&lt;&gt;"Oxygen", W555&lt;&gt;"LowFlow")), "Intensive", "Intermediate")</f>
      </c>
      <c r="AJ555" s="37">
        <f>if(or(left(AH555, 1)="X", left(AH555, 1)="Y", left(AH555, 3)="J41M"), "CUSM", "No Match")</f>
      </c>
      <c r="AK555" s="37">
        <f>if(and(or(O555=3, P555=1, Q555=1, T555=1), AJ555="no Match"), "CUSM, CHU SJ, CHUQ", "")</f>
      </c>
      <c r="AL555" s="37">
        <f>IF(AND(O556=2, ISBLANK(P556), ISBLANK(Q556), ISBLANK(R556), ISBLANK(S556), ISBLANK(T556)), "CUSM, CHU SJ, CHUS, CHUQ", "")</f>
      </c>
      <c r="AM555" s="37">
        <f>if(and(AJ555="no match", AK555="", AL555="", K555&lt;26), "CUSM, CHU SJ, HGJ, CHUQ, CHUS", "")</f>
      </c>
      <c r="AN555" s="37">
        <f>if(and(AJ555="no match", AK555="", AL555="", K555&gt;26), "CUSM, CHU SJ, HGJ, CHUQ, CHUS, HMR", "")</f>
      </c>
    </row>
    <row x14ac:dyDescent="0.25" r="556" customHeight="1" ht="17.25">
      <c r="A556" s="27" t="s">
        <v>2461</v>
      </c>
      <c r="B556" s="28">
        <v>2</v>
      </c>
      <c r="C556" s="28">
        <v>779</v>
      </c>
      <c r="D556" s="29" t="s">
        <v>136</v>
      </c>
      <c r="E556" s="30" t="s">
        <v>50</v>
      </c>
      <c r="F556" s="31">
        <v>44483</v>
      </c>
      <c r="G556" s="32">
        <v>4.6875</v>
      </c>
      <c r="H556" s="31">
        <v>44482</v>
      </c>
      <c r="I556" s="32">
        <v>4.956944444444444</v>
      </c>
      <c r="J556" s="33">
        <f>F556-H556</f>
      </c>
      <c r="K556" s="28">
        <v>39</v>
      </c>
      <c r="L556" s="28">
        <v>3</v>
      </c>
      <c r="M556" s="28">
        <v>2</v>
      </c>
      <c r="N556" s="28">
        <v>1</v>
      </c>
      <c r="O556" s="35">
        <v>2</v>
      </c>
      <c r="P556" s="38"/>
      <c r="Q556" s="34"/>
      <c r="R556" s="34"/>
      <c r="S556" s="34"/>
      <c r="T556" s="34"/>
      <c r="U556" s="34"/>
      <c r="V556" s="38"/>
      <c r="W556" s="29"/>
      <c r="X556" s="28">
        <v>26</v>
      </c>
      <c r="Y556" s="28">
        <v>1</v>
      </c>
      <c r="Z556" s="28">
        <v>1</v>
      </c>
      <c r="AA556" s="28">
        <v>1</v>
      </c>
      <c r="AB556" s="28">
        <v>1</v>
      </c>
      <c r="AC556" s="28">
        <v>2</v>
      </c>
      <c r="AD556" s="28">
        <v>2</v>
      </c>
      <c r="AE556" s="28">
        <v>4</v>
      </c>
      <c r="AF556" s="28">
        <v>3</v>
      </c>
      <c r="AG556" s="28">
        <v>2</v>
      </c>
      <c r="AH556" s="29" t="s">
        <v>2462</v>
      </c>
      <c r="AI556" s="36">
        <f>if(or(and(K556&lt;32, J556&lt;2), O556=1, P556=1, Q556=1, R556=1, S556=1, T556=1, U556=1, and(W556&lt;&gt;"", W556&lt;&gt;"Oxygen", W556&lt;&gt;"LowFlow")), "Intensive", "Intermediate")</f>
      </c>
      <c r="AJ556" s="37">
        <f>if(or(left(AH556, 1)="X", left(AH556, 1)="Y", left(AH556, 3)="J42M"), "CUSM", "No Match")</f>
      </c>
      <c r="AK556" s="37">
        <f>if(and(or(O556=3, P556=1, Q556=1, T556=1), AJ556="no Match"), "CUSM, CHU SJ, CHUQ", "")</f>
      </c>
      <c r="AL556" s="37">
        <f>IF(AND(O557=2, ISBLANK(P557), ISBLANK(Q557), ISBLANK(R557), ISBLANK(S557), ISBLANK(T557)), "CUSM, CHU SJ, CHUS, CHUQ", "")</f>
      </c>
      <c r="AM556" s="37">
        <f>if(and(AJ556="no match", AK556="", AL556="", K556&lt;26), "CUSM, CHU SJ, HGJ, CHUQ, CHUS", "")</f>
      </c>
      <c r="AN556" s="37">
        <f>if(and(AJ556="no match", AK556="", AL556="", K556&gt;26), "CUSM, CHU SJ, HGJ, CHUQ, CHUS, HMR", "")</f>
      </c>
    </row>
    <row x14ac:dyDescent="0.25" r="557" customHeight="1" ht="17.25">
      <c r="A557" s="27" t="s">
        <v>2463</v>
      </c>
      <c r="B557" s="28">
        <v>2</v>
      </c>
      <c r="C557" s="35">
        <v>795</v>
      </c>
      <c r="D557" s="29" t="s">
        <v>73</v>
      </c>
      <c r="E557" s="30" t="s">
        <v>149</v>
      </c>
      <c r="F557" s="31">
        <v>44484</v>
      </c>
      <c r="G557" s="32">
        <v>4.972222222222222</v>
      </c>
      <c r="H557" s="31">
        <v>44480</v>
      </c>
      <c r="I557" s="32">
        <v>4.25</v>
      </c>
      <c r="J557" s="33">
        <f>F557-H557</f>
      </c>
      <c r="K557" s="28">
        <v>32</v>
      </c>
      <c r="L557" s="28">
        <v>0</v>
      </c>
      <c r="M557" s="28">
        <v>2</v>
      </c>
      <c r="N557" s="34"/>
      <c r="O557" s="34"/>
      <c r="P557" s="34"/>
      <c r="Q557" s="34"/>
      <c r="R557" s="34"/>
      <c r="S557" s="34"/>
      <c r="T557" s="34"/>
      <c r="U557" s="34"/>
      <c r="V557" s="34"/>
      <c r="W557" s="29" t="s">
        <v>164</v>
      </c>
      <c r="X557" s="28">
        <v>28</v>
      </c>
      <c r="Y557" s="28">
        <v>1</v>
      </c>
      <c r="Z557" s="28">
        <v>3</v>
      </c>
      <c r="AA557" s="28">
        <v>3</v>
      </c>
      <c r="AB557" s="28">
        <v>4</v>
      </c>
      <c r="AC557" s="28">
        <v>2</v>
      </c>
      <c r="AD557" s="28">
        <v>2</v>
      </c>
      <c r="AE557" s="28">
        <v>4</v>
      </c>
      <c r="AF557" s="28">
        <v>3</v>
      </c>
      <c r="AG557" s="28">
        <v>2</v>
      </c>
      <c r="AH557" s="29" t="s">
        <v>2464</v>
      </c>
      <c r="AI557" s="36">
        <f>if(or(and(K557&lt;32, J557&lt;2), O557=1, P557=1, Q557=1, R557=1, S557=1, T557=1, U557=1, and(W557&lt;&gt;"", W557&lt;&gt;"Oxygen", W557&lt;&gt;"LowFlow")), "Intensive", "Intermediate")</f>
      </c>
      <c r="AJ557" s="37">
        <f>if(or(left(AH557, 1)="X", left(AH557, 1)="Y", left(AH557, 3)="J43M"), "CUSM", "No Match")</f>
      </c>
      <c r="AK557" s="37">
        <f>if(and(or(O557=3, P557=1, Q557=1, T557=1), AJ557="no Match"), "CUSM, CHU SJ, CHUQ", "")</f>
      </c>
      <c r="AL557" s="37">
        <f>IF(AND(O558=2, ISBLANK(P558), ISBLANK(Q558), ISBLANK(R558), ISBLANK(S558), ISBLANK(T558)), "CUSM, CHU SJ, CHUS, CHUQ", "")</f>
      </c>
      <c r="AM557" s="37">
        <f>if(and(AJ557="no match", AK557="", AL557="", K557&lt;26), "CUSM, CHU SJ, HGJ, CHUQ, CHUS", "")</f>
      </c>
      <c r="AN557" s="37">
        <f>if(and(AJ557="no match", AK557="", AL557="", K557&gt;26), "CUSM, CHU SJ, HGJ, CHUQ, CHUS, HMR", "")</f>
      </c>
    </row>
    <row x14ac:dyDescent="0.25" r="558" customHeight="1" ht="17.25">
      <c r="A558" s="27" t="s">
        <v>2465</v>
      </c>
      <c r="B558" s="28">
        <v>2</v>
      </c>
      <c r="C558" s="35">
        <v>824</v>
      </c>
      <c r="D558" s="29" t="s">
        <v>57</v>
      </c>
      <c r="E558" s="30" t="s">
        <v>50</v>
      </c>
      <c r="F558" s="31">
        <v>44484</v>
      </c>
      <c r="G558" s="32">
        <v>4.760416666666666</v>
      </c>
      <c r="H558" s="31">
        <v>44484</v>
      </c>
      <c r="I558" s="32">
        <v>4.541666666666666</v>
      </c>
      <c r="J558" s="33">
        <f>F558-H558</f>
      </c>
      <c r="K558" s="28">
        <v>37</v>
      </c>
      <c r="L558" s="28">
        <v>3</v>
      </c>
      <c r="M558" s="28">
        <v>2</v>
      </c>
      <c r="N558" s="34"/>
      <c r="O558" s="34"/>
      <c r="P558" s="34"/>
      <c r="Q558" s="34"/>
      <c r="R558" s="34"/>
      <c r="S558" s="34"/>
      <c r="T558" s="34"/>
      <c r="U558" s="34"/>
      <c r="V558" s="34"/>
      <c r="W558" s="29"/>
      <c r="X558" s="28">
        <v>40</v>
      </c>
      <c r="Y558" s="28">
        <v>1</v>
      </c>
      <c r="Z558" s="28">
        <v>1</v>
      </c>
      <c r="AA558" s="28">
        <v>1</v>
      </c>
      <c r="AB558" s="28">
        <v>2</v>
      </c>
      <c r="AC558" s="28">
        <v>2</v>
      </c>
      <c r="AD558" s="28">
        <v>2</v>
      </c>
      <c r="AE558" s="28">
        <v>4</v>
      </c>
      <c r="AF558" s="28">
        <v>2</v>
      </c>
      <c r="AG558" s="28">
        <v>2</v>
      </c>
      <c r="AH558" s="29" t="s">
        <v>2466</v>
      </c>
      <c r="AI558" s="36">
        <f>if(or(and(K558&lt;32, J558&lt;2), O558=1, P558=1, Q558=1, R558=1, S558=1, T558=1, U558=1, and(W558&lt;&gt;"", W558&lt;&gt;"Oxygen", W558&lt;&gt;"LowFlow")), "Intensive", "Intermediate")</f>
      </c>
      <c r="AJ558" s="37">
        <f>if(or(left(AH558, 1)="X", left(AH558, 1)="Y", left(AH558, 3)="J44M"), "CUSM", "No Match")</f>
      </c>
      <c r="AK558" s="37">
        <f>if(and(or(O558=3, P558=1, Q558=1, T558=1), AJ558="no Match"), "CUSM, CHU SJ, CHUQ", "")</f>
      </c>
      <c r="AL558" s="37">
        <f>IF(AND(O559=2, ISBLANK(P559), ISBLANK(Q559), ISBLANK(R559), ISBLANK(S559), ISBLANK(T559)), "CUSM, CHU SJ, CHUS, CHUQ", "")</f>
      </c>
      <c r="AM558" s="37">
        <f>if(and(AJ558="no match", AK558="", AL558="", K558&lt;26), "CUSM, CHU SJ, HGJ, CHUQ, CHUS", "")</f>
      </c>
      <c r="AN558" s="37">
        <f>if(and(AJ558="no match", AK558="", AL558="", K558&gt;26), "CUSM, CHU SJ, HGJ, CHUQ, CHUS, HMR", "")</f>
      </c>
    </row>
    <row x14ac:dyDescent="0.25" r="559" customHeight="1" ht="17.25">
      <c r="A559" s="27" t="s">
        <v>2467</v>
      </c>
      <c r="B559" s="28">
        <v>2</v>
      </c>
      <c r="C559" s="35">
        <v>796</v>
      </c>
      <c r="D559" s="29" t="s">
        <v>63</v>
      </c>
      <c r="E559" s="30" t="s">
        <v>50</v>
      </c>
      <c r="F559" s="31">
        <v>44486</v>
      </c>
      <c r="G559" s="32">
        <v>4.666666666666666</v>
      </c>
      <c r="H559" s="31">
        <v>44480</v>
      </c>
      <c r="I559" s="32">
        <v>4.417361111111111</v>
      </c>
      <c r="J559" s="33">
        <f>F559-H559</f>
      </c>
      <c r="K559" s="28">
        <v>33</v>
      </c>
      <c r="L559" s="28">
        <v>0</v>
      </c>
      <c r="M559" s="28">
        <v>2</v>
      </c>
      <c r="N559" s="34"/>
      <c r="O559" s="34"/>
      <c r="P559" s="34"/>
      <c r="Q559" s="34"/>
      <c r="R559" s="34"/>
      <c r="S559" s="34"/>
      <c r="T559" s="34"/>
      <c r="U559" s="34"/>
      <c r="V559" s="34"/>
      <c r="W559" s="29"/>
      <c r="X559" s="28">
        <v>27</v>
      </c>
      <c r="Y559" s="28">
        <v>1</v>
      </c>
      <c r="Z559" s="28">
        <v>1</v>
      </c>
      <c r="AA559" s="28">
        <v>3</v>
      </c>
      <c r="AB559" s="28">
        <v>1</v>
      </c>
      <c r="AC559" s="28">
        <v>2</v>
      </c>
      <c r="AD559" s="28">
        <v>2</v>
      </c>
      <c r="AE559" s="28">
        <v>4</v>
      </c>
      <c r="AF559" s="28">
        <v>2</v>
      </c>
      <c r="AG559" s="28">
        <v>2</v>
      </c>
      <c r="AH559" s="29" t="s">
        <v>2468</v>
      </c>
      <c r="AI559" s="36">
        <f>if(or(and(K559&lt;32, J559&lt;2), O559=1, P559=1, Q559=1, R559=1, S559=1, T559=1, U559=1, and(W559&lt;&gt;"", W559&lt;&gt;"Oxygen", W559&lt;&gt;"LowFlow")), "Intensive", "Intermediate")</f>
      </c>
      <c r="AJ559" s="37">
        <f>if(or(left(AH559, 1)="X", left(AH559, 1)="Y", left(AH559, 3)="J45M"), "CUSM", "No Match")</f>
      </c>
      <c r="AK559" s="37">
        <f>if(and(or(O559=3, P559=1, Q559=1, T559=1), AJ559="no Match"), "CUSM, CHU SJ, CHUQ", "")</f>
      </c>
      <c r="AL559" s="37">
        <f>IF(AND(O560=2, ISBLANK(P560), ISBLANK(Q560), ISBLANK(R560), ISBLANK(S560), ISBLANK(T560)), "CUSM, CHU SJ, CHUS, CHUQ", "")</f>
      </c>
      <c r="AM559" s="37">
        <f>if(and(AJ559="no match", AK559="", AL559="", K559&lt;26), "CUSM, CHU SJ, HGJ, CHUQ, CHUS", "")</f>
      </c>
      <c r="AN559" s="37">
        <f>if(and(AJ559="no match", AK559="", AL559="", K559&gt;26), "CUSM, CHU SJ, HGJ, CHUQ, CHUS, HMR", "")</f>
      </c>
    </row>
    <row x14ac:dyDescent="0.25" r="560" customHeight="1" ht="17.25">
      <c r="A560" s="27" t="s">
        <v>2469</v>
      </c>
      <c r="B560" s="28">
        <v>2</v>
      </c>
      <c r="C560" s="35">
        <v>779</v>
      </c>
      <c r="D560" s="29" t="s">
        <v>136</v>
      </c>
      <c r="E560" s="30" t="s">
        <v>54</v>
      </c>
      <c r="F560" s="31">
        <v>44487</v>
      </c>
      <c r="G560" s="32">
        <v>4.649305555555555</v>
      </c>
      <c r="H560" s="31">
        <v>44477</v>
      </c>
      <c r="I560" s="32">
        <v>4.459027777777777</v>
      </c>
      <c r="J560" s="33">
        <f>F560-H560</f>
      </c>
      <c r="K560" s="28">
        <v>38</v>
      </c>
      <c r="L560" s="28">
        <v>6</v>
      </c>
      <c r="M560" s="28">
        <v>1</v>
      </c>
      <c r="N560" s="35">
        <v>1</v>
      </c>
      <c r="O560" s="34"/>
      <c r="P560" s="34"/>
      <c r="Q560" s="34"/>
      <c r="R560" s="34"/>
      <c r="S560" s="34"/>
      <c r="T560" s="34"/>
      <c r="U560" s="34"/>
      <c r="V560" s="34"/>
      <c r="W560" s="29" t="s">
        <v>106</v>
      </c>
      <c r="X560" s="28">
        <v>21</v>
      </c>
      <c r="Y560" s="28">
        <v>1</v>
      </c>
      <c r="Z560" s="28">
        <v>2</v>
      </c>
      <c r="AA560" s="28">
        <v>2</v>
      </c>
      <c r="AB560" s="28">
        <v>1</v>
      </c>
      <c r="AC560" s="28">
        <v>2</v>
      </c>
      <c r="AD560" s="28">
        <v>2</v>
      </c>
      <c r="AE560" s="28">
        <v>4</v>
      </c>
      <c r="AF560" s="28">
        <v>2</v>
      </c>
      <c r="AG560" s="28">
        <v>2</v>
      </c>
      <c r="AH560" s="29" t="s">
        <v>2470</v>
      </c>
      <c r="AI560" s="36">
        <f>if(or(and(K560&lt;32, J560&lt;2), O560=1, P560=1, Q560=1, R560=1, S560=1, T560=1, U560=1, and(W560&lt;&gt;"", W560&lt;&gt;"Oxygen", W560&lt;&gt;"LowFlow")), "Intensive", "Intermediate")</f>
      </c>
      <c r="AJ560" s="37">
        <f>if(or(left(AH560, 1)="X", left(AH560, 1)="Y", left(AH560, 3)="J46M"), "CUSM", "No Match")</f>
      </c>
      <c r="AK560" s="37">
        <f>if(and(or(O560=3, P560=1, Q560=1, T560=1), AJ560="no Match"), "CUSM, CHU SJ, CHUQ", "")</f>
      </c>
      <c r="AL560" s="37">
        <f>IF(AND(O561=2, ISBLANK(P561), ISBLANK(Q561), ISBLANK(R561), ISBLANK(S561), ISBLANK(T561)), "CUSM, CHU SJ, CHUS, CHUQ", "")</f>
      </c>
      <c r="AM560" s="37">
        <f>if(and(AJ560="no match", AK560="", AL560="", K560&lt;26), "CUSM, CHU SJ, HGJ, CHUQ, CHUS", "")</f>
      </c>
      <c r="AN560" s="37">
        <f>if(and(AJ560="no match", AK560="", AL560="", K560&gt;26), "CUSM, CHU SJ, HGJ, CHUQ, CHUS, HMR", "")</f>
      </c>
    </row>
    <row x14ac:dyDescent="0.25" r="561" customHeight="1" ht="17.25">
      <c r="A561" s="27" t="s">
        <v>2471</v>
      </c>
      <c r="B561" s="28">
        <v>2</v>
      </c>
      <c r="C561" s="35">
        <v>832</v>
      </c>
      <c r="D561" s="29" t="s">
        <v>308</v>
      </c>
      <c r="E561" s="30" t="s">
        <v>50</v>
      </c>
      <c r="F561" s="31">
        <v>44487</v>
      </c>
      <c r="G561" s="32">
        <v>4.396527777777777</v>
      </c>
      <c r="H561" s="31">
        <v>44487</v>
      </c>
      <c r="I561" s="32">
        <v>4.151388888888889</v>
      </c>
      <c r="J561" s="33">
        <f>F561-H561</f>
      </c>
      <c r="K561" s="28">
        <v>39</v>
      </c>
      <c r="L561" s="28">
        <v>2</v>
      </c>
      <c r="M561" s="28">
        <v>1</v>
      </c>
      <c r="N561" s="35">
        <v>1</v>
      </c>
      <c r="O561" s="34"/>
      <c r="P561" s="34"/>
      <c r="Q561" s="35">
        <v>1</v>
      </c>
      <c r="R561" s="34"/>
      <c r="S561" s="34"/>
      <c r="T561" s="34"/>
      <c r="U561" s="34"/>
      <c r="V561" s="34"/>
      <c r="W561" s="29" t="s">
        <v>74</v>
      </c>
      <c r="X561" s="28">
        <v>35</v>
      </c>
      <c r="Y561" s="28">
        <v>1</v>
      </c>
      <c r="Z561" s="28">
        <v>1</v>
      </c>
      <c r="AA561" s="28">
        <v>2</v>
      </c>
      <c r="AB561" s="28">
        <v>1</v>
      </c>
      <c r="AC561" s="28">
        <v>2</v>
      </c>
      <c r="AD561" s="28">
        <v>2</v>
      </c>
      <c r="AE561" s="28">
        <v>4</v>
      </c>
      <c r="AF561" s="28">
        <v>3</v>
      </c>
      <c r="AG561" s="28">
        <v>2</v>
      </c>
      <c r="AH561" s="29" t="s">
        <v>2472</v>
      </c>
      <c r="AI561" s="36">
        <f>if(or(and(K561&lt;32, J561&lt;2), O561=1, P561=1, Q561=1, R561=1, S561=1, T561=1, U561=1, and(W561&lt;&gt;"", W561&lt;&gt;"Oxygen", W561&lt;&gt;"LowFlow")), "Intensive", "Intermediate")</f>
      </c>
      <c r="AJ561" s="37">
        <f>if(or(left(AH561, 1)="X", left(AH561, 1)="Y", left(AH561, 3)="J47M"), "CUSM", "No Match")</f>
      </c>
      <c r="AK561" s="37">
        <f>if(and(or(O561=3, P561=1, Q561=1, T561=1), AJ561="no Match"), "CUSM, CHU SJ, CHUQ", "")</f>
      </c>
      <c r="AL561" s="37">
        <f>IF(AND(O562=2, ISBLANK(P562), ISBLANK(Q562), ISBLANK(R562), ISBLANK(S562), ISBLANK(T562)), "CUSM, CHU SJ, CHUS, CHUQ", "")</f>
      </c>
      <c r="AM561" s="37">
        <f>if(and(AJ561="no match", AK561="", AL561="", K561&lt;26), "CUSM, CHU SJ, HGJ, CHUQ, CHUS", "")</f>
      </c>
      <c r="AN561" s="37">
        <f>if(and(AJ561="no match", AK561="", AL561="", K561&gt;26), "CUSM, CHU SJ, HGJ, CHUQ, CHUS, HMR", "")</f>
      </c>
    </row>
    <row x14ac:dyDescent="0.25" r="562" customHeight="1" ht="17.25">
      <c r="A562" s="27" t="s">
        <v>2473</v>
      </c>
      <c r="B562" s="28">
        <v>2</v>
      </c>
      <c r="C562" s="35">
        <v>824</v>
      </c>
      <c r="D562" s="29" t="s">
        <v>57</v>
      </c>
      <c r="E562" s="30" t="s">
        <v>50</v>
      </c>
      <c r="F562" s="31">
        <v>44487</v>
      </c>
      <c r="G562" s="32">
        <v>4.857638888888889</v>
      </c>
      <c r="H562" s="31">
        <v>44487</v>
      </c>
      <c r="I562" s="32">
        <v>4.659027777777778</v>
      </c>
      <c r="J562" s="33">
        <f>F562-H562</f>
      </c>
      <c r="K562" s="28">
        <v>40</v>
      </c>
      <c r="L562" s="28">
        <v>1</v>
      </c>
      <c r="M562" s="28">
        <v>1</v>
      </c>
      <c r="N562" s="34"/>
      <c r="O562" s="34"/>
      <c r="P562" s="34"/>
      <c r="Q562" s="34"/>
      <c r="R562" s="34"/>
      <c r="S562" s="34"/>
      <c r="T562" s="34"/>
      <c r="U562" s="34"/>
      <c r="V562" s="34"/>
      <c r="W562" s="29"/>
      <c r="X562" s="28">
        <v>26</v>
      </c>
      <c r="Y562" s="28">
        <v>1</v>
      </c>
      <c r="Z562" s="28">
        <v>1</v>
      </c>
      <c r="AA562" s="28">
        <v>2</v>
      </c>
      <c r="AB562" s="28">
        <v>1</v>
      </c>
      <c r="AC562" s="28">
        <v>2</v>
      </c>
      <c r="AD562" s="28">
        <v>2</v>
      </c>
      <c r="AE562" s="28">
        <v>4</v>
      </c>
      <c r="AF562" s="28">
        <v>3</v>
      </c>
      <c r="AG562" s="28">
        <v>2</v>
      </c>
      <c r="AH562" s="29" t="s">
        <v>2474</v>
      </c>
      <c r="AI562" s="36">
        <f>if(or(and(K562&lt;32, J562&lt;2), O562=1, P562=1, Q562=1, R562=1, S562=1, T562=1, U562=1, and(W562&lt;&gt;"", W562&lt;&gt;"Oxygen", W562&lt;&gt;"LowFlow")), "Intensive", "Intermediate")</f>
      </c>
      <c r="AJ562" s="37">
        <f>if(or(left(AH562, 1)="X", left(AH562, 1)="Y", left(AH562, 3)="J48M"), "CUSM", "No Match")</f>
      </c>
      <c r="AK562" s="37">
        <f>if(and(or(O562=3, P562=1, Q562=1, T562=1), AJ562="no Match"), "CUSM, CHU SJ, CHUQ", "")</f>
      </c>
      <c r="AL562" s="37">
        <f>IF(AND(O563=2, ISBLANK(P563), ISBLANK(Q563), ISBLANK(R563), ISBLANK(S563), ISBLANK(T563)), "CUSM, CHU SJ, CHUS, CHUQ", "")</f>
      </c>
      <c r="AM562" s="37">
        <f>if(and(AJ562="no match", AK562="", AL562="", K562&lt;26), "CUSM, CHU SJ, HGJ, CHUQ, CHUS", "")</f>
      </c>
      <c r="AN562" s="37">
        <f>if(and(AJ562="no match", AK562="", AL562="", K562&gt;26), "CUSM, CHU SJ, HGJ, CHUQ, CHUS, HMR", "")</f>
      </c>
    </row>
    <row x14ac:dyDescent="0.25" r="563" customHeight="1" ht="17.25">
      <c r="A563" s="27" t="s">
        <v>2475</v>
      </c>
      <c r="B563" s="28">
        <v>2</v>
      </c>
      <c r="C563" s="35">
        <v>822</v>
      </c>
      <c r="D563" s="29" t="s">
        <v>167</v>
      </c>
      <c r="E563" s="30" t="s">
        <v>50</v>
      </c>
      <c r="F563" s="31">
        <v>44488</v>
      </c>
      <c r="G563" s="32">
        <v>4.072916666666666</v>
      </c>
      <c r="H563" s="31">
        <v>44484</v>
      </c>
      <c r="I563" s="39"/>
      <c r="J563" s="33">
        <f>F563-H563</f>
      </c>
      <c r="K563" s="28">
        <v>38</v>
      </c>
      <c r="L563" s="28">
        <v>4</v>
      </c>
      <c r="M563" s="28">
        <v>2</v>
      </c>
      <c r="N563" s="34"/>
      <c r="O563" s="34"/>
      <c r="P563" s="34"/>
      <c r="Q563" s="34"/>
      <c r="R563" s="34"/>
      <c r="S563" s="34"/>
      <c r="T563" s="34"/>
      <c r="U563" s="34"/>
      <c r="V563" s="34"/>
      <c r="W563" s="29"/>
      <c r="X563" s="38"/>
      <c r="Y563" s="28">
        <v>1</v>
      </c>
      <c r="Z563" s="28">
        <v>1</v>
      </c>
      <c r="AA563" s="28">
        <v>3</v>
      </c>
      <c r="AB563" s="28">
        <v>4</v>
      </c>
      <c r="AC563" s="28">
        <v>2</v>
      </c>
      <c r="AD563" s="28">
        <v>2</v>
      </c>
      <c r="AE563" s="28">
        <v>4</v>
      </c>
      <c r="AF563" s="28">
        <v>3</v>
      </c>
      <c r="AG563" s="28">
        <v>2</v>
      </c>
      <c r="AH563" s="29" t="s">
        <v>1758</v>
      </c>
      <c r="AI563" s="36">
        <f>if(or(and(K563&lt;32, J563&lt;2), O563=1, P563=1, Q563=1, R563=1, S563=1, T563=1, U563=1, and(W563&lt;&gt;"", W563&lt;&gt;"Oxygen", W563&lt;&gt;"LowFlow")), "Intensive", "Intermediate")</f>
      </c>
      <c r="AJ563" s="37">
        <f>if(or(left(AH563, 1)="X", left(AH563, 1)="Y", left(AH563, 3)="J49M"), "CUSM", "No Match")</f>
      </c>
      <c r="AK563" s="37">
        <f>if(and(or(O563=3, P563=1, Q563=1, T563=1), AJ563="no Match"), "CUSM, CHU SJ, CHUQ", "")</f>
      </c>
      <c r="AL563" s="37">
        <f>IF(AND(O564=2, ISBLANK(P564), ISBLANK(Q564), ISBLANK(R564), ISBLANK(S564), ISBLANK(T564)), "CUSM, CHU SJ, CHUS, CHUQ", "")</f>
      </c>
      <c r="AM563" s="37">
        <f>if(and(AJ563="no match", AK563="", AL563="", K563&lt;26), "CUSM, CHU SJ, HGJ, CHUQ, CHUS", "")</f>
      </c>
      <c r="AN563" s="37">
        <f>if(and(AJ563="no match", AK563="", AL563="", K563&gt;26), "CUSM, CHU SJ, HGJ, CHUQ, CHUS, HMR", "")</f>
      </c>
    </row>
    <row x14ac:dyDescent="0.25" r="564" customHeight="1" ht="17.25">
      <c r="A564" s="27" t="s">
        <v>2476</v>
      </c>
      <c r="B564" s="28">
        <v>2</v>
      </c>
      <c r="C564" s="28">
        <v>779</v>
      </c>
      <c r="D564" s="29" t="s">
        <v>136</v>
      </c>
      <c r="E564" s="30" t="s">
        <v>50</v>
      </c>
      <c r="F564" s="31">
        <v>44490</v>
      </c>
      <c r="G564" s="32">
        <v>4.791666666666666</v>
      </c>
      <c r="H564" s="31">
        <v>44490</v>
      </c>
      <c r="I564" s="32">
        <v>4.041666666666666</v>
      </c>
      <c r="J564" s="33">
        <f>F564-H564</f>
      </c>
      <c r="K564" s="28">
        <v>40</v>
      </c>
      <c r="L564" s="28">
        <v>3</v>
      </c>
      <c r="M564" s="28">
        <v>1</v>
      </c>
      <c r="N564" s="35">
        <v>1</v>
      </c>
      <c r="O564" s="34"/>
      <c r="P564" s="35">
        <v>1</v>
      </c>
      <c r="Q564" s="34"/>
      <c r="R564" s="34"/>
      <c r="S564" s="34"/>
      <c r="T564" s="34"/>
      <c r="U564" s="34"/>
      <c r="V564" s="34"/>
      <c r="W564" s="29"/>
      <c r="X564" s="28">
        <v>26</v>
      </c>
      <c r="Y564" s="28">
        <v>1</v>
      </c>
      <c r="Z564" s="28">
        <v>2</v>
      </c>
      <c r="AA564" s="28">
        <v>1</v>
      </c>
      <c r="AB564" s="28">
        <v>1</v>
      </c>
      <c r="AC564" s="28">
        <v>2</v>
      </c>
      <c r="AD564" s="28">
        <v>2</v>
      </c>
      <c r="AE564" s="28">
        <v>4</v>
      </c>
      <c r="AF564" s="28">
        <v>1</v>
      </c>
      <c r="AG564" s="28">
        <v>2</v>
      </c>
      <c r="AH564" s="29" t="s">
        <v>2477</v>
      </c>
      <c r="AI564" s="36">
        <f>if(or(and(K564&lt;32, J564&lt;2), O564=1, P564=1, Q564=1, R564=1, S564=1, T564=1, U564=1, and(W564&lt;&gt;"", W564&lt;&gt;"Oxygen", W564&lt;&gt;"LowFlow")), "Intensive", "Intermediate")</f>
      </c>
      <c r="AJ564" s="37">
        <f>if(or(left(AH564, 1)="X", left(AH564, 1)="Y", left(AH564, 3)="J50M"), "CUSM", "No Match")</f>
      </c>
      <c r="AK564" s="37">
        <f>if(and(or(O564=3, P564=1, Q564=1, T564=1), AJ564="no Match"), "CUSM, CHU SJ, CHUQ", "")</f>
      </c>
      <c r="AL564" s="37">
        <f>IF(AND(O565=2, ISBLANK(P565), ISBLANK(Q565), ISBLANK(R565), ISBLANK(S565), ISBLANK(T565)), "CUSM, CHU SJ, CHUS, CHUQ", "")</f>
      </c>
      <c r="AM564" s="37">
        <f>if(and(AJ564="no match", AK564="", AL564="", K564&lt;26), "CUSM, CHU SJ, HGJ, CHUQ, CHUS", "")</f>
      </c>
      <c r="AN564" s="37">
        <f>if(and(AJ564="no match", AK564="", AL564="", K564&gt;26), "CUSM, CHU SJ, HGJ, CHUQ, CHUS, HMR", "")</f>
      </c>
    </row>
    <row x14ac:dyDescent="0.25" r="565" customHeight="1" ht="17.25">
      <c r="A565" s="27" t="s">
        <v>2478</v>
      </c>
      <c r="B565" s="28">
        <v>2</v>
      </c>
      <c r="C565" s="28">
        <v>815</v>
      </c>
      <c r="D565" s="29" t="s">
        <v>100</v>
      </c>
      <c r="E565" s="30" t="s">
        <v>50</v>
      </c>
      <c r="F565" s="31">
        <v>44491</v>
      </c>
      <c r="G565" s="32">
        <v>4.979166666666666</v>
      </c>
      <c r="H565" s="31">
        <v>44491</v>
      </c>
      <c r="I565" s="32">
        <v>4.802777777777777</v>
      </c>
      <c r="J565" s="33">
        <f>F565-H565</f>
      </c>
      <c r="K565" s="28">
        <v>38</v>
      </c>
      <c r="L565" s="28">
        <v>6</v>
      </c>
      <c r="M565" s="28">
        <v>1</v>
      </c>
      <c r="N565" s="35">
        <v>1</v>
      </c>
      <c r="O565" s="34"/>
      <c r="P565" s="35">
        <v>1</v>
      </c>
      <c r="Q565" s="34"/>
      <c r="R565" s="34"/>
      <c r="S565" s="34"/>
      <c r="T565" s="34"/>
      <c r="U565" s="34"/>
      <c r="V565" s="34"/>
      <c r="W565" s="29"/>
      <c r="X565" s="28">
        <v>28</v>
      </c>
      <c r="Y565" s="28">
        <v>1</v>
      </c>
      <c r="Z565" s="28">
        <v>1</v>
      </c>
      <c r="AA565" s="28">
        <v>3</v>
      </c>
      <c r="AB565" s="28">
        <v>1</v>
      </c>
      <c r="AC565" s="28">
        <v>2</v>
      </c>
      <c r="AD565" s="28">
        <v>3</v>
      </c>
      <c r="AE565" s="28">
        <v>4</v>
      </c>
      <c r="AF565" s="28">
        <v>2</v>
      </c>
      <c r="AG565" s="28">
        <v>2</v>
      </c>
      <c r="AH565" s="29" t="s">
        <v>143</v>
      </c>
      <c r="AI565" s="36">
        <f>if(or(and(K565&lt;32, J565&lt;2), O565=1, P565=1, Q565=1, R565=1, S565=1, T565=1, U565=1, and(W565&lt;&gt;"", W565&lt;&gt;"Oxygen", W565&lt;&gt;"LowFlow")), "Intensive", "Intermediate")</f>
      </c>
      <c r="AJ565" s="37">
        <f>if(or(left(AH565, 1)="X", left(AH565, 1)="Y", left(AH565, 3)="J51M"), "CUSM", "No Match")</f>
      </c>
      <c r="AK565" s="37">
        <f>if(and(or(O565=3, P565=1, Q565=1, T565=1), AJ565="no Match"), "CUSM, CHU SJ, CHUQ", "")</f>
      </c>
      <c r="AL565" s="37">
        <f>IF(AND(O566=2, ISBLANK(P566), ISBLANK(Q566), ISBLANK(R566), ISBLANK(S566), ISBLANK(T566)), "CUSM, CHU SJ, CHUS, CHUQ", "")</f>
      </c>
      <c r="AM565" s="37">
        <f>if(and(AJ565="no match", AK565="", AL565="", K565&lt;26), "CUSM, CHU SJ, HGJ, CHUQ, CHUS", "")</f>
      </c>
      <c r="AN565" s="37">
        <f>if(and(AJ565="no match", AK565="", AL565="", K565&gt;26), "CUSM, CHU SJ, HGJ, CHUQ, CHUS, HMR", "")</f>
      </c>
    </row>
    <row x14ac:dyDescent="0.25" r="566" customHeight="1" ht="17.25">
      <c r="A566" s="27" t="s">
        <v>2479</v>
      </c>
      <c r="B566" s="28">
        <v>2</v>
      </c>
      <c r="C566" s="35">
        <v>740</v>
      </c>
      <c r="D566" s="29" t="s">
        <v>409</v>
      </c>
      <c r="E566" s="30" t="s">
        <v>149</v>
      </c>
      <c r="F566" s="31">
        <v>44492</v>
      </c>
      <c r="G566" s="32">
        <v>4.052083333333334</v>
      </c>
      <c r="H566" s="31">
        <v>44492</v>
      </c>
      <c r="I566" s="32">
        <v>4.0159722222222225</v>
      </c>
      <c r="J566" s="33">
        <f>F566-H566</f>
      </c>
      <c r="K566" s="28">
        <v>30</v>
      </c>
      <c r="L566" s="28">
        <v>0</v>
      </c>
      <c r="M566" s="28">
        <v>1</v>
      </c>
      <c r="N566" s="38"/>
      <c r="O566" s="38"/>
      <c r="P566" s="38"/>
      <c r="Q566" s="34"/>
      <c r="R566" s="34"/>
      <c r="S566" s="34"/>
      <c r="T566" s="34"/>
      <c r="U566" s="34"/>
      <c r="V566" s="34"/>
      <c r="W566" s="29" t="s">
        <v>164</v>
      </c>
      <c r="X566" s="28">
        <v>27</v>
      </c>
      <c r="Y566" s="28">
        <v>1</v>
      </c>
      <c r="Z566" s="28">
        <v>2</v>
      </c>
      <c r="AA566" s="28">
        <v>1</v>
      </c>
      <c r="AB566" s="28">
        <v>1</v>
      </c>
      <c r="AC566" s="28">
        <v>2</v>
      </c>
      <c r="AD566" s="28">
        <v>1</v>
      </c>
      <c r="AE566" s="28">
        <v>4</v>
      </c>
      <c r="AF566" s="28">
        <v>3</v>
      </c>
      <c r="AG566" s="28">
        <v>3</v>
      </c>
      <c r="AH566" s="29" t="s">
        <v>2480</v>
      </c>
      <c r="AI566" s="36">
        <f>if(or(and(K566&lt;32, J566&lt;2), O566=1, P566=1, Q566=1, R566=1, S566=1, T566=1, U566=1, and(W566&lt;&gt;"", W566&lt;&gt;"Oxygen", W566&lt;&gt;"LowFlow")), "Intensive", "Intermediate")</f>
      </c>
      <c r="AJ566" s="37">
        <f>if(or(left(AH566, 1)="X", left(AH566, 1)="Y", left(AH566, 3)="J52M"), "CUSM", "No Match")</f>
      </c>
      <c r="AK566" s="37">
        <f>if(and(or(O566=3, P566=1, Q566=1, T566=1), AJ566="no Match"), "CUSM, CHU SJ, CHUQ", "")</f>
      </c>
      <c r="AL566" s="37">
        <f>IF(AND(O567=2, ISBLANK(P567), ISBLANK(Q567), ISBLANK(R567), ISBLANK(S567), ISBLANK(T567)), "CUSM, CHU SJ, CHUS, CHUQ", "")</f>
      </c>
      <c r="AM566" s="37">
        <f>if(and(AJ566="no match", AK566="", AL566="", K566&lt;26), "CUSM, CHU SJ, HGJ, CHUQ, CHUS", "")</f>
      </c>
      <c r="AN566" s="37">
        <f>if(and(AJ566="no match", AK566="", AL566="", K566&gt;26), "CUSM, CHU SJ, HGJ, CHUQ, CHUS, HMR", "")</f>
      </c>
    </row>
    <row x14ac:dyDescent="0.25" r="567" customHeight="1" ht="17.25">
      <c r="A567" s="27" t="s">
        <v>2481</v>
      </c>
      <c r="B567" s="28">
        <v>2</v>
      </c>
      <c r="C567" s="35">
        <v>856</v>
      </c>
      <c r="D567" s="29" t="s">
        <v>674</v>
      </c>
      <c r="E567" s="30" t="s">
        <v>50</v>
      </c>
      <c r="F567" s="31">
        <v>44492</v>
      </c>
      <c r="G567" s="32">
        <v>4.498611111111111</v>
      </c>
      <c r="H567" s="31">
        <v>44492</v>
      </c>
      <c r="I567" s="32">
        <v>4.1930555555555555</v>
      </c>
      <c r="J567" s="33">
        <f>F567-H567</f>
      </c>
      <c r="K567" s="28">
        <v>40</v>
      </c>
      <c r="L567" s="28">
        <v>0</v>
      </c>
      <c r="M567" s="28">
        <v>2</v>
      </c>
      <c r="N567" s="34"/>
      <c r="O567" s="34"/>
      <c r="P567" s="34"/>
      <c r="Q567" s="34"/>
      <c r="R567" s="34"/>
      <c r="S567" s="34"/>
      <c r="T567" s="34"/>
      <c r="U567" s="34"/>
      <c r="V567" s="34"/>
      <c r="W567" s="29"/>
      <c r="X567" s="28">
        <v>32</v>
      </c>
      <c r="Y567" s="28">
        <v>1</v>
      </c>
      <c r="Z567" s="28">
        <v>1</v>
      </c>
      <c r="AA567" s="28">
        <v>3</v>
      </c>
      <c r="AB567" s="28">
        <v>1</v>
      </c>
      <c r="AC567" s="28">
        <v>2</v>
      </c>
      <c r="AD567" s="28">
        <v>2</v>
      </c>
      <c r="AE567" s="28">
        <v>4</v>
      </c>
      <c r="AF567" s="28">
        <v>2</v>
      </c>
      <c r="AG567" s="28">
        <v>2</v>
      </c>
      <c r="AH567" s="29" t="s">
        <v>2482</v>
      </c>
      <c r="AI567" s="36">
        <f>if(or(and(K567&lt;32, J567&lt;2), O567=1, P567=1, Q567=1, R567=1, S567=1, T567=1, U567=1, and(W567&lt;&gt;"", W567&lt;&gt;"Oxygen", W567&lt;&gt;"LowFlow")), "Intensive", "Intermediate")</f>
      </c>
      <c r="AJ567" s="37">
        <f>if(or(left(AH567, 1)="X", left(AH567, 1)="Y", left(AH567, 3)="J53M"), "CUSM", "No Match")</f>
      </c>
      <c r="AK567" s="37">
        <f>if(and(or(O567=3, P567=1, Q567=1, T567=1), AJ567="no Match"), "CUSM, CHU SJ, CHUQ", "")</f>
      </c>
      <c r="AL567" s="37">
        <f>IF(AND(O568=2, ISBLANK(P568), ISBLANK(Q568), ISBLANK(R568), ISBLANK(S568), ISBLANK(T568)), "CUSM, CHU SJ, CHUS, CHUQ", "")</f>
      </c>
      <c r="AM567" s="37">
        <f>if(and(AJ567="no match", AK567="", AL567="", K567&lt;26), "CUSM, CHU SJ, HGJ, CHUQ, CHUS", "")</f>
      </c>
      <c r="AN567" s="37">
        <f>if(and(AJ567="no match", AK567="", AL567="", K567&gt;26), "CUSM, CHU SJ, HGJ, CHUQ, CHUS, HMR", "")</f>
      </c>
    </row>
    <row x14ac:dyDescent="0.25" r="568" customHeight="1" ht="17.25">
      <c r="A568" s="27" t="s">
        <v>2483</v>
      </c>
      <c r="B568" s="28">
        <v>2</v>
      </c>
      <c r="C568" s="35">
        <v>1014</v>
      </c>
      <c r="D568" s="29" t="s">
        <v>2484</v>
      </c>
      <c r="E568" s="30" t="s">
        <v>50</v>
      </c>
      <c r="F568" s="31">
        <v>44492</v>
      </c>
      <c r="G568" s="32">
        <v>4.152083333333334</v>
      </c>
      <c r="H568" s="31">
        <v>44492</v>
      </c>
      <c r="I568" s="32">
        <v>4.114583333333334</v>
      </c>
      <c r="J568" s="33">
        <f>F568-H568</f>
      </c>
      <c r="K568" s="28">
        <v>31</v>
      </c>
      <c r="L568" s="28">
        <v>6</v>
      </c>
      <c r="M568" s="28">
        <v>1</v>
      </c>
      <c r="N568" s="34"/>
      <c r="O568" s="34"/>
      <c r="P568" s="34"/>
      <c r="Q568" s="34"/>
      <c r="R568" s="34"/>
      <c r="S568" s="34"/>
      <c r="T568" s="34"/>
      <c r="U568" s="34"/>
      <c r="V568" s="34"/>
      <c r="W568" s="29" t="s">
        <v>58</v>
      </c>
      <c r="X568" s="28">
        <v>19</v>
      </c>
      <c r="Y568" s="28">
        <v>1</v>
      </c>
      <c r="Z568" s="28">
        <v>1</v>
      </c>
      <c r="AA568" s="28">
        <v>2</v>
      </c>
      <c r="AB568" s="28">
        <v>4</v>
      </c>
      <c r="AC568" s="28">
        <v>2</v>
      </c>
      <c r="AD568" s="28">
        <v>2</v>
      </c>
      <c r="AE568" s="28">
        <v>2</v>
      </c>
      <c r="AF568" s="28">
        <v>2</v>
      </c>
      <c r="AG568" s="28">
        <v>2</v>
      </c>
      <c r="AH568" s="29" t="s">
        <v>2485</v>
      </c>
      <c r="AI568" s="36">
        <f>if(or(and(K568&lt;32, J568&lt;2), O568=1, P568=1, Q568=1, R568=1, S568=1, T568=1, U568=1, and(W568&lt;&gt;"", W568&lt;&gt;"Oxygen", W568&lt;&gt;"LowFlow")), "Intensive", "Intermediate")</f>
      </c>
      <c r="AJ568" s="37">
        <f>if(or(left(AH568, 1)="X", left(AH568, 1)="Y", left(AH568, 3)="J54M"), "CUSM", "No Match")</f>
      </c>
      <c r="AK568" s="37">
        <f>if(and(or(O568=3, P568=1, Q568=1, T568=1), AJ568="no Match"), "CUSM, CHU SJ, CHUQ", "")</f>
      </c>
      <c r="AL568" s="37">
        <f>IF(AND(O569=2, ISBLANK(P569), ISBLANK(Q569), ISBLANK(R569), ISBLANK(S569), ISBLANK(T569)), "CUSM, CHU SJ, CHUS, CHUQ", "")</f>
      </c>
      <c r="AM568" s="37">
        <f>if(and(AJ568="no match", AK568="", AL568="", K568&lt;26), "CUSM, CHU SJ, HGJ, CHUQ, CHUS", "")</f>
      </c>
      <c r="AN568" s="37">
        <f>if(and(AJ568="no match", AK568="", AL568="", K568&gt;26), "CUSM, CHU SJ, HGJ, CHUQ, CHUS, HMR", "")</f>
      </c>
    </row>
    <row x14ac:dyDescent="0.25" r="569" customHeight="1" ht="17.25">
      <c r="A569" s="27" t="s">
        <v>2486</v>
      </c>
      <c r="B569" s="28">
        <v>2</v>
      </c>
      <c r="C569" s="28">
        <v>815</v>
      </c>
      <c r="D569" s="29" t="s">
        <v>100</v>
      </c>
      <c r="E569" s="30" t="s">
        <v>54</v>
      </c>
      <c r="F569" s="31">
        <v>44493</v>
      </c>
      <c r="G569" s="32">
        <v>4.777777777777778</v>
      </c>
      <c r="H569" s="31">
        <v>44493</v>
      </c>
      <c r="I569" s="32">
        <v>4.6</v>
      </c>
      <c r="J569" s="33">
        <f>F569-H569</f>
      </c>
      <c r="K569" s="28">
        <v>25</v>
      </c>
      <c r="L569" s="28">
        <v>2</v>
      </c>
      <c r="M569" s="28">
        <v>2</v>
      </c>
      <c r="N569" s="38"/>
      <c r="O569" s="38"/>
      <c r="P569" s="38"/>
      <c r="Q569" s="34"/>
      <c r="R569" s="34"/>
      <c r="S569" s="34"/>
      <c r="T569" s="34"/>
      <c r="U569" s="35">
        <v>1</v>
      </c>
      <c r="V569" s="35">
        <v>1</v>
      </c>
      <c r="W569" s="29" t="s">
        <v>70</v>
      </c>
      <c r="X569" s="28">
        <v>36</v>
      </c>
      <c r="Y569" s="28">
        <v>1</v>
      </c>
      <c r="Z569" s="28">
        <v>2</v>
      </c>
      <c r="AA569" s="28">
        <v>2</v>
      </c>
      <c r="AB569" s="28">
        <v>1</v>
      </c>
      <c r="AC569" s="28">
        <v>2</v>
      </c>
      <c r="AD569" s="28">
        <v>1</v>
      </c>
      <c r="AE569" s="28">
        <v>4</v>
      </c>
      <c r="AF569" s="28">
        <v>2</v>
      </c>
      <c r="AG569" s="28">
        <v>2</v>
      </c>
      <c r="AH569" s="29" t="s">
        <v>2487</v>
      </c>
      <c r="AI569" s="36">
        <f>if(or(and(K569&lt;32, J569&lt;2), O569=1, P569=1, Q569=1, R569=1, S569=1, T569=1, U569=1, and(W569&lt;&gt;"", W569&lt;&gt;"Oxygen", W569&lt;&gt;"LowFlow")), "Intensive", "Intermediate")</f>
      </c>
      <c r="AJ569" s="37">
        <f>if(or(left(AH569, 1)="X", left(AH569, 1)="Y", left(AH569, 3)="J55M"), "CUSM", "No Match")</f>
      </c>
      <c r="AK569" s="37">
        <f>if(and(or(O569=3, P569=1, Q569=1, T569=1), AJ569="no Match"), "CUSM, CHU SJ, CHUQ", "")</f>
      </c>
      <c r="AL569" s="37">
        <f>IF(AND(O570=2, ISBLANK(P570), ISBLANK(Q570), ISBLANK(R570), ISBLANK(S570), ISBLANK(T570)), "CUSM, CHU SJ, CHUS, CHUQ", "")</f>
      </c>
      <c r="AM569" s="37">
        <f>if(and(AJ569="no match", AK569="", AL569="", K569&lt;26), "CUSM, CHU SJ, HGJ, CHUQ, CHUS", "")</f>
      </c>
      <c r="AN569" s="37">
        <f>if(and(AJ569="no match", AK569="", AL569="", K569&gt;26), "CUSM, CHU SJ, HGJ, CHUQ, CHUS, HMR", "")</f>
      </c>
    </row>
    <row x14ac:dyDescent="0.25" r="570" customHeight="1" ht="17.25">
      <c r="A570" s="27" t="s">
        <v>2488</v>
      </c>
      <c r="B570" s="28">
        <v>2</v>
      </c>
      <c r="C570" s="35">
        <v>831</v>
      </c>
      <c r="D570" s="29" t="s">
        <v>313</v>
      </c>
      <c r="E570" s="30" t="s">
        <v>50</v>
      </c>
      <c r="F570" s="31">
        <v>44493</v>
      </c>
      <c r="G570" s="32">
        <v>4.097222222222222</v>
      </c>
      <c r="H570" s="31">
        <v>44489</v>
      </c>
      <c r="I570" s="32">
        <v>4.580555555555556</v>
      </c>
      <c r="J570" s="33">
        <f>F570-H570</f>
      </c>
      <c r="K570" s="28">
        <v>39</v>
      </c>
      <c r="L570" s="28">
        <v>0</v>
      </c>
      <c r="M570" s="28">
        <v>1</v>
      </c>
      <c r="N570" s="34"/>
      <c r="O570" s="35">
        <v>2</v>
      </c>
      <c r="P570" s="34"/>
      <c r="Q570" s="34"/>
      <c r="R570" s="34"/>
      <c r="S570" s="34"/>
      <c r="T570" s="34"/>
      <c r="U570" s="34"/>
      <c r="V570" s="34"/>
      <c r="W570" s="29" t="s">
        <v>58</v>
      </c>
      <c r="X570" s="28">
        <v>33</v>
      </c>
      <c r="Y570" s="28">
        <v>1</v>
      </c>
      <c r="Z570" s="28">
        <v>2</v>
      </c>
      <c r="AA570" s="28">
        <v>3</v>
      </c>
      <c r="AB570" s="28">
        <v>1</v>
      </c>
      <c r="AC570" s="28">
        <v>2</v>
      </c>
      <c r="AD570" s="28">
        <v>2</v>
      </c>
      <c r="AE570" s="28">
        <v>4</v>
      </c>
      <c r="AF570" s="28">
        <v>2</v>
      </c>
      <c r="AG570" s="28">
        <v>2</v>
      </c>
      <c r="AH570" s="29" t="s">
        <v>2489</v>
      </c>
      <c r="AI570" s="36">
        <f>if(or(and(K570&lt;32, J570&lt;2), O570=1, P570=1, Q570=1, R570=1, S570=1, T570=1, U570=1, and(W570&lt;&gt;"", W570&lt;&gt;"Oxygen", W570&lt;&gt;"LowFlow")), "Intensive", "Intermediate")</f>
      </c>
      <c r="AJ570" s="37">
        <f>if(or(left(AH570, 1)="X", left(AH570, 1)="Y", left(AH570, 3)="J56M"), "CUSM", "No Match")</f>
      </c>
      <c r="AK570" s="37">
        <f>if(and(or(O570=3, P570=1, Q570=1, T570=1), AJ570="no Match"), "CUSM, CHU SJ, CHUQ", "")</f>
      </c>
      <c r="AL570" s="37">
        <f>IF(AND(O571=2, ISBLANK(P571), ISBLANK(Q571), ISBLANK(R571), ISBLANK(S571), ISBLANK(T571)), "CUSM, CHU SJ, CHUS, CHUQ", "")</f>
      </c>
      <c r="AM570" s="37">
        <f>if(and(AJ570="no match", AK570="", AL570="", K570&lt;26), "CUSM, CHU SJ, HGJ, CHUQ, CHUS", "")</f>
      </c>
      <c r="AN570" s="37">
        <f>if(and(AJ570="no match", AK570="", AL570="", K570&gt;26), "CUSM, CHU SJ, HGJ, CHUQ, CHUS, HMR", "")</f>
      </c>
    </row>
    <row x14ac:dyDescent="0.25" r="571" customHeight="1" ht="17.25">
      <c r="A571" s="27" t="s">
        <v>2490</v>
      </c>
      <c r="B571" s="28">
        <v>2</v>
      </c>
      <c r="C571" s="35">
        <v>820</v>
      </c>
      <c r="D571" s="29" t="s">
        <v>69</v>
      </c>
      <c r="E571" s="30" t="s">
        <v>50</v>
      </c>
      <c r="F571" s="31">
        <v>44493</v>
      </c>
      <c r="G571" s="32">
        <v>4.229166666666666</v>
      </c>
      <c r="H571" s="31">
        <v>44491</v>
      </c>
      <c r="I571" s="32">
        <v>4.735416666666667</v>
      </c>
      <c r="J571" s="33">
        <f>F571-H571</f>
      </c>
      <c r="K571" s="28">
        <v>40</v>
      </c>
      <c r="L571" s="28">
        <v>2</v>
      </c>
      <c r="M571" s="28">
        <v>1</v>
      </c>
      <c r="N571" s="38"/>
      <c r="O571" s="28">
        <v>2</v>
      </c>
      <c r="P571" s="38"/>
      <c r="Q571" s="34"/>
      <c r="R571" s="38"/>
      <c r="S571" s="34"/>
      <c r="T571" s="34"/>
      <c r="U571" s="38"/>
      <c r="V571" s="38"/>
      <c r="W571" s="29"/>
      <c r="X571" s="28">
        <v>34</v>
      </c>
      <c r="Y571" s="28">
        <v>1</v>
      </c>
      <c r="Z571" s="28">
        <v>1</v>
      </c>
      <c r="AA571" s="28">
        <v>2</v>
      </c>
      <c r="AB571" s="28">
        <v>1</v>
      </c>
      <c r="AC571" s="28">
        <v>2</v>
      </c>
      <c r="AD571" s="28">
        <v>2</v>
      </c>
      <c r="AE571" s="28">
        <v>4</v>
      </c>
      <c r="AF571" s="35">
        <v>2</v>
      </c>
      <c r="AG571" s="28">
        <v>2</v>
      </c>
      <c r="AH571" s="29" t="s">
        <v>2491</v>
      </c>
      <c r="AI571" s="36">
        <f>if(or(and(K571&lt;32, J571&lt;2), O571=1, P571=1, Q571=1, R571=1, S571=1, T571=1, U571=1, and(W571&lt;&gt;"", W571&lt;&gt;"Oxygen", W571&lt;&gt;"LowFlow")), "Intensive", "Intermediate")</f>
      </c>
      <c r="AJ571" s="37">
        <f>if(or(left(AH571, 1)="X", left(AH571, 1)="Y", left(AH571, 3)="J57M"), "CUSM", "No Match")</f>
      </c>
      <c r="AK571" s="37">
        <f>if(and(or(O571=3, P571=1, Q571=1, T571=1), AJ571="no Match"), "CUSM, CHU SJ, CHUQ", "")</f>
      </c>
      <c r="AL571" s="37">
        <f>IF(AND(O572=2, ISBLANK(P572), ISBLANK(Q572), ISBLANK(R572), ISBLANK(S572), ISBLANK(T572)), "CUSM, CHU SJ, CHUS, CHUQ", "")</f>
      </c>
      <c r="AM571" s="37">
        <f>if(and(AJ571="no match", AK571="", AL571="", K571&lt;26), "CUSM, CHU SJ, HGJ, CHUQ, CHUS", "")</f>
      </c>
      <c r="AN571" s="37">
        <f>if(and(AJ571="no match", AK571="", AL571="", K571&gt;26), "CUSM, CHU SJ, HGJ, CHUQ, CHUS, HMR", "")</f>
      </c>
    </row>
    <row x14ac:dyDescent="0.25" r="572" customHeight="1" ht="17.25">
      <c r="A572" s="27" t="s">
        <v>2492</v>
      </c>
      <c r="B572" s="28">
        <v>2</v>
      </c>
      <c r="C572" s="35">
        <v>825</v>
      </c>
      <c r="D572" s="29" t="s">
        <v>77</v>
      </c>
      <c r="E572" s="30" t="s">
        <v>220</v>
      </c>
      <c r="F572" s="31">
        <v>44493</v>
      </c>
      <c r="G572" s="32">
        <v>4.458333333333334</v>
      </c>
      <c r="H572" s="31">
        <v>44493</v>
      </c>
      <c r="I572" s="32">
        <v>4.3069444444444445</v>
      </c>
      <c r="J572" s="33">
        <f>F572-H572</f>
      </c>
      <c r="K572" s="28">
        <v>28</v>
      </c>
      <c r="L572" s="28">
        <v>0</v>
      </c>
      <c r="M572" s="28">
        <v>2</v>
      </c>
      <c r="N572" s="34"/>
      <c r="O572" s="34"/>
      <c r="P572" s="34"/>
      <c r="Q572" s="34"/>
      <c r="R572" s="34"/>
      <c r="S572" s="34"/>
      <c r="T572" s="34"/>
      <c r="U572" s="34"/>
      <c r="V572" s="34"/>
      <c r="W572" s="29" t="s">
        <v>74</v>
      </c>
      <c r="X572" s="28">
        <v>28</v>
      </c>
      <c r="Y572" s="28">
        <v>1</v>
      </c>
      <c r="Z572" s="28">
        <v>1</v>
      </c>
      <c r="AA572" s="28">
        <v>1</v>
      </c>
      <c r="AB572" s="28">
        <v>1</v>
      </c>
      <c r="AC572" s="28">
        <v>2</v>
      </c>
      <c r="AD572" s="28">
        <v>2</v>
      </c>
      <c r="AE572" s="28">
        <v>4</v>
      </c>
      <c r="AF572" s="28">
        <v>2</v>
      </c>
      <c r="AG572" s="28">
        <v>2</v>
      </c>
      <c r="AH572" s="29" t="s">
        <v>2493</v>
      </c>
      <c r="AI572" s="36">
        <f>if(or(and(K572&lt;32, J572&lt;2), O572=1, P572=1, Q572=1, R572=1, S572=1, T572=1, U572=1, and(W572&lt;&gt;"", W572&lt;&gt;"Oxygen", W572&lt;&gt;"LowFlow")), "Intensive", "Intermediate")</f>
      </c>
      <c r="AJ572" s="37">
        <f>if(or(left(AH572, 1)="X", left(AH572, 1)="Y", left(AH572, 3)="J58M"), "CUSM", "No Match")</f>
      </c>
      <c r="AK572" s="37">
        <f>if(and(or(O572=3, P572=1, Q572=1, T572=1), AJ572="no Match"), "CUSM, CHU SJ, CHUQ", "")</f>
      </c>
      <c r="AL572" s="37">
        <f>IF(AND(O573=2, ISBLANK(P573), ISBLANK(Q573), ISBLANK(R573), ISBLANK(S573), ISBLANK(T573)), "CUSM, CHU SJ, CHUS, CHUQ", "")</f>
      </c>
      <c r="AM572" s="37">
        <f>if(and(AJ572="no match", AK572="", AL572="", K572&lt;26), "CUSM, CHU SJ, HGJ, CHUQ, CHUS", "")</f>
      </c>
      <c r="AN572" s="37">
        <f>if(and(AJ572="no match", AK572="", AL572="", K572&gt;26), "CUSM, CHU SJ, HGJ, CHUQ, CHUS, HMR", "")</f>
      </c>
    </row>
    <row x14ac:dyDescent="0.25" r="573" customHeight="1" ht="17.25">
      <c r="A573" s="27" t="s">
        <v>2494</v>
      </c>
      <c r="B573" s="28">
        <v>2</v>
      </c>
      <c r="C573" s="35">
        <v>758</v>
      </c>
      <c r="D573" s="29" t="s">
        <v>2495</v>
      </c>
      <c r="E573" s="30" t="s">
        <v>50</v>
      </c>
      <c r="F573" s="31">
        <v>44494</v>
      </c>
      <c r="G573" s="32">
        <v>4.074305555555556</v>
      </c>
      <c r="H573" s="31">
        <v>44493</v>
      </c>
      <c r="I573" s="32">
        <v>4.74375</v>
      </c>
      <c r="J573" s="33">
        <f>F573-H573</f>
      </c>
      <c r="K573" s="28">
        <v>41</v>
      </c>
      <c r="L573" s="28">
        <v>3</v>
      </c>
      <c r="M573" s="28">
        <v>1</v>
      </c>
      <c r="N573" s="28">
        <v>1</v>
      </c>
      <c r="O573" s="34"/>
      <c r="P573" s="28">
        <v>1</v>
      </c>
      <c r="Q573" s="34"/>
      <c r="R573" s="34"/>
      <c r="S573" s="34"/>
      <c r="T573" s="34"/>
      <c r="U573" s="34"/>
      <c r="V573" s="34"/>
      <c r="W573" s="29"/>
      <c r="X573" s="28">
        <v>39</v>
      </c>
      <c r="Y573" s="28">
        <v>1</v>
      </c>
      <c r="Z573" s="28">
        <v>2</v>
      </c>
      <c r="AA573" s="28">
        <v>2</v>
      </c>
      <c r="AB573" s="28">
        <v>1</v>
      </c>
      <c r="AC573" s="28">
        <v>2</v>
      </c>
      <c r="AD573" s="28">
        <v>2</v>
      </c>
      <c r="AE573" s="28">
        <v>4</v>
      </c>
      <c r="AF573" s="28">
        <v>2</v>
      </c>
      <c r="AG573" s="28">
        <v>2</v>
      </c>
      <c r="AH573" s="29" t="s">
        <v>2496</v>
      </c>
      <c r="AI573" s="36">
        <f>if(or(and(K573&lt;32, J573&lt;2), O573=1, P573=1, Q573=1, R573=1, S573=1, T573=1, U573=1, and(W573&lt;&gt;"", W573&lt;&gt;"Oxygen", W573&lt;&gt;"LowFlow")), "Intensive", "Intermediate")</f>
      </c>
      <c r="AJ573" s="37">
        <f>if(or(left(AH573, 1)="X", left(AH573, 1)="Y", left(AH573, 3)="J59M"), "CUSM", "No Match")</f>
      </c>
      <c r="AK573" s="37">
        <f>if(and(or(O573=3, P573=1, Q573=1, T573=1), AJ573="no Match"), "CUSM, CHU SJ, CHUQ", "")</f>
      </c>
      <c r="AL573" s="37">
        <f>IF(AND(O574=2, ISBLANK(P574), ISBLANK(Q574), ISBLANK(R574), ISBLANK(S574), ISBLANK(T574)), "CUSM, CHU SJ, CHUS, CHUQ", "")</f>
      </c>
      <c r="AM573" s="37">
        <f>if(and(AJ573="no match", AK573="", AL573="", K573&lt;26), "CUSM, CHU SJ, HGJ, CHUQ, CHUS", "")</f>
      </c>
      <c r="AN573" s="37">
        <f>if(and(AJ573="no match", AK573="", AL573="", K573&gt;26), "CUSM, CHU SJ, HGJ, CHUQ, CHUS, HMR", "")</f>
      </c>
    </row>
    <row x14ac:dyDescent="0.25" r="574" customHeight="1" ht="17.25">
      <c r="A574" s="27" t="s">
        <v>2497</v>
      </c>
      <c r="B574" s="28">
        <v>2</v>
      </c>
      <c r="C574" s="35">
        <v>782</v>
      </c>
      <c r="D574" s="29" t="s">
        <v>95</v>
      </c>
      <c r="E574" s="30" t="s">
        <v>78</v>
      </c>
      <c r="F574" s="31">
        <v>44495</v>
      </c>
      <c r="G574" s="32">
        <v>4.618055555555555</v>
      </c>
      <c r="H574" s="31">
        <v>44495</v>
      </c>
      <c r="I574" s="32">
        <v>4.341666666666667</v>
      </c>
      <c r="J574" s="33">
        <f>F574-H574</f>
      </c>
      <c r="K574" s="28">
        <v>35</v>
      </c>
      <c r="L574" s="28">
        <v>0</v>
      </c>
      <c r="M574" s="28">
        <v>1</v>
      </c>
      <c r="N574" s="34"/>
      <c r="O574" s="34"/>
      <c r="P574" s="34"/>
      <c r="Q574" s="34"/>
      <c r="R574" s="34"/>
      <c r="S574" s="34"/>
      <c r="T574" s="34"/>
      <c r="U574" s="34"/>
      <c r="V574" s="34"/>
      <c r="W574" s="29" t="s">
        <v>58</v>
      </c>
      <c r="X574" s="28">
        <v>38</v>
      </c>
      <c r="Y574" s="28">
        <v>1</v>
      </c>
      <c r="Z574" s="28">
        <v>2</v>
      </c>
      <c r="AA574" s="28">
        <v>3</v>
      </c>
      <c r="AB574" s="28">
        <v>1</v>
      </c>
      <c r="AC574" s="28">
        <v>2</v>
      </c>
      <c r="AD574" s="28">
        <v>2</v>
      </c>
      <c r="AE574" s="28">
        <v>4</v>
      </c>
      <c r="AF574" s="28">
        <v>3</v>
      </c>
      <c r="AG574" s="28">
        <v>2</v>
      </c>
      <c r="AH574" s="29" t="s">
        <v>2498</v>
      </c>
      <c r="AI574" s="36">
        <f>if(or(and(K574&lt;32, J574&lt;2), O574=1, P574=1, Q574=1, R574=1, S574=1, T574=1, U574=1, and(W574&lt;&gt;"", W574&lt;&gt;"Oxygen", W574&lt;&gt;"LowFlow")), "Intensive", "Intermediate")</f>
      </c>
      <c r="AJ574" s="37">
        <f>if(or(left(AH574, 1)="X", left(AH574, 1)="Y", left(AH574, 3)="J60M"), "CUSM", "No Match")</f>
      </c>
      <c r="AK574" s="37">
        <f>if(and(or(O574=3, P574=1, Q574=1, T574=1), AJ574="no Match"), "CUSM, CHU SJ, CHUQ", "")</f>
      </c>
      <c r="AL574" s="37">
        <f>IF(AND(O575=2, ISBLANK(P575), ISBLANK(Q575), ISBLANK(R575), ISBLANK(S575), ISBLANK(T575)), "CUSM, CHU SJ, CHUS, CHUQ", "")</f>
      </c>
      <c r="AM574" s="37">
        <f>if(and(AJ574="no match", AK574="", AL574="", K574&lt;26), "CUSM, CHU SJ, HGJ, CHUQ, CHUS", "")</f>
      </c>
      <c r="AN574" s="37">
        <f>if(and(AJ574="no match", AK574="", AL574="", K574&gt;26), "CUSM, CHU SJ, HGJ, CHUQ, CHUS, HMR", "")</f>
      </c>
    </row>
    <row x14ac:dyDescent="0.25" r="575" customHeight="1" ht="17.25">
      <c r="A575" s="27" t="s">
        <v>2499</v>
      </c>
      <c r="B575" s="28">
        <v>2</v>
      </c>
      <c r="C575" s="35">
        <v>730</v>
      </c>
      <c r="D575" s="29" t="s">
        <v>81</v>
      </c>
      <c r="E575" s="30" t="s">
        <v>50</v>
      </c>
      <c r="F575" s="31">
        <v>44495</v>
      </c>
      <c r="G575" s="32">
        <v>4.395833333333334</v>
      </c>
      <c r="H575" s="31">
        <v>44495</v>
      </c>
      <c r="I575" s="32">
        <v>4.21875</v>
      </c>
      <c r="J575" s="33">
        <f>F575-H575</f>
      </c>
      <c r="K575" s="28">
        <v>35</v>
      </c>
      <c r="L575" s="28">
        <v>2</v>
      </c>
      <c r="M575" s="28">
        <v>1</v>
      </c>
      <c r="N575" s="38"/>
      <c r="O575" s="38"/>
      <c r="P575" s="34"/>
      <c r="Q575" s="34"/>
      <c r="R575" s="34"/>
      <c r="S575" s="38"/>
      <c r="T575" s="34"/>
      <c r="U575" s="34"/>
      <c r="V575" s="34"/>
      <c r="W575" s="29" t="s">
        <v>74</v>
      </c>
      <c r="X575" s="28">
        <v>32</v>
      </c>
      <c r="Y575" s="28">
        <v>1</v>
      </c>
      <c r="Z575" s="28">
        <v>1</v>
      </c>
      <c r="AA575" s="28">
        <v>1</v>
      </c>
      <c r="AB575" s="28">
        <v>2</v>
      </c>
      <c r="AC575" s="28">
        <v>2</v>
      </c>
      <c r="AD575" s="28">
        <v>2</v>
      </c>
      <c r="AE575" s="28">
        <v>4</v>
      </c>
      <c r="AF575" s="28">
        <v>3</v>
      </c>
      <c r="AG575" s="28">
        <v>2</v>
      </c>
      <c r="AH575" s="29" t="s">
        <v>2500</v>
      </c>
      <c r="AI575" s="36">
        <f>if(or(and(K575&lt;32, J575&lt;2), O575=1, P575=1, Q575=1, R575=1, S575=1, T575=1, U575=1, and(W575&lt;&gt;"", W575&lt;&gt;"Oxygen", W575&lt;&gt;"LowFlow")), "Intensive", "Intermediate")</f>
      </c>
      <c r="AJ575" s="37">
        <f>if(or(left(AH575, 1)="X", left(AH575, 1)="Y", left(AH575, 3)="J61M"), "CUSM", "No Match")</f>
      </c>
      <c r="AK575" s="37">
        <f>if(and(or(O575=3, P575=1, Q575=1, T575=1), AJ575="no Match"), "CUSM, CHU SJ, CHUQ", "")</f>
      </c>
      <c r="AL575" s="37">
        <f>IF(AND(O576=2, ISBLANK(P576), ISBLANK(Q576), ISBLANK(R576), ISBLANK(S576), ISBLANK(T576)), "CUSM, CHU SJ, CHUS, CHUQ", "")</f>
      </c>
      <c r="AM575" s="37">
        <f>if(and(AJ575="no match", AK575="", AL575="", K575&lt;26), "CUSM, CHU SJ, HGJ, CHUQ, CHUS", "")</f>
      </c>
      <c r="AN575" s="37">
        <f>if(and(AJ575="no match", AK575="", AL575="", K575&gt;26), "CUSM, CHU SJ, HGJ, CHUQ, CHUS, HMR", "")</f>
      </c>
    </row>
    <row x14ac:dyDescent="0.25" r="576" customHeight="1" ht="17.25">
      <c r="A576" s="27" t="s">
        <v>2501</v>
      </c>
      <c r="B576" s="28">
        <v>2</v>
      </c>
      <c r="C576" s="35">
        <v>756</v>
      </c>
      <c r="D576" s="29" t="s">
        <v>66</v>
      </c>
      <c r="E576" s="30" t="s">
        <v>50</v>
      </c>
      <c r="F576" s="31">
        <v>44495</v>
      </c>
      <c r="G576" s="32">
        <v>4.857638888888889</v>
      </c>
      <c r="H576" s="31">
        <v>44495</v>
      </c>
      <c r="I576" s="32">
        <v>4.704166666666667</v>
      </c>
      <c r="J576" s="33">
        <f>F576-H576</f>
      </c>
      <c r="K576" s="28">
        <v>36</v>
      </c>
      <c r="L576" s="28">
        <v>5</v>
      </c>
      <c r="M576" s="28">
        <v>1</v>
      </c>
      <c r="N576" s="38"/>
      <c r="O576" s="34"/>
      <c r="P576" s="34"/>
      <c r="Q576" s="34"/>
      <c r="R576" s="34"/>
      <c r="S576" s="34"/>
      <c r="T576" s="35">
        <v>1</v>
      </c>
      <c r="U576" s="34"/>
      <c r="V576" s="34"/>
      <c r="W576" s="29" t="s">
        <v>74</v>
      </c>
      <c r="X576" s="28">
        <v>34</v>
      </c>
      <c r="Y576" s="28">
        <v>1</v>
      </c>
      <c r="Z576" s="28">
        <v>2</v>
      </c>
      <c r="AA576" s="28">
        <v>1</v>
      </c>
      <c r="AB576" s="28">
        <v>3</v>
      </c>
      <c r="AC576" s="28">
        <v>2</v>
      </c>
      <c r="AD576" s="28">
        <v>2</v>
      </c>
      <c r="AE576" s="28">
        <v>4</v>
      </c>
      <c r="AF576" s="28">
        <v>1</v>
      </c>
      <c r="AG576" s="28">
        <v>2</v>
      </c>
      <c r="AH576" s="29" t="s">
        <v>2502</v>
      </c>
      <c r="AI576" s="36">
        <f>if(or(and(K576&lt;32, J576&lt;2), O576=1, P576=1, Q576=1, R576=1, S576=1, T576=1, U576=1, and(W576&lt;&gt;"", W576&lt;&gt;"Oxygen", W576&lt;&gt;"LowFlow")), "Intensive", "Intermediate")</f>
      </c>
      <c r="AJ576" s="37">
        <f>if(or(left(AH576, 1)="X", left(AH576, 1)="Y", left(AH576, 3)="J62M"), "CUSM", "No Match")</f>
      </c>
      <c r="AK576" s="37">
        <f>if(and(or(O576=3, P576=1, Q576=1, T576=1), AJ576="no Match"), "CUSM, CHU SJ, CHUQ", "")</f>
      </c>
      <c r="AL576" s="37">
        <f>IF(AND(O577=2, ISBLANK(P577), ISBLANK(Q577), ISBLANK(R577), ISBLANK(S577), ISBLANK(T577)), "CUSM, CHU SJ, CHUS, CHUQ", "")</f>
      </c>
      <c r="AM576" s="37">
        <f>if(and(AJ576="no match", AK576="", AL576="", K576&lt;26), "CUSM, CHU SJ, HGJ, CHUQ, CHUS", "")</f>
      </c>
      <c r="AN576" s="37">
        <f>if(and(AJ576="no match", AK576="", AL576="", K576&gt;26), "CUSM, CHU SJ, HGJ, CHUQ, CHUS, HMR", "")</f>
      </c>
    </row>
    <row x14ac:dyDescent="0.25" r="577" customHeight="1" ht="17.25">
      <c r="A577" s="27" t="s">
        <v>2503</v>
      </c>
      <c r="B577" s="28">
        <v>2</v>
      </c>
      <c r="C577" s="28">
        <v>779</v>
      </c>
      <c r="D577" s="29" t="s">
        <v>136</v>
      </c>
      <c r="E577" s="30" t="s">
        <v>50</v>
      </c>
      <c r="F577" s="31">
        <v>44495</v>
      </c>
      <c r="G577" s="32">
        <v>4.78125</v>
      </c>
      <c r="H577" s="31">
        <v>44492</v>
      </c>
      <c r="I577" s="32">
        <v>4.183333333333334</v>
      </c>
      <c r="J577" s="33">
        <f>F577-H577</f>
      </c>
      <c r="K577" s="28">
        <v>36</v>
      </c>
      <c r="L577" s="28">
        <v>4</v>
      </c>
      <c r="M577" s="28">
        <v>2</v>
      </c>
      <c r="N577" s="34"/>
      <c r="O577" s="34"/>
      <c r="P577" s="34"/>
      <c r="Q577" s="34"/>
      <c r="R577" s="34"/>
      <c r="S577" s="34"/>
      <c r="T577" s="34"/>
      <c r="U577" s="34"/>
      <c r="V577" s="34"/>
      <c r="W577" s="29"/>
      <c r="X577" s="28">
        <v>31</v>
      </c>
      <c r="Y577" s="28">
        <v>1</v>
      </c>
      <c r="Z577" s="28">
        <v>2</v>
      </c>
      <c r="AA577" s="28">
        <v>1</v>
      </c>
      <c r="AB577" s="28">
        <v>1</v>
      </c>
      <c r="AC577" s="28">
        <v>2</v>
      </c>
      <c r="AD577" s="28">
        <v>2</v>
      </c>
      <c r="AE577" s="28">
        <v>4</v>
      </c>
      <c r="AF577" s="28">
        <v>2</v>
      </c>
      <c r="AG577" s="28">
        <v>2</v>
      </c>
      <c r="AH577" s="29" t="s">
        <v>2504</v>
      </c>
      <c r="AI577" s="36">
        <f>if(or(and(K577&lt;32, J577&lt;2), O577=1, P577=1, Q577=1, R577=1, S577=1, T577=1, U577=1, and(W577&lt;&gt;"", W577&lt;&gt;"Oxygen", W577&lt;&gt;"LowFlow")), "Intensive", "Intermediate")</f>
      </c>
      <c r="AJ577" s="37">
        <f>if(or(left(AH577, 1)="X", left(AH577, 1)="Y", left(AH577, 3)="J63M"), "CUSM", "No Match")</f>
      </c>
      <c r="AK577" s="37">
        <f>if(and(or(O577=3, P577=1, Q577=1, T577=1), AJ577="no Match"), "CUSM, CHU SJ, CHUQ", "")</f>
      </c>
      <c r="AL577" s="37">
        <f>IF(AND(O578=2, ISBLANK(P578), ISBLANK(Q578), ISBLANK(R578), ISBLANK(S578), ISBLANK(T578)), "CUSM, CHU SJ, CHUS, CHUQ", "")</f>
      </c>
      <c r="AM577" s="37">
        <f>if(and(AJ577="no match", AK577="", AL577="", K577&lt;26), "CUSM, CHU SJ, HGJ, CHUQ, CHUS", "")</f>
      </c>
      <c r="AN577" s="37">
        <f>if(and(AJ577="no match", AK577="", AL577="", K577&gt;26), "CUSM, CHU SJ, HGJ, CHUQ, CHUS, HMR", "")</f>
      </c>
    </row>
    <row x14ac:dyDescent="0.25" r="578" customHeight="1" ht="17.25">
      <c r="A578" s="27" t="s">
        <v>2505</v>
      </c>
      <c r="B578" s="28">
        <v>2</v>
      </c>
      <c r="C578" s="28">
        <v>820</v>
      </c>
      <c r="D578" s="29" t="s">
        <v>69</v>
      </c>
      <c r="E578" s="30" t="s">
        <v>50</v>
      </c>
      <c r="F578" s="31">
        <v>44496</v>
      </c>
      <c r="G578" s="32">
        <v>4.697916666666666</v>
      </c>
      <c r="H578" s="31">
        <v>44480</v>
      </c>
      <c r="I578" s="32">
        <v>4.5569444444444445</v>
      </c>
      <c r="J578" s="33">
        <f>F578-H578</f>
      </c>
      <c r="K578" s="28">
        <v>39</v>
      </c>
      <c r="L578" s="28">
        <v>5</v>
      </c>
      <c r="M578" s="28">
        <v>1</v>
      </c>
      <c r="N578" s="34"/>
      <c r="O578" s="34"/>
      <c r="P578" s="34"/>
      <c r="Q578" s="34"/>
      <c r="R578" s="34"/>
      <c r="S578" s="34"/>
      <c r="T578" s="34"/>
      <c r="U578" s="34"/>
      <c r="V578" s="34"/>
      <c r="W578" s="29" t="s">
        <v>106</v>
      </c>
      <c r="X578" s="28">
        <v>29</v>
      </c>
      <c r="Y578" s="28">
        <v>1</v>
      </c>
      <c r="Z578" s="28">
        <v>1</v>
      </c>
      <c r="AA578" s="28">
        <v>1</v>
      </c>
      <c r="AB578" s="28">
        <v>1</v>
      </c>
      <c r="AC578" s="28">
        <v>2</v>
      </c>
      <c r="AD578" s="28">
        <v>2</v>
      </c>
      <c r="AE578" s="28">
        <v>4</v>
      </c>
      <c r="AF578" s="28">
        <v>3</v>
      </c>
      <c r="AG578" s="28">
        <v>2</v>
      </c>
      <c r="AH578" s="29" t="s">
        <v>2506</v>
      </c>
      <c r="AI578" s="36">
        <f>if(or(and(K578&lt;32, J578&lt;2), O578=1, P578=1, Q578=1, R578=1, S578=1, T578=1, U578=1, and(W578&lt;&gt;"", W578&lt;&gt;"Oxygen", W578&lt;&gt;"LowFlow")), "Intensive", "Intermediate")</f>
      </c>
      <c r="AJ578" s="37">
        <f>if(or(left(AH578, 1)="X", left(AH578, 1)="Y", left(AH578, 3)="J0M"), "CUSM", "No Match")</f>
      </c>
      <c r="AK578" s="37">
        <f>if(and(or(O578=3, P578=1, Q578=1, T578=1), AJ578="no Match"), "CUSM, CHU SJ, CHUQ", "")</f>
      </c>
      <c r="AL578" s="37">
        <f>IF(AND(O579=2, ISBLANK(P579), ISBLANK(Q579), ISBLANK(R579), ISBLANK(S579), ISBLANK(T579)), "CUSM, CHU SJ, CHUS, CHUQ", "")</f>
      </c>
      <c r="AM578" s="37">
        <f>if(and(AJ578="no match", AK578="", AL578="", K578&lt;26), "CUSM, CHU SJ, HGJ, CHUQ, CHUS", "")</f>
      </c>
      <c r="AN578" s="37">
        <f>if(and(AJ578="no match", AK578="", AL578="", K578&gt;26), "CUSM, CHU SJ, HGJ, CHUQ, CHUS, HMR", "")</f>
      </c>
    </row>
    <row x14ac:dyDescent="0.25" r="579" customHeight="1" ht="17.25">
      <c r="A579" s="27" t="s">
        <v>2507</v>
      </c>
      <c r="B579" s="28">
        <v>2</v>
      </c>
      <c r="C579" s="28">
        <v>796</v>
      </c>
      <c r="D579" s="29" t="s">
        <v>63</v>
      </c>
      <c r="E579" s="30" t="s">
        <v>54</v>
      </c>
      <c r="F579" s="31">
        <v>44497</v>
      </c>
      <c r="G579" s="32">
        <v>4.565972222222222</v>
      </c>
      <c r="H579" s="31">
        <v>44497</v>
      </c>
      <c r="I579" s="32">
        <v>4.345833333333333</v>
      </c>
      <c r="J579" s="33">
        <f>F579-H579</f>
      </c>
      <c r="K579" s="28">
        <v>41</v>
      </c>
      <c r="L579" s="28">
        <v>5</v>
      </c>
      <c r="M579" s="28">
        <v>2</v>
      </c>
      <c r="N579" s="38"/>
      <c r="O579" s="38"/>
      <c r="P579" s="38"/>
      <c r="Q579" s="34"/>
      <c r="R579" s="34"/>
      <c r="S579" s="34"/>
      <c r="T579" s="35">
        <v>1</v>
      </c>
      <c r="U579" s="35">
        <v>1</v>
      </c>
      <c r="V579" s="28">
        <v>1</v>
      </c>
      <c r="W579" s="29" t="s">
        <v>70</v>
      </c>
      <c r="X579" s="28">
        <v>28</v>
      </c>
      <c r="Y579" s="28">
        <v>1</v>
      </c>
      <c r="Z579" s="28">
        <v>2</v>
      </c>
      <c r="AA579" s="28">
        <v>2</v>
      </c>
      <c r="AB579" s="28">
        <v>1</v>
      </c>
      <c r="AC579" s="28">
        <v>2</v>
      </c>
      <c r="AD579" s="28">
        <v>2</v>
      </c>
      <c r="AE579" s="28">
        <v>4</v>
      </c>
      <c r="AF579" s="28">
        <v>2</v>
      </c>
      <c r="AG579" s="28">
        <v>2</v>
      </c>
      <c r="AH579" s="29" t="s">
        <v>1052</v>
      </c>
      <c r="AI579" s="36">
        <f>if(or(and(K579&lt;32, J579&lt;2), O579=1, P579=1, Q579=1, R579=1, S579=1, T579=1, U579=1, and(W579&lt;&gt;"", W579&lt;&gt;"Oxygen", W579&lt;&gt;"LowFlow")), "Intensive", "Intermediate")</f>
      </c>
      <c r="AJ579" s="37">
        <f>if(or(left(AH579, 1)="X", left(AH579, 1)="Y", left(AH579, 3)="J1M"), "CUSM", "No Match")</f>
      </c>
      <c r="AK579" s="37">
        <f>if(and(or(O579=3, P579=1, Q579=1, T579=1), AJ579="no Match"), "CUSM, CHU SJ, CHUQ", "")</f>
      </c>
      <c r="AL579" s="37">
        <f>IF(AND(O580=2, ISBLANK(P580), ISBLANK(Q580), ISBLANK(R580), ISBLANK(S580), ISBLANK(T580)), "CUSM, CHU SJ, CHUS, CHUQ", "")</f>
      </c>
      <c r="AM579" s="37">
        <f>if(and(AJ579="no match", AK579="", AL579="", K579&lt;26), "CUSM, CHU SJ, HGJ, CHUQ, CHUS", "")</f>
      </c>
      <c r="AN579" s="37">
        <f>if(and(AJ579="no match", AK579="", AL579="", K579&gt;26), "CUSM, CHU SJ, HGJ, CHUQ, CHUS, HMR", "")</f>
      </c>
    </row>
    <row x14ac:dyDescent="0.25" r="580" customHeight="1" ht="17.25">
      <c r="A580" s="27" t="s">
        <v>2508</v>
      </c>
      <c r="B580" s="28">
        <v>2</v>
      </c>
      <c r="C580" s="28">
        <v>796</v>
      </c>
      <c r="D580" s="29" t="s">
        <v>63</v>
      </c>
      <c r="E580" s="30" t="s">
        <v>78</v>
      </c>
      <c r="F580" s="31">
        <v>44497</v>
      </c>
      <c r="G580" s="32">
        <v>4.583333333333334</v>
      </c>
      <c r="H580" s="31">
        <v>44497</v>
      </c>
      <c r="I580" s="32">
        <v>4.4125</v>
      </c>
      <c r="J580" s="33">
        <f>F580-H580</f>
      </c>
      <c r="K580" s="28">
        <v>26</v>
      </c>
      <c r="L580" s="28">
        <v>1</v>
      </c>
      <c r="M580" s="28">
        <v>2</v>
      </c>
      <c r="N580" s="28">
        <v>1</v>
      </c>
      <c r="O580" s="34"/>
      <c r="P580" s="35">
        <v>1</v>
      </c>
      <c r="Q580" s="34"/>
      <c r="R580" s="34"/>
      <c r="S580" s="34"/>
      <c r="T580" s="34"/>
      <c r="U580" s="34"/>
      <c r="V580" s="35">
        <v>1</v>
      </c>
      <c r="W580" s="29" t="s">
        <v>74</v>
      </c>
      <c r="X580" s="28">
        <v>23</v>
      </c>
      <c r="Y580" s="28">
        <v>1</v>
      </c>
      <c r="Z580" s="28">
        <v>1</v>
      </c>
      <c r="AA580" s="28">
        <v>1</v>
      </c>
      <c r="AB580" s="28">
        <v>1</v>
      </c>
      <c r="AC580" s="28">
        <v>2</v>
      </c>
      <c r="AD580" s="28">
        <v>2</v>
      </c>
      <c r="AE580" s="28">
        <v>4</v>
      </c>
      <c r="AF580" s="28">
        <v>3</v>
      </c>
      <c r="AG580" s="28">
        <v>2</v>
      </c>
      <c r="AH580" s="29" t="s">
        <v>2509</v>
      </c>
      <c r="AI580" s="36">
        <f>if(or(and(K580&lt;32, J580&lt;2), O580=1, P580=1, Q580=1, R580=1, S580=1, T580=1, U580=1, and(W580&lt;&gt;"", W580&lt;&gt;"Oxygen", W580&lt;&gt;"LowFlow")), "Intensive", "Intermediate")</f>
      </c>
      <c r="AJ580" s="37">
        <f>if(or(left(AH580, 1)="X", left(AH580, 1)="Y", left(AH580, 3)="J2M"), "CUSM", "No Match")</f>
      </c>
      <c r="AK580" s="37">
        <f>if(and(or(O580=3, P580=1, Q580=1, T580=1), AJ580="no Match"), "CUSM, CHU SJ, CHUQ", "")</f>
      </c>
      <c r="AL580" s="37">
        <f>IF(AND(O581=2, ISBLANK(P581), ISBLANK(Q581), ISBLANK(R581), ISBLANK(S581), ISBLANK(T581)), "CUSM, CHU SJ, CHUS, CHUQ", "")</f>
      </c>
      <c r="AM580" s="37">
        <f>if(and(AJ580="no match", AK580="", AL580="", K580&lt;26), "CUSM, CHU SJ, HGJ, CHUQ, CHUS", "")</f>
      </c>
      <c r="AN580" s="37">
        <f>if(and(AJ580="no match", AK580="", AL580="", K580&gt;26), "CUSM, CHU SJ, HGJ, CHUQ, CHUS, HMR", "")</f>
      </c>
    </row>
    <row x14ac:dyDescent="0.25" r="581" customHeight="1" ht="17.25">
      <c r="A581" s="27" t="s">
        <v>2510</v>
      </c>
      <c r="B581" s="28">
        <v>2</v>
      </c>
      <c r="C581" s="28">
        <v>822</v>
      </c>
      <c r="D581" s="29" t="s">
        <v>167</v>
      </c>
      <c r="E581" s="30" t="s">
        <v>50</v>
      </c>
      <c r="F581" s="31">
        <v>44497</v>
      </c>
      <c r="G581" s="32">
        <v>4.84375</v>
      </c>
      <c r="H581" s="31">
        <v>44497</v>
      </c>
      <c r="I581" s="32">
        <v>4.622222222222222</v>
      </c>
      <c r="J581" s="33">
        <f>F581-H581</f>
      </c>
      <c r="K581" s="28">
        <v>39</v>
      </c>
      <c r="L581" s="28">
        <v>0</v>
      </c>
      <c r="M581" s="28">
        <v>1</v>
      </c>
      <c r="N581" s="35">
        <v>1</v>
      </c>
      <c r="O581" s="34"/>
      <c r="P581" s="35">
        <v>1</v>
      </c>
      <c r="Q581" s="34"/>
      <c r="R581" s="34"/>
      <c r="S581" s="34"/>
      <c r="T581" s="34"/>
      <c r="U581" s="34"/>
      <c r="V581" s="34"/>
      <c r="W581" s="29"/>
      <c r="X581" s="28">
        <v>27</v>
      </c>
      <c r="Y581" s="28">
        <v>1</v>
      </c>
      <c r="Z581" s="28">
        <v>1</v>
      </c>
      <c r="AA581" s="28">
        <v>3</v>
      </c>
      <c r="AB581" s="28">
        <v>1</v>
      </c>
      <c r="AC581" s="28">
        <v>2</v>
      </c>
      <c r="AD581" s="28">
        <v>2</v>
      </c>
      <c r="AE581" s="28">
        <v>4</v>
      </c>
      <c r="AF581" s="28">
        <v>2</v>
      </c>
      <c r="AG581" s="28">
        <v>2</v>
      </c>
      <c r="AH581" s="29" t="s">
        <v>2511</v>
      </c>
      <c r="AI581" s="36">
        <f>if(or(and(K581&lt;32, J581&lt;2), O581=1, P581=1, Q581=1, R581=1, S581=1, T581=1, U581=1, and(W581&lt;&gt;"", W581&lt;&gt;"Oxygen", W581&lt;&gt;"LowFlow")), "Intensive", "Intermediate")</f>
      </c>
      <c r="AJ581" s="37">
        <f>if(or(left(AH581, 1)="X", left(AH581, 1)="Y", left(AH581, 3)="J3M"), "CUSM", "No Match")</f>
      </c>
      <c r="AK581" s="37">
        <f>if(and(or(O581=3, P581=1, Q581=1, T581=1), AJ581="no Match"), "CUSM, CHU SJ, CHUQ", "")</f>
      </c>
      <c r="AL581" s="37">
        <f>IF(AND(O582=2, ISBLANK(P582), ISBLANK(Q582), ISBLANK(R582), ISBLANK(S582), ISBLANK(T582)), "CUSM, CHU SJ, CHUS, CHUQ", "")</f>
      </c>
      <c r="AM581" s="37">
        <f>if(and(AJ581="no match", AK581="", AL581="", K581&lt;26), "CUSM, CHU SJ, HGJ, CHUQ, CHUS", "")</f>
      </c>
      <c r="AN581" s="37">
        <f>if(and(AJ581="no match", AK581="", AL581="", K581&gt;26), "CUSM, CHU SJ, HGJ, CHUQ, CHUS, HMR", "")</f>
      </c>
    </row>
    <row x14ac:dyDescent="0.25" r="582" customHeight="1" ht="17.25">
      <c r="A582" s="27" t="s">
        <v>2512</v>
      </c>
      <c r="B582" s="28">
        <v>2</v>
      </c>
      <c r="C582" s="28">
        <v>757</v>
      </c>
      <c r="D582" s="29" t="s">
        <v>124</v>
      </c>
      <c r="E582" s="30" t="s">
        <v>50</v>
      </c>
      <c r="F582" s="31">
        <v>44497</v>
      </c>
      <c r="G582" s="32">
        <v>4.857638888888889</v>
      </c>
      <c r="H582" s="31">
        <v>44497</v>
      </c>
      <c r="I582" s="32">
        <v>4.011111111111111</v>
      </c>
      <c r="J582" s="33">
        <f>F582-H582</f>
      </c>
      <c r="K582" s="28">
        <v>40</v>
      </c>
      <c r="L582" s="28">
        <v>0</v>
      </c>
      <c r="M582" s="28">
        <v>1</v>
      </c>
      <c r="N582" s="38"/>
      <c r="O582" s="34"/>
      <c r="P582" s="34"/>
      <c r="Q582" s="34"/>
      <c r="R582" s="34"/>
      <c r="S582" s="34"/>
      <c r="T582" s="35">
        <v>1</v>
      </c>
      <c r="U582" s="34"/>
      <c r="V582" s="34"/>
      <c r="W582" s="29"/>
      <c r="X582" s="28">
        <v>19</v>
      </c>
      <c r="Y582" s="28">
        <v>1</v>
      </c>
      <c r="Z582" s="28">
        <v>2</v>
      </c>
      <c r="AA582" s="28">
        <v>1</v>
      </c>
      <c r="AB582" s="28">
        <v>4</v>
      </c>
      <c r="AC582" s="28">
        <v>3</v>
      </c>
      <c r="AD582" s="28">
        <v>3</v>
      </c>
      <c r="AE582" s="28">
        <v>2</v>
      </c>
      <c r="AF582" s="28">
        <v>3</v>
      </c>
      <c r="AG582" s="28">
        <v>2</v>
      </c>
      <c r="AH582" s="29" t="s">
        <v>2513</v>
      </c>
      <c r="AI582" s="36">
        <f>if(or(and(K582&lt;32, J582&lt;2), O582=1, P582=1, Q582=1, R582=1, S582=1, T582=1, U582=1, and(W582&lt;&gt;"", W582&lt;&gt;"Oxygen", W582&lt;&gt;"LowFlow")), "Intensive", "Intermediate")</f>
      </c>
      <c r="AJ582" s="37">
        <f>if(or(left(AH582, 1)="X", left(AH582, 1)="Y", left(AH582, 3)="J4M"), "CUSM", "No Match")</f>
      </c>
      <c r="AK582" s="37">
        <f>if(and(or(O582=3, P582=1, Q582=1, T582=1), AJ582="no Match"), "CUSM, CHU SJ, CHUQ", "")</f>
      </c>
      <c r="AL582" s="37">
        <f>IF(AND(O583=2, ISBLANK(P583), ISBLANK(Q583), ISBLANK(R583), ISBLANK(S583), ISBLANK(T583)), "CUSM, CHU SJ, CHUS, CHUQ", "")</f>
      </c>
      <c r="AM582" s="37">
        <f>if(and(AJ582="no match", AK582="", AL582="", K582&lt;26), "CUSM, CHU SJ, HGJ, CHUQ, CHUS", "")</f>
      </c>
      <c r="AN582" s="37">
        <f>if(and(AJ582="no match", AK582="", AL582="", K582&gt;26), "CUSM, CHU SJ, HGJ, CHUQ, CHUS, HMR", "")</f>
      </c>
    </row>
    <row x14ac:dyDescent="0.25" r="583" customHeight="1" ht="17.25">
      <c r="A583" s="27" t="s">
        <v>2514</v>
      </c>
      <c r="B583" s="28">
        <v>2</v>
      </c>
      <c r="C583" s="28">
        <v>825</v>
      </c>
      <c r="D583" s="29" t="s">
        <v>77</v>
      </c>
      <c r="E583" s="30" t="s">
        <v>50</v>
      </c>
      <c r="F583" s="31">
        <v>44499</v>
      </c>
      <c r="G583" s="32">
        <v>4.027777777777778</v>
      </c>
      <c r="H583" s="31">
        <v>44498</v>
      </c>
      <c r="I583" s="32">
        <v>4.872916666666667</v>
      </c>
      <c r="J583" s="33">
        <f>F583-H583</f>
      </c>
      <c r="K583" s="28">
        <v>34</v>
      </c>
      <c r="L583" s="28">
        <v>4</v>
      </c>
      <c r="M583" s="28">
        <v>1</v>
      </c>
      <c r="N583" s="34"/>
      <c r="O583" s="35">
        <v>2</v>
      </c>
      <c r="P583" s="34"/>
      <c r="Q583" s="34"/>
      <c r="R583" s="34"/>
      <c r="S583" s="34"/>
      <c r="T583" s="34"/>
      <c r="U583" s="34"/>
      <c r="V583" s="34"/>
      <c r="W583" s="29" t="s">
        <v>74</v>
      </c>
      <c r="X583" s="28">
        <v>27</v>
      </c>
      <c r="Y583" s="28">
        <v>1</v>
      </c>
      <c r="Z583" s="28">
        <v>1</v>
      </c>
      <c r="AA583" s="28">
        <v>1</v>
      </c>
      <c r="AB583" s="28">
        <v>1</v>
      </c>
      <c r="AC583" s="28">
        <v>2</v>
      </c>
      <c r="AD583" s="28">
        <v>2</v>
      </c>
      <c r="AE583" s="28">
        <v>4</v>
      </c>
      <c r="AF583" s="28">
        <v>3</v>
      </c>
      <c r="AG583" s="28">
        <v>2</v>
      </c>
      <c r="AH583" s="29" t="s">
        <v>803</v>
      </c>
      <c r="AI583" s="36">
        <f>if(or(and(K583&lt;32, J583&lt;2), O583=1, P583=1, Q583=1, R583=1, S583=1, T583=1, U583=1, and(W583&lt;&gt;"", W583&lt;&gt;"Oxygen", W583&lt;&gt;"LowFlow")), "Intensive", "Intermediate")</f>
      </c>
      <c r="AJ583" s="37">
        <f>if(or(left(AH583, 1)="X", left(AH583, 1)="Y", left(AH583, 3)="J5M"), "CUSM", "No Match")</f>
      </c>
      <c r="AK583" s="37">
        <f>if(and(or(O583=3, P583=1, Q583=1, T583=1), AJ583="no Match"), "CUSM, CHU SJ, CHUQ", "")</f>
      </c>
      <c r="AL583" s="37">
        <f>IF(AND(O584=2, ISBLANK(P584), ISBLANK(Q584), ISBLANK(R584), ISBLANK(S584), ISBLANK(T584)), "CUSM, CHU SJ, CHUS, CHUQ", "")</f>
      </c>
      <c r="AM583" s="37">
        <f>if(and(AJ583="no match", AK583="", AL583="", K583&lt;26), "CUSM, CHU SJ, HGJ, CHUQ, CHUS", "")</f>
      </c>
      <c r="AN583" s="37">
        <f>if(and(AJ583="no match", AK583="", AL583="", K583&gt;26), "CUSM, CHU SJ, HGJ, CHUQ, CHUS, HMR", "")</f>
      </c>
    </row>
    <row x14ac:dyDescent="0.25" r="584" customHeight="1" ht="17.25">
      <c r="A584" s="27" t="s">
        <v>2515</v>
      </c>
      <c r="B584" s="28">
        <v>2</v>
      </c>
      <c r="C584" s="28">
        <v>820</v>
      </c>
      <c r="D584" s="29" t="s">
        <v>69</v>
      </c>
      <c r="E584" s="30" t="s">
        <v>50</v>
      </c>
      <c r="F584" s="31">
        <v>44500</v>
      </c>
      <c r="G584" s="32">
        <v>4.09375</v>
      </c>
      <c r="H584" s="31">
        <v>44498</v>
      </c>
      <c r="I584" s="32">
        <v>4.3625</v>
      </c>
      <c r="J584" s="33">
        <f>F584-H584</f>
      </c>
      <c r="K584" s="28">
        <v>36</v>
      </c>
      <c r="L584" s="28">
        <v>0</v>
      </c>
      <c r="M584" s="28">
        <v>1</v>
      </c>
      <c r="N584" s="38"/>
      <c r="O584" s="34"/>
      <c r="P584" s="38"/>
      <c r="Q584" s="34"/>
      <c r="R584" s="34"/>
      <c r="S584" s="34"/>
      <c r="T584" s="34"/>
      <c r="U584" s="34"/>
      <c r="V584" s="34"/>
      <c r="W584" s="29" t="s">
        <v>58</v>
      </c>
      <c r="X584" s="28">
        <v>38</v>
      </c>
      <c r="Y584" s="28">
        <v>2</v>
      </c>
      <c r="Z584" s="28">
        <v>2</v>
      </c>
      <c r="AA584" s="28">
        <v>3</v>
      </c>
      <c r="AB584" s="28">
        <v>1</v>
      </c>
      <c r="AC584" s="28">
        <v>2</v>
      </c>
      <c r="AD584" s="28">
        <v>2</v>
      </c>
      <c r="AE584" s="28">
        <v>4</v>
      </c>
      <c r="AF584" s="35">
        <v>2</v>
      </c>
      <c r="AG584" s="28">
        <v>2</v>
      </c>
      <c r="AH584" s="29" t="s">
        <v>2516</v>
      </c>
      <c r="AI584" s="36">
        <f>if(or(and(K584&lt;32, J584&lt;2), O584=1, P584=1, Q584=1, R584=1, S584=1, T584=1, U584=1, and(W584&lt;&gt;"", W584&lt;&gt;"Oxygen", W584&lt;&gt;"LowFlow")), "Intensive", "Intermediate")</f>
      </c>
      <c r="AJ584" s="37">
        <f>if(or(left(AH584, 1)="X", left(AH584, 1)="Y", left(AH584, 3)="J6M"), "CUSM", "No Match")</f>
      </c>
      <c r="AK584" s="37">
        <f>if(and(or(O584=3, P584=1, Q584=1, T584=1), AJ584="no Match"), "CUSM, CHU SJ, CHUQ", "")</f>
      </c>
      <c r="AL584" s="37">
        <f>IF(AND(O585=2, ISBLANK(P585), ISBLANK(Q585), ISBLANK(R585), ISBLANK(S585), ISBLANK(T585)), "CUSM, CHU SJ, CHUS, CHUQ", "")</f>
      </c>
      <c r="AM584" s="37">
        <f>if(and(AJ584="no match", AK584="", AL584="", K584&lt;26), "CUSM, CHU SJ, HGJ, CHUQ, CHUS", "")</f>
      </c>
      <c r="AN584" s="37">
        <f>if(and(AJ584="no match", AK584="", AL584="", K584&gt;26), "CUSM, CHU SJ, HGJ, CHUQ, CHUS, HMR", "")</f>
      </c>
    </row>
    <row x14ac:dyDescent="0.25" r="585" customHeight="1" ht="17.25">
      <c r="A585" s="27" t="s">
        <v>2517</v>
      </c>
      <c r="B585" s="28">
        <v>2</v>
      </c>
      <c r="C585" s="35">
        <v>833</v>
      </c>
      <c r="D585" s="29" t="s">
        <v>376</v>
      </c>
      <c r="E585" s="30" t="s">
        <v>50</v>
      </c>
      <c r="F585" s="31">
        <v>44500</v>
      </c>
      <c r="G585" s="32">
        <v>4.8125</v>
      </c>
      <c r="H585" s="31">
        <v>44500</v>
      </c>
      <c r="I585" s="32">
        <v>4.399305555555555</v>
      </c>
      <c r="J585" s="33">
        <f>F585-H585</f>
      </c>
      <c r="K585" s="28">
        <v>37</v>
      </c>
      <c r="L585" s="28">
        <v>2</v>
      </c>
      <c r="M585" s="28">
        <v>1</v>
      </c>
      <c r="N585" s="38"/>
      <c r="O585" s="34"/>
      <c r="P585" s="34"/>
      <c r="Q585" s="34"/>
      <c r="R585" s="34"/>
      <c r="S585" s="34"/>
      <c r="T585" s="34"/>
      <c r="U585" s="34"/>
      <c r="V585" s="34"/>
      <c r="W585" s="29"/>
      <c r="X585" s="28">
        <v>32</v>
      </c>
      <c r="Y585" s="28">
        <v>1</v>
      </c>
      <c r="Z585" s="28">
        <v>1</v>
      </c>
      <c r="AA585" s="28">
        <v>2</v>
      </c>
      <c r="AB585" s="28">
        <v>1</v>
      </c>
      <c r="AC585" s="28">
        <v>1</v>
      </c>
      <c r="AD585" s="28">
        <v>2</v>
      </c>
      <c r="AE585" s="28">
        <v>4</v>
      </c>
      <c r="AF585" s="28">
        <v>2</v>
      </c>
      <c r="AG585" s="28">
        <v>2</v>
      </c>
      <c r="AH585" s="29" t="s">
        <v>2518</v>
      </c>
      <c r="AI585" s="36">
        <f>if(or(and(K585&lt;32, J585&lt;2), O585=1, P585=1, Q585=1, R585=1, S585=1, T585=1, U585=1, and(W585&lt;&gt;"", W585&lt;&gt;"Oxygen", W585&lt;&gt;"LowFlow")), "Intensive", "Intermediate")</f>
      </c>
      <c r="AJ585" s="37">
        <f>if(or(left(AH585, 1)="X", left(AH585, 1)="Y", left(AH585, 3)="J7M"), "CUSM", "No Match")</f>
      </c>
      <c r="AK585" s="37">
        <f>if(and(or(O585=3, P585=1, Q585=1, T585=1), AJ585="no Match"), "CUSM, CHU SJ, CHUQ", "")</f>
      </c>
      <c r="AL585" s="37">
        <f>IF(AND(O586=2, ISBLANK(P586), ISBLANK(Q586), ISBLANK(R586), ISBLANK(S586), ISBLANK(T586)), "CUSM, CHU SJ, CHUS, CHUQ", "")</f>
      </c>
      <c r="AM585" s="37">
        <f>if(and(AJ585="no match", AK585="", AL585="", K585&lt;26), "CUSM, CHU SJ, HGJ, CHUQ, CHUS", "")</f>
      </c>
      <c r="AN585" s="37">
        <f>if(and(AJ585="no match", AK585="", AL585="", K585&gt;26), "CUSM, CHU SJ, HGJ, CHUQ, CHUS, HMR", "")</f>
      </c>
    </row>
    <row x14ac:dyDescent="0.25" r="586" customHeight="1" ht="17.25">
      <c r="A586" s="27" t="s">
        <v>2519</v>
      </c>
      <c r="B586" s="28">
        <v>2</v>
      </c>
      <c r="C586" s="35">
        <v>824</v>
      </c>
      <c r="D586" s="29" t="s">
        <v>57</v>
      </c>
      <c r="E586" s="30" t="s">
        <v>54</v>
      </c>
      <c r="F586" s="31">
        <v>44501</v>
      </c>
      <c r="G586" s="32">
        <v>4.694444444444445</v>
      </c>
      <c r="H586" s="31">
        <v>44475</v>
      </c>
      <c r="I586" s="32">
        <v>4.563194444444445</v>
      </c>
      <c r="J586" s="33">
        <f>F586-H586</f>
      </c>
      <c r="K586" s="28">
        <v>32</v>
      </c>
      <c r="L586" s="28">
        <v>6</v>
      </c>
      <c r="M586" s="28">
        <v>2</v>
      </c>
      <c r="N586" s="35">
        <v>1</v>
      </c>
      <c r="O586" s="34"/>
      <c r="P586" s="35">
        <v>1</v>
      </c>
      <c r="Q586" s="34"/>
      <c r="R586" s="34"/>
      <c r="S586" s="34"/>
      <c r="T586" s="34"/>
      <c r="U586" s="34"/>
      <c r="V586" s="34"/>
      <c r="W586" s="29" t="s">
        <v>58</v>
      </c>
      <c r="X586" s="28">
        <v>32</v>
      </c>
      <c r="Y586" s="28">
        <v>2</v>
      </c>
      <c r="Z586" s="28">
        <v>2</v>
      </c>
      <c r="AA586" s="28">
        <v>3</v>
      </c>
      <c r="AB586" s="28">
        <v>4</v>
      </c>
      <c r="AC586" s="28">
        <v>2</v>
      </c>
      <c r="AD586" s="28">
        <v>2</v>
      </c>
      <c r="AE586" s="28">
        <v>4</v>
      </c>
      <c r="AF586" s="28">
        <v>3</v>
      </c>
      <c r="AG586" s="28">
        <v>2</v>
      </c>
      <c r="AH586" s="29" t="s">
        <v>2520</v>
      </c>
      <c r="AI586" s="36">
        <f>if(or(and(K586&lt;32, J586&lt;2), O586=1, P586=1, Q586=1, R586=1, S586=1, T586=1, U586=1, and(W586&lt;&gt;"", W586&lt;&gt;"Oxygen", W586&lt;&gt;"LowFlow")), "Intensive", "Intermediate")</f>
      </c>
      <c r="AJ586" s="37">
        <f>if(or(left(AH586, 1)="X", left(AH586, 1)="Y", left(AH586, 3)="J8M"), "CUSM", "No Match")</f>
      </c>
      <c r="AK586" s="37">
        <f>if(and(or(O586=3, P586=1, Q586=1, T586=1), AJ586="no Match"), "CUSM, CHU SJ, CHUQ", "")</f>
      </c>
      <c r="AL586" s="37">
        <f>IF(AND(O587=2, ISBLANK(P587), ISBLANK(Q587), ISBLANK(R587), ISBLANK(S587), ISBLANK(T587)), "CUSM, CHU SJ, CHUS, CHUQ", "")</f>
      </c>
      <c r="AM586" s="37">
        <f>if(and(AJ586="no match", AK586="", AL586="", K586&lt;26), "CUSM, CHU SJ, HGJ, CHUQ, CHUS", "")</f>
      </c>
      <c r="AN586" s="37">
        <f>if(and(AJ586="no match", AK586="", AL586="", K586&gt;26), "CUSM, CHU SJ, HGJ, CHUQ, CHUS, HMR", "")</f>
      </c>
    </row>
    <row x14ac:dyDescent="0.25" r="587" customHeight="1" ht="17.25">
      <c r="A587" s="27" t="s">
        <v>2521</v>
      </c>
      <c r="B587" s="28">
        <v>2</v>
      </c>
      <c r="C587" s="28">
        <v>815</v>
      </c>
      <c r="D587" s="29" t="s">
        <v>100</v>
      </c>
      <c r="E587" s="30" t="s">
        <v>78</v>
      </c>
      <c r="F587" s="31">
        <v>44501</v>
      </c>
      <c r="G587" s="32">
        <v>4.361111111111111</v>
      </c>
      <c r="H587" s="31">
        <v>44501</v>
      </c>
      <c r="I587" s="32">
        <v>4.172916666666667</v>
      </c>
      <c r="J587" s="33">
        <f>F587-H587</f>
      </c>
      <c r="K587" s="28">
        <v>34</v>
      </c>
      <c r="L587" s="28">
        <v>1</v>
      </c>
      <c r="M587" s="28">
        <v>1</v>
      </c>
      <c r="N587" s="34"/>
      <c r="O587" s="34"/>
      <c r="P587" s="34"/>
      <c r="Q587" s="34"/>
      <c r="R587" s="34"/>
      <c r="S587" s="34"/>
      <c r="T587" s="34"/>
      <c r="U587" s="34"/>
      <c r="V587" s="34"/>
      <c r="W587" s="29" t="s">
        <v>74</v>
      </c>
      <c r="X587" s="28">
        <v>30</v>
      </c>
      <c r="Y587" s="28">
        <v>1</v>
      </c>
      <c r="Z587" s="28">
        <v>2</v>
      </c>
      <c r="AA587" s="28">
        <v>1</v>
      </c>
      <c r="AB587" s="28">
        <v>3</v>
      </c>
      <c r="AC587" s="28">
        <v>2</v>
      </c>
      <c r="AD587" s="28">
        <v>2</v>
      </c>
      <c r="AE587" s="28">
        <v>2</v>
      </c>
      <c r="AF587" s="28">
        <v>2</v>
      </c>
      <c r="AG587" s="28">
        <v>2</v>
      </c>
      <c r="AH587" s="29" t="s">
        <v>2522</v>
      </c>
      <c r="AI587" s="36">
        <f>if(or(and(K587&lt;32, J587&lt;2), O587=1, P587=1, Q587=1, R587=1, S587=1, T587=1, U587=1, and(W587&lt;&gt;"", W587&lt;&gt;"Oxygen", W587&lt;&gt;"LowFlow")), "Intensive", "Intermediate")</f>
      </c>
      <c r="AJ587" s="37">
        <f>if(or(left(AH587, 1)="X", left(AH587, 1)="Y", left(AH587, 3)="J9M"), "CUSM", "No Match")</f>
      </c>
      <c r="AK587" s="37">
        <f>if(and(or(O587=3, P587=1, Q587=1, T587=1), AJ587="no Match"), "CUSM, CHU SJ, CHUQ", "")</f>
      </c>
      <c r="AL587" s="37">
        <f>IF(AND(O588=2, ISBLANK(P588), ISBLANK(Q588), ISBLANK(R588), ISBLANK(S588), ISBLANK(T588)), "CUSM, CHU SJ, CHUS, CHUQ", "")</f>
      </c>
      <c r="AM587" s="37">
        <f>if(and(AJ587="no match", AK587="", AL587="", K587&lt;26), "CUSM, CHU SJ, HGJ, CHUQ, CHUS", "")</f>
      </c>
      <c r="AN587" s="37">
        <f>if(and(AJ587="no match", AK587="", AL587="", K587&gt;26), "CUSM, CHU SJ, HGJ, CHUQ, CHUS, HMR", "")</f>
      </c>
    </row>
    <row x14ac:dyDescent="0.25" r="588" customHeight="1" ht="17.25">
      <c r="A588" s="27" t="s">
        <v>2523</v>
      </c>
      <c r="B588" s="28">
        <v>2</v>
      </c>
      <c r="C588" s="28">
        <v>835</v>
      </c>
      <c r="D588" s="29" t="s">
        <v>170</v>
      </c>
      <c r="E588" s="30" t="s">
        <v>50</v>
      </c>
      <c r="F588" s="31">
        <v>44501</v>
      </c>
      <c r="G588" s="32">
        <v>4.177777777777777</v>
      </c>
      <c r="H588" s="31">
        <v>44501</v>
      </c>
      <c r="I588" s="32">
        <v>4.027083333333334</v>
      </c>
      <c r="J588" s="33">
        <f>F588-H588</f>
      </c>
      <c r="K588" s="28">
        <v>41</v>
      </c>
      <c r="L588" s="28">
        <v>1</v>
      </c>
      <c r="M588" s="28">
        <v>1</v>
      </c>
      <c r="N588" s="35">
        <v>1</v>
      </c>
      <c r="O588" s="34"/>
      <c r="P588" s="35">
        <v>1</v>
      </c>
      <c r="Q588" s="34"/>
      <c r="R588" s="34"/>
      <c r="S588" s="34"/>
      <c r="T588" s="35">
        <v>1</v>
      </c>
      <c r="U588" s="34"/>
      <c r="V588" s="34"/>
      <c r="W588" s="29" t="s">
        <v>74</v>
      </c>
      <c r="X588" s="28">
        <v>25</v>
      </c>
      <c r="Y588" s="28">
        <v>1</v>
      </c>
      <c r="Z588" s="28">
        <v>2</v>
      </c>
      <c r="AA588" s="28">
        <v>1</v>
      </c>
      <c r="AB588" s="28">
        <v>1</v>
      </c>
      <c r="AC588" s="28">
        <v>2</v>
      </c>
      <c r="AD588" s="28">
        <v>2</v>
      </c>
      <c r="AE588" s="28">
        <v>1</v>
      </c>
      <c r="AF588" s="38"/>
      <c r="AG588" s="28">
        <v>2</v>
      </c>
      <c r="AH588" s="29" t="s">
        <v>2524</v>
      </c>
      <c r="AI588" s="36">
        <f>if(or(and(K588&lt;32, J588&lt;2), O588=1, P588=1, Q588=1, R588=1, S588=1, T588=1, U588=1, and(W588&lt;&gt;"", W588&lt;&gt;"Oxygen", W588&lt;&gt;"LowFlow")), "Intensive", "Intermediate")</f>
      </c>
      <c r="AJ588" s="37">
        <f>if(or(left(AH588, 1)="X", left(AH588, 1)="Y", left(AH588, 3)="J10M"), "CUSM", "No Match")</f>
      </c>
      <c r="AK588" s="37">
        <f>if(and(or(O588=3, P588=1, Q588=1, T588=1), AJ588="no Match"), "CUSM, CHU SJ, CHUQ", "")</f>
      </c>
      <c r="AL588" s="37">
        <f>IF(AND(O589=2, ISBLANK(P589), ISBLANK(Q589), ISBLANK(R589), ISBLANK(S589), ISBLANK(T589)), "CUSM, CHU SJ, CHUS, CHUQ", "")</f>
      </c>
      <c r="AM588" s="37">
        <f>if(and(AJ588="no match", AK588="", AL588="", K588&lt;26), "CUSM, CHU SJ, HGJ, CHUQ, CHUS", "")</f>
      </c>
      <c r="AN588" s="37">
        <f>if(and(AJ588="no match", AK588="", AL588="", K588&gt;26), "CUSM, CHU SJ, HGJ, CHUQ, CHUS, HMR", "")</f>
      </c>
    </row>
    <row x14ac:dyDescent="0.25" r="589" customHeight="1" ht="17.25">
      <c r="A589" s="27" t="s">
        <v>2525</v>
      </c>
      <c r="B589" s="28">
        <v>2</v>
      </c>
      <c r="C589" s="28">
        <v>782</v>
      </c>
      <c r="D589" s="29" t="s">
        <v>95</v>
      </c>
      <c r="E589" s="30" t="s">
        <v>50</v>
      </c>
      <c r="F589" s="31">
        <v>44501</v>
      </c>
      <c r="G589" s="32">
        <v>4.751388888888889</v>
      </c>
      <c r="H589" s="31">
        <v>44501</v>
      </c>
      <c r="I589" s="32">
        <v>4.504861111111111</v>
      </c>
      <c r="J589" s="33">
        <f>F589-H589</f>
      </c>
      <c r="K589" s="28">
        <v>39</v>
      </c>
      <c r="L589" s="28">
        <v>4</v>
      </c>
      <c r="M589" s="28">
        <v>2</v>
      </c>
      <c r="N589" s="38"/>
      <c r="O589" s="34"/>
      <c r="P589" s="38"/>
      <c r="Q589" s="34"/>
      <c r="R589" s="34"/>
      <c r="S589" s="34"/>
      <c r="T589" s="35">
        <v>1</v>
      </c>
      <c r="U589" s="34"/>
      <c r="V589" s="34"/>
      <c r="W589" s="29" t="s">
        <v>58</v>
      </c>
      <c r="X589" s="28">
        <v>36</v>
      </c>
      <c r="Y589" s="28">
        <v>1</v>
      </c>
      <c r="Z589" s="28">
        <v>1</v>
      </c>
      <c r="AA589" s="28">
        <v>2</v>
      </c>
      <c r="AB589" s="28">
        <v>1</v>
      </c>
      <c r="AC589" s="28">
        <v>2</v>
      </c>
      <c r="AD589" s="28">
        <v>2</v>
      </c>
      <c r="AE589" s="28">
        <v>4</v>
      </c>
      <c r="AF589" s="28">
        <v>3</v>
      </c>
      <c r="AG589" s="28">
        <v>2</v>
      </c>
      <c r="AH589" s="29" t="s">
        <v>2526</v>
      </c>
      <c r="AI589" s="36">
        <f>if(or(and(K589&lt;32, J589&lt;2), O589=1, P589=1, Q589=1, R589=1, S589=1, T589=1, U589=1, and(W589&lt;&gt;"", W589&lt;&gt;"Oxygen", W589&lt;&gt;"LowFlow")), "Intensive", "Intermediate")</f>
      </c>
      <c r="AJ589" s="37">
        <f>if(or(left(AH589, 1)="X", left(AH589, 1)="Y", left(AH589, 3)="J11M"), "CUSM", "No Match")</f>
      </c>
      <c r="AK589" s="37">
        <f>if(and(or(O589=3, P589=1, Q589=1, T589=1), AJ589="no Match"), "CUSM, CHU SJ, CHUQ", "")</f>
      </c>
      <c r="AL589" s="37">
        <f>IF(AND(O590=2, ISBLANK(P590), ISBLANK(Q590), ISBLANK(R590), ISBLANK(S590), ISBLANK(T590)), "CUSM, CHU SJ, CHUS, CHUQ", "")</f>
      </c>
      <c r="AM589" s="37">
        <f>if(and(AJ589="no match", AK589="", AL589="", K589&lt;26), "CUSM, CHU SJ, HGJ, CHUQ, CHUS", "")</f>
      </c>
      <c r="AN589" s="37">
        <f>if(and(AJ589="no match", AK589="", AL589="", K589&gt;26), "CUSM, CHU SJ, HGJ, CHUQ, CHUS, HMR", "")</f>
      </c>
    </row>
    <row x14ac:dyDescent="0.25" r="590" customHeight="1" ht="17.25">
      <c r="A590" s="27" t="s">
        <v>2527</v>
      </c>
      <c r="B590" s="28">
        <v>2</v>
      </c>
      <c r="C590" s="28">
        <v>756</v>
      </c>
      <c r="D590" s="29" t="s">
        <v>66</v>
      </c>
      <c r="E590" s="30" t="s">
        <v>50</v>
      </c>
      <c r="F590" s="31">
        <v>44502</v>
      </c>
      <c r="G590" s="32">
        <v>4.214583333333334</v>
      </c>
      <c r="H590" s="31">
        <v>44502</v>
      </c>
      <c r="I590" s="32">
        <v>4.09375</v>
      </c>
      <c r="J590" s="33">
        <f>F590-H590</f>
      </c>
      <c r="K590" s="28">
        <v>36</v>
      </c>
      <c r="L590" s="28">
        <v>6</v>
      </c>
      <c r="M590" s="28">
        <v>1</v>
      </c>
      <c r="N590" s="38"/>
      <c r="O590" s="34"/>
      <c r="P590" s="38"/>
      <c r="Q590" s="34"/>
      <c r="R590" s="34"/>
      <c r="S590" s="34"/>
      <c r="T590" s="35">
        <v>1</v>
      </c>
      <c r="U590" s="34"/>
      <c r="V590" s="34"/>
      <c r="W590" s="29" t="s">
        <v>74</v>
      </c>
      <c r="X590" s="28">
        <v>28</v>
      </c>
      <c r="Y590" s="28">
        <v>1</v>
      </c>
      <c r="Z590" s="28">
        <v>2</v>
      </c>
      <c r="AA590" s="28">
        <v>1</v>
      </c>
      <c r="AB590" s="28">
        <v>1</v>
      </c>
      <c r="AC590" s="28">
        <v>2</v>
      </c>
      <c r="AD590" s="28">
        <v>2</v>
      </c>
      <c r="AE590" s="28">
        <v>2</v>
      </c>
      <c r="AF590" s="28">
        <v>3</v>
      </c>
      <c r="AG590" s="28">
        <v>2</v>
      </c>
      <c r="AH590" s="29" t="s">
        <v>2528</v>
      </c>
      <c r="AI590" s="36">
        <f>if(or(and(K590&lt;32, J590&lt;2), O590=1, P590=1, Q590=1, R590=1, S590=1, T590=1, U590=1, and(W590&lt;&gt;"", W590&lt;&gt;"Oxygen", W590&lt;&gt;"LowFlow")), "Intensive", "Intermediate")</f>
      </c>
      <c r="AJ590" s="37">
        <f>if(or(left(AH590, 1)="X", left(AH590, 1)="Y", left(AH590, 3)="J12M"), "CUSM", "No Match")</f>
      </c>
      <c r="AK590" s="37">
        <f>if(and(or(O590=3, P590=1, Q590=1, T590=1), AJ590="no Match"), "CUSM, CHU SJ, CHUQ", "")</f>
      </c>
      <c r="AL590" s="37">
        <f>IF(AND(O591=2, ISBLANK(P591), ISBLANK(Q591), ISBLANK(R591), ISBLANK(S591), ISBLANK(T591)), "CUSM, CHU SJ, CHUS, CHUQ", "")</f>
      </c>
      <c r="AM590" s="37">
        <f>if(and(AJ590="no match", AK590="", AL590="", K590&lt;26), "CUSM, CHU SJ, HGJ, CHUQ, CHUS", "")</f>
      </c>
      <c r="AN590" s="37">
        <f>if(and(AJ590="no match", AK590="", AL590="", K590&gt;26), "CUSM, CHU SJ, HGJ, CHUQ, CHUS, HMR", "")</f>
      </c>
    </row>
    <row x14ac:dyDescent="0.25" r="591" customHeight="1" ht="17.25">
      <c r="A591" s="27" t="s">
        <v>2529</v>
      </c>
      <c r="B591" s="28">
        <v>2</v>
      </c>
      <c r="C591" s="35">
        <v>817</v>
      </c>
      <c r="D591" s="29" t="s">
        <v>163</v>
      </c>
      <c r="E591" s="30" t="s">
        <v>50</v>
      </c>
      <c r="F591" s="31">
        <v>44502</v>
      </c>
      <c r="G591" s="32">
        <v>4.13125</v>
      </c>
      <c r="H591" s="31">
        <v>44501</v>
      </c>
      <c r="I591" s="32">
        <v>4.886111111111111</v>
      </c>
      <c r="J591" s="33">
        <f>F591-H591</f>
      </c>
      <c r="K591" s="28">
        <v>39</v>
      </c>
      <c r="L591" s="28">
        <v>4</v>
      </c>
      <c r="M591" s="28">
        <v>2</v>
      </c>
      <c r="N591" s="34"/>
      <c r="O591" s="34"/>
      <c r="P591" s="34"/>
      <c r="Q591" s="34"/>
      <c r="R591" s="34"/>
      <c r="S591" s="34"/>
      <c r="T591" s="35">
        <v>1</v>
      </c>
      <c r="U591" s="34"/>
      <c r="V591" s="34"/>
      <c r="W591" s="29"/>
      <c r="X591" s="28">
        <v>33</v>
      </c>
      <c r="Y591" s="28">
        <v>1</v>
      </c>
      <c r="Z591" s="28">
        <v>1</v>
      </c>
      <c r="AA591" s="28">
        <v>2</v>
      </c>
      <c r="AB591" s="28">
        <v>1</v>
      </c>
      <c r="AC591" s="28">
        <v>2</v>
      </c>
      <c r="AD591" s="28">
        <v>1</v>
      </c>
      <c r="AE591" s="28">
        <v>4</v>
      </c>
      <c r="AF591" s="28">
        <v>2</v>
      </c>
      <c r="AG591" s="28">
        <v>2</v>
      </c>
      <c r="AH591" s="29" t="s">
        <v>2530</v>
      </c>
      <c r="AI591" s="36">
        <f>if(or(and(K591&lt;32, J591&lt;2), O591=1, P591=1, Q591=1, R591=1, S591=1, T591=1, U591=1, and(W591&lt;&gt;"", W591&lt;&gt;"Oxygen", W591&lt;&gt;"LowFlow")), "Intensive", "Intermediate")</f>
      </c>
      <c r="AJ591" s="37">
        <f>if(or(left(AH591, 1)="X", left(AH591, 1)="Y", left(AH591, 3)="J13M"), "CUSM", "No Match")</f>
      </c>
      <c r="AK591" s="37">
        <f>if(and(or(O591=3, P591=1, Q591=1, T591=1), AJ591="no Match"), "CUSM, CHU SJ, CHUQ", "")</f>
      </c>
      <c r="AL591" s="37">
        <f>IF(AND(O592=2, ISBLANK(P592), ISBLANK(Q592), ISBLANK(R592), ISBLANK(S592), ISBLANK(T592)), "CUSM, CHU SJ, CHUS, CHUQ", "")</f>
      </c>
      <c r="AM591" s="37">
        <f>if(and(AJ591="no match", AK591="", AL591="", K591&lt;26), "CUSM, CHU SJ, HGJ, CHUQ, CHUS", "")</f>
      </c>
      <c r="AN591" s="37">
        <f>if(and(AJ591="no match", AK591="", AL591="", K591&gt;26), "CUSM, CHU SJ, HGJ, CHUQ, CHUS, HMR", "")</f>
      </c>
    </row>
    <row x14ac:dyDescent="0.25" r="592" customHeight="1" ht="17.25">
      <c r="A592" s="27" t="s">
        <v>2531</v>
      </c>
      <c r="B592" s="28">
        <v>2</v>
      </c>
      <c r="C592" s="35">
        <v>825</v>
      </c>
      <c r="D592" s="29" t="s">
        <v>77</v>
      </c>
      <c r="E592" s="30" t="s">
        <v>50</v>
      </c>
      <c r="F592" s="31">
        <v>44502</v>
      </c>
      <c r="G592" s="32">
        <v>4.840277777777778</v>
      </c>
      <c r="H592" s="31">
        <v>44497</v>
      </c>
      <c r="I592" s="32">
        <v>4.688888888888889</v>
      </c>
      <c r="J592" s="33">
        <f>F592-H592</f>
      </c>
      <c r="K592" s="28">
        <v>40</v>
      </c>
      <c r="L592" s="28">
        <v>4</v>
      </c>
      <c r="M592" s="28">
        <v>2</v>
      </c>
      <c r="N592" s="34"/>
      <c r="O592" s="34"/>
      <c r="P592" s="34"/>
      <c r="Q592" s="34"/>
      <c r="R592" s="34"/>
      <c r="S592" s="34"/>
      <c r="T592" s="34"/>
      <c r="U592" s="34"/>
      <c r="V592" s="34"/>
      <c r="W592" s="29"/>
      <c r="X592" s="28">
        <v>30</v>
      </c>
      <c r="Y592" s="28">
        <v>1</v>
      </c>
      <c r="Z592" s="28">
        <v>1</v>
      </c>
      <c r="AA592" s="28">
        <v>3</v>
      </c>
      <c r="AB592" s="28">
        <v>1</v>
      </c>
      <c r="AC592" s="28">
        <v>2</v>
      </c>
      <c r="AD592" s="28">
        <v>2</v>
      </c>
      <c r="AE592" s="28">
        <v>4</v>
      </c>
      <c r="AF592" s="28">
        <v>3</v>
      </c>
      <c r="AG592" s="28">
        <v>2</v>
      </c>
      <c r="AH592" s="29" t="s">
        <v>2532</v>
      </c>
      <c r="AI592" s="36">
        <f>if(or(and(K592&lt;32, J592&lt;2), O592=1, P592=1, Q592=1, R592=1, S592=1, T592=1, U592=1, and(W592&lt;&gt;"", W592&lt;&gt;"Oxygen", W592&lt;&gt;"LowFlow")), "Intensive", "Intermediate")</f>
      </c>
      <c r="AJ592" s="37">
        <f>if(or(left(AH592, 1)="X", left(AH592, 1)="Y", left(AH592, 3)="J14M"), "CUSM", "No Match")</f>
      </c>
      <c r="AK592" s="37">
        <f>if(and(or(O592=3, P592=1, Q592=1, T592=1), AJ592="no Match"), "CUSM, CHU SJ, CHUQ", "")</f>
      </c>
      <c r="AL592" s="37">
        <f>IF(AND(O593=2, ISBLANK(P593), ISBLANK(Q593), ISBLANK(R593), ISBLANK(S593), ISBLANK(T593)), "CUSM, CHU SJ, CHUS, CHUQ", "")</f>
      </c>
      <c r="AM592" s="37">
        <f>if(and(AJ592="no match", AK592="", AL592="", K592&lt;26), "CUSM, CHU SJ, HGJ, CHUQ, CHUS", "")</f>
      </c>
      <c r="AN592" s="37">
        <f>if(and(AJ592="no match", AK592="", AL592="", K592&gt;26), "CUSM, CHU SJ, HGJ, CHUQ, CHUS, HMR", "")</f>
      </c>
    </row>
    <row x14ac:dyDescent="0.25" r="593" customHeight="1" ht="17.25">
      <c r="A593" s="27" t="s">
        <v>2533</v>
      </c>
      <c r="B593" s="28">
        <v>2</v>
      </c>
      <c r="C593" s="28">
        <v>815</v>
      </c>
      <c r="D593" s="29" t="s">
        <v>100</v>
      </c>
      <c r="E593" s="30" t="s">
        <v>50</v>
      </c>
      <c r="F593" s="31">
        <v>44503</v>
      </c>
      <c r="G593" s="32">
        <v>4.4944444444444445</v>
      </c>
      <c r="H593" s="31">
        <v>44503</v>
      </c>
      <c r="I593" s="32">
        <v>4.288888888888889</v>
      </c>
      <c r="J593" s="33">
        <f>F593-H593</f>
      </c>
      <c r="K593" s="28">
        <v>38</v>
      </c>
      <c r="L593" s="28">
        <v>2</v>
      </c>
      <c r="M593" s="28">
        <v>1</v>
      </c>
      <c r="N593" s="34"/>
      <c r="O593" s="34"/>
      <c r="P593" s="34"/>
      <c r="Q593" s="34"/>
      <c r="R593" s="34"/>
      <c r="S593" s="34"/>
      <c r="T593" s="38"/>
      <c r="U593" s="34"/>
      <c r="V593" s="34"/>
      <c r="W593" s="29" t="s">
        <v>74</v>
      </c>
      <c r="X593" s="28">
        <v>31</v>
      </c>
      <c r="Y593" s="28">
        <v>1</v>
      </c>
      <c r="Z593" s="28">
        <v>1</v>
      </c>
      <c r="AA593" s="28">
        <v>3</v>
      </c>
      <c r="AB593" s="28">
        <v>4</v>
      </c>
      <c r="AC593" s="28">
        <v>3</v>
      </c>
      <c r="AD593" s="28">
        <v>3</v>
      </c>
      <c r="AE593" s="28">
        <v>4</v>
      </c>
      <c r="AF593" s="28">
        <v>3</v>
      </c>
      <c r="AG593" s="28">
        <v>2</v>
      </c>
      <c r="AH593" s="29" t="s">
        <v>143</v>
      </c>
      <c r="AI593" s="36">
        <f>if(or(and(K593&lt;32, J593&lt;2), O593=1, P593=1, Q593=1, R593=1, S593=1, T593=1, U593=1, and(W593&lt;&gt;"", W593&lt;&gt;"Oxygen", W593&lt;&gt;"LowFlow")), "Intensive", "Intermediate")</f>
      </c>
      <c r="AJ593" s="37">
        <f>if(or(left(AH593, 1)="X", left(AH593, 1)="Y", left(AH593, 3)="J15M"), "CUSM", "No Match")</f>
      </c>
      <c r="AK593" s="37">
        <f>if(and(or(O593=3, P593=1, Q593=1, T593=1), AJ593="no Match"), "CUSM, CHU SJ, CHUQ", "")</f>
      </c>
      <c r="AL593" s="37">
        <f>IF(AND(O594=2, ISBLANK(P594), ISBLANK(Q594), ISBLANK(R594), ISBLANK(S594), ISBLANK(T594)), "CUSM, CHU SJ, CHUS, CHUQ", "")</f>
      </c>
      <c r="AM593" s="37">
        <f>if(and(AJ593="no match", AK593="", AL593="", K593&lt;26), "CUSM, CHU SJ, HGJ, CHUQ, CHUS", "")</f>
      </c>
      <c r="AN593" s="37">
        <f>if(and(AJ593="no match", AK593="", AL593="", K593&gt;26), "CUSM, CHU SJ, HGJ, CHUQ, CHUS, HMR", "")</f>
      </c>
    </row>
    <row x14ac:dyDescent="0.25" r="594" customHeight="1" ht="17.25">
      <c r="A594" s="27" t="s">
        <v>2534</v>
      </c>
      <c r="B594" s="28">
        <v>2</v>
      </c>
      <c r="C594" s="28">
        <v>779</v>
      </c>
      <c r="D594" s="29" t="s">
        <v>136</v>
      </c>
      <c r="E594" s="30" t="s">
        <v>50</v>
      </c>
      <c r="F594" s="31">
        <v>44504</v>
      </c>
      <c r="G594" s="32">
        <v>4.177083333333334</v>
      </c>
      <c r="H594" s="31">
        <v>44503</v>
      </c>
      <c r="I594" s="32">
        <v>4.991666666666667</v>
      </c>
      <c r="J594" s="33">
        <f>F594-H594</f>
      </c>
      <c r="K594" s="28">
        <v>33</v>
      </c>
      <c r="L594" s="28">
        <v>6</v>
      </c>
      <c r="M594" s="28">
        <v>2</v>
      </c>
      <c r="N594" s="34"/>
      <c r="O594" s="38"/>
      <c r="P594" s="34"/>
      <c r="Q594" s="34"/>
      <c r="R594" s="34"/>
      <c r="S594" s="34"/>
      <c r="T594" s="34"/>
      <c r="U594" s="34"/>
      <c r="V594" s="34"/>
      <c r="W594" s="29" t="s">
        <v>74</v>
      </c>
      <c r="X594" s="28">
        <v>20</v>
      </c>
      <c r="Y594" s="28">
        <v>1</v>
      </c>
      <c r="Z594" s="28">
        <v>2</v>
      </c>
      <c r="AA594" s="28">
        <v>2</v>
      </c>
      <c r="AB594" s="28">
        <v>1</v>
      </c>
      <c r="AC594" s="28">
        <v>1</v>
      </c>
      <c r="AD594" s="28">
        <v>2</v>
      </c>
      <c r="AE594" s="28">
        <v>2</v>
      </c>
      <c r="AF594" s="28">
        <v>3</v>
      </c>
      <c r="AG594" s="28">
        <v>2</v>
      </c>
      <c r="AH594" s="29" t="s">
        <v>2535</v>
      </c>
      <c r="AI594" s="36">
        <f>if(or(and(K594&lt;32, J594&lt;2), O594=1, P594=1, Q594=1, R594=1, S594=1, T594=1, U594=1, and(W594&lt;&gt;"", W594&lt;&gt;"Oxygen", W594&lt;&gt;"LowFlow")), "Intensive", "Intermediate")</f>
      </c>
      <c r="AJ594" s="37">
        <f>if(or(left(AH594, 1)="X", left(AH594, 1)="Y", left(AH594, 3)="J16M"), "CUSM", "No Match")</f>
      </c>
      <c r="AK594" s="37">
        <f>if(and(or(O594=3, P594=1, Q594=1, T594=1), AJ594="no Match"), "CUSM, CHU SJ, CHUQ", "")</f>
      </c>
      <c r="AL594" s="37">
        <f>IF(AND(O595=2, ISBLANK(P595), ISBLANK(Q595), ISBLANK(R595), ISBLANK(S595), ISBLANK(T595)), "CUSM, CHU SJ, CHUS, CHUQ", "")</f>
      </c>
      <c r="AM594" s="37">
        <f>if(and(AJ594="no match", AK594="", AL594="", K594&lt;26), "CUSM, CHU SJ, HGJ, CHUQ, CHUS", "")</f>
      </c>
      <c r="AN594" s="37">
        <f>if(and(AJ594="no match", AK594="", AL594="", K594&gt;26), "CUSM, CHU SJ, HGJ, CHUQ, CHUS, HMR", "")</f>
      </c>
    </row>
    <row x14ac:dyDescent="0.25" r="595" customHeight="1" ht="17.25">
      <c r="A595" s="27" t="s">
        <v>2536</v>
      </c>
      <c r="B595" s="28">
        <v>2</v>
      </c>
      <c r="C595" s="28">
        <v>825</v>
      </c>
      <c r="D595" s="29" t="s">
        <v>77</v>
      </c>
      <c r="E595" s="30" t="s">
        <v>50</v>
      </c>
      <c r="F595" s="31">
        <v>44504</v>
      </c>
      <c r="G595" s="32">
        <v>4.635416666666666</v>
      </c>
      <c r="H595" s="31">
        <v>44504</v>
      </c>
      <c r="I595" s="32">
        <v>4.43125</v>
      </c>
      <c r="J595" s="33">
        <f>F595-H595</f>
      </c>
      <c r="K595" s="28">
        <v>38</v>
      </c>
      <c r="L595" s="28">
        <v>6</v>
      </c>
      <c r="M595" s="28">
        <v>1</v>
      </c>
      <c r="N595" s="38"/>
      <c r="O595" s="38"/>
      <c r="P595" s="38"/>
      <c r="Q595" s="34"/>
      <c r="R595" s="34"/>
      <c r="S595" s="34"/>
      <c r="T595" s="34"/>
      <c r="U595" s="34"/>
      <c r="V595" s="34"/>
      <c r="W595" s="29" t="s">
        <v>74</v>
      </c>
      <c r="X595" s="28">
        <v>28</v>
      </c>
      <c r="Y595" s="28">
        <v>1</v>
      </c>
      <c r="Z595" s="28">
        <v>2</v>
      </c>
      <c r="AA595" s="28">
        <v>3</v>
      </c>
      <c r="AB595" s="28">
        <v>1</v>
      </c>
      <c r="AC595" s="28">
        <v>2</v>
      </c>
      <c r="AD595" s="28">
        <v>2</v>
      </c>
      <c r="AE595" s="28">
        <v>4</v>
      </c>
      <c r="AF595" s="28">
        <v>3</v>
      </c>
      <c r="AG595" s="28">
        <v>2</v>
      </c>
      <c r="AH595" s="29" t="s">
        <v>2537</v>
      </c>
      <c r="AI595" s="36">
        <f>if(or(and(K595&lt;32, J595&lt;2), O595=1, P595=1, Q595=1, R595=1, S595=1, T595=1, U595=1, and(W595&lt;&gt;"", W595&lt;&gt;"Oxygen", W595&lt;&gt;"LowFlow")), "Intensive", "Intermediate")</f>
      </c>
      <c r="AJ595" s="37">
        <f>if(or(left(AH595, 1)="X", left(AH595, 1)="Y", left(AH595, 3)="J17M"), "CUSM", "No Match")</f>
      </c>
      <c r="AK595" s="37">
        <f>if(and(or(O595=3, P595=1, Q595=1, T595=1), AJ595="no Match"), "CUSM, CHU SJ, CHUQ", "")</f>
      </c>
      <c r="AL595" s="37">
        <f>IF(AND(O596=2, ISBLANK(P596), ISBLANK(Q596), ISBLANK(R596), ISBLANK(S596), ISBLANK(T596)), "CUSM, CHU SJ, CHUS, CHUQ", "")</f>
      </c>
      <c r="AM595" s="37">
        <f>if(and(AJ595="no match", AK595="", AL595="", K595&lt;26), "CUSM, CHU SJ, HGJ, CHUQ, CHUS", "")</f>
      </c>
      <c r="AN595" s="37">
        <f>if(and(AJ595="no match", AK595="", AL595="", K595&gt;26), "CUSM, CHU SJ, HGJ, CHUQ, CHUS, HMR", "")</f>
      </c>
    </row>
    <row x14ac:dyDescent="0.25" r="596" customHeight="1" ht="17.25">
      <c r="A596" s="27" t="s">
        <v>2538</v>
      </c>
      <c r="B596" s="28">
        <v>2</v>
      </c>
      <c r="C596" s="35">
        <v>730</v>
      </c>
      <c r="D596" s="29" t="s">
        <v>81</v>
      </c>
      <c r="E596" s="30" t="s">
        <v>50</v>
      </c>
      <c r="F596" s="31">
        <v>44504</v>
      </c>
      <c r="G596" s="32">
        <v>4.510416666666666</v>
      </c>
      <c r="H596" s="31">
        <v>44504</v>
      </c>
      <c r="I596" s="32">
        <v>4.379166666666666</v>
      </c>
      <c r="J596" s="33">
        <f>F596-H596</f>
      </c>
      <c r="K596" s="28">
        <v>37</v>
      </c>
      <c r="L596" s="28">
        <v>6</v>
      </c>
      <c r="M596" s="28">
        <v>1</v>
      </c>
      <c r="N596" s="28">
        <v>1</v>
      </c>
      <c r="O596" s="34"/>
      <c r="P596" s="38"/>
      <c r="Q596" s="34"/>
      <c r="R596" s="34"/>
      <c r="S596" s="34"/>
      <c r="T596" s="28">
        <v>1</v>
      </c>
      <c r="U596" s="34"/>
      <c r="V596" s="34"/>
      <c r="W596" s="29" t="s">
        <v>74</v>
      </c>
      <c r="X596" s="28">
        <v>35</v>
      </c>
      <c r="Y596" s="28">
        <v>1</v>
      </c>
      <c r="Z596" s="28">
        <v>1</v>
      </c>
      <c r="AA596" s="28">
        <v>3</v>
      </c>
      <c r="AB596" s="28">
        <v>1</v>
      </c>
      <c r="AC596" s="28">
        <v>2</v>
      </c>
      <c r="AD596" s="28">
        <v>2</v>
      </c>
      <c r="AE596" s="28">
        <v>2</v>
      </c>
      <c r="AF596" s="28">
        <v>2</v>
      </c>
      <c r="AG596" s="28">
        <v>2</v>
      </c>
      <c r="AH596" s="29" t="s">
        <v>2539</v>
      </c>
      <c r="AI596" s="36">
        <f>if(or(and(K596&lt;32, J596&lt;2), O596=1, P596=1, Q596=1, R596=1, S596=1, T596=1, U596=1, and(W596&lt;&gt;"", W596&lt;&gt;"Oxygen", W596&lt;&gt;"LowFlow")), "Intensive", "Intermediate")</f>
      </c>
      <c r="AJ596" s="37">
        <f>if(or(left(AH596, 1)="X", left(AH596, 1)="Y", left(AH596, 3)="J18M"), "CUSM", "No Match")</f>
      </c>
      <c r="AK596" s="37">
        <f>if(and(or(O596=3, P596=1, Q596=1, T596=1), AJ596="no Match"), "CUSM, CHU SJ, CHUQ", "")</f>
      </c>
      <c r="AL596" s="37">
        <f>IF(AND(O597=2, ISBLANK(P597), ISBLANK(Q597), ISBLANK(R597), ISBLANK(S597), ISBLANK(T597)), "CUSM, CHU SJ, CHUS, CHUQ", "")</f>
      </c>
      <c r="AM596" s="37">
        <f>if(and(AJ596="no match", AK596="", AL596="", K596&lt;26), "CUSM, CHU SJ, HGJ, CHUQ, CHUS", "")</f>
      </c>
      <c r="AN596" s="37">
        <f>if(and(AJ596="no match", AK596="", AL596="", K596&gt;26), "CUSM, CHU SJ, HGJ, CHUQ, CHUS, HMR", "")</f>
      </c>
    </row>
    <row x14ac:dyDescent="0.25" r="597" customHeight="1" ht="17.25">
      <c r="A597" s="27" t="s">
        <v>2540</v>
      </c>
      <c r="B597" s="28">
        <v>2</v>
      </c>
      <c r="C597" s="35">
        <v>748</v>
      </c>
      <c r="D597" s="29" t="s">
        <v>145</v>
      </c>
      <c r="E597" s="30" t="s">
        <v>118</v>
      </c>
      <c r="F597" s="31">
        <v>44505</v>
      </c>
      <c r="G597" s="32">
        <v>4.941666666666666</v>
      </c>
      <c r="H597" s="31">
        <v>44505</v>
      </c>
      <c r="I597" s="32">
        <v>4.754166666666666</v>
      </c>
      <c r="J597" s="33">
        <f>F597-H597</f>
      </c>
      <c r="K597" s="28">
        <v>29</v>
      </c>
      <c r="L597" s="28">
        <v>5</v>
      </c>
      <c r="M597" s="28">
        <v>1</v>
      </c>
      <c r="N597" s="38"/>
      <c r="O597" s="34"/>
      <c r="P597" s="38"/>
      <c r="Q597" s="34"/>
      <c r="R597" s="34"/>
      <c r="S597" s="34"/>
      <c r="T597" s="34"/>
      <c r="U597" s="34"/>
      <c r="V597" s="34"/>
      <c r="W597" s="29" t="s">
        <v>74</v>
      </c>
      <c r="X597" s="28">
        <v>27</v>
      </c>
      <c r="Y597" s="28">
        <v>1</v>
      </c>
      <c r="Z597" s="28">
        <v>1</v>
      </c>
      <c r="AA597" s="28">
        <v>1</v>
      </c>
      <c r="AB597" s="28">
        <v>1</v>
      </c>
      <c r="AC597" s="28">
        <v>2</v>
      </c>
      <c r="AD597" s="28">
        <v>2</v>
      </c>
      <c r="AE597" s="28">
        <v>4</v>
      </c>
      <c r="AF597" s="28">
        <v>2</v>
      </c>
      <c r="AG597" s="28">
        <v>2</v>
      </c>
      <c r="AH597" s="29" t="s">
        <v>2541</v>
      </c>
      <c r="AI597" s="36">
        <f>if(or(and(K597&lt;32, J597&lt;2), O597=1, P597=1, Q597=1, R597=1, S597=1, T597=1, U597=1, and(W597&lt;&gt;"", W597&lt;&gt;"Oxygen", W597&lt;&gt;"LowFlow")), "Intensive", "Intermediate")</f>
      </c>
      <c r="AJ597" s="37">
        <f>if(or(left(AH597, 1)="X", left(AH597, 1)="Y", left(AH597, 3)="J19M"), "CUSM", "No Match")</f>
      </c>
      <c r="AK597" s="37">
        <f>if(and(or(O597=3, P597=1, Q597=1, T597=1), AJ597="no Match"), "CUSM, CHU SJ, CHUQ", "")</f>
      </c>
      <c r="AL597" s="37">
        <f>IF(AND(O598=2, ISBLANK(P598), ISBLANK(Q598), ISBLANK(R598), ISBLANK(S598), ISBLANK(T598)), "CUSM, CHU SJ, CHUS, CHUQ", "")</f>
      </c>
      <c r="AM597" s="37">
        <f>if(and(AJ597="no match", AK597="", AL597="", K597&lt;26), "CUSM, CHU SJ, HGJ, CHUQ, CHUS", "")</f>
      </c>
      <c r="AN597" s="37">
        <f>if(and(AJ597="no match", AK597="", AL597="", K597&gt;26), "CUSM, CHU SJ, HGJ, CHUQ, CHUS, HMR", "")</f>
      </c>
    </row>
    <row x14ac:dyDescent="0.25" r="598" customHeight="1" ht="17.25">
      <c r="A598" s="27" t="s">
        <v>2542</v>
      </c>
      <c r="B598" s="28">
        <v>2</v>
      </c>
      <c r="C598" s="35">
        <v>824</v>
      </c>
      <c r="D598" s="29" t="s">
        <v>57</v>
      </c>
      <c r="E598" s="30" t="s">
        <v>54</v>
      </c>
      <c r="F598" s="31">
        <v>44505</v>
      </c>
      <c r="G598" s="32">
        <v>4.115972222222222</v>
      </c>
      <c r="H598" s="31">
        <v>44504</v>
      </c>
      <c r="I598" s="32">
        <v>4.658333333333333</v>
      </c>
      <c r="J598" s="33">
        <f>F598-H598</f>
      </c>
      <c r="K598" s="28">
        <v>38</v>
      </c>
      <c r="L598" s="28">
        <v>5</v>
      </c>
      <c r="M598" s="28">
        <v>1</v>
      </c>
      <c r="N598" s="35">
        <v>1</v>
      </c>
      <c r="O598" s="34"/>
      <c r="P598" s="35">
        <v>1</v>
      </c>
      <c r="Q598" s="34"/>
      <c r="R598" s="34"/>
      <c r="S598" s="34"/>
      <c r="T598" s="34"/>
      <c r="U598" s="34"/>
      <c r="V598" s="34"/>
      <c r="W598" s="29"/>
      <c r="X598" s="28">
        <v>22</v>
      </c>
      <c r="Y598" s="28">
        <v>1</v>
      </c>
      <c r="Z598" s="28">
        <v>1</v>
      </c>
      <c r="AA598" s="28">
        <v>1</v>
      </c>
      <c r="AB598" s="28">
        <v>1</v>
      </c>
      <c r="AC598" s="28">
        <v>2</v>
      </c>
      <c r="AD598" s="28">
        <v>1</v>
      </c>
      <c r="AE598" s="28">
        <v>4</v>
      </c>
      <c r="AF598" s="28">
        <v>2</v>
      </c>
      <c r="AG598" s="28">
        <v>2</v>
      </c>
      <c r="AH598" s="29" t="s">
        <v>161</v>
      </c>
      <c r="AI598" s="36">
        <f>if(or(and(K598&lt;32, J598&lt;2), O598=1, P598=1, Q598=1, R598=1, S598=1, T598=1, U598=1, and(W598&lt;&gt;"", W598&lt;&gt;"Oxygen", W598&lt;&gt;"LowFlow")), "Intensive", "Intermediate")</f>
      </c>
      <c r="AJ598" s="37">
        <f>if(or(left(AH598, 1)="X", left(AH598, 1)="Y", left(AH598, 3)="J20M"), "CUSM", "No Match")</f>
      </c>
      <c r="AK598" s="37">
        <f>if(and(or(O598=3, P598=1, Q598=1, T598=1), AJ598="no Match"), "CUSM, CHU SJ, CHUQ", "")</f>
      </c>
      <c r="AL598" s="37">
        <f>IF(AND(O599=2, ISBLANK(P599), ISBLANK(Q599), ISBLANK(R599), ISBLANK(S599), ISBLANK(T599)), "CUSM, CHU SJ, CHUS, CHUQ", "")</f>
      </c>
      <c r="AM598" s="37">
        <f>if(and(AJ598="no match", AK598="", AL598="", K598&lt;26), "CUSM, CHU SJ, HGJ, CHUQ, CHUS", "")</f>
      </c>
      <c r="AN598" s="37">
        <f>if(and(AJ598="no match", AK598="", AL598="", K598&gt;26), "CUSM, CHU SJ, HGJ, CHUQ, CHUS, HMR", "")</f>
      </c>
    </row>
    <row x14ac:dyDescent="0.25" r="599" customHeight="1" ht="17.25">
      <c r="A599" s="27" t="s">
        <v>2543</v>
      </c>
      <c r="B599" s="28">
        <v>2</v>
      </c>
      <c r="C599" s="35">
        <v>796</v>
      </c>
      <c r="D599" s="29" t="s">
        <v>63</v>
      </c>
      <c r="E599" s="30" t="s">
        <v>50</v>
      </c>
      <c r="F599" s="31">
        <v>44506</v>
      </c>
      <c r="G599" s="32">
        <v>4.915277777777778</v>
      </c>
      <c r="H599" s="31">
        <v>44504</v>
      </c>
      <c r="I599" s="32">
        <v>4.858333333333333</v>
      </c>
      <c r="J599" s="33">
        <f>F599-H599</f>
      </c>
      <c r="K599" s="28">
        <v>38</v>
      </c>
      <c r="L599" s="28">
        <v>2</v>
      </c>
      <c r="M599" s="28">
        <v>1</v>
      </c>
      <c r="N599" s="35">
        <v>1</v>
      </c>
      <c r="O599" s="35">
        <v>2</v>
      </c>
      <c r="P599" s="35">
        <v>1</v>
      </c>
      <c r="Q599" s="34"/>
      <c r="R599" s="34"/>
      <c r="S599" s="34"/>
      <c r="T599" s="34"/>
      <c r="U599" s="34"/>
      <c r="V599" s="34"/>
      <c r="W599" s="29"/>
      <c r="X599" s="28">
        <v>28</v>
      </c>
      <c r="Y599" s="28">
        <v>1</v>
      </c>
      <c r="Z599" s="28">
        <v>1</v>
      </c>
      <c r="AA599" s="28">
        <v>2</v>
      </c>
      <c r="AB599" s="28">
        <v>1</v>
      </c>
      <c r="AC599" s="28">
        <v>2</v>
      </c>
      <c r="AD599" s="28">
        <v>2</v>
      </c>
      <c r="AE599" s="28">
        <v>4</v>
      </c>
      <c r="AF599" s="28">
        <v>3</v>
      </c>
      <c r="AG599" s="28">
        <v>2</v>
      </c>
      <c r="AH599" s="29" t="s">
        <v>2544</v>
      </c>
      <c r="AI599" s="36">
        <f>if(or(and(K599&lt;32, J599&lt;2), O599=1, P599=1, Q599=1, R599=1, S599=1, T599=1, U599=1, and(W599&lt;&gt;"", W599&lt;&gt;"Oxygen", W599&lt;&gt;"LowFlow")), "Intensive", "Intermediate")</f>
      </c>
      <c r="AJ599" s="37">
        <f>if(or(left(AH599, 1)="X", left(AH599, 1)="Y", left(AH599, 3)="J21M"), "CUSM", "No Match")</f>
      </c>
      <c r="AK599" s="37">
        <f>if(and(or(O599=3, P599=1, Q599=1, T599=1), AJ599="no Match"), "CUSM, CHU SJ, CHUQ", "")</f>
      </c>
      <c r="AL599" s="37">
        <f>IF(AND(O600=2, ISBLANK(P600), ISBLANK(Q600), ISBLANK(R600), ISBLANK(S600), ISBLANK(T600)), "CUSM, CHU SJ, CHUS, CHUQ", "")</f>
      </c>
      <c r="AM599" s="37">
        <f>if(and(AJ599="no match", AK599="", AL599="", K599&lt;26), "CUSM, CHU SJ, HGJ, CHUQ, CHUS", "")</f>
      </c>
      <c r="AN599" s="37">
        <f>if(and(AJ599="no match", AK599="", AL599="", K599&gt;26), "CUSM, CHU SJ, HGJ, CHUQ, CHUS, HMR", "")</f>
      </c>
    </row>
    <row x14ac:dyDescent="0.25" r="600" customHeight="1" ht="17.25">
      <c r="A600" s="27" t="s">
        <v>2545</v>
      </c>
      <c r="B600" s="28">
        <v>2</v>
      </c>
      <c r="C600" s="35">
        <v>825</v>
      </c>
      <c r="D600" s="29" t="s">
        <v>77</v>
      </c>
      <c r="E600" s="30" t="s">
        <v>50</v>
      </c>
      <c r="F600" s="31">
        <v>44506</v>
      </c>
      <c r="G600" s="32">
        <v>4.625</v>
      </c>
      <c r="H600" s="31">
        <v>44492</v>
      </c>
      <c r="I600" s="32">
        <v>4.365972222222222</v>
      </c>
      <c r="J600" s="33">
        <f>F600-H600</f>
      </c>
      <c r="K600" s="28">
        <v>35</v>
      </c>
      <c r="L600" s="28">
        <v>0</v>
      </c>
      <c r="M600" s="28">
        <v>2</v>
      </c>
      <c r="N600" s="28">
        <v>1</v>
      </c>
      <c r="O600" s="38"/>
      <c r="P600" s="38"/>
      <c r="Q600" s="34"/>
      <c r="R600" s="34"/>
      <c r="S600" s="34"/>
      <c r="T600" s="34"/>
      <c r="U600" s="34"/>
      <c r="V600" s="34"/>
      <c r="W600" s="29"/>
      <c r="X600" s="28">
        <v>29</v>
      </c>
      <c r="Y600" s="28">
        <v>1</v>
      </c>
      <c r="Z600" s="28">
        <v>1</v>
      </c>
      <c r="AA600" s="28">
        <v>3</v>
      </c>
      <c r="AB600" s="28">
        <v>1</v>
      </c>
      <c r="AC600" s="28">
        <v>1</v>
      </c>
      <c r="AD600" s="28">
        <v>1</v>
      </c>
      <c r="AE600" s="28">
        <v>4</v>
      </c>
      <c r="AF600" s="28">
        <v>3</v>
      </c>
      <c r="AG600" s="28">
        <v>2</v>
      </c>
      <c r="AH600" s="29" t="s">
        <v>2546</v>
      </c>
      <c r="AI600" s="36">
        <f>if(or(and(K600&lt;32, J600&lt;2), O600=1, P600=1, Q600=1, R600=1, S600=1, T600=1, U600=1, and(W600&lt;&gt;"", W600&lt;&gt;"Oxygen", W600&lt;&gt;"LowFlow")), "Intensive", "Intermediate")</f>
      </c>
      <c r="AJ600" s="37">
        <f>if(or(left(AH600, 1)="X", left(AH600, 1)="Y", left(AH600, 3)="J22M"), "CUSM", "No Match")</f>
      </c>
      <c r="AK600" s="37">
        <f>if(and(or(O600=3, P600=1, Q600=1, T600=1), AJ600="no Match"), "CUSM, CHU SJ, CHUQ", "")</f>
      </c>
      <c r="AL600" s="37">
        <f>IF(AND(O601=2, ISBLANK(P601), ISBLANK(Q601), ISBLANK(R601), ISBLANK(S601), ISBLANK(T601)), "CUSM, CHU SJ, CHUS, CHUQ", "")</f>
      </c>
      <c r="AM600" s="37">
        <f>if(and(AJ600="no match", AK600="", AL600="", K600&lt;26), "CUSM, CHU SJ, HGJ, CHUQ, CHUS", "")</f>
      </c>
      <c r="AN600" s="37">
        <f>if(and(AJ600="no match", AK600="", AL600="", K600&gt;26), "CUSM, CHU SJ, HGJ, CHUQ, CHUS, HMR", "")</f>
      </c>
    </row>
    <row x14ac:dyDescent="0.25" r="601" customHeight="1" ht="17.25">
      <c r="A601" s="27" t="s">
        <v>2547</v>
      </c>
      <c r="B601" s="28">
        <v>2</v>
      </c>
      <c r="C601" s="35">
        <v>6</v>
      </c>
      <c r="D601" s="29" t="s">
        <v>131</v>
      </c>
      <c r="E601" s="30" t="s">
        <v>50</v>
      </c>
      <c r="F601" s="31">
        <v>44506</v>
      </c>
      <c r="G601" s="32">
        <v>4.491666666666667</v>
      </c>
      <c r="H601" s="31">
        <v>44483</v>
      </c>
      <c r="I601" s="39"/>
      <c r="J601" s="33">
        <f>F601-H601</f>
      </c>
      <c r="K601" s="28">
        <v>39</v>
      </c>
      <c r="L601" s="28">
        <v>0</v>
      </c>
      <c r="M601" s="28">
        <v>2</v>
      </c>
      <c r="N601" s="34"/>
      <c r="O601" s="34"/>
      <c r="P601" s="34"/>
      <c r="Q601" s="34"/>
      <c r="R601" s="34"/>
      <c r="S601" s="34"/>
      <c r="T601" s="34"/>
      <c r="U601" s="34"/>
      <c r="V601" s="34"/>
      <c r="W601" s="29"/>
      <c r="X601" s="28">
        <v>36</v>
      </c>
      <c r="Y601" s="28">
        <v>1</v>
      </c>
      <c r="Z601" s="28">
        <v>2</v>
      </c>
      <c r="AA601" s="28">
        <v>3</v>
      </c>
      <c r="AB601" s="28">
        <v>1</v>
      </c>
      <c r="AC601" s="28">
        <v>2</v>
      </c>
      <c r="AD601" s="28">
        <v>2</v>
      </c>
      <c r="AE601" s="28">
        <v>4</v>
      </c>
      <c r="AF601" s="28">
        <v>3</v>
      </c>
      <c r="AG601" s="28">
        <v>3</v>
      </c>
      <c r="AH601" s="29" t="s">
        <v>2548</v>
      </c>
      <c r="AI601" s="36">
        <f>if(or(and(K601&lt;32, J601&lt;2), O601=1, P601=1, Q601=1, R601=1, S601=1, T601=1, U601=1, and(W601&lt;&gt;"", W601&lt;&gt;"Oxygen", W601&lt;&gt;"LowFlow")), "Intensive", "Intermediate")</f>
      </c>
      <c r="AJ601" s="37">
        <f>if(or(left(AH601, 1)="X", left(AH601, 1)="Y", left(AH601, 3)="J23M"), "CUSM", "No Match")</f>
      </c>
      <c r="AK601" s="37">
        <f>if(and(or(O601=3, P601=1, Q601=1, T601=1), AJ601="no Match"), "CUSM, CHU SJ, CHUQ", "")</f>
      </c>
      <c r="AL601" s="37">
        <f>IF(AND(O602=2, ISBLANK(P602), ISBLANK(Q602), ISBLANK(R602), ISBLANK(S602), ISBLANK(T602)), "CUSM, CHU SJ, CHUS, CHUQ", "")</f>
      </c>
      <c r="AM601" s="37">
        <f>if(and(AJ601="no match", AK601="", AL601="", K601&lt;26), "CUSM, CHU SJ, HGJ, CHUQ, CHUS", "")</f>
      </c>
      <c r="AN601" s="37">
        <f>if(and(AJ601="no match", AK601="", AL601="", K601&gt;26), "CUSM, CHU SJ, HGJ, CHUQ, CHUS, HMR", "")</f>
      </c>
    </row>
    <row x14ac:dyDescent="0.25" r="602" customHeight="1" ht="17.25">
      <c r="A602" s="27" t="s">
        <v>2549</v>
      </c>
      <c r="B602" s="28">
        <v>2</v>
      </c>
      <c r="C602" s="28">
        <v>757</v>
      </c>
      <c r="D602" s="29" t="s">
        <v>124</v>
      </c>
      <c r="E602" s="30" t="s">
        <v>50</v>
      </c>
      <c r="F602" s="31">
        <v>44506</v>
      </c>
      <c r="G602" s="32">
        <v>4.040277777777778</v>
      </c>
      <c r="H602" s="31">
        <v>44505</v>
      </c>
      <c r="I602" s="32">
        <v>4.629861111111111</v>
      </c>
      <c r="J602" s="33">
        <f>F602-H602</f>
      </c>
      <c r="K602" s="28">
        <v>41</v>
      </c>
      <c r="L602" s="28">
        <v>4</v>
      </c>
      <c r="M602" s="28">
        <v>1</v>
      </c>
      <c r="N602" s="34"/>
      <c r="O602" s="34"/>
      <c r="P602" s="34"/>
      <c r="Q602" s="34"/>
      <c r="R602" s="34"/>
      <c r="S602" s="34"/>
      <c r="T602" s="38"/>
      <c r="U602" s="38"/>
      <c r="V602" s="38"/>
      <c r="W602" s="29" t="s">
        <v>74</v>
      </c>
      <c r="X602" s="28">
        <v>35</v>
      </c>
      <c r="Y602" s="28">
        <v>1</v>
      </c>
      <c r="Z602" s="28">
        <v>1</v>
      </c>
      <c r="AA602" s="28">
        <v>3</v>
      </c>
      <c r="AB602" s="28">
        <v>1</v>
      </c>
      <c r="AC602" s="28">
        <v>2</v>
      </c>
      <c r="AD602" s="28">
        <v>2</v>
      </c>
      <c r="AE602" s="28">
        <v>4</v>
      </c>
      <c r="AF602" s="35">
        <v>2</v>
      </c>
      <c r="AG602" s="28">
        <v>2</v>
      </c>
      <c r="AH602" s="29" t="s">
        <v>2550</v>
      </c>
      <c r="AI602" s="36">
        <f>if(or(and(K602&lt;32, J602&lt;2), O602=1, P602=1, Q602=1, R602=1, S602=1, T602=1, U602=1, and(W602&lt;&gt;"", W602&lt;&gt;"Oxygen", W602&lt;&gt;"LowFlow")), "Intensive", "Intermediate")</f>
      </c>
      <c r="AJ602" s="37">
        <f>if(or(left(AH602, 1)="X", left(AH602, 1)="Y", left(AH602, 3)="J24M"), "CUSM", "No Match")</f>
      </c>
      <c r="AK602" s="37">
        <f>if(and(or(O602=3, P602=1, Q602=1, T602=1), AJ602="no Match"), "CUSM, CHU SJ, CHUQ", "")</f>
      </c>
      <c r="AL602" s="37">
        <f>IF(AND(O603=2, ISBLANK(P603), ISBLANK(Q603), ISBLANK(R603), ISBLANK(S603), ISBLANK(T603)), "CUSM, CHU SJ, CHUS, CHUQ", "")</f>
      </c>
      <c r="AM602" s="37">
        <f>if(and(AJ602="no match", AK602="", AL602="", K602&lt;26), "CUSM, CHU SJ, HGJ, CHUQ, CHUS", "")</f>
      </c>
      <c r="AN602" s="37">
        <f>if(and(AJ602="no match", AK602="", AL602="", K602&gt;26), "CUSM, CHU SJ, HGJ, CHUQ, CHUS, HMR", "")</f>
      </c>
    </row>
    <row x14ac:dyDescent="0.25" r="603" customHeight="1" ht="17.25">
      <c r="A603" s="27" t="s">
        <v>2551</v>
      </c>
      <c r="B603" s="28">
        <v>2</v>
      </c>
      <c r="C603" s="28">
        <v>795</v>
      </c>
      <c r="D603" s="29" t="s">
        <v>73</v>
      </c>
      <c r="E603" s="30" t="s">
        <v>220</v>
      </c>
      <c r="F603" s="31">
        <v>44507</v>
      </c>
      <c r="G603" s="32">
        <v>4.5875</v>
      </c>
      <c r="H603" s="31">
        <v>44506</v>
      </c>
      <c r="I603" s="32">
        <v>4.9006944444444445</v>
      </c>
      <c r="J603" s="33">
        <f>F603-H603</f>
      </c>
      <c r="K603" s="28">
        <v>30</v>
      </c>
      <c r="L603" s="28">
        <v>0</v>
      </c>
      <c r="M603" s="28">
        <v>1</v>
      </c>
      <c r="N603" s="34"/>
      <c r="O603" s="34"/>
      <c r="P603" s="34"/>
      <c r="Q603" s="34"/>
      <c r="R603" s="34"/>
      <c r="S603" s="34"/>
      <c r="T603" s="34"/>
      <c r="U603" s="34"/>
      <c r="V603" s="34"/>
      <c r="W603" s="29" t="s">
        <v>74</v>
      </c>
      <c r="X603" s="28">
        <v>36</v>
      </c>
      <c r="Y603" s="28">
        <v>2</v>
      </c>
      <c r="Z603" s="28">
        <v>1</v>
      </c>
      <c r="AA603" s="28">
        <v>2</v>
      </c>
      <c r="AB603" s="28">
        <v>1</v>
      </c>
      <c r="AC603" s="28">
        <v>2</v>
      </c>
      <c r="AD603" s="28">
        <v>2</v>
      </c>
      <c r="AE603" s="28">
        <v>4</v>
      </c>
      <c r="AF603" s="28">
        <v>2</v>
      </c>
      <c r="AG603" s="28">
        <v>2</v>
      </c>
      <c r="AH603" s="29" t="s">
        <v>2552</v>
      </c>
      <c r="AI603" s="36">
        <f>if(or(and(K603&lt;32, J603&lt;2), O603=1, P603=1, Q603=1, R603=1, S603=1, T603=1, U603=1, and(W603&lt;&gt;"", W603&lt;&gt;"Oxygen", W603&lt;&gt;"LowFlow")), "Intensive", "Intermediate")</f>
      </c>
      <c r="AJ603" s="37">
        <f>if(or(left(AH603, 1)="X", left(AH603, 1)="Y", left(AH603, 3)="J25M"), "CUSM", "No Match")</f>
      </c>
      <c r="AK603" s="37">
        <f>if(and(or(O603=3, P603=1, Q603=1, T603=1), AJ603="no Match"), "CUSM, CHU SJ, CHUQ", "")</f>
      </c>
      <c r="AL603" s="37">
        <f>IF(AND(O604=2, ISBLANK(P604), ISBLANK(Q604), ISBLANK(R604), ISBLANK(S604), ISBLANK(T604)), "CUSM, CHU SJ, CHUS, CHUQ", "")</f>
      </c>
      <c r="AM603" s="37">
        <f>if(and(AJ603="no match", AK603="", AL603="", K603&lt;26), "CUSM, CHU SJ, HGJ, CHUQ, CHUS", "")</f>
      </c>
      <c r="AN603" s="37">
        <f>if(and(AJ603="no match", AK603="", AL603="", K603&gt;26), "CUSM, CHU SJ, HGJ, CHUQ, CHUS, HMR", "")</f>
      </c>
    </row>
    <row x14ac:dyDescent="0.25" r="604" customHeight="1" ht="17.25">
      <c r="A604" s="27" t="s">
        <v>2553</v>
      </c>
      <c r="B604" s="28">
        <v>2</v>
      </c>
      <c r="C604" s="35">
        <v>795</v>
      </c>
      <c r="D604" s="29" t="s">
        <v>73</v>
      </c>
      <c r="E604" s="30" t="s">
        <v>220</v>
      </c>
      <c r="F604" s="31">
        <v>44507</v>
      </c>
      <c r="G604" s="32">
        <v>4.461111111111111</v>
      </c>
      <c r="H604" s="31">
        <v>44506</v>
      </c>
      <c r="I604" s="32">
        <v>4.965972222222222</v>
      </c>
      <c r="J604" s="33">
        <f>F604-H604</f>
      </c>
      <c r="K604" s="28">
        <v>30</v>
      </c>
      <c r="L604" s="28">
        <v>0</v>
      </c>
      <c r="M604" s="28">
        <v>1</v>
      </c>
      <c r="N604" s="34"/>
      <c r="O604" s="34"/>
      <c r="P604" s="34"/>
      <c r="Q604" s="34"/>
      <c r="R604" s="34"/>
      <c r="S604" s="34"/>
      <c r="T604" s="34"/>
      <c r="U604" s="34"/>
      <c r="V604" s="34"/>
      <c r="W604" s="29" t="s">
        <v>74</v>
      </c>
      <c r="X604" s="28">
        <v>36</v>
      </c>
      <c r="Y604" s="28">
        <v>2</v>
      </c>
      <c r="Z604" s="28">
        <v>1</v>
      </c>
      <c r="AA604" s="28">
        <v>2</v>
      </c>
      <c r="AB604" s="28">
        <v>1</v>
      </c>
      <c r="AC604" s="28">
        <v>2</v>
      </c>
      <c r="AD604" s="28">
        <v>2</v>
      </c>
      <c r="AE604" s="28">
        <v>4</v>
      </c>
      <c r="AF604" s="28">
        <v>2</v>
      </c>
      <c r="AG604" s="28">
        <v>2</v>
      </c>
      <c r="AH604" s="29" t="s">
        <v>2552</v>
      </c>
      <c r="AI604" s="36">
        <f>if(or(and(K604&lt;32, J604&lt;2), O604=1, P604=1, Q604=1, R604=1, S604=1, T604=1, U604=1, and(W604&lt;&gt;"", W604&lt;&gt;"Oxygen", W604&lt;&gt;"LowFlow")), "Intensive", "Intermediate")</f>
      </c>
      <c r="AJ604" s="37">
        <f>if(or(left(AH604, 1)="X", left(AH604, 1)="Y", left(AH604, 3)="J26M"), "CUSM", "No Match")</f>
      </c>
      <c r="AK604" s="37">
        <f>if(and(or(O604=3, P604=1, Q604=1, T604=1), AJ604="no Match"), "CUSM, CHU SJ, CHUQ", "")</f>
      </c>
      <c r="AL604" s="37">
        <f>IF(AND(O605=2, ISBLANK(P605), ISBLANK(Q605), ISBLANK(R605), ISBLANK(S605), ISBLANK(T605)), "CUSM, CHU SJ, CHUS, CHUQ", "")</f>
      </c>
      <c r="AM604" s="37">
        <f>if(and(AJ604="no match", AK604="", AL604="", K604&lt;26), "CUSM, CHU SJ, HGJ, CHUQ, CHUS", "")</f>
      </c>
      <c r="AN604" s="37">
        <f>if(and(AJ604="no match", AK604="", AL604="", K604&gt;26), "CUSM, CHU SJ, HGJ, CHUQ, CHUS, HMR", "")</f>
      </c>
    </row>
    <row x14ac:dyDescent="0.25" r="605" customHeight="1" ht="17.25">
      <c r="A605" s="27" t="s">
        <v>2554</v>
      </c>
      <c r="B605" s="28">
        <v>2</v>
      </c>
      <c r="C605" s="35">
        <v>831</v>
      </c>
      <c r="D605" s="29" t="s">
        <v>313</v>
      </c>
      <c r="E605" s="30" t="s">
        <v>78</v>
      </c>
      <c r="F605" s="31">
        <v>44509</v>
      </c>
      <c r="G605" s="32">
        <v>4.083333333333334</v>
      </c>
      <c r="H605" s="31">
        <v>44508</v>
      </c>
      <c r="I605" s="32">
        <v>4.933333333333334</v>
      </c>
      <c r="J605" s="33">
        <f>F605-H605</f>
      </c>
      <c r="K605" s="28">
        <v>30</v>
      </c>
      <c r="L605" s="28">
        <v>1</v>
      </c>
      <c r="M605" s="28">
        <v>2</v>
      </c>
      <c r="N605" s="34"/>
      <c r="O605" s="34"/>
      <c r="P605" s="34"/>
      <c r="Q605" s="34"/>
      <c r="R605" s="34"/>
      <c r="S605" s="34"/>
      <c r="T605" s="34"/>
      <c r="U605" s="34"/>
      <c r="V605" s="34"/>
      <c r="W605" s="29" t="s">
        <v>164</v>
      </c>
      <c r="X605" s="28">
        <v>34</v>
      </c>
      <c r="Y605" s="28">
        <v>1</v>
      </c>
      <c r="Z605" s="28">
        <v>2</v>
      </c>
      <c r="AA605" s="28">
        <v>1</v>
      </c>
      <c r="AB605" s="28">
        <v>1</v>
      </c>
      <c r="AC605" s="28">
        <v>2</v>
      </c>
      <c r="AD605" s="28">
        <v>2</v>
      </c>
      <c r="AE605" s="28">
        <v>2</v>
      </c>
      <c r="AF605" s="35">
        <v>2</v>
      </c>
      <c r="AG605" s="28">
        <v>2</v>
      </c>
      <c r="AH605" s="29" t="s">
        <v>2555</v>
      </c>
      <c r="AI605" s="36">
        <f>if(or(and(K605&lt;32, J605&lt;2), O605=1, P605=1, Q605=1, R605=1, S605=1, T605=1, U605=1, and(W605&lt;&gt;"", W605&lt;&gt;"Oxygen", W605&lt;&gt;"LowFlow")), "Intensive", "Intermediate")</f>
      </c>
      <c r="AJ605" s="37">
        <f>if(or(left(AH605, 1)="X", left(AH605, 1)="Y", left(AH605, 3)="J27M"), "CUSM", "No Match")</f>
      </c>
      <c r="AK605" s="37">
        <f>if(and(or(O605=3, P605=1, Q605=1, T605=1), AJ605="no Match"), "CUSM, CHU SJ, CHUQ", "")</f>
      </c>
      <c r="AL605" s="37">
        <f>IF(AND(O606=2, ISBLANK(P606), ISBLANK(Q606), ISBLANK(R606), ISBLANK(S606), ISBLANK(T606)), "CUSM, CHU SJ, CHUS, CHUQ", "")</f>
      </c>
      <c r="AM605" s="37">
        <f>if(and(AJ605="no match", AK605="", AL605="", K605&lt;26), "CUSM, CHU SJ, HGJ, CHUQ, CHUS", "")</f>
      </c>
      <c r="AN605" s="37">
        <f>if(and(AJ605="no match", AK605="", AL605="", K605&gt;26), "CUSM, CHU SJ, HGJ, CHUQ, CHUS, HMR", "")</f>
      </c>
    </row>
    <row x14ac:dyDescent="0.25" r="606" customHeight="1" ht="17.25">
      <c r="A606" s="27" t="s">
        <v>2556</v>
      </c>
      <c r="B606" s="28">
        <v>2</v>
      </c>
      <c r="C606" s="28">
        <v>833</v>
      </c>
      <c r="D606" s="29" t="s">
        <v>376</v>
      </c>
      <c r="E606" s="30" t="s">
        <v>50</v>
      </c>
      <c r="F606" s="31">
        <v>44509</v>
      </c>
      <c r="G606" s="32">
        <v>4.767361111111111</v>
      </c>
      <c r="H606" s="31">
        <v>44508</v>
      </c>
      <c r="I606" s="32">
        <v>4.831944444444444</v>
      </c>
      <c r="J606" s="33">
        <f>F606-H606</f>
      </c>
      <c r="K606" s="28">
        <v>40</v>
      </c>
      <c r="L606" s="28">
        <v>2</v>
      </c>
      <c r="M606" s="28">
        <v>1</v>
      </c>
      <c r="N606" s="35">
        <v>1</v>
      </c>
      <c r="O606" s="34"/>
      <c r="P606" s="35">
        <v>1</v>
      </c>
      <c r="Q606" s="34"/>
      <c r="R606" s="34"/>
      <c r="S606" s="34"/>
      <c r="T606" s="38"/>
      <c r="U606" s="34"/>
      <c r="V606" s="34"/>
      <c r="W606" s="29"/>
      <c r="X606" s="28">
        <v>33</v>
      </c>
      <c r="Y606" s="28">
        <v>1</v>
      </c>
      <c r="Z606" s="28">
        <v>1</v>
      </c>
      <c r="AA606" s="28">
        <v>3</v>
      </c>
      <c r="AB606" s="28">
        <v>1</v>
      </c>
      <c r="AC606" s="28">
        <v>2</v>
      </c>
      <c r="AD606" s="28">
        <v>2</v>
      </c>
      <c r="AE606" s="28">
        <v>4</v>
      </c>
      <c r="AF606" s="28">
        <v>3</v>
      </c>
      <c r="AG606" s="28">
        <v>2</v>
      </c>
      <c r="AH606" s="29" t="s">
        <v>2557</v>
      </c>
      <c r="AI606" s="36">
        <f>if(or(and(K606&lt;32, J606&lt;2), O606=1, P606=1, Q606=1, R606=1, S606=1, T606=1, U606=1, and(W606&lt;&gt;"", W606&lt;&gt;"Oxygen", W606&lt;&gt;"LowFlow")), "Intensive", "Intermediate")</f>
      </c>
      <c r="AJ606" s="37">
        <f>if(or(left(AH606, 1)="X", left(AH606, 1)="Y", left(AH606, 3)="J28M"), "CUSM", "No Match")</f>
      </c>
      <c r="AK606" s="37">
        <f>if(and(or(O606=3, P606=1, Q606=1, T606=1), AJ606="no Match"), "CUSM, CHU SJ, CHUQ", "")</f>
      </c>
      <c r="AL606" s="37">
        <f>IF(AND(O607=2, ISBLANK(P607), ISBLANK(Q607), ISBLANK(R607), ISBLANK(S607), ISBLANK(T607)), "CUSM, CHU SJ, CHUS, CHUQ", "")</f>
      </c>
      <c r="AM606" s="37">
        <f>if(and(AJ606="no match", AK606="", AL606="", K606&lt;26), "CUSM, CHU SJ, HGJ, CHUQ, CHUS", "")</f>
      </c>
      <c r="AN606" s="37">
        <f>if(and(AJ606="no match", AK606="", AL606="", K606&gt;26), "CUSM, CHU SJ, HGJ, CHUQ, CHUS, HMR", "")</f>
      </c>
    </row>
    <row x14ac:dyDescent="0.25" r="607" customHeight="1" ht="17.25">
      <c r="A607" s="27" t="s">
        <v>2558</v>
      </c>
      <c r="B607" s="28">
        <v>2</v>
      </c>
      <c r="C607" s="28">
        <v>782</v>
      </c>
      <c r="D607" s="29" t="s">
        <v>95</v>
      </c>
      <c r="E607" s="30" t="s">
        <v>50</v>
      </c>
      <c r="F607" s="31">
        <v>44510</v>
      </c>
      <c r="G607" s="32">
        <v>4.78125</v>
      </c>
      <c r="H607" s="31">
        <v>44509</v>
      </c>
      <c r="I607" s="32">
        <v>4.21875</v>
      </c>
      <c r="J607" s="33">
        <f>F607-H607</f>
      </c>
      <c r="K607" s="28">
        <v>39</v>
      </c>
      <c r="L607" s="28">
        <v>5</v>
      </c>
      <c r="M607" s="28">
        <v>1</v>
      </c>
      <c r="N607" s="34"/>
      <c r="O607" s="34"/>
      <c r="P607" s="34"/>
      <c r="Q607" s="34"/>
      <c r="R607" s="34"/>
      <c r="S607" s="34"/>
      <c r="T607" s="38"/>
      <c r="U607" s="34"/>
      <c r="V607" s="34"/>
      <c r="W607" s="29"/>
      <c r="X607" s="28">
        <v>37</v>
      </c>
      <c r="Y607" s="28">
        <v>1</v>
      </c>
      <c r="Z607" s="28">
        <v>1</v>
      </c>
      <c r="AA607" s="28">
        <v>2</v>
      </c>
      <c r="AB607" s="28">
        <v>1</v>
      </c>
      <c r="AC607" s="28">
        <v>2</v>
      </c>
      <c r="AD607" s="28">
        <v>1</v>
      </c>
      <c r="AE607" s="28">
        <v>4</v>
      </c>
      <c r="AF607" s="28">
        <v>2</v>
      </c>
      <c r="AG607" s="28">
        <v>2</v>
      </c>
      <c r="AH607" s="29" t="s">
        <v>2559</v>
      </c>
      <c r="AI607" s="36">
        <f>if(or(and(K607&lt;32, J607&lt;2), O607=1, P607=1, Q607=1, R607=1, S607=1, T607=1, U607=1, and(W607&lt;&gt;"", W607&lt;&gt;"Oxygen", W607&lt;&gt;"LowFlow")), "Intensive", "Intermediate")</f>
      </c>
      <c r="AJ607" s="37">
        <f>if(or(left(AH607, 1)="X", left(AH607, 1)="Y", left(AH607, 3)="J29M"), "CUSM", "No Match")</f>
      </c>
      <c r="AK607" s="37">
        <f>if(and(or(O607=3, P607=1, Q607=1, T607=1), AJ607="no Match"), "CUSM, CHU SJ, CHUQ", "")</f>
      </c>
      <c r="AL607" s="37">
        <f>IF(AND(O608=2, ISBLANK(P608), ISBLANK(Q608), ISBLANK(R608), ISBLANK(S608), ISBLANK(T608)), "CUSM, CHU SJ, CHUS, CHUQ", "")</f>
      </c>
      <c r="AM607" s="37">
        <f>if(and(AJ607="no match", AK607="", AL607="", K607&lt;26), "CUSM, CHU SJ, HGJ, CHUQ, CHUS", "")</f>
      </c>
      <c r="AN607" s="37">
        <f>if(and(AJ607="no match", AK607="", AL607="", K607&gt;26), "CUSM, CHU SJ, HGJ, CHUQ, CHUS, HMR", "")</f>
      </c>
    </row>
    <row x14ac:dyDescent="0.25" r="608" customHeight="1" ht="17.25">
      <c r="A608" s="27" t="s">
        <v>2560</v>
      </c>
      <c r="B608" s="28">
        <v>2</v>
      </c>
      <c r="C608" s="35">
        <v>822</v>
      </c>
      <c r="D608" s="29" t="s">
        <v>167</v>
      </c>
      <c r="E608" s="30" t="s">
        <v>50</v>
      </c>
      <c r="F608" s="31">
        <v>44510</v>
      </c>
      <c r="G608" s="32">
        <v>4.611111111111111</v>
      </c>
      <c r="H608" s="31">
        <v>44509</v>
      </c>
      <c r="I608" s="32">
        <v>4.625694444444445</v>
      </c>
      <c r="J608" s="33">
        <f>F608-H608</f>
      </c>
      <c r="K608" s="28">
        <v>38</v>
      </c>
      <c r="L608" s="28">
        <v>4</v>
      </c>
      <c r="M608" s="28">
        <v>1</v>
      </c>
      <c r="N608" s="38"/>
      <c r="O608" s="34"/>
      <c r="P608" s="38"/>
      <c r="Q608" s="34"/>
      <c r="R608" s="34"/>
      <c r="S608" s="34"/>
      <c r="T608" s="34"/>
      <c r="U608" s="34"/>
      <c r="V608" s="34"/>
      <c r="W608" s="29" t="s">
        <v>58</v>
      </c>
      <c r="X608" s="28">
        <v>33</v>
      </c>
      <c r="Y608" s="28">
        <v>1</v>
      </c>
      <c r="Z608" s="28">
        <v>1</v>
      </c>
      <c r="AA608" s="28">
        <v>2</v>
      </c>
      <c r="AB608" s="28">
        <v>1</v>
      </c>
      <c r="AC608" s="28">
        <v>2</v>
      </c>
      <c r="AD608" s="28">
        <v>1</v>
      </c>
      <c r="AE608" s="28">
        <v>4</v>
      </c>
      <c r="AF608" s="28">
        <v>2</v>
      </c>
      <c r="AG608" s="28">
        <v>2</v>
      </c>
      <c r="AH608" s="29" t="s">
        <v>154</v>
      </c>
      <c r="AI608" s="36">
        <f>if(or(and(K608&lt;32, J608&lt;2), O608=1, P608=1, Q608=1, R608=1, S608=1, T608=1, U608=1, and(W608&lt;&gt;"", W608&lt;&gt;"Oxygen", W608&lt;&gt;"LowFlow")), "Intensive", "Intermediate")</f>
      </c>
      <c r="AJ608" s="37">
        <f>if(or(left(AH608, 1)="X", left(AH608, 1)="Y", left(AH608, 3)="J30M"), "CUSM", "No Match")</f>
      </c>
      <c r="AK608" s="37">
        <f>if(and(or(O608=3, P608=1, Q608=1, T608=1), AJ608="no Match"), "CUSM, CHU SJ, CHUQ", "")</f>
      </c>
      <c r="AL608" s="37">
        <f>IF(AND(O609=2, ISBLANK(P609), ISBLANK(Q609), ISBLANK(R609), ISBLANK(S609), ISBLANK(T609)), "CUSM, CHU SJ, CHUS, CHUQ", "")</f>
      </c>
      <c r="AM608" s="37">
        <f>if(and(AJ608="no match", AK608="", AL608="", K608&lt;26), "CUSM, CHU SJ, HGJ, CHUQ, CHUS", "")</f>
      </c>
      <c r="AN608" s="37">
        <f>if(and(AJ608="no match", AK608="", AL608="", K608&gt;26), "CUSM, CHU SJ, HGJ, CHUQ, CHUS, HMR", "")</f>
      </c>
    </row>
    <row x14ac:dyDescent="0.25" r="609" customHeight="1" ht="17.25">
      <c r="A609" s="27" t="s">
        <v>2561</v>
      </c>
      <c r="B609" s="28">
        <v>2</v>
      </c>
      <c r="C609" s="35">
        <v>839</v>
      </c>
      <c r="D609" s="29" t="s">
        <v>53</v>
      </c>
      <c r="E609" s="30" t="s">
        <v>50</v>
      </c>
      <c r="F609" s="31">
        <v>44510</v>
      </c>
      <c r="G609" s="32">
        <v>4.444444444444445</v>
      </c>
      <c r="H609" s="31">
        <v>44510</v>
      </c>
      <c r="I609" s="32">
        <v>4.275</v>
      </c>
      <c r="J609" s="33">
        <f>F609-H609</f>
      </c>
      <c r="K609" s="28">
        <v>40</v>
      </c>
      <c r="L609" s="28">
        <v>4</v>
      </c>
      <c r="M609" s="28">
        <v>1</v>
      </c>
      <c r="N609" s="38"/>
      <c r="O609" s="34"/>
      <c r="P609" s="38"/>
      <c r="Q609" s="34"/>
      <c r="R609" s="34"/>
      <c r="S609" s="34"/>
      <c r="T609" s="35">
        <v>1</v>
      </c>
      <c r="U609" s="34"/>
      <c r="V609" s="34"/>
      <c r="W609" s="29" t="s">
        <v>74</v>
      </c>
      <c r="X609" s="28">
        <v>32</v>
      </c>
      <c r="Y609" s="28">
        <v>1</v>
      </c>
      <c r="Z609" s="28">
        <v>1</v>
      </c>
      <c r="AA609" s="28">
        <v>2</v>
      </c>
      <c r="AB609" s="28">
        <v>1</v>
      </c>
      <c r="AC609" s="28">
        <v>2</v>
      </c>
      <c r="AD609" s="28">
        <v>2</v>
      </c>
      <c r="AE609" s="28">
        <v>2</v>
      </c>
      <c r="AF609" s="28">
        <v>2</v>
      </c>
      <c r="AG609" s="28">
        <v>2</v>
      </c>
      <c r="AH609" s="29" t="s">
        <v>2562</v>
      </c>
      <c r="AI609" s="36">
        <f>if(or(and(K609&lt;32, J609&lt;2), O609=1, P609=1, Q609=1, R609=1, S609=1, T609=1, U609=1, and(W609&lt;&gt;"", W609&lt;&gt;"Oxygen", W609&lt;&gt;"LowFlow")), "Intensive", "Intermediate")</f>
      </c>
      <c r="AJ609" s="37">
        <f>if(or(left(AH609, 1)="X", left(AH609, 1)="Y", left(AH609, 3)="J31M"), "CUSM", "No Match")</f>
      </c>
      <c r="AK609" s="37">
        <f>if(and(or(O609=3, P609=1, Q609=1, T609=1), AJ609="no Match"), "CUSM, CHU SJ, CHUQ", "")</f>
      </c>
      <c r="AL609" s="37">
        <f>IF(AND(O610=2, ISBLANK(P610), ISBLANK(Q610), ISBLANK(R610), ISBLANK(S610), ISBLANK(T610)), "CUSM, CHU SJ, CHUS, CHUQ", "")</f>
      </c>
      <c r="AM609" s="37">
        <f>if(and(AJ609="no match", AK609="", AL609="", K609&lt;26), "CUSM, CHU SJ, HGJ, CHUQ, CHUS", "")</f>
      </c>
      <c r="AN609" s="37">
        <f>if(and(AJ609="no match", AK609="", AL609="", K609&gt;26), "CUSM, CHU SJ, HGJ, CHUQ, CHUS, HMR", "")</f>
      </c>
    </row>
    <row x14ac:dyDescent="0.25" r="610" customHeight="1" ht="17.25">
      <c r="A610" s="27" t="s">
        <v>2563</v>
      </c>
      <c r="B610" s="28">
        <v>2</v>
      </c>
      <c r="C610" s="35">
        <v>831</v>
      </c>
      <c r="D610" s="29" t="s">
        <v>313</v>
      </c>
      <c r="E610" s="30" t="s">
        <v>54</v>
      </c>
      <c r="F610" s="31">
        <v>44512</v>
      </c>
      <c r="G610" s="32">
        <v>4.149305555555555</v>
      </c>
      <c r="H610" s="31">
        <v>44511</v>
      </c>
      <c r="I610" s="32">
        <v>4.988888888888889</v>
      </c>
      <c r="J610" s="33">
        <f>F610-H610</f>
      </c>
      <c r="K610" s="28">
        <v>39</v>
      </c>
      <c r="L610" s="28">
        <v>0</v>
      </c>
      <c r="M610" s="28">
        <v>2</v>
      </c>
      <c r="N610" s="34"/>
      <c r="O610" s="34"/>
      <c r="P610" s="34"/>
      <c r="Q610" s="34"/>
      <c r="R610" s="34"/>
      <c r="S610" s="34"/>
      <c r="T610" s="35">
        <v>1</v>
      </c>
      <c r="U610" s="34"/>
      <c r="V610" s="34"/>
      <c r="W610" s="29" t="s">
        <v>58</v>
      </c>
      <c r="X610" s="28">
        <v>36</v>
      </c>
      <c r="Y610" s="28">
        <v>1</v>
      </c>
      <c r="Z610" s="28">
        <v>1</v>
      </c>
      <c r="AA610" s="28">
        <v>1</v>
      </c>
      <c r="AB610" s="28">
        <v>1</v>
      </c>
      <c r="AC610" s="28">
        <v>1</v>
      </c>
      <c r="AD610" s="28">
        <v>2</v>
      </c>
      <c r="AE610" s="28">
        <v>4</v>
      </c>
      <c r="AF610" s="28">
        <v>2</v>
      </c>
      <c r="AG610" s="28">
        <v>2</v>
      </c>
      <c r="AH610" s="29" t="s">
        <v>2564</v>
      </c>
      <c r="AI610" s="36">
        <f>if(or(and(K610&lt;32, J610&lt;2), O610=1, P610=1, Q610=1, R610=1, S610=1, T610=1, U610=1, and(W610&lt;&gt;"", W610&lt;&gt;"Oxygen", W610&lt;&gt;"LowFlow")), "Intensive", "Intermediate")</f>
      </c>
      <c r="AJ610" s="37">
        <f>if(or(left(AH610, 1)="X", left(AH610, 1)="Y", left(AH610, 3)="J32M"), "CUSM", "No Match")</f>
      </c>
      <c r="AK610" s="37">
        <f>if(and(or(O610=3, P610=1, Q610=1, T610=1), AJ610="no Match"), "CUSM, CHU SJ, CHUQ", "")</f>
      </c>
      <c r="AL610" s="37">
        <f>IF(AND(O611=2, ISBLANK(P611), ISBLANK(Q611), ISBLANK(R611), ISBLANK(S611), ISBLANK(T611)), "CUSM, CHU SJ, CHUS, CHUQ", "")</f>
      </c>
      <c r="AM610" s="37">
        <f>if(and(AJ610="no match", AK610="", AL610="", K610&lt;26), "CUSM, CHU SJ, HGJ, CHUQ, CHUS", "")</f>
      </c>
      <c r="AN610" s="37">
        <f>if(and(AJ610="no match", AK610="", AL610="", K610&gt;26), "CUSM, CHU SJ, HGJ, CHUQ, CHUS, HMR", "")</f>
      </c>
    </row>
    <row x14ac:dyDescent="0.25" r="611" customHeight="1" ht="17.25">
      <c r="A611" s="27" t="s">
        <v>2565</v>
      </c>
      <c r="B611" s="28">
        <v>2</v>
      </c>
      <c r="C611" s="35">
        <v>779</v>
      </c>
      <c r="D611" s="29" t="s">
        <v>136</v>
      </c>
      <c r="E611" s="30" t="s">
        <v>50</v>
      </c>
      <c r="F611" s="31">
        <v>44512</v>
      </c>
      <c r="G611" s="32">
        <v>4.59375</v>
      </c>
      <c r="H611" s="31">
        <v>44511</v>
      </c>
      <c r="I611" s="32">
        <v>4.440972222222222</v>
      </c>
      <c r="J611" s="33">
        <f>F611-H611</f>
      </c>
      <c r="K611" s="28">
        <v>37</v>
      </c>
      <c r="L611" s="28">
        <v>1</v>
      </c>
      <c r="M611" s="28">
        <v>1</v>
      </c>
      <c r="N611" s="34"/>
      <c r="O611" s="34"/>
      <c r="P611" s="34"/>
      <c r="Q611" s="34"/>
      <c r="R611" s="34"/>
      <c r="S611" s="34"/>
      <c r="T611" s="34"/>
      <c r="U611" s="34"/>
      <c r="V611" s="34"/>
      <c r="W611" s="29" t="s">
        <v>58</v>
      </c>
      <c r="X611" s="28">
        <v>33</v>
      </c>
      <c r="Y611" s="28">
        <v>2</v>
      </c>
      <c r="Z611" s="28">
        <v>2</v>
      </c>
      <c r="AA611" s="28">
        <v>3</v>
      </c>
      <c r="AB611" s="28">
        <v>1</v>
      </c>
      <c r="AC611" s="28">
        <v>2</v>
      </c>
      <c r="AD611" s="28">
        <v>2</v>
      </c>
      <c r="AE611" s="28">
        <v>4</v>
      </c>
      <c r="AF611" s="28">
        <v>3</v>
      </c>
      <c r="AG611" s="28">
        <v>2</v>
      </c>
      <c r="AH611" s="29" t="s">
        <v>2566</v>
      </c>
      <c r="AI611" s="36">
        <f>if(or(and(K611&lt;32, J611&lt;2), O611=1, P611=1, Q611=1, R611=1, S611=1, T611=1, U611=1, and(W611&lt;&gt;"", W611&lt;&gt;"Oxygen", W611&lt;&gt;"LowFlow")), "Intensive", "Intermediate")</f>
      </c>
      <c r="AJ611" s="37">
        <f>if(or(left(AH611, 1)="X", left(AH611, 1)="Y", left(AH611, 3)="J33M"), "CUSM", "No Match")</f>
      </c>
      <c r="AK611" s="37">
        <f>if(and(or(O611=3, P611=1, Q611=1, T611=1), AJ611="no Match"), "CUSM, CHU SJ, CHUQ", "")</f>
      </c>
      <c r="AL611" s="37">
        <f>IF(AND(O612=2, ISBLANK(P612), ISBLANK(Q612), ISBLANK(R612), ISBLANK(S612), ISBLANK(T612)), "CUSM, CHU SJ, CHUS, CHUQ", "")</f>
      </c>
      <c r="AM611" s="37">
        <f>if(and(AJ611="no match", AK611="", AL611="", K611&lt;26), "CUSM, CHU SJ, HGJ, CHUQ, CHUS", "")</f>
      </c>
      <c r="AN611" s="37">
        <f>if(and(AJ611="no match", AK611="", AL611="", K611&gt;26), "CUSM, CHU SJ, HGJ, CHUQ, CHUS, HMR", "")</f>
      </c>
    </row>
    <row x14ac:dyDescent="0.25" r="612" customHeight="1" ht="17.25">
      <c r="A612" s="27" t="s">
        <v>2567</v>
      </c>
      <c r="B612" s="28">
        <v>2</v>
      </c>
      <c r="C612" s="28">
        <v>824</v>
      </c>
      <c r="D612" s="29" t="s">
        <v>57</v>
      </c>
      <c r="E612" s="30" t="s">
        <v>50</v>
      </c>
      <c r="F612" s="31">
        <v>44513</v>
      </c>
      <c r="G612" s="32">
        <v>4.342361111111111</v>
      </c>
      <c r="H612" s="31">
        <v>44513</v>
      </c>
      <c r="I612" s="32">
        <v>4.154861111111111</v>
      </c>
      <c r="J612" s="33">
        <f>F612-H612</f>
      </c>
      <c r="K612" s="28">
        <v>40</v>
      </c>
      <c r="L612" s="28">
        <v>1</v>
      </c>
      <c r="M612" s="28">
        <v>1</v>
      </c>
      <c r="N612" s="34"/>
      <c r="O612" s="34"/>
      <c r="P612" s="34"/>
      <c r="Q612" s="34"/>
      <c r="R612" s="34"/>
      <c r="S612" s="34"/>
      <c r="T612" s="34"/>
      <c r="U612" s="34"/>
      <c r="V612" s="34"/>
      <c r="W612" s="29"/>
      <c r="X612" s="28">
        <v>23</v>
      </c>
      <c r="Y612" s="28">
        <v>1</v>
      </c>
      <c r="Z612" s="28">
        <v>1</v>
      </c>
      <c r="AA612" s="28">
        <v>3</v>
      </c>
      <c r="AB612" s="28">
        <v>1</v>
      </c>
      <c r="AC612" s="28">
        <v>2</v>
      </c>
      <c r="AD612" s="28">
        <v>1</v>
      </c>
      <c r="AE612" s="28">
        <v>1</v>
      </c>
      <c r="AF612" s="38"/>
      <c r="AG612" s="28">
        <v>2</v>
      </c>
      <c r="AH612" s="29" t="s">
        <v>2568</v>
      </c>
      <c r="AI612" s="36">
        <f>if(or(and(K612&lt;32, J612&lt;2), O612=1, P612=1, Q612=1, R612=1, S612=1, T612=1, U612=1, and(W612&lt;&gt;"", W612&lt;&gt;"Oxygen", W612&lt;&gt;"LowFlow")), "Intensive", "Intermediate")</f>
      </c>
      <c r="AJ612" s="37">
        <f>if(or(left(AH612, 1)="X", left(AH612, 1)="Y", left(AH612, 3)="J34M"), "CUSM", "No Match")</f>
      </c>
      <c r="AK612" s="37">
        <f>if(and(or(O612=3, P612=1, Q612=1, T612=1), AJ612="no Match"), "CUSM, CHU SJ, CHUQ", "")</f>
      </c>
      <c r="AL612" s="37">
        <f>IF(AND(O613=2, ISBLANK(P613), ISBLANK(Q613), ISBLANK(R613), ISBLANK(S613), ISBLANK(T613)), "CUSM, CHU SJ, CHUS, CHUQ", "")</f>
      </c>
      <c r="AM612" s="37">
        <f>if(and(AJ612="no match", AK612="", AL612="", K612&lt;26), "CUSM, CHU SJ, HGJ, CHUQ, CHUS", "")</f>
      </c>
      <c r="AN612" s="37">
        <f>if(and(AJ612="no match", AK612="", AL612="", K612&gt;26), "CUSM, CHU SJ, HGJ, CHUQ, CHUS, HMR", "")</f>
      </c>
    </row>
    <row x14ac:dyDescent="0.25" r="613" customHeight="1" ht="17.25">
      <c r="A613" s="27" t="s">
        <v>2569</v>
      </c>
      <c r="B613" s="28">
        <v>2</v>
      </c>
      <c r="C613" s="35">
        <v>730</v>
      </c>
      <c r="D613" s="29" t="s">
        <v>81</v>
      </c>
      <c r="E613" s="30" t="s">
        <v>50</v>
      </c>
      <c r="F613" s="31">
        <v>44513</v>
      </c>
      <c r="G613" s="32">
        <v>4.0368055555555555</v>
      </c>
      <c r="H613" s="31">
        <v>44512</v>
      </c>
      <c r="I613" s="32">
        <v>4.888888888888889</v>
      </c>
      <c r="J613" s="33">
        <f>F613-H613</f>
      </c>
      <c r="K613" s="28">
        <v>34</v>
      </c>
      <c r="L613" s="28">
        <v>6</v>
      </c>
      <c r="M613" s="28">
        <v>1</v>
      </c>
      <c r="N613" s="35">
        <v>1</v>
      </c>
      <c r="O613" s="35">
        <v>2</v>
      </c>
      <c r="P613" s="35">
        <v>1</v>
      </c>
      <c r="Q613" s="35">
        <v>1</v>
      </c>
      <c r="R613" s="34"/>
      <c r="S613" s="34"/>
      <c r="T613" s="35">
        <v>1</v>
      </c>
      <c r="U613" s="34"/>
      <c r="V613" s="34"/>
      <c r="W613" s="29" t="s">
        <v>74</v>
      </c>
      <c r="X613" s="28">
        <v>42</v>
      </c>
      <c r="Y613" s="28">
        <v>1</v>
      </c>
      <c r="Z613" s="28">
        <v>1</v>
      </c>
      <c r="AA613" s="28">
        <v>3</v>
      </c>
      <c r="AB613" s="28">
        <v>1</v>
      </c>
      <c r="AC613" s="28">
        <v>2</v>
      </c>
      <c r="AD613" s="28">
        <v>1</v>
      </c>
      <c r="AE613" s="28">
        <v>4</v>
      </c>
      <c r="AF613" s="35">
        <v>2</v>
      </c>
      <c r="AG613" s="28">
        <v>2</v>
      </c>
      <c r="AH613" s="29" t="s">
        <v>2570</v>
      </c>
      <c r="AI613" s="36">
        <f>if(or(and(K613&lt;32, J613&lt;2), O613=1, P613=1, Q613=1, R613=1, S613=1, T613=1, U613=1, and(W613&lt;&gt;"", W613&lt;&gt;"Oxygen", W613&lt;&gt;"LowFlow")), "Intensive", "Intermediate")</f>
      </c>
      <c r="AJ613" s="37">
        <f>if(or(left(AH613, 1)="X", left(AH613, 1)="Y", left(AH613, 3)="J35M"), "CUSM", "No Match")</f>
      </c>
      <c r="AK613" s="37">
        <f>if(and(or(O613=3, P613=1, Q613=1, T613=1), AJ613="no Match"), "CUSM, CHU SJ, CHUQ", "")</f>
      </c>
      <c r="AL613" s="37">
        <f>IF(AND(O614=2, ISBLANK(P614), ISBLANK(Q614), ISBLANK(R614), ISBLANK(S614), ISBLANK(T614)), "CUSM, CHU SJ, CHUS, CHUQ", "")</f>
      </c>
      <c r="AM613" s="37">
        <f>if(and(AJ613="no match", AK613="", AL613="", K613&lt;26), "CUSM, CHU SJ, HGJ, CHUQ, CHUS", "")</f>
      </c>
      <c r="AN613" s="37">
        <f>if(and(AJ613="no match", AK613="", AL613="", K613&gt;26), "CUSM, CHU SJ, HGJ, CHUQ, CHUS, HMR", "")</f>
      </c>
    </row>
    <row x14ac:dyDescent="0.25" r="614" customHeight="1" ht="17.25">
      <c r="A614" s="27" t="s">
        <v>2571</v>
      </c>
      <c r="B614" s="28">
        <v>2</v>
      </c>
      <c r="C614" s="35">
        <v>831</v>
      </c>
      <c r="D614" s="29" t="s">
        <v>313</v>
      </c>
      <c r="E614" s="30" t="s">
        <v>50</v>
      </c>
      <c r="F614" s="31">
        <v>44513</v>
      </c>
      <c r="G614" s="32">
        <v>4.857638888888889</v>
      </c>
      <c r="H614" s="31">
        <v>44513</v>
      </c>
      <c r="I614" s="32">
        <v>4.678472222222222</v>
      </c>
      <c r="J614" s="33">
        <f>F614-H614</f>
      </c>
      <c r="K614" s="28">
        <v>40</v>
      </c>
      <c r="L614" s="28">
        <v>4</v>
      </c>
      <c r="M614" s="28">
        <v>2</v>
      </c>
      <c r="N614" s="35">
        <v>1</v>
      </c>
      <c r="O614" s="34"/>
      <c r="P614" s="35">
        <v>1</v>
      </c>
      <c r="Q614" s="34"/>
      <c r="R614" s="34"/>
      <c r="S614" s="34"/>
      <c r="T614" s="35">
        <v>1</v>
      </c>
      <c r="U614" s="34"/>
      <c r="V614" s="35">
        <v>1</v>
      </c>
      <c r="W614" s="29" t="s">
        <v>74</v>
      </c>
      <c r="X614" s="28">
        <v>35</v>
      </c>
      <c r="Y614" s="28">
        <v>1</v>
      </c>
      <c r="Z614" s="28">
        <v>2</v>
      </c>
      <c r="AA614" s="28">
        <v>2</v>
      </c>
      <c r="AB614" s="28">
        <v>2</v>
      </c>
      <c r="AC614" s="28">
        <v>2</v>
      </c>
      <c r="AD614" s="28">
        <v>2</v>
      </c>
      <c r="AE614" s="28">
        <v>4</v>
      </c>
      <c r="AF614" s="28">
        <v>3</v>
      </c>
      <c r="AG614" s="28">
        <v>2</v>
      </c>
      <c r="AH614" s="29" t="s">
        <v>2572</v>
      </c>
      <c r="AI614" s="36">
        <f>if(or(and(K614&lt;32, J614&lt;2), O614=1, P614=1, Q614=1, R614=1, S614=1, T614=1, U614=1, and(W614&lt;&gt;"", W614&lt;&gt;"Oxygen", W614&lt;&gt;"LowFlow")), "Intensive", "Intermediate")</f>
      </c>
      <c r="AJ614" s="37">
        <f>if(or(left(AH614, 1)="X", left(AH614, 1)="Y", left(AH614, 3)="J36M"), "CUSM", "No Match")</f>
      </c>
      <c r="AK614" s="37">
        <f>if(and(or(O614=3, P614=1, Q614=1, T614=1), AJ614="no Match"), "CUSM, CHU SJ, CHUQ", "")</f>
      </c>
      <c r="AL614" s="37">
        <f>IF(AND(O615=2, ISBLANK(P615), ISBLANK(Q615), ISBLANK(R615), ISBLANK(S615), ISBLANK(T615)), "CUSM, CHU SJ, CHUS, CHUQ", "")</f>
      </c>
      <c r="AM614" s="37">
        <f>if(and(AJ614="no match", AK614="", AL614="", K614&lt;26), "CUSM, CHU SJ, HGJ, CHUQ, CHUS", "")</f>
      </c>
      <c r="AN614" s="37">
        <f>if(and(AJ614="no match", AK614="", AL614="", K614&gt;26), "CUSM, CHU SJ, HGJ, CHUQ, CHUS, HMR", "")</f>
      </c>
    </row>
    <row x14ac:dyDescent="0.25" r="615" customHeight="1" ht="17.25">
      <c r="A615" s="27" t="s">
        <v>2573</v>
      </c>
      <c r="B615" s="28">
        <v>2</v>
      </c>
      <c r="C615" s="28">
        <v>839</v>
      </c>
      <c r="D615" s="29" t="s">
        <v>53</v>
      </c>
      <c r="E615" s="30" t="s">
        <v>50</v>
      </c>
      <c r="F615" s="31">
        <v>44513</v>
      </c>
      <c r="G615" s="32">
        <v>4.729166666666666</v>
      </c>
      <c r="H615" s="31">
        <v>44511</v>
      </c>
      <c r="I615" s="32">
        <v>4.197916666666666</v>
      </c>
      <c r="J615" s="33">
        <f>F615-H615</f>
      </c>
      <c r="K615" s="28">
        <v>39</v>
      </c>
      <c r="L615" s="28">
        <v>3</v>
      </c>
      <c r="M615" s="28">
        <v>1</v>
      </c>
      <c r="N615" s="34"/>
      <c r="O615" s="34"/>
      <c r="P615" s="34"/>
      <c r="Q615" s="34"/>
      <c r="R615" s="34"/>
      <c r="S615" s="34"/>
      <c r="T615" s="34"/>
      <c r="U615" s="34"/>
      <c r="V615" s="34"/>
      <c r="W615" s="29"/>
      <c r="X615" s="28">
        <v>30</v>
      </c>
      <c r="Y615" s="28">
        <v>1</v>
      </c>
      <c r="Z615" s="28">
        <v>1</v>
      </c>
      <c r="AA615" s="28">
        <v>2</v>
      </c>
      <c r="AB615" s="28">
        <v>1</v>
      </c>
      <c r="AC615" s="28">
        <v>2</v>
      </c>
      <c r="AD615" s="28">
        <v>1</v>
      </c>
      <c r="AE615" s="28">
        <v>2</v>
      </c>
      <c r="AF615" s="28">
        <v>2</v>
      </c>
      <c r="AG615" s="28">
        <v>2</v>
      </c>
      <c r="AH615" s="29" t="s">
        <v>2574</v>
      </c>
      <c r="AI615" s="36">
        <f>if(or(and(K615&lt;32, J615&lt;2), O615=1, P615=1, Q615=1, R615=1, S615=1, T615=1, U615=1, and(W615&lt;&gt;"", W615&lt;&gt;"Oxygen", W615&lt;&gt;"LowFlow")), "Intensive", "Intermediate")</f>
      </c>
      <c r="AJ615" s="37">
        <f>if(or(left(AH615, 1)="X", left(AH615, 1)="Y", left(AH615, 3)="J37M"), "CUSM", "No Match")</f>
      </c>
      <c r="AK615" s="37">
        <f>if(and(or(O615=3, P615=1, Q615=1, T615=1), AJ615="no Match"), "CUSM, CHU SJ, CHUQ", "")</f>
      </c>
      <c r="AL615" s="37">
        <f>IF(AND(O616=2, ISBLANK(P616), ISBLANK(Q616), ISBLANK(R616), ISBLANK(S616), ISBLANK(T616)), "CUSM, CHU SJ, CHUS, CHUQ", "")</f>
      </c>
      <c r="AM615" s="37">
        <f>if(and(AJ615="no match", AK615="", AL615="", K615&lt;26), "CUSM, CHU SJ, HGJ, CHUQ, CHUS", "")</f>
      </c>
      <c r="AN615" s="37">
        <f>if(and(AJ615="no match", AK615="", AL615="", K615&gt;26), "CUSM, CHU SJ, HGJ, CHUQ, CHUS, HMR", "")</f>
      </c>
    </row>
    <row x14ac:dyDescent="0.25" r="616" customHeight="1" ht="17.25">
      <c r="A616" s="27" t="s">
        <v>2575</v>
      </c>
      <c r="B616" s="28">
        <v>2</v>
      </c>
      <c r="C616" s="28">
        <v>779</v>
      </c>
      <c r="D616" s="29" t="s">
        <v>136</v>
      </c>
      <c r="E616" s="30" t="s">
        <v>54</v>
      </c>
      <c r="F616" s="31">
        <v>44514</v>
      </c>
      <c r="G616" s="32">
        <v>4.972916666666666</v>
      </c>
      <c r="H616" s="31">
        <v>44513</v>
      </c>
      <c r="I616" s="32">
        <v>4.825694444444444</v>
      </c>
      <c r="J616" s="33">
        <f>F616-H616</f>
      </c>
      <c r="K616" s="28">
        <v>38</v>
      </c>
      <c r="L616" s="28">
        <v>4</v>
      </c>
      <c r="M616" s="28">
        <v>1</v>
      </c>
      <c r="N616" s="35">
        <v>1</v>
      </c>
      <c r="O616" s="34"/>
      <c r="P616" s="35">
        <v>1</v>
      </c>
      <c r="Q616" s="34"/>
      <c r="R616" s="34"/>
      <c r="S616" s="34"/>
      <c r="T616" s="34"/>
      <c r="U616" s="34"/>
      <c r="V616" s="34"/>
      <c r="W616" s="29" t="s">
        <v>58</v>
      </c>
      <c r="X616" s="28">
        <v>40</v>
      </c>
      <c r="Y616" s="28">
        <v>1</v>
      </c>
      <c r="Z616" s="28">
        <v>1</v>
      </c>
      <c r="AA616" s="28">
        <v>1</v>
      </c>
      <c r="AB616" s="28">
        <v>1</v>
      </c>
      <c r="AC616" s="28">
        <v>2</v>
      </c>
      <c r="AD616" s="28">
        <v>1</v>
      </c>
      <c r="AE616" s="28">
        <v>4</v>
      </c>
      <c r="AF616" s="28">
        <v>2</v>
      </c>
      <c r="AG616" s="28">
        <v>2</v>
      </c>
      <c r="AH616" s="29" t="s">
        <v>2576</v>
      </c>
      <c r="AI616" s="36">
        <f>if(or(and(K616&lt;32, J616&lt;2), O616=1, P616=1, Q616=1, R616=1, S616=1, T616=1, U616=1, and(W616&lt;&gt;"", W616&lt;&gt;"Oxygen", W616&lt;&gt;"LowFlow")), "Intensive", "Intermediate")</f>
      </c>
      <c r="AJ616" s="37">
        <f>if(or(left(AH616, 1)="X", left(AH616, 1)="Y", left(AH616, 3)="J38M"), "CUSM", "No Match")</f>
      </c>
      <c r="AK616" s="37">
        <f>if(and(or(O616=3, P616=1, Q616=1, T616=1), AJ616="no Match"), "CUSM, CHU SJ, CHUQ", "")</f>
      </c>
      <c r="AL616" s="37">
        <f>IF(AND(O617=2, ISBLANK(P617), ISBLANK(Q617), ISBLANK(R617), ISBLANK(S617), ISBLANK(T617)), "CUSM, CHU SJ, CHUS, CHUQ", "")</f>
      </c>
      <c r="AM616" s="37">
        <f>if(and(AJ616="no match", AK616="", AL616="", K616&lt;26), "CUSM, CHU SJ, HGJ, CHUQ, CHUS", "")</f>
      </c>
      <c r="AN616" s="37">
        <f>if(and(AJ616="no match", AK616="", AL616="", K616&gt;26), "CUSM, CHU SJ, HGJ, CHUQ, CHUS, HMR", "")</f>
      </c>
    </row>
    <row x14ac:dyDescent="0.25" r="617" customHeight="1" ht="17.25">
      <c r="A617" s="27" t="s">
        <v>2577</v>
      </c>
      <c r="B617" s="28">
        <v>2</v>
      </c>
      <c r="C617" s="35">
        <v>731</v>
      </c>
      <c r="D617" s="29" t="s">
        <v>103</v>
      </c>
      <c r="E617" s="30" t="s">
        <v>54</v>
      </c>
      <c r="F617" s="31">
        <v>44514</v>
      </c>
      <c r="G617" s="32">
        <v>4.059027777777778</v>
      </c>
      <c r="H617" s="31">
        <v>44513</v>
      </c>
      <c r="I617" s="32">
        <v>4.897916666666667</v>
      </c>
      <c r="J617" s="33">
        <f>F617-H617</f>
      </c>
      <c r="K617" s="28">
        <v>30</v>
      </c>
      <c r="L617" s="28">
        <v>3</v>
      </c>
      <c r="M617" s="28">
        <v>1</v>
      </c>
      <c r="N617" s="34"/>
      <c r="O617" s="34"/>
      <c r="P617" s="34"/>
      <c r="Q617" s="34"/>
      <c r="R617" s="34"/>
      <c r="S617" s="34"/>
      <c r="T617" s="34"/>
      <c r="U617" s="34"/>
      <c r="V617" s="38"/>
      <c r="W617" s="29" t="s">
        <v>74</v>
      </c>
      <c r="X617" s="28">
        <v>31</v>
      </c>
      <c r="Y617" s="28">
        <v>1</v>
      </c>
      <c r="Z617" s="28">
        <v>2</v>
      </c>
      <c r="AA617" s="28">
        <v>2</v>
      </c>
      <c r="AB617" s="28">
        <v>1</v>
      </c>
      <c r="AC617" s="28">
        <v>2</v>
      </c>
      <c r="AD617" s="28">
        <v>2</v>
      </c>
      <c r="AE617" s="28">
        <v>4</v>
      </c>
      <c r="AF617" s="28">
        <v>2</v>
      </c>
      <c r="AG617" s="28">
        <v>2</v>
      </c>
      <c r="AH617" s="29" t="s">
        <v>2578</v>
      </c>
      <c r="AI617" s="36">
        <f>if(or(and(K617&lt;32, J617&lt;2), O617=1, P617=1, Q617=1, R617=1, S617=1, T617=1, U617=1, and(W617&lt;&gt;"", W617&lt;&gt;"Oxygen", W617&lt;&gt;"LowFlow")), "Intensive", "Intermediate")</f>
      </c>
      <c r="AJ617" s="37">
        <f>if(or(left(AH617, 1)="X", left(AH617, 1)="Y", left(AH617, 3)="J39M"), "CUSM", "No Match")</f>
      </c>
      <c r="AK617" s="37">
        <f>if(and(or(O617=3, P617=1, Q617=1, T617=1), AJ617="no Match"), "CUSM, CHU SJ, CHUQ", "")</f>
      </c>
      <c r="AL617" s="37">
        <f>IF(AND(O618=2, ISBLANK(P618), ISBLANK(Q618), ISBLANK(R618), ISBLANK(S618), ISBLANK(T618)), "CUSM, CHU SJ, CHUS, CHUQ", "")</f>
      </c>
      <c r="AM617" s="37">
        <f>if(and(AJ617="no match", AK617="", AL617="", K617&lt;26), "CUSM, CHU SJ, HGJ, CHUQ, CHUS", "")</f>
      </c>
      <c r="AN617" s="37">
        <f>if(and(AJ617="no match", AK617="", AL617="", K617&gt;26), "CUSM, CHU SJ, HGJ, CHUQ, CHUS, HMR", "")</f>
      </c>
    </row>
    <row x14ac:dyDescent="0.25" r="618" customHeight="1" ht="17.25">
      <c r="A618" s="27" t="s">
        <v>2579</v>
      </c>
      <c r="B618" s="28">
        <v>2</v>
      </c>
      <c r="C618" s="28">
        <v>814</v>
      </c>
      <c r="D618" s="29" t="s">
        <v>285</v>
      </c>
      <c r="E618" s="30" t="s">
        <v>54</v>
      </c>
      <c r="F618" s="31">
        <v>44514</v>
      </c>
      <c r="G618" s="32">
        <v>4.375</v>
      </c>
      <c r="H618" s="31">
        <v>44513</v>
      </c>
      <c r="I618" s="32">
        <v>4.944444444444445</v>
      </c>
      <c r="J618" s="33">
        <f>F618-H618</f>
      </c>
      <c r="K618" s="28">
        <v>32</v>
      </c>
      <c r="L618" s="28">
        <v>0</v>
      </c>
      <c r="M618" s="28">
        <v>1</v>
      </c>
      <c r="N618" s="34"/>
      <c r="O618" s="38"/>
      <c r="P618" s="34"/>
      <c r="Q618" s="34"/>
      <c r="R618" s="34"/>
      <c r="S618" s="34"/>
      <c r="T618" s="34"/>
      <c r="U618" s="35">
        <v>1</v>
      </c>
      <c r="V618" s="35">
        <v>1</v>
      </c>
      <c r="W618" s="29" t="s">
        <v>70</v>
      </c>
      <c r="X618" s="28">
        <v>31</v>
      </c>
      <c r="Y618" s="28">
        <v>1</v>
      </c>
      <c r="Z618" s="28">
        <v>1</v>
      </c>
      <c r="AA618" s="28">
        <v>3</v>
      </c>
      <c r="AB618" s="28">
        <v>4</v>
      </c>
      <c r="AC618" s="28">
        <v>3</v>
      </c>
      <c r="AD618" s="28">
        <v>1</v>
      </c>
      <c r="AE618" s="28">
        <v>4</v>
      </c>
      <c r="AF618" s="28">
        <v>1</v>
      </c>
      <c r="AG618" s="28">
        <v>1</v>
      </c>
      <c r="AH618" s="29" t="s">
        <v>2580</v>
      </c>
      <c r="AI618" s="36">
        <f>if(or(and(K618&lt;32, J618&lt;2), O618=1, P618=1, Q618=1, R618=1, S618=1, T618=1, U618=1, and(W618&lt;&gt;"", W618&lt;&gt;"Oxygen", W618&lt;&gt;"LowFlow")), "Intensive", "Intermediate")</f>
      </c>
      <c r="AJ618" s="37">
        <f>if(or(left(AH618, 1)="X", left(AH618, 1)="Y", left(AH618, 3)="J40M"), "CUSM", "No Match")</f>
      </c>
      <c r="AK618" s="37">
        <f>if(and(or(O618=3, P618=1, Q618=1, T618=1), AJ618="no Match"), "CUSM, CHU SJ, CHUQ", "")</f>
      </c>
      <c r="AL618" s="37">
        <f>IF(AND(O619=2, ISBLANK(P619), ISBLANK(Q619), ISBLANK(R619), ISBLANK(S619), ISBLANK(T619)), "CUSM, CHU SJ, CHUS, CHUQ", "")</f>
      </c>
      <c r="AM618" s="37">
        <f>if(and(AJ618="no match", AK618="", AL618="", K618&lt;26), "CUSM, CHU SJ, HGJ, CHUQ, CHUS", "")</f>
      </c>
      <c r="AN618" s="37">
        <f>if(and(AJ618="no match", AK618="", AL618="", K618&gt;26), "CUSM, CHU SJ, HGJ, CHUQ, CHUS, HMR", "")</f>
      </c>
    </row>
    <row x14ac:dyDescent="0.25" r="619" customHeight="1" ht="17.25">
      <c r="A619" s="27" t="s">
        <v>2581</v>
      </c>
      <c r="B619" s="28">
        <v>2</v>
      </c>
      <c r="C619" s="35">
        <v>730</v>
      </c>
      <c r="D619" s="29" t="s">
        <v>81</v>
      </c>
      <c r="E619" s="30" t="s">
        <v>78</v>
      </c>
      <c r="F619" s="31">
        <v>44514</v>
      </c>
      <c r="G619" s="32">
        <v>4.319444444444445</v>
      </c>
      <c r="H619" s="31">
        <v>44514</v>
      </c>
      <c r="I619" s="32">
        <v>4.145833333333334</v>
      </c>
      <c r="J619" s="33">
        <f>F619-H619</f>
      </c>
      <c r="K619" s="28">
        <v>36</v>
      </c>
      <c r="L619" s="28">
        <v>2</v>
      </c>
      <c r="M619" s="28">
        <v>2</v>
      </c>
      <c r="N619" s="34"/>
      <c r="O619" s="34"/>
      <c r="P619" s="34"/>
      <c r="Q619" s="34"/>
      <c r="R619" s="34"/>
      <c r="S619" s="34"/>
      <c r="T619" s="34"/>
      <c r="U619" s="34"/>
      <c r="V619" s="34"/>
      <c r="W619" s="29" t="s">
        <v>58</v>
      </c>
      <c r="X619" s="28">
        <v>33</v>
      </c>
      <c r="Y619" s="28">
        <v>1</v>
      </c>
      <c r="Z619" s="28">
        <v>2</v>
      </c>
      <c r="AA619" s="28">
        <v>1</v>
      </c>
      <c r="AB619" s="28">
        <v>1</v>
      </c>
      <c r="AC619" s="28">
        <v>2</v>
      </c>
      <c r="AD619" s="28">
        <v>2</v>
      </c>
      <c r="AE619" s="28">
        <v>2</v>
      </c>
      <c r="AF619" s="28">
        <v>2</v>
      </c>
      <c r="AG619" s="28">
        <v>2</v>
      </c>
      <c r="AH619" s="29" t="s">
        <v>2582</v>
      </c>
      <c r="AI619" s="36">
        <f>if(or(and(K619&lt;32, J619&lt;2), O619=1, P619=1, Q619=1, R619=1, S619=1, T619=1, U619=1, and(W619&lt;&gt;"", W619&lt;&gt;"Oxygen", W619&lt;&gt;"LowFlow")), "Intensive", "Intermediate")</f>
      </c>
      <c r="AJ619" s="37">
        <f>if(or(left(AH619, 1)="X", left(AH619, 1)="Y", left(AH619, 3)="J41M"), "CUSM", "No Match")</f>
      </c>
      <c r="AK619" s="37">
        <f>if(and(or(O619=3, P619=1, Q619=1, T619=1), AJ619="no Match"), "CUSM, CHU SJ, CHUQ", "")</f>
      </c>
      <c r="AL619" s="37">
        <f>IF(AND(O620=2, ISBLANK(P620), ISBLANK(Q620), ISBLANK(R620), ISBLANK(S620), ISBLANK(T620)), "CUSM, CHU SJ, CHUS, CHUQ", "")</f>
      </c>
      <c r="AM619" s="37">
        <f>if(and(AJ619="no match", AK619="", AL619="", K619&lt;26), "CUSM, CHU SJ, HGJ, CHUQ, CHUS", "")</f>
      </c>
      <c r="AN619" s="37">
        <f>if(and(AJ619="no match", AK619="", AL619="", K619&gt;26), "CUSM, CHU SJ, HGJ, CHUQ, CHUS, HMR", "")</f>
      </c>
    </row>
    <row x14ac:dyDescent="0.25" r="620" customHeight="1" ht="17.25">
      <c r="A620" s="27" t="s">
        <v>2583</v>
      </c>
      <c r="B620" s="28">
        <v>2</v>
      </c>
      <c r="C620" s="35">
        <v>815</v>
      </c>
      <c r="D620" s="29" t="s">
        <v>100</v>
      </c>
      <c r="E620" s="30" t="s">
        <v>54</v>
      </c>
      <c r="F620" s="31">
        <v>44515</v>
      </c>
      <c r="G620" s="32">
        <v>4.649305555555555</v>
      </c>
      <c r="H620" s="31">
        <v>44504</v>
      </c>
      <c r="I620" s="32">
        <v>4.7027777777777775</v>
      </c>
      <c r="J620" s="33">
        <f>F620-H620</f>
      </c>
      <c r="K620" s="28">
        <v>36</v>
      </c>
      <c r="L620" s="28">
        <v>0</v>
      </c>
      <c r="M620" s="28">
        <v>2</v>
      </c>
      <c r="N620" s="34"/>
      <c r="O620" s="34"/>
      <c r="P620" s="34"/>
      <c r="Q620" s="34"/>
      <c r="R620" s="34"/>
      <c r="S620" s="34"/>
      <c r="T620" s="34"/>
      <c r="U620" s="34"/>
      <c r="V620" s="34"/>
      <c r="W620" s="29"/>
      <c r="X620" s="28">
        <v>30</v>
      </c>
      <c r="Y620" s="28">
        <v>1</v>
      </c>
      <c r="Z620" s="28">
        <v>2</v>
      </c>
      <c r="AA620" s="28">
        <v>3</v>
      </c>
      <c r="AB620" s="28">
        <v>1</v>
      </c>
      <c r="AC620" s="28">
        <v>2</v>
      </c>
      <c r="AD620" s="28">
        <v>1</v>
      </c>
      <c r="AE620" s="28">
        <v>4</v>
      </c>
      <c r="AF620" s="28">
        <v>2</v>
      </c>
      <c r="AG620" s="28">
        <v>2</v>
      </c>
      <c r="AH620" s="29" t="s">
        <v>2584</v>
      </c>
      <c r="AI620" s="36">
        <f>if(or(and(K620&lt;32, J620&lt;2), O620=1, P620=1, Q620=1, R620=1, S620=1, T620=1, U620=1, and(W620&lt;&gt;"", W620&lt;&gt;"Oxygen", W620&lt;&gt;"LowFlow")), "Intensive", "Intermediate")</f>
      </c>
      <c r="AJ620" s="37">
        <f>if(or(left(AH620, 1)="X", left(AH620, 1)="Y", left(AH620, 3)="J42M"), "CUSM", "No Match")</f>
      </c>
      <c r="AK620" s="37">
        <f>if(and(or(O620=3, P620=1, Q620=1, T620=1), AJ620="no Match"), "CUSM, CHU SJ, CHUQ", "")</f>
      </c>
      <c r="AL620" s="37">
        <f>IF(AND(O621=2, ISBLANK(P621), ISBLANK(Q621), ISBLANK(R621), ISBLANK(S621), ISBLANK(T621)), "CUSM, CHU SJ, CHUS, CHUQ", "")</f>
      </c>
      <c r="AM620" s="37">
        <f>if(and(AJ620="no match", AK620="", AL620="", K620&lt;26), "CUSM, CHU SJ, HGJ, CHUQ, CHUS", "")</f>
      </c>
      <c r="AN620" s="37">
        <f>if(and(AJ620="no match", AK620="", AL620="", K620&gt;26), "CUSM, CHU SJ, HGJ, CHUQ, CHUS, HMR", "")</f>
      </c>
    </row>
    <row x14ac:dyDescent="0.25" r="621" customHeight="1" ht="17.25">
      <c r="A621" s="27" t="s">
        <v>2585</v>
      </c>
      <c r="B621" s="28">
        <v>2</v>
      </c>
      <c r="C621" s="35">
        <v>782</v>
      </c>
      <c r="D621" s="29" t="s">
        <v>95</v>
      </c>
      <c r="E621" s="30" t="s">
        <v>50</v>
      </c>
      <c r="F621" s="31">
        <v>44515</v>
      </c>
      <c r="G621" s="32">
        <v>4.270833333333334</v>
      </c>
      <c r="H621" s="31">
        <v>44515</v>
      </c>
      <c r="I621" s="32">
        <v>4.097222222222222</v>
      </c>
      <c r="J621" s="33">
        <f>F621-H621</f>
      </c>
      <c r="K621" s="28">
        <v>40</v>
      </c>
      <c r="L621" s="28">
        <v>1</v>
      </c>
      <c r="M621" s="28">
        <v>2</v>
      </c>
      <c r="N621" s="35">
        <v>1</v>
      </c>
      <c r="O621" s="34"/>
      <c r="P621" s="35">
        <v>1</v>
      </c>
      <c r="Q621" s="34"/>
      <c r="R621" s="34"/>
      <c r="S621" s="34"/>
      <c r="T621" s="34"/>
      <c r="U621" s="34"/>
      <c r="V621" s="35">
        <v>1</v>
      </c>
      <c r="W621" s="29" t="s">
        <v>58</v>
      </c>
      <c r="X621" s="28">
        <v>30</v>
      </c>
      <c r="Y621" s="28">
        <v>1</v>
      </c>
      <c r="Z621" s="28">
        <v>2</v>
      </c>
      <c r="AA621" s="28">
        <v>3</v>
      </c>
      <c r="AB621" s="28">
        <v>1</v>
      </c>
      <c r="AC621" s="28">
        <v>2</v>
      </c>
      <c r="AD621" s="28">
        <v>2</v>
      </c>
      <c r="AE621" s="28">
        <v>2</v>
      </c>
      <c r="AF621" s="28">
        <v>1</v>
      </c>
      <c r="AG621" s="28">
        <v>3</v>
      </c>
      <c r="AH621" s="29" t="s">
        <v>2586</v>
      </c>
      <c r="AI621" s="36">
        <f>if(or(and(K621&lt;32, J621&lt;2), O621=1, P621=1, Q621=1, R621=1, S621=1, T621=1, U621=1, and(W621&lt;&gt;"", W621&lt;&gt;"Oxygen", W621&lt;&gt;"LowFlow")), "Intensive", "Intermediate")</f>
      </c>
      <c r="AJ621" s="37">
        <f>if(or(left(AH621, 1)="X", left(AH621, 1)="Y", left(AH621, 3)="J43M"), "CUSM", "No Match")</f>
      </c>
      <c r="AK621" s="37">
        <f>if(and(or(O621=3, P621=1, Q621=1, T621=1), AJ621="no Match"), "CUSM, CHU SJ, CHUQ", "")</f>
      </c>
      <c r="AL621" s="37">
        <f>IF(AND(O622=2, ISBLANK(P622), ISBLANK(Q622), ISBLANK(R622), ISBLANK(S622), ISBLANK(T622)), "CUSM, CHU SJ, CHUS, CHUQ", "")</f>
      </c>
      <c r="AM621" s="37">
        <f>if(and(AJ621="no match", AK621="", AL621="", K621&lt;26), "CUSM, CHU SJ, HGJ, CHUQ, CHUS", "")</f>
      </c>
      <c r="AN621" s="37">
        <f>if(and(AJ621="no match", AK621="", AL621="", K621&gt;26), "CUSM, CHU SJ, HGJ, CHUQ, CHUS, HMR", "")</f>
      </c>
    </row>
    <row x14ac:dyDescent="0.25" r="622" customHeight="1" ht="17.25">
      <c r="A622" s="27" t="s">
        <v>2587</v>
      </c>
      <c r="B622" s="28">
        <v>2</v>
      </c>
      <c r="C622" s="35">
        <v>839</v>
      </c>
      <c r="D622" s="29" t="s">
        <v>53</v>
      </c>
      <c r="E622" s="30" t="s">
        <v>50</v>
      </c>
      <c r="F622" s="31">
        <v>44515</v>
      </c>
      <c r="G622" s="32">
        <v>4.875</v>
      </c>
      <c r="H622" s="31">
        <v>44515</v>
      </c>
      <c r="I622" s="32">
        <v>4.7131944444444445</v>
      </c>
      <c r="J622" s="33">
        <f>F622-H622</f>
      </c>
      <c r="K622" s="28">
        <v>40</v>
      </c>
      <c r="L622" s="28">
        <v>1</v>
      </c>
      <c r="M622" s="28">
        <v>1</v>
      </c>
      <c r="N622" s="35">
        <v>1</v>
      </c>
      <c r="O622" s="34"/>
      <c r="P622" s="34"/>
      <c r="Q622" s="35">
        <v>1</v>
      </c>
      <c r="R622" s="34"/>
      <c r="S622" s="34"/>
      <c r="T622" s="35">
        <v>1</v>
      </c>
      <c r="U622" s="34"/>
      <c r="V622" s="34"/>
      <c r="W622" s="29"/>
      <c r="X622" s="28">
        <v>32</v>
      </c>
      <c r="Y622" s="28">
        <v>1</v>
      </c>
      <c r="Z622" s="28">
        <v>1</v>
      </c>
      <c r="AA622" s="28">
        <v>2</v>
      </c>
      <c r="AB622" s="28">
        <v>1</v>
      </c>
      <c r="AC622" s="28">
        <v>2</v>
      </c>
      <c r="AD622" s="28">
        <v>2</v>
      </c>
      <c r="AE622" s="28">
        <v>2</v>
      </c>
      <c r="AF622" s="28">
        <v>3</v>
      </c>
      <c r="AG622" s="28">
        <v>2</v>
      </c>
      <c r="AH622" s="29" t="s">
        <v>2588</v>
      </c>
      <c r="AI622" s="36">
        <f>if(or(and(K622&lt;32, J622&lt;2), O622=1, P622=1, Q622=1, R622=1, S622=1, T622=1, U622=1, and(W622&lt;&gt;"", W622&lt;&gt;"Oxygen", W622&lt;&gt;"LowFlow")), "Intensive", "Intermediate")</f>
      </c>
      <c r="AJ622" s="37">
        <f>if(or(left(AH622, 1)="X", left(AH622, 1)="Y", left(AH622, 3)="J44M"), "CUSM", "No Match")</f>
      </c>
      <c r="AK622" s="37">
        <f>if(and(or(O622=3, P622=1, Q622=1, T622=1), AJ622="no Match"), "CUSM, CHU SJ, CHUQ", "")</f>
      </c>
      <c r="AL622" s="37">
        <f>IF(AND(O623=2, ISBLANK(P623), ISBLANK(Q623), ISBLANK(R623), ISBLANK(S623), ISBLANK(T623)), "CUSM, CHU SJ, CHUS, CHUQ", "")</f>
      </c>
      <c r="AM622" s="37">
        <f>if(and(AJ622="no match", AK622="", AL622="", K622&lt;26), "CUSM, CHU SJ, HGJ, CHUQ, CHUS", "")</f>
      </c>
      <c r="AN622" s="37">
        <f>if(and(AJ622="no match", AK622="", AL622="", K622&gt;26), "CUSM, CHU SJ, HGJ, CHUQ, CHUS, HMR", "")</f>
      </c>
    </row>
    <row x14ac:dyDescent="0.25" r="623" customHeight="1" ht="17.25">
      <c r="A623" s="27" t="s">
        <v>2589</v>
      </c>
      <c r="B623" s="28">
        <v>2</v>
      </c>
      <c r="C623" s="28">
        <v>779</v>
      </c>
      <c r="D623" s="29" t="s">
        <v>136</v>
      </c>
      <c r="E623" s="30" t="s">
        <v>54</v>
      </c>
      <c r="F623" s="31">
        <v>44517</v>
      </c>
      <c r="G623" s="32">
        <v>4.548611111111111</v>
      </c>
      <c r="H623" s="31">
        <v>44515</v>
      </c>
      <c r="I623" s="32">
        <v>4.638888888888889</v>
      </c>
      <c r="J623" s="33">
        <f>F623-H623</f>
      </c>
      <c r="K623" s="28">
        <v>38</v>
      </c>
      <c r="L623" s="28">
        <v>5</v>
      </c>
      <c r="M623" s="28">
        <v>2</v>
      </c>
      <c r="N623" s="34"/>
      <c r="O623" s="38"/>
      <c r="P623" s="34"/>
      <c r="Q623" s="34"/>
      <c r="R623" s="34"/>
      <c r="S623" s="34"/>
      <c r="T623" s="34"/>
      <c r="U623" s="34"/>
      <c r="V623" s="34"/>
      <c r="W623" s="29"/>
      <c r="X623" s="28">
        <v>36</v>
      </c>
      <c r="Y623" s="28">
        <v>1</v>
      </c>
      <c r="Z623" s="28">
        <v>2</v>
      </c>
      <c r="AA623" s="28">
        <v>1</v>
      </c>
      <c r="AB623" s="28">
        <v>1</v>
      </c>
      <c r="AC623" s="28">
        <v>2</v>
      </c>
      <c r="AD623" s="28">
        <v>1</v>
      </c>
      <c r="AE623" s="28">
        <v>4</v>
      </c>
      <c r="AF623" s="28">
        <v>2</v>
      </c>
      <c r="AG623" s="28">
        <v>2</v>
      </c>
      <c r="AH623" s="29" t="s">
        <v>2590</v>
      </c>
      <c r="AI623" s="36">
        <f>if(or(and(K623&lt;32, J623&lt;2), O623=1, P623=1, Q623=1, R623=1, S623=1, T623=1, U623=1, and(W623&lt;&gt;"", W623&lt;&gt;"Oxygen", W623&lt;&gt;"LowFlow")), "Intensive", "Intermediate")</f>
      </c>
      <c r="AJ623" s="37">
        <f>if(or(left(AH623, 1)="X", left(AH623, 1)="Y", left(AH623, 3)="J45M"), "CUSM", "No Match")</f>
      </c>
      <c r="AK623" s="37">
        <f>if(and(or(O623=3, P623=1, Q623=1, T623=1), AJ623="no Match"), "CUSM, CHU SJ, CHUQ", "")</f>
      </c>
      <c r="AL623" s="37">
        <f>IF(AND(O624=2, ISBLANK(P624), ISBLANK(Q624), ISBLANK(R624), ISBLANK(S624), ISBLANK(T624)), "CUSM, CHU SJ, CHUS, CHUQ", "")</f>
      </c>
      <c r="AM623" s="37">
        <f>if(and(AJ623="no match", AK623="", AL623="", K623&lt;26), "CUSM, CHU SJ, HGJ, CHUQ, CHUS", "")</f>
      </c>
      <c r="AN623" s="37">
        <f>if(and(AJ623="no match", AK623="", AL623="", K623&gt;26), "CUSM, CHU SJ, HGJ, CHUQ, CHUS, HMR", "")</f>
      </c>
    </row>
    <row x14ac:dyDescent="0.25" r="624" customHeight="1" ht="17.25">
      <c r="A624" s="27" t="s">
        <v>2591</v>
      </c>
      <c r="B624" s="28">
        <v>2</v>
      </c>
      <c r="C624" s="28">
        <v>734</v>
      </c>
      <c r="D624" s="29" t="s">
        <v>264</v>
      </c>
      <c r="E624" s="30" t="s">
        <v>54</v>
      </c>
      <c r="F624" s="31">
        <v>44517</v>
      </c>
      <c r="G624" s="32">
        <v>4.444444444444445</v>
      </c>
      <c r="H624" s="31">
        <v>44516</v>
      </c>
      <c r="I624" s="32">
        <v>4.730555555555556</v>
      </c>
      <c r="J624" s="33">
        <f>F624-H624</f>
      </c>
      <c r="K624" s="28">
        <v>39</v>
      </c>
      <c r="L624" s="28">
        <v>1</v>
      </c>
      <c r="M624" s="28">
        <v>2</v>
      </c>
      <c r="N624" s="28">
        <v>1</v>
      </c>
      <c r="O624" s="34"/>
      <c r="P624" s="38"/>
      <c r="Q624" s="34"/>
      <c r="R624" s="34"/>
      <c r="S624" s="34"/>
      <c r="T624" s="34"/>
      <c r="U624" s="34"/>
      <c r="V624" s="34"/>
      <c r="W624" s="29" t="s">
        <v>58</v>
      </c>
      <c r="X624" s="28">
        <v>33</v>
      </c>
      <c r="Y624" s="28">
        <v>1</v>
      </c>
      <c r="Z624" s="28">
        <v>2</v>
      </c>
      <c r="AA624" s="28">
        <v>1</v>
      </c>
      <c r="AB624" s="28">
        <v>4</v>
      </c>
      <c r="AC624" s="28">
        <v>3</v>
      </c>
      <c r="AD624" s="28">
        <v>3</v>
      </c>
      <c r="AE624" s="28">
        <v>4</v>
      </c>
      <c r="AF624" s="28">
        <v>2</v>
      </c>
      <c r="AG624" s="28">
        <v>2</v>
      </c>
      <c r="AH624" s="29" t="s">
        <v>2592</v>
      </c>
      <c r="AI624" s="36">
        <f>if(or(and(K624&lt;32, J624&lt;2), O624=1, P624=1, Q624=1, R624=1, S624=1, T624=1, U624=1, and(W624&lt;&gt;"", W624&lt;&gt;"Oxygen", W624&lt;&gt;"LowFlow")), "Intensive", "Intermediate")</f>
      </c>
      <c r="AJ624" s="37">
        <f>if(or(left(AH624, 1)="X", left(AH624, 1)="Y", left(AH624, 3)="J46M"), "CUSM", "No Match")</f>
      </c>
      <c r="AK624" s="37">
        <f>if(and(or(O624=3, P624=1, Q624=1, T624=1), AJ624="no Match"), "CUSM, CHU SJ, CHUQ", "")</f>
      </c>
      <c r="AL624" s="37">
        <f>IF(AND(O625=2, ISBLANK(P625), ISBLANK(Q625), ISBLANK(R625), ISBLANK(S625), ISBLANK(T625)), "CUSM, CHU SJ, CHUS, CHUQ", "")</f>
      </c>
      <c r="AM624" s="37">
        <f>if(and(AJ624="no match", AK624="", AL624="", K624&lt;26), "CUSM, CHU SJ, HGJ, CHUQ, CHUS", "")</f>
      </c>
      <c r="AN624" s="37">
        <f>if(and(AJ624="no match", AK624="", AL624="", K624&gt;26), "CUSM, CHU SJ, HGJ, CHUQ, CHUS, HMR", "")</f>
      </c>
    </row>
    <row x14ac:dyDescent="0.25" r="625" customHeight="1" ht="17.25">
      <c r="A625" s="27" t="s">
        <v>2593</v>
      </c>
      <c r="B625" s="28">
        <v>2</v>
      </c>
      <c r="C625" s="35">
        <v>796</v>
      </c>
      <c r="D625" s="29" t="s">
        <v>63</v>
      </c>
      <c r="E625" s="30" t="s">
        <v>78</v>
      </c>
      <c r="F625" s="31">
        <v>44517</v>
      </c>
      <c r="G625" s="32">
        <v>4.583333333333334</v>
      </c>
      <c r="H625" s="31">
        <v>44517</v>
      </c>
      <c r="I625" s="32">
        <v>4.290277777777778</v>
      </c>
      <c r="J625" s="33">
        <f>F625-H625</f>
      </c>
      <c r="K625" s="28">
        <v>32</v>
      </c>
      <c r="L625" s="28">
        <v>0</v>
      </c>
      <c r="M625" s="28">
        <v>2</v>
      </c>
      <c r="N625" s="34"/>
      <c r="O625" s="34"/>
      <c r="P625" s="34"/>
      <c r="Q625" s="34"/>
      <c r="R625" s="34"/>
      <c r="S625" s="34"/>
      <c r="T625" s="34"/>
      <c r="U625" s="34"/>
      <c r="V625" s="34"/>
      <c r="W625" s="29"/>
      <c r="X625" s="28">
        <v>33</v>
      </c>
      <c r="Y625" s="28">
        <v>1</v>
      </c>
      <c r="Z625" s="28">
        <v>2</v>
      </c>
      <c r="AA625" s="28">
        <v>3</v>
      </c>
      <c r="AB625" s="28">
        <v>1</v>
      </c>
      <c r="AC625" s="28">
        <v>1</v>
      </c>
      <c r="AD625" s="28">
        <v>2</v>
      </c>
      <c r="AE625" s="28">
        <v>4</v>
      </c>
      <c r="AF625" s="28">
        <v>3</v>
      </c>
      <c r="AG625" s="28">
        <v>2</v>
      </c>
      <c r="AH625" s="29" t="s">
        <v>2594</v>
      </c>
      <c r="AI625" s="36">
        <f>if(or(and(K625&lt;32, J625&lt;2), O625=1, P625=1, Q625=1, R625=1, S625=1, T625=1, U625=1, and(W625&lt;&gt;"", W625&lt;&gt;"Oxygen", W625&lt;&gt;"LowFlow")), "Intensive", "Intermediate")</f>
      </c>
      <c r="AJ625" s="37">
        <f>if(or(left(AH625, 1)="X", left(AH625, 1)="Y", left(AH625, 3)="J47M"), "CUSM", "No Match")</f>
      </c>
      <c r="AK625" s="37">
        <f>if(and(or(O625=3, P625=1, Q625=1, T625=1), AJ625="no Match"), "CUSM, CHU SJ, CHUQ", "")</f>
      </c>
      <c r="AL625" s="37">
        <f>IF(AND(O626=2, ISBLANK(P626), ISBLANK(Q626), ISBLANK(R626), ISBLANK(S626), ISBLANK(T626)), "CUSM, CHU SJ, CHUS, CHUQ", "")</f>
      </c>
      <c r="AM625" s="37">
        <f>if(and(AJ625="no match", AK625="", AL625="", K625&lt;26), "CUSM, CHU SJ, HGJ, CHUQ, CHUS", "")</f>
      </c>
      <c r="AN625" s="37">
        <f>if(and(AJ625="no match", AK625="", AL625="", K625&gt;26), "CUSM, CHU SJ, HGJ, CHUQ, CHUS, HMR", "")</f>
      </c>
    </row>
    <row x14ac:dyDescent="0.25" r="626" customHeight="1" ht="17.25">
      <c r="A626" s="27" t="s">
        <v>2595</v>
      </c>
      <c r="B626" s="28">
        <v>2</v>
      </c>
      <c r="C626" s="28">
        <v>831</v>
      </c>
      <c r="D626" s="29" t="s">
        <v>313</v>
      </c>
      <c r="E626" s="30" t="s">
        <v>50</v>
      </c>
      <c r="F626" s="31">
        <v>44517</v>
      </c>
      <c r="G626" s="32">
        <v>4.810416666666667</v>
      </c>
      <c r="H626" s="31">
        <v>44517</v>
      </c>
      <c r="I626" s="32">
        <v>4.6090277777777775</v>
      </c>
      <c r="J626" s="33">
        <f>F626-H626</f>
      </c>
      <c r="K626" s="28">
        <v>41</v>
      </c>
      <c r="L626" s="28">
        <v>0</v>
      </c>
      <c r="M626" s="28">
        <v>1</v>
      </c>
      <c r="N626" s="34"/>
      <c r="O626" s="34"/>
      <c r="P626" s="34"/>
      <c r="Q626" s="34"/>
      <c r="R626" s="34"/>
      <c r="S626" s="34"/>
      <c r="T626" s="35">
        <v>1</v>
      </c>
      <c r="U626" s="38"/>
      <c r="V626" s="38"/>
      <c r="W626" s="29" t="s">
        <v>74</v>
      </c>
      <c r="X626" s="28">
        <v>31</v>
      </c>
      <c r="Y626" s="28">
        <v>1</v>
      </c>
      <c r="Z626" s="28">
        <v>1</v>
      </c>
      <c r="AA626" s="28">
        <v>1</v>
      </c>
      <c r="AB626" s="28">
        <v>1</v>
      </c>
      <c r="AC626" s="28">
        <v>2</v>
      </c>
      <c r="AD626" s="28">
        <v>2</v>
      </c>
      <c r="AE626" s="28">
        <v>1</v>
      </c>
      <c r="AF626" s="38"/>
      <c r="AG626" s="28">
        <v>2</v>
      </c>
      <c r="AH626" s="29" t="s">
        <v>2596</v>
      </c>
      <c r="AI626" s="36">
        <f>if(or(and(K626&lt;32, J626&lt;2), O626=1, P626=1, Q626=1, R626=1, S626=1, T626=1, U626=1, and(W626&lt;&gt;"", W626&lt;&gt;"Oxygen", W626&lt;&gt;"LowFlow")), "Intensive", "Intermediate")</f>
      </c>
      <c r="AJ626" s="37">
        <f>if(or(left(AH626, 1)="X", left(AH626, 1)="Y", left(AH626, 3)="J48M"), "CUSM", "No Match")</f>
      </c>
      <c r="AK626" s="37">
        <f>if(and(or(O626=3, P626=1, Q626=1, T626=1), AJ626="no Match"), "CUSM, CHU SJ, CHUQ", "")</f>
      </c>
      <c r="AL626" s="37">
        <f>IF(AND(O627=2, ISBLANK(P627), ISBLANK(Q627), ISBLANK(R627), ISBLANK(S627), ISBLANK(T627)), "CUSM, CHU SJ, CHUS, CHUQ", "")</f>
      </c>
      <c r="AM626" s="37">
        <f>if(and(AJ626="no match", AK626="", AL626="", K626&lt;26), "CUSM, CHU SJ, HGJ, CHUQ, CHUS", "")</f>
      </c>
      <c r="AN626" s="37">
        <f>if(and(AJ626="no match", AK626="", AL626="", K626&gt;26), "CUSM, CHU SJ, HGJ, CHUQ, CHUS, HMR", "")</f>
      </c>
    </row>
    <row x14ac:dyDescent="0.25" r="627" customHeight="1" ht="17.25">
      <c r="A627" s="27" t="s">
        <v>2597</v>
      </c>
      <c r="B627" s="28">
        <v>2</v>
      </c>
      <c r="C627" s="35">
        <v>824</v>
      </c>
      <c r="D627" s="29" t="s">
        <v>57</v>
      </c>
      <c r="E627" s="30" t="s">
        <v>50</v>
      </c>
      <c r="F627" s="31">
        <v>44518</v>
      </c>
      <c r="G627" s="32">
        <v>4.781944444444445</v>
      </c>
      <c r="H627" s="31">
        <v>44518</v>
      </c>
      <c r="I627" s="32">
        <v>4.625694444444445</v>
      </c>
      <c r="J627" s="33">
        <f>F627-H627</f>
      </c>
      <c r="K627" s="28">
        <v>39</v>
      </c>
      <c r="L627" s="28">
        <v>3</v>
      </c>
      <c r="M627" s="28">
        <v>2</v>
      </c>
      <c r="N627" s="34"/>
      <c r="O627" s="34"/>
      <c r="P627" s="34"/>
      <c r="Q627" s="34"/>
      <c r="R627" s="34"/>
      <c r="S627" s="34"/>
      <c r="T627" s="35">
        <v>1</v>
      </c>
      <c r="U627" s="35">
        <v>1</v>
      </c>
      <c r="V627" s="35">
        <v>1</v>
      </c>
      <c r="W627" s="29" t="s">
        <v>74</v>
      </c>
      <c r="X627" s="28">
        <v>23</v>
      </c>
      <c r="Y627" s="28">
        <v>1</v>
      </c>
      <c r="Z627" s="28">
        <v>2</v>
      </c>
      <c r="AA627" s="28">
        <v>3</v>
      </c>
      <c r="AB627" s="28">
        <v>1</v>
      </c>
      <c r="AC627" s="28">
        <v>2</v>
      </c>
      <c r="AD627" s="28">
        <v>2</v>
      </c>
      <c r="AE627" s="28">
        <v>1</v>
      </c>
      <c r="AF627" s="38"/>
      <c r="AG627" s="28">
        <v>3</v>
      </c>
      <c r="AH627" s="29" t="s">
        <v>2598</v>
      </c>
      <c r="AI627" s="36">
        <f>if(or(and(K627&lt;32, J627&lt;2), O627=1, P627=1, Q627=1, R627=1, S627=1, T627=1, U627=1, and(W627&lt;&gt;"", W627&lt;&gt;"Oxygen", W627&lt;&gt;"LowFlow")), "Intensive", "Intermediate")</f>
      </c>
      <c r="AJ627" s="37">
        <f>if(or(left(AH627, 1)="X", left(AH627, 1)="Y", left(AH627, 3)="J49M"), "CUSM", "No Match")</f>
      </c>
      <c r="AK627" s="37">
        <f>if(and(or(O627=3, P627=1, Q627=1, T627=1), AJ627="no Match"), "CUSM, CHU SJ, CHUQ", "")</f>
      </c>
      <c r="AL627" s="37">
        <f>IF(AND(O628=2, ISBLANK(P628), ISBLANK(Q628), ISBLANK(R628), ISBLANK(S628), ISBLANK(T628)), "CUSM, CHU SJ, CHUS, CHUQ", "")</f>
      </c>
      <c r="AM627" s="37">
        <f>if(and(AJ627="no match", AK627="", AL627="", K627&lt;26), "CUSM, CHU SJ, HGJ, CHUQ, CHUS", "")</f>
      </c>
      <c r="AN627" s="37">
        <f>if(and(AJ627="no match", AK627="", AL627="", K627&gt;26), "CUSM, CHU SJ, HGJ, CHUQ, CHUS, HMR", "")</f>
      </c>
    </row>
    <row x14ac:dyDescent="0.25" r="628" customHeight="1" ht="17.25">
      <c r="A628" s="27" t="s">
        <v>2599</v>
      </c>
      <c r="B628" s="28">
        <v>2</v>
      </c>
      <c r="C628" s="35">
        <v>795</v>
      </c>
      <c r="D628" s="29" t="s">
        <v>73</v>
      </c>
      <c r="E628" s="30" t="s">
        <v>50</v>
      </c>
      <c r="F628" s="31">
        <v>44518</v>
      </c>
      <c r="G628" s="32">
        <v>4.625</v>
      </c>
      <c r="H628" s="31">
        <v>44517</v>
      </c>
      <c r="I628" s="32">
        <v>4.844444444444445</v>
      </c>
      <c r="J628" s="33">
        <f>F628-H628</f>
      </c>
      <c r="K628" s="28">
        <v>29</v>
      </c>
      <c r="L628" s="28">
        <v>6</v>
      </c>
      <c r="M628" s="28">
        <v>1</v>
      </c>
      <c r="N628" s="34"/>
      <c r="O628" s="34"/>
      <c r="P628" s="34"/>
      <c r="Q628" s="34"/>
      <c r="R628" s="34"/>
      <c r="S628" s="34"/>
      <c r="T628" s="34"/>
      <c r="U628" s="34"/>
      <c r="V628" s="34"/>
      <c r="W628" s="29" t="s">
        <v>74</v>
      </c>
      <c r="X628" s="28">
        <v>24</v>
      </c>
      <c r="Y628" s="28">
        <v>1</v>
      </c>
      <c r="Z628" s="28">
        <v>2</v>
      </c>
      <c r="AA628" s="28">
        <v>1</v>
      </c>
      <c r="AB628" s="28">
        <v>1</v>
      </c>
      <c r="AC628" s="28">
        <v>2</v>
      </c>
      <c r="AD628" s="28">
        <v>2</v>
      </c>
      <c r="AE628" s="28">
        <v>4</v>
      </c>
      <c r="AF628" s="28">
        <v>2</v>
      </c>
      <c r="AG628" s="28">
        <v>3</v>
      </c>
      <c r="AH628" s="29" t="s">
        <v>2600</v>
      </c>
      <c r="AI628" s="36">
        <f>if(or(and(K628&lt;32, J628&lt;2), O628=1, P628=1, Q628=1, R628=1, S628=1, T628=1, U628=1, and(W628&lt;&gt;"", W628&lt;&gt;"Oxygen", W628&lt;&gt;"LowFlow")), "Intensive", "Intermediate")</f>
      </c>
      <c r="AJ628" s="37">
        <f>if(or(left(AH628, 1)="X", left(AH628, 1)="Y", left(AH628, 3)="J50M"), "CUSM", "No Match")</f>
      </c>
      <c r="AK628" s="37">
        <f>if(and(or(O628=3, P628=1, Q628=1, T628=1), AJ628="no Match"), "CUSM, CHU SJ, CHUQ", "")</f>
      </c>
      <c r="AL628" s="37">
        <f>IF(AND(O629=2, ISBLANK(P629), ISBLANK(Q629), ISBLANK(R629), ISBLANK(S629), ISBLANK(T629)), "CUSM, CHU SJ, CHUS, CHUQ", "")</f>
      </c>
      <c r="AM628" s="37">
        <f>if(and(AJ628="no match", AK628="", AL628="", K628&lt;26), "CUSM, CHU SJ, HGJ, CHUQ, CHUS", "")</f>
      </c>
      <c r="AN628" s="37">
        <f>if(and(AJ628="no match", AK628="", AL628="", K628&gt;26), "CUSM, CHU SJ, HGJ, CHUQ, CHUS, HMR", "")</f>
      </c>
    </row>
    <row x14ac:dyDescent="0.25" r="629" customHeight="1" ht="17.25">
      <c r="A629" s="27" t="s">
        <v>2601</v>
      </c>
      <c r="B629" s="28">
        <v>2</v>
      </c>
      <c r="C629" s="35">
        <v>814</v>
      </c>
      <c r="D629" s="29" t="s">
        <v>285</v>
      </c>
      <c r="E629" s="30" t="s">
        <v>54</v>
      </c>
      <c r="F629" s="31">
        <v>44519</v>
      </c>
      <c r="G629" s="32">
        <v>4.149305555555555</v>
      </c>
      <c r="H629" s="31">
        <v>44518</v>
      </c>
      <c r="I629" s="32">
        <v>4.392361111111111</v>
      </c>
      <c r="J629" s="33">
        <f>F629-H629</f>
      </c>
      <c r="K629" s="28">
        <v>38</v>
      </c>
      <c r="L629" s="28">
        <v>0</v>
      </c>
      <c r="M629" s="28">
        <v>1</v>
      </c>
      <c r="N629" s="34"/>
      <c r="O629" s="34"/>
      <c r="P629" s="34"/>
      <c r="Q629" s="34"/>
      <c r="R629" s="34"/>
      <c r="S629" s="34"/>
      <c r="T629" s="34"/>
      <c r="U629" s="34"/>
      <c r="V629" s="34"/>
      <c r="W629" s="29"/>
      <c r="X629" s="28">
        <v>31</v>
      </c>
      <c r="Y629" s="28">
        <v>1</v>
      </c>
      <c r="Z629" s="28">
        <v>2</v>
      </c>
      <c r="AA629" s="28">
        <v>3</v>
      </c>
      <c r="AB629" s="28">
        <v>1</v>
      </c>
      <c r="AC629" s="28">
        <v>3</v>
      </c>
      <c r="AD629" s="28">
        <v>1</v>
      </c>
      <c r="AE629" s="28">
        <v>4</v>
      </c>
      <c r="AF629" s="28">
        <v>2</v>
      </c>
      <c r="AG629" s="28">
        <v>3</v>
      </c>
      <c r="AH629" s="29" t="s">
        <v>2602</v>
      </c>
      <c r="AI629" s="36">
        <f>if(or(and(K629&lt;32, J629&lt;2), O629=1, P629=1, Q629=1, R629=1, S629=1, T629=1, U629=1, and(W629&lt;&gt;"", W629&lt;&gt;"Oxygen", W629&lt;&gt;"LowFlow")), "Intensive", "Intermediate")</f>
      </c>
      <c r="AJ629" s="37">
        <f>if(or(left(AH629, 1)="X", left(AH629, 1)="Y", left(AH629, 3)="J51M"), "CUSM", "No Match")</f>
      </c>
      <c r="AK629" s="37">
        <f>if(and(or(O629=3, P629=1, Q629=1, T629=1), AJ629="no Match"), "CUSM, CHU SJ, CHUQ", "")</f>
      </c>
      <c r="AL629" s="37">
        <f>IF(AND(O630=2, ISBLANK(P630), ISBLANK(Q630), ISBLANK(R630), ISBLANK(S630), ISBLANK(T630)), "CUSM, CHU SJ, CHUS, CHUQ", "")</f>
      </c>
      <c r="AM629" s="37">
        <f>if(and(AJ629="no match", AK629="", AL629="", K629&lt;26), "CUSM, CHU SJ, HGJ, CHUQ, CHUS", "")</f>
      </c>
      <c r="AN629" s="37">
        <f>if(and(AJ629="no match", AK629="", AL629="", K629&gt;26), "CUSM, CHU SJ, HGJ, CHUQ, CHUS, HMR", "")</f>
      </c>
    </row>
    <row x14ac:dyDescent="0.25" r="630" customHeight="1" ht="17.25">
      <c r="A630" s="27" t="s">
        <v>2603</v>
      </c>
      <c r="B630" s="28">
        <v>2</v>
      </c>
      <c r="C630" s="28">
        <v>825</v>
      </c>
      <c r="D630" s="29" t="s">
        <v>77</v>
      </c>
      <c r="E630" s="30" t="s">
        <v>78</v>
      </c>
      <c r="F630" s="31">
        <v>44519</v>
      </c>
      <c r="G630" s="32">
        <v>4.454861111111111</v>
      </c>
      <c r="H630" s="31">
        <v>44519</v>
      </c>
      <c r="I630" s="32">
        <v>4.195138888888889</v>
      </c>
      <c r="J630" s="33">
        <f>F630-H630</f>
      </c>
      <c r="K630" s="28">
        <v>36</v>
      </c>
      <c r="L630" s="28">
        <v>0</v>
      </c>
      <c r="M630" s="28">
        <v>1</v>
      </c>
      <c r="N630" s="34"/>
      <c r="O630" s="34"/>
      <c r="P630" s="34"/>
      <c r="Q630" s="34"/>
      <c r="R630" s="34"/>
      <c r="S630" s="34"/>
      <c r="T630" s="34"/>
      <c r="U630" s="34"/>
      <c r="V630" s="34"/>
      <c r="W630" s="29" t="s">
        <v>58</v>
      </c>
      <c r="X630" s="28">
        <v>24</v>
      </c>
      <c r="Y630" s="28">
        <v>1</v>
      </c>
      <c r="Z630" s="28">
        <v>1</v>
      </c>
      <c r="AA630" s="28">
        <v>1</v>
      </c>
      <c r="AB630" s="28">
        <v>1</v>
      </c>
      <c r="AC630" s="28">
        <v>2</v>
      </c>
      <c r="AD630" s="28">
        <v>2</v>
      </c>
      <c r="AE630" s="28">
        <v>2</v>
      </c>
      <c r="AF630" s="28">
        <v>2</v>
      </c>
      <c r="AG630" s="28">
        <v>2</v>
      </c>
      <c r="AH630" s="29" t="s">
        <v>2604</v>
      </c>
      <c r="AI630" s="36">
        <f>if(or(and(K630&lt;32, J630&lt;2), O630=1, P630=1, Q630=1, R630=1, S630=1, T630=1, U630=1, and(W630&lt;&gt;"", W630&lt;&gt;"Oxygen", W630&lt;&gt;"LowFlow")), "Intensive", "Intermediate")</f>
      </c>
      <c r="AJ630" s="37">
        <f>if(or(left(AH630, 1)="X", left(AH630, 1)="Y", left(AH630, 3)="J52M"), "CUSM", "No Match")</f>
      </c>
      <c r="AK630" s="37">
        <f>if(and(or(O630=3, P630=1, Q630=1, T630=1), AJ630="no Match"), "CUSM, CHU SJ, CHUQ", "")</f>
      </c>
      <c r="AL630" s="37">
        <f>IF(AND(O631=2, ISBLANK(P631), ISBLANK(Q631), ISBLANK(R631), ISBLANK(S631), ISBLANK(T631)), "CUSM, CHU SJ, CHUS, CHUQ", "")</f>
      </c>
      <c r="AM630" s="37">
        <f>if(and(AJ630="no match", AK630="", AL630="", K630&lt;26), "CUSM, CHU SJ, HGJ, CHUQ, CHUS", "")</f>
      </c>
      <c r="AN630" s="37">
        <f>if(and(AJ630="no match", AK630="", AL630="", K630&gt;26), "CUSM, CHU SJ, HGJ, CHUQ, CHUS, HMR", "")</f>
      </c>
    </row>
    <row x14ac:dyDescent="0.25" r="631" customHeight="1" ht="17.25">
      <c r="A631" s="27" t="s">
        <v>2605</v>
      </c>
      <c r="B631" s="28">
        <v>2</v>
      </c>
      <c r="C631" s="35">
        <v>737</v>
      </c>
      <c r="D631" s="29" t="s">
        <v>202</v>
      </c>
      <c r="E631" s="30" t="s">
        <v>54</v>
      </c>
      <c r="F631" s="31">
        <v>44520</v>
      </c>
      <c r="G631" s="32">
        <v>4.026388888888889</v>
      </c>
      <c r="H631" s="31">
        <v>44515</v>
      </c>
      <c r="I631" s="32">
        <v>4.371527777777778</v>
      </c>
      <c r="J631" s="33">
        <f>F631-H631</f>
      </c>
      <c r="K631" s="28">
        <v>37</v>
      </c>
      <c r="L631" s="28">
        <v>0</v>
      </c>
      <c r="M631" s="28">
        <v>1</v>
      </c>
      <c r="N631" s="34"/>
      <c r="O631" s="34"/>
      <c r="P631" s="34"/>
      <c r="Q631" s="34"/>
      <c r="R631" s="34"/>
      <c r="S631" s="34"/>
      <c r="T631" s="34"/>
      <c r="U631" s="34"/>
      <c r="V631" s="34"/>
      <c r="W631" s="29"/>
      <c r="X631" s="28">
        <v>31</v>
      </c>
      <c r="Y631" s="28">
        <v>1</v>
      </c>
      <c r="Z631" s="28">
        <v>2</v>
      </c>
      <c r="AA631" s="28">
        <v>2</v>
      </c>
      <c r="AB631" s="28">
        <v>1</v>
      </c>
      <c r="AC631" s="28">
        <v>2</v>
      </c>
      <c r="AD631" s="28">
        <v>1</v>
      </c>
      <c r="AE631" s="28">
        <v>4</v>
      </c>
      <c r="AF631" s="28">
        <v>2</v>
      </c>
      <c r="AG631" s="28">
        <v>3</v>
      </c>
      <c r="AH631" s="29" t="s">
        <v>2606</v>
      </c>
      <c r="AI631" s="36">
        <f>if(or(and(K631&lt;32, J631&lt;2), O631=1, P631=1, Q631=1, R631=1, S631=1, T631=1, U631=1, and(W631&lt;&gt;"", W631&lt;&gt;"Oxygen", W631&lt;&gt;"LowFlow")), "Intensive", "Intermediate")</f>
      </c>
      <c r="AJ631" s="37">
        <f>if(or(left(AH631, 1)="X", left(AH631, 1)="Y", left(AH631, 3)="J53M"), "CUSM", "No Match")</f>
      </c>
      <c r="AK631" s="37">
        <f>if(and(or(O631=3, P631=1, Q631=1, T631=1), AJ631="no Match"), "CUSM, CHU SJ, CHUQ", "")</f>
      </c>
      <c r="AL631" s="37">
        <f>IF(AND(O632=2, ISBLANK(P632), ISBLANK(Q632), ISBLANK(R632), ISBLANK(S632), ISBLANK(T632)), "CUSM, CHU SJ, CHUS, CHUQ", "")</f>
      </c>
      <c r="AM631" s="37">
        <f>if(and(AJ631="no match", AK631="", AL631="", K631&lt;26), "CUSM, CHU SJ, HGJ, CHUQ, CHUS", "")</f>
      </c>
      <c r="AN631" s="37">
        <f>if(and(AJ631="no match", AK631="", AL631="", K631&gt;26), "CUSM, CHU SJ, HGJ, CHUQ, CHUS, HMR", "")</f>
      </c>
    </row>
    <row x14ac:dyDescent="0.25" r="632" customHeight="1" ht="17.25">
      <c r="A632" s="27" t="s">
        <v>2607</v>
      </c>
      <c r="B632" s="28">
        <v>2</v>
      </c>
      <c r="C632" s="35">
        <v>737</v>
      </c>
      <c r="D632" s="29" t="s">
        <v>202</v>
      </c>
      <c r="E632" s="30" t="s">
        <v>54</v>
      </c>
      <c r="F632" s="31">
        <v>44520</v>
      </c>
      <c r="G632" s="32">
        <v>4.78125</v>
      </c>
      <c r="H632" s="31">
        <v>44520</v>
      </c>
      <c r="I632" s="32">
        <v>4.648611111111111</v>
      </c>
      <c r="J632" s="33">
        <f>F632-H632</f>
      </c>
      <c r="K632" s="28">
        <v>30</v>
      </c>
      <c r="L632" s="28">
        <v>3</v>
      </c>
      <c r="M632" s="28">
        <v>1</v>
      </c>
      <c r="N632" s="34"/>
      <c r="O632" s="34"/>
      <c r="P632" s="34"/>
      <c r="Q632" s="34"/>
      <c r="R632" s="34"/>
      <c r="S632" s="34"/>
      <c r="T632" s="34"/>
      <c r="U632" s="34"/>
      <c r="V632" s="34"/>
      <c r="W632" s="29" t="s">
        <v>164</v>
      </c>
      <c r="X632" s="28">
        <v>23</v>
      </c>
      <c r="Y632" s="28">
        <v>1</v>
      </c>
      <c r="Z632" s="28">
        <v>1</v>
      </c>
      <c r="AA632" s="28">
        <v>2</v>
      </c>
      <c r="AB632" s="28">
        <v>1</v>
      </c>
      <c r="AC632" s="28">
        <v>2</v>
      </c>
      <c r="AD632" s="28">
        <v>1</v>
      </c>
      <c r="AE632" s="28">
        <v>4</v>
      </c>
      <c r="AF632" s="28">
        <v>2</v>
      </c>
      <c r="AG632" s="28">
        <v>2</v>
      </c>
      <c r="AH632" s="29" t="s">
        <v>2608</v>
      </c>
      <c r="AI632" s="36">
        <f>if(or(and(K632&lt;32, J632&lt;2), O632=1, P632=1, Q632=1, R632=1, S632=1, T632=1, U632=1, and(W632&lt;&gt;"", W632&lt;&gt;"Oxygen", W632&lt;&gt;"LowFlow")), "Intensive", "Intermediate")</f>
      </c>
      <c r="AJ632" s="37">
        <f>if(or(left(AH632, 1)="X", left(AH632, 1)="Y", left(AH632, 3)="J54M"), "CUSM", "No Match")</f>
      </c>
      <c r="AK632" s="37">
        <f>if(and(or(O632=3, P632=1, Q632=1, T632=1), AJ632="no Match"), "CUSM, CHU SJ, CHUQ", "")</f>
      </c>
      <c r="AL632" s="37">
        <f>IF(AND(O633=2, ISBLANK(P633), ISBLANK(Q633), ISBLANK(R633), ISBLANK(S633), ISBLANK(T633)), "CUSM, CHU SJ, CHUS, CHUQ", "")</f>
      </c>
      <c r="AM632" s="37">
        <f>if(and(AJ632="no match", AK632="", AL632="", K632&lt;26), "CUSM, CHU SJ, HGJ, CHUQ, CHUS", "")</f>
      </c>
      <c r="AN632" s="37">
        <f>if(and(AJ632="no match", AK632="", AL632="", K632&gt;26), "CUSM, CHU SJ, HGJ, CHUQ, CHUS, HMR", "")</f>
      </c>
    </row>
    <row x14ac:dyDescent="0.25" r="633" customHeight="1" ht="17.25">
      <c r="A633" s="27" t="s">
        <v>2609</v>
      </c>
      <c r="B633" s="28">
        <v>2</v>
      </c>
      <c r="C633" s="35">
        <v>756</v>
      </c>
      <c r="D633" s="29" t="s">
        <v>66</v>
      </c>
      <c r="E633" s="30" t="s">
        <v>50</v>
      </c>
      <c r="F633" s="31">
        <v>44521</v>
      </c>
      <c r="G633" s="40">
        <v>4.740277777777777</v>
      </c>
      <c r="H633" s="31">
        <v>44518</v>
      </c>
      <c r="I633" s="32">
        <v>4.6715277777777775</v>
      </c>
      <c r="J633" s="33">
        <f>F633-H633</f>
      </c>
      <c r="K633" s="28">
        <v>33</v>
      </c>
      <c r="L633" s="28">
        <v>1</v>
      </c>
      <c r="M633" s="28">
        <v>1</v>
      </c>
      <c r="N633" s="34"/>
      <c r="O633" s="34"/>
      <c r="P633" s="34"/>
      <c r="Q633" s="34"/>
      <c r="R633" s="34"/>
      <c r="S633" s="34"/>
      <c r="T633" s="34"/>
      <c r="U633" s="34"/>
      <c r="V633" s="34"/>
      <c r="W633" s="29" t="s">
        <v>74</v>
      </c>
      <c r="X633" s="28">
        <v>32</v>
      </c>
      <c r="Y633" s="28">
        <v>1</v>
      </c>
      <c r="Z633" s="28">
        <v>1</v>
      </c>
      <c r="AA633" s="28">
        <v>1</v>
      </c>
      <c r="AB633" s="28">
        <v>3</v>
      </c>
      <c r="AC633" s="28">
        <v>2</v>
      </c>
      <c r="AD633" s="28">
        <v>2</v>
      </c>
      <c r="AE633" s="28">
        <v>4</v>
      </c>
      <c r="AF633" s="28">
        <v>1</v>
      </c>
      <c r="AG633" s="28">
        <v>2</v>
      </c>
      <c r="AH633" s="29" t="s">
        <v>2610</v>
      </c>
      <c r="AI633" s="36">
        <f>if(or(and(K633&lt;32, J633&lt;2), O633=1, P633=1, Q633=1, R633=1, S633=1, T633=1, U633=1, and(W633&lt;&gt;"", W633&lt;&gt;"Oxygen", W633&lt;&gt;"LowFlow")), "Intensive", "Intermediate")</f>
      </c>
      <c r="AJ633" s="37">
        <f>if(or(left(AH633, 1)="X", left(AH633, 1)="Y", left(AH633, 3)="J55M"), "CUSM", "No Match")</f>
      </c>
      <c r="AK633" s="37">
        <f>if(and(or(O633=3, P633=1, Q633=1, T633=1), AJ633="no Match"), "CUSM, CHU SJ, CHUQ", "")</f>
      </c>
      <c r="AL633" s="37">
        <f>IF(AND(O634=2, ISBLANK(P634), ISBLANK(Q634), ISBLANK(R634), ISBLANK(S634), ISBLANK(T634)), "CUSM, CHU SJ, CHUS, CHUQ", "")</f>
      </c>
      <c r="AM633" s="37">
        <f>if(and(AJ633="no match", AK633="", AL633="", K633&lt;26), "CUSM, CHU SJ, HGJ, CHUQ, CHUS", "")</f>
      </c>
      <c r="AN633" s="37">
        <f>if(and(AJ633="no match", AK633="", AL633="", K633&gt;26), "CUSM, CHU SJ, HGJ, CHUQ, CHUS, HMR", "")</f>
      </c>
    </row>
    <row x14ac:dyDescent="0.25" r="634" customHeight="1" ht="17.25">
      <c r="A634" s="27" t="s">
        <v>2611</v>
      </c>
      <c r="B634" s="28">
        <v>2</v>
      </c>
      <c r="C634" s="35">
        <v>824</v>
      </c>
      <c r="D634" s="29" t="s">
        <v>57</v>
      </c>
      <c r="E634" s="30" t="s">
        <v>54</v>
      </c>
      <c r="F634" s="31">
        <v>44522</v>
      </c>
      <c r="G634" s="32">
        <v>4.552083333333334</v>
      </c>
      <c r="H634" s="31">
        <v>44521</v>
      </c>
      <c r="I634" s="32">
        <v>4.0881944444444445</v>
      </c>
      <c r="J634" s="33">
        <f>F634-H634</f>
      </c>
      <c r="K634" s="28">
        <v>41</v>
      </c>
      <c r="L634" s="28">
        <v>3</v>
      </c>
      <c r="M634" s="28">
        <v>1</v>
      </c>
      <c r="N634" s="38"/>
      <c r="O634" s="34"/>
      <c r="P634" s="38"/>
      <c r="Q634" s="34"/>
      <c r="R634" s="34"/>
      <c r="S634" s="34"/>
      <c r="T634" s="34"/>
      <c r="U634" s="34"/>
      <c r="V634" s="34"/>
      <c r="W634" s="29"/>
      <c r="X634" s="28">
        <v>33</v>
      </c>
      <c r="Y634" s="28">
        <v>1</v>
      </c>
      <c r="Z634" s="28">
        <v>1</v>
      </c>
      <c r="AA634" s="28">
        <v>1</v>
      </c>
      <c r="AB634" s="28">
        <v>1</v>
      </c>
      <c r="AC634" s="28">
        <v>2</v>
      </c>
      <c r="AD634" s="28">
        <v>2</v>
      </c>
      <c r="AE634" s="28">
        <v>4</v>
      </c>
      <c r="AF634" s="28">
        <v>2</v>
      </c>
      <c r="AG634" s="28">
        <v>2</v>
      </c>
      <c r="AH634" s="29" t="s">
        <v>2612</v>
      </c>
      <c r="AI634" s="36">
        <f>if(or(and(K634&lt;32, J634&lt;2), O634=1, P634=1, Q634=1, R634=1, S634=1, T634=1, U634=1, and(W634&lt;&gt;"", W634&lt;&gt;"Oxygen", W634&lt;&gt;"LowFlow")), "Intensive", "Intermediate")</f>
      </c>
      <c r="AJ634" s="37">
        <f>if(or(left(AH634, 1)="X", left(AH634, 1)="Y", left(AH634, 3)="J56M"), "CUSM", "No Match")</f>
      </c>
      <c r="AK634" s="37">
        <f>if(and(or(O634=3, P634=1, Q634=1, T634=1), AJ634="no Match"), "CUSM, CHU SJ, CHUQ", "")</f>
      </c>
      <c r="AL634" s="37">
        <f>IF(AND(O635=2, ISBLANK(P635), ISBLANK(Q635), ISBLANK(R635), ISBLANK(S635), ISBLANK(T635)), "CUSM, CHU SJ, CHUS, CHUQ", "")</f>
      </c>
      <c r="AM634" s="37">
        <f>if(and(AJ634="no match", AK634="", AL634="", K634&lt;26), "CUSM, CHU SJ, HGJ, CHUQ, CHUS", "")</f>
      </c>
      <c r="AN634" s="37">
        <f>if(and(AJ634="no match", AK634="", AL634="", K634&gt;26), "CUSM, CHU SJ, HGJ, CHUQ, CHUS, HMR", "")</f>
      </c>
    </row>
    <row x14ac:dyDescent="0.25" r="635" customHeight="1" ht="17.25">
      <c r="A635" s="27" t="s">
        <v>2613</v>
      </c>
      <c r="B635" s="28">
        <v>2</v>
      </c>
      <c r="C635" s="28">
        <v>832</v>
      </c>
      <c r="D635" s="29" t="s">
        <v>308</v>
      </c>
      <c r="E635" s="30" t="s">
        <v>78</v>
      </c>
      <c r="F635" s="31">
        <v>44522</v>
      </c>
      <c r="G635" s="32">
        <v>4.186111111111111</v>
      </c>
      <c r="H635" s="31">
        <v>44521</v>
      </c>
      <c r="I635" s="32">
        <v>4.998611111111111</v>
      </c>
      <c r="J635" s="33">
        <f>F635-H635</f>
      </c>
      <c r="K635" s="28">
        <v>27</v>
      </c>
      <c r="L635" s="28">
        <v>4</v>
      </c>
      <c r="M635" s="28">
        <v>2</v>
      </c>
      <c r="N635" s="34"/>
      <c r="O635" s="34"/>
      <c r="P635" s="34"/>
      <c r="Q635" s="34"/>
      <c r="R635" s="34"/>
      <c r="S635" s="34"/>
      <c r="T635" s="34"/>
      <c r="U635" s="34"/>
      <c r="V635" s="34"/>
      <c r="W635" s="29" t="s">
        <v>74</v>
      </c>
      <c r="X635" s="28">
        <v>36</v>
      </c>
      <c r="Y635" s="28">
        <v>1</v>
      </c>
      <c r="Z635" s="28">
        <v>1</v>
      </c>
      <c r="AA635" s="28">
        <v>2</v>
      </c>
      <c r="AB635" s="28">
        <v>1</v>
      </c>
      <c r="AC635" s="28">
        <v>2</v>
      </c>
      <c r="AD635" s="28">
        <v>2</v>
      </c>
      <c r="AE635" s="28">
        <v>2</v>
      </c>
      <c r="AF635" s="28">
        <v>2</v>
      </c>
      <c r="AG635" s="28">
        <v>2</v>
      </c>
      <c r="AH635" s="29" t="s">
        <v>2614</v>
      </c>
      <c r="AI635" s="36">
        <f>if(or(and(K635&lt;32, J635&lt;2), O635=1, P635=1, Q635=1, R635=1, S635=1, T635=1, U635=1, and(W635&lt;&gt;"", W635&lt;&gt;"Oxygen", W635&lt;&gt;"LowFlow")), "Intensive", "Intermediate")</f>
      </c>
      <c r="AJ635" s="37">
        <f>if(or(left(AH635, 1)="X", left(AH635, 1)="Y", left(AH635, 3)="J57M"), "CUSM", "No Match")</f>
      </c>
      <c r="AK635" s="37">
        <f>if(and(or(O635=3, P635=1, Q635=1, T635=1), AJ635="no Match"), "CUSM, CHU SJ, CHUQ", "")</f>
      </c>
      <c r="AL635" s="37">
        <f>IF(AND(O636=2, ISBLANK(P636), ISBLANK(Q636), ISBLANK(R636), ISBLANK(S636), ISBLANK(T636)), "CUSM, CHU SJ, CHUS, CHUQ", "")</f>
      </c>
      <c r="AM635" s="37">
        <f>if(and(AJ635="no match", AK635="", AL635="", K635&lt;26), "CUSM, CHU SJ, HGJ, CHUQ, CHUS", "")</f>
      </c>
      <c r="AN635" s="37">
        <f>if(and(AJ635="no match", AK635="", AL635="", K635&gt;26), "CUSM, CHU SJ, HGJ, CHUQ, CHUS, HMR", "")</f>
      </c>
    </row>
    <row x14ac:dyDescent="0.25" r="636" customHeight="1" ht="17.25">
      <c r="A636" s="27" t="s">
        <v>2615</v>
      </c>
      <c r="B636" s="28">
        <v>2</v>
      </c>
      <c r="C636" s="35">
        <v>780</v>
      </c>
      <c r="D636" s="29" t="s">
        <v>190</v>
      </c>
      <c r="E636" s="30" t="s">
        <v>78</v>
      </c>
      <c r="F636" s="31">
        <v>44522</v>
      </c>
      <c r="G636" s="32">
        <v>4.791666666666666</v>
      </c>
      <c r="H636" s="31">
        <v>44522</v>
      </c>
      <c r="I636" s="32">
        <v>4.433333333333334</v>
      </c>
      <c r="J636" s="33">
        <f>F636-H636</f>
      </c>
      <c r="K636" s="28">
        <v>37</v>
      </c>
      <c r="L636" s="28">
        <v>0</v>
      </c>
      <c r="M636" s="28">
        <v>2</v>
      </c>
      <c r="N636" s="38"/>
      <c r="O636" s="34"/>
      <c r="P636" s="34"/>
      <c r="Q636" s="34"/>
      <c r="R636" s="34"/>
      <c r="S636" s="34"/>
      <c r="T636" s="34"/>
      <c r="U636" s="34"/>
      <c r="V636" s="34"/>
      <c r="W636" s="29" t="s">
        <v>74</v>
      </c>
      <c r="X636" s="28">
        <v>23</v>
      </c>
      <c r="Y636" s="28">
        <v>1</v>
      </c>
      <c r="Z636" s="28">
        <v>2</v>
      </c>
      <c r="AA636" s="28">
        <v>3</v>
      </c>
      <c r="AB636" s="28">
        <v>1</v>
      </c>
      <c r="AC636" s="28">
        <v>2</v>
      </c>
      <c r="AD636" s="28">
        <v>2</v>
      </c>
      <c r="AE636" s="28">
        <v>4</v>
      </c>
      <c r="AF636" s="28">
        <v>2</v>
      </c>
      <c r="AG636" s="28">
        <v>2</v>
      </c>
      <c r="AH636" s="29" t="s">
        <v>2616</v>
      </c>
      <c r="AI636" s="36">
        <f>if(or(and(K636&lt;32, J636&lt;2), O636=1, P636=1, Q636=1, R636=1, S636=1, T636=1, U636=1, and(W636&lt;&gt;"", W636&lt;&gt;"Oxygen", W636&lt;&gt;"LowFlow")), "Intensive", "Intermediate")</f>
      </c>
      <c r="AJ636" s="37">
        <f>if(or(left(AH636, 1)="X", left(AH636, 1)="Y", left(AH636, 3)="J58M"), "CUSM", "No Match")</f>
      </c>
      <c r="AK636" s="37">
        <f>if(and(or(O636=3, P636=1, Q636=1, T636=1), AJ636="no Match"), "CUSM, CHU SJ, CHUQ", "")</f>
      </c>
      <c r="AL636" s="37">
        <f>IF(AND(O637=2, ISBLANK(P637), ISBLANK(Q637), ISBLANK(R637), ISBLANK(S637), ISBLANK(T637)), "CUSM, CHU SJ, CHUS, CHUQ", "")</f>
      </c>
      <c r="AM636" s="37">
        <f>if(and(AJ636="no match", AK636="", AL636="", K636&lt;26), "CUSM, CHU SJ, HGJ, CHUQ, CHUS", "")</f>
      </c>
      <c r="AN636" s="37">
        <f>if(and(AJ636="no match", AK636="", AL636="", K636&gt;26), "CUSM, CHU SJ, HGJ, CHUQ, CHUS, HMR", "")</f>
      </c>
    </row>
    <row x14ac:dyDescent="0.25" r="637" customHeight="1" ht="17.25">
      <c r="A637" s="27" t="s">
        <v>2617</v>
      </c>
      <c r="B637" s="28">
        <v>2</v>
      </c>
      <c r="C637" s="35">
        <v>825</v>
      </c>
      <c r="D637" s="29" t="s">
        <v>77</v>
      </c>
      <c r="E637" s="30" t="s">
        <v>54</v>
      </c>
      <c r="F637" s="31">
        <v>44523</v>
      </c>
      <c r="G637" s="32">
        <v>4.635416666666666</v>
      </c>
      <c r="H637" s="31">
        <v>44520</v>
      </c>
      <c r="I637" s="32">
        <v>4.771527777777777</v>
      </c>
      <c r="J637" s="33">
        <f>F637-H637</f>
      </c>
      <c r="K637" s="28">
        <v>35</v>
      </c>
      <c r="L637" s="28">
        <v>1</v>
      </c>
      <c r="M637" s="28">
        <v>1</v>
      </c>
      <c r="N637" s="34"/>
      <c r="O637" s="34"/>
      <c r="P637" s="34"/>
      <c r="Q637" s="34"/>
      <c r="R637" s="34"/>
      <c r="S637" s="34"/>
      <c r="T637" s="34"/>
      <c r="U637" s="34"/>
      <c r="V637" s="34"/>
      <c r="W637" s="29"/>
      <c r="X637" s="28">
        <v>28</v>
      </c>
      <c r="Y637" s="28">
        <v>1</v>
      </c>
      <c r="Z637" s="28">
        <v>1</v>
      </c>
      <c r="AA637" s="28">
        <v>1</v>
      </c>
      <c r="AB637" s="28">
        <v>2</v>
      </c>
      <c r="AC637" s="28">
        <v>2</v>
      </c>
      <c r="AD637" s="28">
        <v>1</v>
      </c>
      <c r="AE637" s="28">
        <v>4</v>
      </c>
      <c r="AF637" s="28">
        <v>2</v>
      </c>
      <c r="AG637" s="28">
        <v>2</v>
      </c>
      <c r="AH637" s="29" t="s">
        <v>2618</v>
      </c>
      <c r="AI637" s="36">
        <f>if(or(and(K637&lt;32, J637&lt;2), O637=1, P637=1, Q637=1, R637=1, S637=1, T637=1, U637=1, and(W637&lt;&gt;"", W637&lt;&gt;"Oxygen", W637&lt;&gt;"LowFlow")), "Intensive", "Intermediate")</f>
      </c>
      <c r="AJ637" s="37">
        <f>if(or(left(AH637, 1)="X", left(AH637, 1)="Y", left(AH637, 3)="J59M"), "CUSM", "No Match")</f>
      </c>
      <c r="AK637" s="37">
        <f>if(and(or(O637=3, P637=1, Q637=1, T637=1), AJ637="no Match"), "CUSM, CHU SJ, CHUQ", "")</f>
      </c>
      <c r="AL637" s="37">
        <f>IF(AND(O638=2, ISBLANK(P638), ISBLANK(Q638), ISBLANK(R638), ISBLANK(S638), ISBLANK(T638)), "CUSM, CHU SJ, CHUS, CHUQ", "")</f>
      </c>
      <c r="AM637" s="37">
        <f>if(and(AJ637="no match", AK637="", AL637="", K637&lt;26), "CUSM, CHU SJ, HGJ, CHUQ, CHUS", "")</f>
      </c>
      <c r="AN637" s="37">
        <f>if(and(AJ637="no match", AK637="", AL637="", K637&gt;26), "CUSM, CHU SJ, HGJ, CHUQ, CHUS, HMR", "")</f>
      </c>
    </row>
    <row x14ac:dyDescent="0.25" r="638" customHeight="1" ht="17.25">
      <c r="A638" s="27" t="s">
        <v>2619</v>
      </c>
      <c r="B638" s="28">
        <v>2</v>
      </c>
      <c r="C638" s="28">
        <v>825</v>
      </c>
      <c r="D638" s="29" t="s">
        <v>77</v>
      </c>
      <c r="E638" s="30" t="s">
        <v>54</v>
      </c>
      <c r="F638" s="31">
        <v>44524</v>
      </c>
      <c r="G638" s="32">
        <v>4.121527777777778</v>
      </c>
      <c r="H638" s="31">
        <v>44523</v>
      </c>
      <c r="I638" s="32">
        <v>4.403472222222222</v>
      </c>
      <c r="J638" s="33">
        <f>F638-H638</f>
      </c>
      <c r="K638" s="28">
        <v>41</v>
      </c>
      <c r="L638" s="28">
        <v>0</v>
      </c>
      <c r="M638" s="28">
        <v>1</v>
      </c>
      <c r="N638" s="34"/>
      <c r="O638" s="34"/>
      <c r="P638" s="34"/>
      <c r="Q638" s="34"/>
      <c r="R638" s="34"/>
      <c r="S638" s="34"/>
      <c r="T638" s="34"/>
      <c r="U638" s="34"/>
      <c r="V638" s="34"/>
      <c r="W638" s="29"/>
      <c r="X638" s="28">
        <v>24</v>
      </c>
      <c r="Y638" s="28">
        <v>1</v>
      </c>
      <c r="Z638" s="28">
        <v>1</v>
      </c>
      <c r="AA638" s="28">
        <v>1</v>
      </c>
      <c r="AB638" s="28">
        <v>1</v>
      </c>
      <c r="AC638" s="28">
        <v>2</v>
      </c>
      <c r="AD638" s="28">
        <v>2</v>
      </c>
      <c r="AE638" s="28">
        <v>4</v>
      </c>
      <c r="AF638" s="28">
        <v>2</v>
      </c>
      <c r="AG638" s="28">
        <v>2</v>
      </c>
      <c r="AH638" s="29" t="s">
        <v>2620</v>
      </c>
      <c r="AI638" s="36">
        <f>if(or(and(K638&lt;32, J638&lt;2), O638=1, P638=1, Q638=1, R638=1, S638=1, T638=1, U638=1, and(W638&lt;&gt;"", W638&lt;&gt;"Oxygen", W638&lt;&gt;"LowFlow")), "Intensive", "Intermediate")</f>
      </c>
      <c r="AJ638" s="37">
        <f>if(or(left(AH638, 1)="X", left(AH638, 1)="Y", left(AH638, 3)="J60M"), "CUSM", "No Match")</f>
      </c>
      <c r="AK638" s="37">
        <f>if(and(or(O638=3, P638=1, Q638=1, T638=1), AJ638="no Match"), "CUSM, CHU SJ, CHUQ", "")</f>
      </c>
      <c r="AL638" s="37">
        <f>IF(AND(O639=2, ISBLANK(P639), ISBLANK(Q639), ISBLANK(R639), ISBLANK(S639), ISBLANK(T639)), "CUSM, CHU SJ, CHUS, CHUQ", "")</f>
      </c>
      <c r="AM638" s="37">
        <f>if(and(AJ638="no match", AK638="", AL638="", K638&lt;26), "CUSM, CHU SJ, HGJ, CHUQ, CHUS", "")</f>
      </c>
      <c r="AN638" s="37">
        <f>if(and(AJ638="no match", AK638="", AL638="", K638&gt;26), "CUSM, CHU SJ, HGJ, CHUQ, CHUS, HMR", "")</f>
      </c>
    </row>
    <row x14ac:dyDescent="0.25" r="639" customHeight="1" ht="17.25">
      <c r="A639" s="27" t="s">
        <v>2621</v>
      </c>
      <c r="B639" s="28">
        <v>2</v>
      </c>
      <c r="C639" s="35">
        <v>815</v>
      </c>
      <c r="D639" s="29" t="s">
        <v>100</v>
      </c>
      <c r="E639" s="30" t="s">
        <v>54</v>
      </c>
      <c r="F639" s="31">
        <v>44524</v>
      </c>
      <c r="G639" s="32">
        <v>4.965277777777778</v>
      </c>
      <c r="H639" s="31">
        <v>44524</v>
      </c>
      <c r="I639" s="32">
        <v>4.3180555555555555</v>
      </c>
      <c r="J639" s="33">
        <f>F639-H639</f>
      </c>
      <c r="K639" s="28">
        <v>41</v>
      </c>
      <c r="L639" s="28">
        <v>2</v>
      </c>
      <c r="M639" s="28">
        <v>1</v>
      </c>
      <c r="N639" s="35">
        <v>1</v>
      </c>
      <c r="O639" s="34"/>
      <c r="P639" s="34"/>
      <c r="Q639" s="34"/>
      <c r="R639" s="34"/>
      <c r="S639" s="34"/>
      <c r="T639" s="34"/>
      <c r="U639" s="34"/>
      <c r="V639" s="34"/>
      <c r="W639" s="29"/>
      <c r="X639" s="28">
        <v>28</v>
      </c>
      <c r="Y639" s="28">
        <v>1</v>
      </c>
      <c r="Z639" s="28">
        <v>1</v>
      </c>
      <c r="AA639" s="28">
        <v>2</v>
      </c>
      <c r="AB639" s="28">
        <v>1</v>
      </c>
      <c r="AC639" s="28">
        <v>2</v>
      </c>
      <c r="AD639" s="28">
        <v>2</v>
      </c>
      <c r="AE639" s="28">
        <v>3</v>
      </c>
      <c r="AF639" s="28">
        <v>2</v>
      </c>
      <c r="AG639" s="28">
        <v>2</v>
      </c>
      <c r="AH639" s="29" t="s">
        <v>2622</v>
      </c>
      <c r="AI639" s="36">
        <f>if(or(and(K639&lt;32, J639&lt;2), O639=1, P639=1, Q639=1, R639=1, S639=1, T639=1, U639=1, and(W639&lt;&gt;"", W639&lt;&gt;"Oxygen", W639&lt;&gt;"LowFlow")), "Intensive", "Intermediate")</f>
      </c>
      <c r="AJ639" s="37">
        <f>if(or(left(AH639, 1)="X", left(AH639, 1)="Y", left(AH639, 3)="J61M"), "CUSM", "No Match")</f>
      </c>
      <c r="AK639" s="37">
        <f>if(and(or(O639=3, P639=1, Q639=1, T639=1), AJ639="no Match"), "CUSM, CHU SJ, CHUQ", "")</f>
      </c>
      <c r="AL639" s="37">
        <f>IF(AND(O640=2, ISBLANK(P640), ISBLANK(Q640), ISBLANK(R640), ISBLANK(S640), ISBLANK(T640)), "CUSM, CHU SJ, CHUS, CHUQ", "")</f>
      </c>
      <c r="AM639" s="37">
        <f>if(and(AJ639="no match", AK639="", AL639="", K639&lt;26), "CUSM, CHU SJ, HGJ, CHUQ, CHUS", "")</f>
      </c>
      <c r="AN639" s="37">
        <f>if(and(AJ639="no match", AK639="", AL639="", K639&gt;26), "CUSM, CHU SJ, HGJ, CHUQ, CHUS, HMR", "")</f>
      </c>
    </row>
    <row x14ac:dyDescent="0.25" r="640" customHeight="1" ht="17.25">
      <c r="A640" s="27" t="s">
        <v>2623</v>
      </c>
      <c r="B640" s="28">
        <v>2</v>
      </c>
      <c r="C640" s="28">
        <v>734</v>
      </c>
      <c r="D640" s="29" t="s">
        <v>264</v>
      </c>
      <c r="E640" s="30" t="s">
        <v>220</v>
      </c>
      <c r="F640" s="31">
        <v>44524</v>
      </c>
      <c r="G640" s="32">
        <v>4.8277777777777775</v>
      </c>
      <c r="H640" s="31">
        <v>44524</v>
      </c>
      <c r="I640" s="32">
        <v>4.745138888888889</v>
      </c>
      <c r="J640" s="33">
        <f>F640-H640</f>
      </c>
      <c r="K640" s="28">
        <v>29</v>
      </c>
      <c r="L640" s="28">
        <v>0</v>
      </c>
      <c r="M640" s="28">
        <v>2</v>
      </c>
      <c r="N640" s="34"/>
      <c r="O640" s="34"/>
      <c r="P640" s="34"/>
      <c r="Q640" s="34"/>
      <c r="R640" s="34"/>
      <c r="S640" s="34"/>
      <c r="T640" s="38"/>
      <c r="U640" s="34"/>
      <c r="V640" s="34"/>
      <c r="W640" s="29" t="s">
        <v>164</v>
      </c>
      <c r="X640" s="28">
        <v>41</v>
      </c>
      <c r="Y640" s="28">
        <v>1</v>
      </c>
      <c r="Z640" s="28">
        <v>2</v>
      </c>
      <c r="AA640" s="28">
        <v>2</v>
      </c>
      <c r="AB640" s="28">
        <v>1</v>
      </c>
      <c r="AC640" s="28">
        <v>2</v>
      </c>
      <c r="AD640" s="28">
        <v>2</v>
      </c>
      <c r="AE640" s="28">
        <v>4</v>
      </c>
      <c r="AF640" s="28">
        <v>2</v>
      </c>
      <c r="AG640" s="28">
        <v>2</v>
      </c>
      <c r="AH640" s="29" t="s">
        <v>2624</v>
      </c>
      <c r="AI640" s="36">
        <f>if(or(and(K640&lt;32, J640&lt;2), O640=1, P640=1, Q640=1, R640=1, S640=1, T640=1, U640=1, and(W640&lt;&gt;"", W640&lt;&gt;"Oxygen", W640&lt;&gt;"LowFlow")), "Intensive", "Intermediate")</f>
      </c>
      <c r="AJ640" s="37">
        <f>if(or(left(AH640, 1)="X", left(AH640, 1)="Y", left(AH640, 3)="J62M"), "CUSM", "No Match")</f>
      </c>
      <c r="AK640" s="37">
        <f>if(and(or(O640=3, P640=1, Q640=1, T640=1), AJ640="no Match"), "CUSM, CHU SJ, CHUQ", "")</f>
      </c>
      <c r="AL640" s="37">
        <f>IF(AND(O641=2, ISBLANK(P641), ISBLANK(Q641), ISBLANK(R641), ISBLANK(S641), ISBLANK(T641)), "CUSM, CHU SJ, CHUS, CHUQ", "")</f>
      </c>
      <c r="AM640" s="37">
        <f>if(and(AJ640="no match", AK640="", AL640="", K640&lt;26), "CUSM, CHU SJ, HGJ, CHUQ, CHUS", "")</f>
      </c>
      <c r="AN640" s="37">
        <f>if(and(AJ640="no match", AK640="", AL640="", K640&gt;26), "CUSM, CHU SJ, HGJ, CHUQ, CHUS, HMR", "")</f>
      </c>
    </row>
    <row x14ac:dyDescent="0.25" r="641" customHeight="1" ht="17.25">
      <c r="A641" s="27" t="s">
        <v>2625</v>
      </c>
      <c r="B641" s="28">
        <v>2</v>
      </c>
      <c r="C641" s="35">
        <v>779</v>
      </c>
      <c r="D641" s="29" t="s">
        <v>136</v>
      </c>
      <c r="E641" s="30" t="s">
        <v>50</v>
      </c>
      <c r="F641" s="31">
        <v>44525</v>
      </c>
      <c r="G641" s="32">
        <v>4.913194444444445</v>
      </c>
      <c r="H641" s="31">
        <v>44525</v>
      </c>
      <c r="I641" s="32">
        <v>4.747916666666667</v>
      </c>
      <c r="J641" s="33">
        <f>F641-H641</f>
      </c>
      <c r="K641" s="28">
        <v>39</v>
      </c>
      <c r="L641" s="28">
        <v>2</v>
      </c>
      <c r="M641" s="28">
        <v>1</v>
      </c>
      <c r="N641" s="35">
        <v>1</v>
      </c>
      <c r="O641" s="34"/>
      <c r="P641" s="34"/>
      <c r="Q641" s="34"/>
      <c r="R641" s="34"/>
      <c r="S641" s="34"/>
      <c r="T641" s="35">
        <v>1</v>
      </c>
      <c r="U641" s="34"/>
      <c r="V641" s="34"/>
      <c r="W641" s="29"/>
      <c r="X641" s="28">
        <v>25</v>
      </c>
      <c r="Y641" s="28">
        <v>1</v>
      </c>
      <c r="Z641" s="28">
        <v>1</v>
      </c>
      <c r="AA641" s="28">
        <v>2</v>
      </c>
      <c r="AB641" s="28">
        <v>1</v>
      </c>
      <c r="AC641" s="28">
        <v>2</v>
      </c>
      <c r="AD641" s="28">
        <v>1</v>
      </c>
      <c r="AE641" s="28">
        <v>4</v>
      </c>
      <c r="AF641" s="28">
        <v>3</v>
      </c>
      <c r="AG641" s="28">
        <v>2</v>
      </c>
      <c r="AH641" s="29" t="s">
        <v>2626</v>
      </c>
      <c r="AI641" s="36">
        <f>if(or(and(K641&lt;32, J641&lt;2), O641=1, P641=1, Q641=1, R641=1, S641=1, T641=1, U641=1, and(W641&lt;&gt;"", W641&lt;&gt;"Oxygen", W641&lt;&gt;"LowFlow")), "Intensive", "Intermediate")</f>
      </c>
      <c r="AJ641" s="37">
        <f>if(or(left(AH641, 1)="X", left(AH641, 1)="Y", left(AH641, 3)="J63M"), "CUSM", "No Match")</f>
      </c>
      <c r="AK641" s="37">
        <f>if(and(or(O641=3, P641=1, Q641=1, T641=1), AJ641="no Match"), "CUSM, CHU SJ, CHUQ", "")</f>
      </c>
      <c r="AL641" s="37">
        <f>IF(AND(O642=2, ISBLANK(P642), ISBLANK(Q642), ISBLANK(R642), ISBLANK(S642), ISBLANK(T642)), "CUSM, CHU SJ, CHUS, CHUQ", "")</f>
      </c>
      <c r="AM641" s="37">
        <f>if(and(AJ641="no match", AK641="", AL641="", K641&lt;26), "CUSM, CHU SJ, HGJ, CHUQ, CHUS", "")</f>
      </c>
      <c r="AN641" s="37">
        <f>if(and(AJ641="no match", AK641="", AL641="", K641&gt;26), "CUSM, CHU SJ, HGJ, CHUQ, CHUS, HMR", "")</f>
      </c>
    </row>
    <row x14ac:dyDescent="0.25" r="642" customHeight="1" ht="17.25">
      <c r="A642" s="27" t="s">
        <v>2627</v>
      </c>
      <c r="B642" s="28">
        <v>2</v>
      </c>
      <c r="C642" s="28">
        <v>831</v>
      </c>
      <c r="D642" s="29" t="s">
        <v>313</v>
      </c>
      <c r="E642" s="30" t="s">
        <v>50</v>
      </c>
      <c r="F642" s="31">
        <v>44525</v>
      </c>
      <c r="G642" s="32">
        <v>4.722222222222222</v>
      </c>
      <c r="H642" s="31">
        <v>44522</v>
      </c>
      <c r="I642" s="32">
        <v>4.981944444444444</v>
      </c>
      <c r="J642" s="33">
        <f>F642-H642</f>
      </c>
      <c r="K642" s="28">
        <v>36</v>
      </c>
      <c r="L642" s="28">
        <v>3</v>
      </c>
      <c r="M642" s="28">
        <v>2</v>
      </c>
      <c r="N642" s="38"/>
      <c r="O642" s="34"/>
      <c r="P642" s="34"/>
      <c r="Q642" s="34"/>
      <c r="R642" s="34"/>
      <c r="S642" s="34"/>
      <c r="T642" s="34"/>
      <c r="U642" s="34"/>
      <c r="V642" s="34"/>
      <c r="W642" s="29"/>
      <c r="X642" s="28">
        <v>34</v>
      </c>
      <c r="Y642" s="28">
        <v>1</v>
      </c>
      <c r="Z642" s="28">
        <v>2</v>
      </c>
      <c r="AA642" s="28">
        <v>1</v>
      </c>
      <c r="AB642" s="28">
        <v>1</v>
      </c>
      <c r="AC642" s="28">
        <v>1</v>
      </c>
      <c r="AD642" s="28">
        <v>1</v>
      </c>
      <c r="AE642" s="28">
        <v>4</v>
      </c>
      <c r="AF642" s="28">
        <v>2</v>
      </c>
      <c r="AG642" s="28">
        <v>2</v>
      </c>
      <c r="AH642" s="29" t="s">
        <v>2628</v>
      </c>
      <c r="AI642" s="36">
        <f>if(or(and(K642&lt;32, J642&lt;2), O642=1, P642=1, Q642=1, R642=1, S642=1, T642=1, U642=1, and(W642&lt;&gt;"", W642&lt;&gt;"Oxygen", W642&lt;&gt;"LowFlow")), "Intensive", "Intermediate")</f>
      </c>
      <c r="AJ642" s="37">
        <f>if(or(left(AH642, 1)="X", left(AH642, 1)="Y", left(AH642, 3)="J0M"), "CUSM", "No Match")</f>
      </c>
      <c r="AK642" s="37">
        <f>if(and(or(O642=3, P642=1, Q642=1, T642=1), AJ642="no Match"), "CUSM, CHU SJ, CHUQ", "")</f>
      </c>
      <c r="AL642" s="37">
        <f>IF(AND(O643=2, ISBLANK(P643), ISBLANK(Q643), ISBLANK(R643), ISBLANK(S643), ISBLANK(T643)), "CUSM, CHU SJ, CHUS, CHUQ", "")</f>
      </c>
      <c r="AM642" s="37">
        <f>if(and(AJ642="no match", AK642="", AL642="", K642&lt;26), "CUSM, CHU SJ, HGJ, CHUQ, CHUS", "")</f>
      </c>
      <c r="AN642" s="37">
        <f>if(and(AJ642="no match", AK642="", AL642="", K642&gt;26), "CUSM, CHU SJ, HGJ, CHUQ, CHUS, HMR", "")</f>
      </c>
    </row>
    <row x14ac:dyDescent="0.25" r="643" customHeight="1" ht="17.25">
      <c r="A643" s="27" t="s">
        <v>2629</v>
      </c>
      <c r="B643" s="28">
        <v>2</v>
      </c>
      <c r="C643" s="28">
        <v>831</v>
      </c>
      <c r="D643" s="29" t="s">
        <v>313</v>
      </c>
      <c r="E643" s="30" t="s">
        <v>50</v>
      </c>
      <c r="F643" s="31">
        <v>44525</v>
      </c>
      <c r="G643" s="32">
        <v>4.586805555555555</v>
      </c>
      <c r="H643" s="31">
        <v>44525</v>
      </c>
      <c r="I643" s="32">
        <v>4.4125</v>
      </c>
      <c r="J643" s="33">
        <f>F643-H643</f>
      </c>
      <c r="K643" s="28">
        <v>35</v>
      </c>
      <c r="L643" s="28">
        <v>6</v>
      </c>
      <c r="M643" s="28">
        <v>2</v>
      </c>
      <c r="N643" s="35">
        <v>1</v>
      </c>
      <c r="O643" s="34"/>
      <c r="P643" s="34"/>
      <c r="Q643" s="34"/>
      <c r="R643" s="34"/>
      <c r="S643" s="34"/>
      <c r="T643" s="35">
        <v>1</v>
      </c>
      <c r="U643" s="34"/>
      <c r="V643" s="34"/>
      <c r="W643" s="29" t="s">
        <v>74</v>
      </c>
      <c r="X643" s="28">
        <v>38</v>
      </c>
      <c r="Y643" s="28">
        <v>2</v>
      </c>
      <c r="Z643" s="28">
        <v>2</v>
      </c>
      <c r="AA643" s="28">
        <v>1</v>
      </c>
      <c r="AB643" s="28">
        <v>1</v>
      </c>
      <c r="AC643" s="28">
        <v>2</v>
      </c>
      <c r="AD643" s="28">
        <v>2</v>
      </c>
      <c r="AE643" s="28">
        <v>2</v>
      </c>
      <c r="AF643" s="28">
        <v>2</v>
      </c>
      <c r="AG643" s="28">
        <v>2</v>
      </c>
      <c r="AH643" s="29" t="s">
        <v>2630</v>
      </c>
      <c r="AI643" s="36">
        <f>if(or(and(K643&lt;32, J643&lt;2), O643=1, P643=1, Q643=1, R643=1, S643=1, T643=1, U643=1, and(W643&lt;&gt;"", W643&lt;&gt;"Oxygen", W643&lt;&gt;"LowFlow")), "Intensive", "Intermediate")</f>
      </c>
      <c r="AJ643" s="37">
        <f>if(or(left(AH643, 1)="X", left(AH643, 1)="Y", left(AH643, 3)="J1M"), "CUSM", "No Match")</f>
      </c>
      <c r="AK643" s="37">
        <f>if(and(or(O643=3, P643=1, Q643=1, T643=1), AJ643="no Match"), "CUSM, CHU SJ, CHUQ", "")</f>
      </c>
      <c r="AL643" s="37">
        <f>IF(AND(O644=2, ISBLANK(P644), ISBLANK(Q644), ISBLANK(R644), ISBLANK(S644), ISBLANK(T644)), "CUSM, CHU SJ, CHUS, CHUQ", "")</f>
      </c>
      <c r="AM643" s="37">
        <f>if(and(AJ643="no match", AK643="", AL643="", K643&lt;26), "CUSM, CHU SJ, HGJ, CHUQ, CHUS", "")</f>
      </c>
      <c r="AN643" s="37">
        <f>if(and(AJ643="no match", AK643="", AL643="", K643&gt;26), "CUSM, CHU SJ, HGJ, CHUQ, CHUS, HMR", "")</f>
      </c>
    </row>
    <row x14ac:dyDescent="0.25" r="644" customHeight="1" ht="17.25">
      <c r="A644" s="27" t="s">
        <v>2631</v>
      </c>
      <c r="B644" s="28">
        <v>2</v>
      </c>
      <c r="C644" s="28">
        <v>820</v>
      </c>
      <c r="D644" s="29" t="s">
        <v>69</v>
      </c>
      <c r="E644" s="30" t="s">
        <v>220</v>
      </c>
      <c r="F644" s="31">
        <v>44525</v>
      </c>
      <c r="G644" s="32">
        <v>4.54375</v>
      </c>
      <c r="H644" s="31">
        <v>44525</v>
      </c>
      <c r="I644" s="32">
        <v>4.129166666666666</v>
      </c>
      <c r="J644" s="33">
        <f>F644-H644</f>
      </c>
      <c r="K644" s="28">
        <v>32</v>
      </c>
      <c r="L644" s="28">
        <v>0</v>
      </c>
      <c r="M644" s="28">
        <v>1</v>
      </c>
      <c r="N644" s="38"/>
      <c r="O644" s="34"/>
      <c r="P644" s="34"/>
      <c r="Q644" s="34"/>
      <c r="R644" s="34"/>
      <c r="S644" s="34"/>
      <c r="T644" s="34"/>
      <c r="U644" s="34"/>
      <c r="V644" s="34"/>
      <c r="W644" s="29" t="s">
        <v>74</v>
      </c>
      <c r="X644" s="28">
        <v>30</v>
      </c>
      <c r="Y644" s="28">
        <v>1</v>
      </c>
      <c r="Z644" s="28">
        <v>1</v>
      </c>
      <c r="AA644" s="28">
        <v>1</v>
      </c>
      <c r="AB644" s="28">
        <v>1</v>
      </c>
      <c r="AC644" s="28">
        <v>2</v>
      </c>
      <c r="AD644" s="28">
        <v>2</v>
      </c>
      <c r="AE644" s="28">
        <v>4</v>
      </c>
      <c r="AF644" s="28">
        <v>2</v>
      </c>
      <c r="AG644" s="28">
        <v>2</v>
      </c>
      <c r="AH644" s="29" t="s">
        <v>2632</v>
      </c>
      <c r="AI644" s="36">
        <f>if(or(and(K644&lt;32, J644&lt;2), O644=1, P644=1, Q644=1, R644=1, S644=1, T644=1, U644=1, and(W644&lt;&gt;"", W644&lt;&gt;"Oxygen", W644&lt;&gt;"LowFlow")), "Intensive", "Intermediate")</f>
      </c>
      <c r="AJ644" s="37">
        <f>if(or(left(AH644, 1)="X", left(AH644, 1)="Y", left(AH644, 3)="J2M"), "CUSM", "No Match")</f>
      </c>
      <c r="AK644" s="37">
        <f>if(and(or(O644=3, P644=1, Q644=1, T644=1), AJ644="no Match"), "CUSM, CHU SJ, CHUQ", "")</f>
      </c>
      <c r="AL644" s="37">
        <f>IF(AND(O645=2, ISBLANK(P645), ISBLANK(Q645), ISBLANK(R645), ISBLANK(S645), ISBLANK(T645)), "CUSM, CHU SJ, CHUS, CHUQ", "")</f>
      </c>
      <c r="AM644" s="37">
        <f>if(and(AJ644="no match", AK644="", AL644="", K644&lt;26), "CUSM, CHU SJ, HGJ, CHUQ, CHUS", "")</f>
      </c>
      <c r="AN644" s="37">
        <f>if(and(AJ644="no match", AK644="", AL644="", K644&gt;26), "CUSM, CHU SJ, HGJ, CHUQ, CHUS, HMR", "")</f>
      </c>
    </row>
    <row x14ac:dyDescent="0.25" r="645" customHeight="1" ht="17.25">
      <c r="A645" s="27" t="s">
        <v>2633</v>
      </c>
      <c r="B645" s="28">
        <v>2</v>
      </c>
      <c r="C645" s="28">
        <v>806</v>
      </c>
      <c r="D645" s="29" t="s">
        <v>438</v>
      </c>
      <c r="E645" s="30" t="s">
        <v>50</v>
      </c>
      <c r="F645" s="31">
        <v>44526</v>
      </c>
      <c r="G645" s="32">
        <v>4.852777777777778</v>
      </c>
      <c r="H645" s="31">
        <v>44523</v>
      </c>
      <c r="I645" s="32">
        <v>4.905555555555555</v>
      </c>
      <c r="J645" s="33">
        <f>F645-H645</f>
      </c>
      <c r="K645" s="28">
        <v>40</v>
      </c>
      <c r="L645" s="28">
        <v>6</v>
      </c>
      <c r="M645" s="28">
        <v>2</v>
      </c>
      <c r="N645" s="34"/>
      <c r="O645" s="38"/>
      <c r="P645" s="34"/>
      <c r="Q645" s="34"/>
      <c r="R645" s="34"/>
      <c r="S645" s="34"/>
      <c r="T645" s="34"/>
      <c r="U645" s="34"/>
      <c r="V645" s="34"/>
      <c r="W645" s="29"/>
      <c r="X645" s="28">
        <v>27</v>
      </c>
      <c r="Y645" s="28">
        <v>1</v>
      </c>
      <c r="Z645" s="28">
        <v>1</v>
      </c>
      <c r="AA645" s="28">
        <v>3</v>
      </c>
      <c r="AB645" s="28">
        <v>1</v>
      </c>
      <c r="AC645" s="28">
        <v>2</v>
      </c>
      <c r="AD645" s="28">
        <v>2</v>
      </c>
      <c r="AE645" s="28">
        <v>4</v>
      </c>
      <c r="AF645" s="28">
        <v>3</v>
      </c>
      <c r="AG645" s="28">
        <v>2</v>
      </c>
      <c r="AH645" s="29" t="s">
        <v>2634</v>
      </c>
      <c r="AI645" s="36">
        <f>if(or(and(K645&lt;32, J645&lt;2), O645=1, P645=1, Q645=1, R645=1, S645=1, T645=1, U645=1, and(W645&lt;&gt;"", W645&lt;&gt;"Oxygen", W645&lt;&gt;"LowFlow")), "Intensive", "Intermediate")</f>
      </c>
      <c r="AJ645" s="37">
        <f>if(or(left(AH645, 1)="X", left(AH645, 1)="Y", left(AH645, 3)="J3M"), "CUSM", "No Match")</f>
      </c>
      <c r="AK645" s="37">
        <f>if(and(or(O645=3, P645=1, Q645=1, T645=1), AJ645="no Match"), "CUSM, CHU SJ, CHUQ", "")</f>
      </c>
      <c r="AL645" s="37">
        <f>IF(AND(O646=2, ISBLANK(P646), ISBLANK(Q646), ISBLANK(R646), ISBLANK(S646), ISBLANK(T646)), "CUSM, CHU SJ, CHUS, CHUQ", "")</f>
      </c>
      <c r="AM645" s="37">
        <f>if(and(AJ645="no match", AK645="", AL645="", K645&lt;26), "CUSM, CHU SJ, HGJ, CHUQ, CHUS", "")</f>
      </c>
      <c r="AN645" s="37">
        <f>if(and(AJ645="no match", AK645="", AL645="", K645&gt;26), "CUSM, CHU SJ, HGJ, CHUQ, CHUS, HMR", "")</f>
      </c>
    </row>
    <row x14ac:dyDescent="0.25" r="646" customHeight="1" ht="17.25">
      <c r="A646" s="27" t="s">
        <v>2635</v>
      </c>
      <c r="B646" s="28">
        <v>2</v>
      </c>
      <c r="C646" s="35">
        <v>835</v>
      </c>
      <c r="D646" s="29" t="s">
        <v>170</v>
      </c>
      <c r="E646" s="30" t="s">
        <v>54</v>
      </c>
      <c r="F646" s="31">
        <v>44529</v>
      </c>
      <c r="G646" s="32">
        <v>4.513888888888889</v>
      </c>
      <c r="H646" s="31">
        <v>44526</v>
      </c>
      <c r="I646" s="32">
        <v>4.833333333333334</v>
      </c>
      <c r="J646" s="33">
        <f>F646-H646</f>
      </c>
      <c r="K646" s="28">
        <v>40</v>
      </c>
      <c r="L646" s="28">
        <v>0</v>
      </c>
      <c r="M646" s="28">
        <v>1</v>
      </c>
      <c r="N646" s="28">
        <v>1</v>
      </c>
      <c r="O646" s="38"/>
      <c r="P646" s="38"/>
      <c r="Q646" s="35">
        <v>1</v>
      </c>
      <c r="R646" s="34"/>
      <c r="S646" s="34"/>
      <c r="T646" s="34"/>
      <c r="U646" s="34"/>
      <c r="V646" s="38"/>
      <c r="W646" s="29"/>
      <c r="X646" s="28">
        <v>21</v>
      </c>
      <c r="Y646" s="28">
        <v>1</v>
      </c>
      <c r="Z646" s="28">
        <v>1</v>
      </c>
      <c r="AA646" s="28">
        <v>3</v>
      </c>
      <c r="AB646" s="28">
        <v>4</v>
      </c>
      <c r="AC646" s="28">
        <v>3</v>
      </c>
      <c r="AD646" s="28">
        <v>3</v>
      </c>
      <c r="AE646" s="28">
        <v>4</v>
      </c>
      <c r="AF646" s="28">
        <v>3</v>
      </c>
      <c r="AG646" s="28">
        <v>1</v>
      </c>
      <c r="AH646" s="29" t="s">
        <v>2636</v>
      </c>
      <c r="AI646" s="36">
        <f>if(or(and(K646&lt;32, J646&lt;2), O646=1, P646=1, Q646=1, R646=1, S646=1, T646=1, U646=1, and(W646&lt;&gt;"", W646&lt;&gt;"Oxygen", W646&lt;&gt;"LowFlow")), "Intensive", "Intermediate")</f>
      </c>
      <c r="AJ646" s="37">
        <f>if(or(left(AH646, 1)="X", left(AH646, 1)="Y", left(AH646, 3)="J4M"), "CUSM", "No Match")</f>
      </c>
      <c r="AK646" s="37">
        <f>if(and(or(O646=3, P646=1, Q646=1, T646=1), AJ646="no Match"), "CUSM, CHU SJ, CHUQ", "")</f>
      </c>
      <c r="AL646" s="37">
        <f>IF(AND(O647=2, ISBLANK(P647), ISBLANK(Q647), ISBLANK(R647), ISBLANK(S647), ISBLANK(T647)), "CUSM, CHU SJ, CHUS, CHUQ", "")</f>
      </c>
      <c r="AM646" s="37">
        <f>if(and(AJ646="no match", AK646="", AL646="", K646&lt;26), "CUSM, CHU SJ, HGJ, CHUQ, CHUS", "")</f>
      </c>
      <c r="AN646" s="37">
        <f>if(and(AJ646="no match", AK646="", AL646="", K646&gt;26), "CUSM, CHU SJ, HGJ, CHUQ, CHUS, HMR", "")</f>
      </c>
    </row>
    <row x14ac:dyDescent="0.25" r="647" customHeight="1" ht="17.25">
      <c r="A647" s="27" t="s">
        <v>2637</v>
      </c>
      <c r="B647" s="28">
        <v>2</v>
      </c>
      <c r="C647" s="28">
        <v>839</v>
      </c>
      <c r="D647" s="29" t="s">
        <v>53</v>
      </c>
      <c r="E647" s="30" t="s">
        <v>50</v>
      </c>
      <c r="F647" s="31">
        <v>44529</v>
      </c>
      <c r="G647" s="32">
        <v>4.510416666666666</v>
      </c>
      <c r="H647" s="31">
        <v>44529</v>
      </c>
      <c r="I647" s="32">
        <v>4.009722222222223</v>
      </c>
      <c r="J647" s="33">
        <f>F647-H647</f>
      </c>
      <c r="K647" s="28">
        <v>40</v>
      </c>
      <c r="L647" s="28">
        <v>5</v>
      </c>
      <c r="M647" s="28">
        <v>2</v>
      </c>
      <c r="N647" s="34"/>
      <c r="O647" s="34"/>
      <c r="P647" s="34"/>
      <c r="Q647" s="34"/>
      <c r="R647" s="34"/>
      <c r="S647" s="34"/>
      <c r="T647" s="35">
        <v>1</v>
      </c>
      <c r="U647" s="34"/>
      <c r="V647" s="34"/>
      <c r="W647" s="29"/>
      <c r="X647" s="28">
        <v>35</v>
      </c>
      <c r="Y647" s="28">
        <v>1</v>
      </c>
      <c r="Z647" s="28">
        <v>1</v>
      </c>
      <c r="AA647" s="28">
        <v>1</v>
      </c>
      <c r="AB647" s="28">
        <v>1</v>
      </c>
      <c r="AC647" s="28">
        <v>2</v>
      </c>
      <c r="AD647" s="28">
        <v>2</v>
      </c>
      <c r="AE647" s="28">
        <v>2</v>
      </c>
      <c r="AF647" s="28">
        <v>2</v>
      </c>
      <c r="AG647" s="28">
        <v>2</v>
      </c>
      <c r="AH647" s="29" t="s">
        <v>2638</v>
      </c>
      <c r="AI647" s="36">
        <f>if(or(and(K647&lt;32, J647&lt;2), O647=1, P647=1, Q647=1, R647=1, S647=1, T647=1, U647=1, and(W647&lt;&gt;"", W647&lt;&gt;"Oxygen", W647&lt;&gt;"LowFlow")), "Intensive", "Intermediate")</f>
      </c>
      <c r="AJ647" s="37">
        <f>if(or(left(AH647, 1)="X", left(AH647, 1)="Y", left(AH647, 3)="J5M"), "CUSM", "No Match")</f>
      </c>
      <c r="AK647" s="37">
        <f>if(and(or(O647=3, P647=1, Q647=1, T647=1), AJ647="no Match"), "CUSM, CHU SJ, CHUQ", "")</f>
      </c>
      <c r="AL647" s="37">
        <f>IF(AND(O648=2, ISBLANK(P648), ISBLANK(Q648), ISBLANK(R648), ISBLANK(S648), ISBLANK(T648)), "CUSM, CHU SJ, CHUS, CHUQ", "")</f>
      </c>
      <c r="AM647" s="37">
        <f>if(and(AJ647="no match", AK647="", AL647="", K647&lt;26), "CUSM, CHU SJ, HGJ, CHUQ, CHUS", "")</f>
      </c>
      <c r="AN647" s="37">
        <f>if(and(AJ647="no match", AK647="", AL647="", K647&gt;26), "CUSM, CHU SJ, HGJ, CHUQ, CHUS, HMR", "")</f>
      </c>
    </row>
    <row x14ac:dyDescent="0.25" r="648" customHeight="1" ht="17.25">
      <c r="A648" s="27" t="s">
        <v>2639</v>
      </c>
      <c r="B648" s="28">
        <v>2</v>
      </c>
      <c r="C648" s="35">
        <v>814</v>
      </c>
      <c r="D648" s="29" t="s">
        <v>285</v>
      </c>
      <c r="E648" s="30" t="s">
        <v>78</v>
      </c>
      <c r="F648" s="31">
        <v>44530</v>
      </c>
      <c r="G648" s="32">
        <v>4.479166666666666</v>
      </c>
      <c r="H648" s="31">
        <v>44529</v>
      </c>
      <c r="I648" s="32">
        <v>4.847222222222222</v>
      </c>
      <c r="J648" s="33">
        <f>F648-H648</f>
      </c>
      <c r="K648" s="28">
        <v>40</v>
      </c>
      <c r="L648" s="28">
        <v>0</v>
      </c>
      <c r="M648" s="28">
        <v>1</v>
      </c>
      <c r="N648" s="34"/>
      <c r="O648" s="34"/>
      <c r="P648" s="34"/>
      <c r="Q648" s="34"/>
      <c r="R648" s="34"/>
      <c r="S648" s="34"/>
      <c r="T648" s="34"/>
      <c r="U648" s="34"/>
      <c r="V648" s="34"/>
      <c r="W648" s="29" t="s">
        <v>164</v>
      </c>
      <c r="X648" s="28">
        <v>21</v>
      </c>
      <c r="Y648" s="28">
        <v>1</v>
      </c>
      <c r="Z648" s="28">
        <v>1</v>
      </c>
      <c r="AA648" s="28">
        <v>3</v>
      </c>
      <c r="AB648" s="28">
        <v>3</v>
      </c>
      <c r="AC648" s="28">
        <v>2</v>
      </c>
      <c r="AD648" s="28">
        <v>2</v>
      </c>
      <c r="AE648" s="28">
        <v>4</v>
      </c>
      <c r="AF648" s="28">
        <v>3</v>
      </c>
      <c r="AG648" s="28">
        <v>2</v>
      </c>
      <c r="AH648" s="29" t="s">
        <v>877</v>
      </c>
      <c r="AI648" s="36">
        <f>if(or(and(K648&lt;32, J648&lt;2), O648=1, P648=1, Q648=1, R648=1, S648=1, T648=1, U648=1, and(W648&lt;&gt;"", W648&lt;&gt;"Oxygen", W648&lt;&gt;"LowFlow")), "Intensive", "Intermediate")</f>
      </c>
      <c r="AJ648" s="37">
        <f>if(or(left(AH648, 1)="X", left(AH648, 1)="Y", left(AH648, 3)="J6M"), "CUSM", "No Match")</f>
      </c>
      <c r="AK648" s="37">
        <f>if(and(or(O648=3, P648=1, Q648=1, T648=1), AJ648="no Match"), "CUSM, CHU SJ, CHUQ", "")</f>
      </c>
      <c r="AL648" s="37">
        <f>IF(AND(O649=2, ISBLANK(P649), ISBLANK(Q649), ISBLANK(R649), ISBLANK(S649), ISBLANK(T649)), "CUSM, CHU SJ, CHUS, CHUQ", "")</f>
      </c>
      <c r="AM648" s="37">
        <f>if(and(AJ648="no match", AK648="", AL648="", K648&lt;26), "CUSM, CHU SJ, HGJ, CHUQ, CHUS", "")</f>
      </c>
      <c r="AN648" s="37">
        <f>if(and(AJ648="no match", AK648="", AL648="", K648&gt;26), "CUSM, CHU SJ, HGJ, CHUQ, CHUS, HMR", "")</f>
      </c>
    </row>
    <row x14ac:dyDescent="0.25" r="649" customHeight="1" ht="17.25">
      <c r="A649" s="27" t="s">
        <v>2640</v>
      </c>
      <c r="B649" s="28">
        <v>2</v>
      </c>
      <c r="C649" s="28">
        <v>835</v>
      </c>
      <c r="D649" s="29" t="s">
        <v>170</v>
      </c>
      <c r="E649" s="30" t="s">
        <v>50</v>
      </c>
      <c r="F649" s="31">
        <v>44530</v>
      </c>
      <c r="G649" s="32">
        <v>4.090277777777778</v>
      </c>
      <c r="H649" s="31">
        <v>44529</v>
      </c>
      <c r="I649" s="32">
        <v>4.238194444444444</v>
      </c>
      <c r="J649" s="33">
        <f>F649-H649</f>
      </c>
      <c r="K649" s="28">
        <v>36</v>
      </c>
      <c r="L649" s="28">
        <v>3</v>
      </c>
      <c r="M649" s="28">
        <v>1</v>
      </c>
      <c r="N649" s="35">
        <v>1</v>
      </c>
      <c r="O649" s="34"/>
      <c r="P649" s="35">
        <v>1</v>
      </c>
      <c r="Q649" s="34"/>
      <c r="R649" s="34"/>
      <c r="S649" s="34"/>
      <c r="T649" s="34"/>
      <c r="U649" s="34"/>
      <c r="V649" s="34"/>
      <c r="W649" s="29" t="s">
        <v>74</v>
      </c>
      <c r="X649" s="28">
        <v>32</v>
      </c>
      <c r="Y649" s="28">
        <v>1</v>
      </c>
      <c r="Z649" s="28">
        <v>1</v>
      </c>
      <c r="AA649" s="28">
        <v>2</v>
      </c>
      <c r="AB649" s="28">
        <v>1</v>
      </c>
      <c r="AC649" s="28">
        <v>2</v>
      </c>
      <c r="AD649" s="28">
        <v>2</v>
      </c>
      <c r="AE649" s="28">
        <v>4</v>
      </c>
      <c r="AF649" s="28">
        <v>3</v>
      </c>
      <c r="AG649" s="28">
        <v>2</v>
      </c>
      <c r="AH649" s="29" t="s">
        <v>2641</v>
      </c>
      <c r="AI649" s="36">
        <f>if(or(and(K649&lt;32, J649&lt;2), O649=1, P649=1, Q649=1, R649=1, S649=1, T649=1, U649=1, and(W649&lt;&gt;"", W649&lt;&gt;"Oxygen", W649&lt;&gt;"LowFlow")), "Intensive", "Intermediate")</f>
      </c>
      <c r="AJ649" s="37">
        <f>if(or(left(AH649, 1)="X", left(AH649, 1)="Y", left(AH649, 3)="J7M"), "CUSM", "No Match")</f>
      </c>
      <c r="AK649" s="37">
        <f>if(and(or(O649=3, P649=1, Q649=1, T649=1), AJ649="no Match"), "CUSM, CHU SJ, CHUQ", "")</f>
      </c>
      <c r="AL649" s="37">
        <f>IF(AND(O650=2, ISBLANK(P650), ISBLANK(Q650), ISBLANK(R650), ISBLANK(S650), ISBLANK(T650)), "CUSM, CHU SJ, CHUS, CHUQ", "")</f>
      </c>
      <c r="AM649" s="37">
        <f>if(and(AJ649="no match", AK649="", AL649="", K649&lt;26), "CUSM, CHU SJ, HGJ, CHUQ, CHUS", "")</f>
      </c>
      <c r="AN649" s="37">
        <f>if(and(AJ649="no match", AK649="", AL649="", K649&gt;26), "CUSM, CHU SJ, HGJ, CHUQ, CHUS, HMR", "")</f>
      </c>
    </row>
    <row x14ac:dyDescent="0.25" r="650" customHeight="1" ht="17.25">
      <c r="A650" s="27" t="s">
        <v>2642</v>
      </c>
      <c r="B650" s="28">
        <v>2</v>
      </c>
      <c r="C650" s="35">
        <v>824</v>
      </c>
      <c r="D650" s="29" t="s">
        <v>57</v>
      </c>
      <c r="E650" s="30" t="s">
        <v>50</v>
      </c>
      <c r="F650" s="31">
        <v>44530</v>
      </c>
      <c r="G650" s="32">
        <v>4.298611111111111</v>
      </c>
      <c r="H650" s="31">
        <v>44530</v>
      </c>
      <c r="I650" s="32">
        <v>4.170138888888889</v>
      </c>
      <c r="J650" s="33">
        <f>F650-H650</f>
      </c>
      <c r="K650" s="28">
        <v>29</v>
      </c>
      <c r="L650" s="28">
        <v>5</v>
      </c>
      <c r="M650" s="28">
        <v>1</v>
      </c>
      <c r="N650" s="35">
        <v>1</v>
      </c>
      <c r="O650" s="34"/>
      <c r="P650" s="35">
        <v>1</v>
      </c>
      <c r="Q650" s="34"/>
      <c r="R650" s="34"/>
      <c r="S650" s="34"/>
      <c r="T650" s="34"/>
      <c r="U650" s="34"/>
      <c r="V650" s="34"/>
      <c r="W650" s="29" t="s">
        <v>58</v>
      </c>
      <c r="X650" s="28">
        <v>34</v>
      </c>
      <c r="Y650" s="28">
        <v>1</v>
      </c>
      <c r="Z650" s="28">
        <v>2</v>
      </c>
      <c r="AA650" s="28">
        <v>2</v>
      </c>
      <c r="AB650" s="28">
        <v>1</v>
      </c>
      <c r="AC650" s="28">
        <v>2</v>
      </c>
      <c r="AD650" s="28">
        <v>2</v>
      </c>
      <c r="AE650" s="28">
        <v>4</v>
      </c>
      <c r="AF650" s="28">
        <v>2</v>
      </c>
      <c r="AG650" s="28">
        <v>2</v>
      </c>
      <c r="AH650" s="29" t="s">
        <v>1004</v>
      </c>
      <c r="AI650" s="36">
        <f>if(or(and(K650&lt;32, J650&lt;2), O650=1, P650=1, Q650=1, R650=1, S650=1, T650=1, U650=1, and(W650&lt;&gt;"", W650&lt;&gt;"Oxygen", W650&lt;&gt;"LowFlow")), "Intensive", "Intermediate")</f>
      </c>
      <c r="AJ650" s="37">
        <f>if(or(left(AH650, 1)="X", left(AH650, 1)="Y", left(AH650, 3)="J8M"), "CUSM", "No Match")</f>
      </c>
      <c r="AK650" s="37">
        <f>if(and(or(O650=3, P650=1, Q650=1, T650=1), AJ650="no Match"), "CUSM, CHU SJ, CHUQ", "")</f>
      </c>
      <c r="AL650" s="37">
        <f>IF(AND(O651=2, ISBLANK(P651), ISBLANK(Q651), ISBLANK(R651), ISBLANK(S651), ISBLANK(T651)), "CUSM, CHU SJ, CHUS, CHUQ", "")</f>
      </c>
      <c r="AM650" s="37">
        <f>if(and(AJ650="no match", AK650="", AL650="", K650&lt;26), "CUSM, CHU SJ, HGJ, CHUQ, CHUS", "")</f>
      </c>
      <c r="AN650" s="37">
        <f>if(and(AJ650="no match", AK650="", AL650="", K650&gt;26), "CUSM, CHU SJ, HGJ, CHUQ, CHUS, HMR", "")</f>
      </c>
    </row>
    <row x14ac:dyDescent="0.25" r="651" customHeight="1" ht="17.25">
      <c r="A651" s="27" t="s">
        <v>2643</v>
      </c>
      <c r="B651" s="28">
        <v>2</v>
      </c>
      <c r="C651" s="35">
        <v>779</v>
      </c>
      <c r="D651" s="29" t="s">
        <v>136</v>
      </c>
      <c r="E651" s="30" t="s">
        <v>50</v>
      </c>
      <c r="F651" s="31">
        <v>44530</v>
      </c>
      <c r="G651" s="32">
        <v>4.8284722222222225</v>
      </c>
      <c r="H651" s="31">
        <v>44526</v>
      </c>
      <c r="I651" s="32">
        <v>4.98125</v>
      </c>
      <c r="J651" s="33">
        <f>F651-H651</f>
      </c>
      <c r="K651" s="28">
        <v>38</v>
      </c>
      <c r="L651" s="28">
        <v>0</v>
      </c>
      <c r="M651" s="28">
        <v>1</v>
      </c>
      <c r="N651" s="34"/>
      <c r="O651" s="34"/>
      <c r="P651" s="34"/>
      <c r="Q651" s="34"/>
      <c r="R651" s="34"/>
      <c r="S651" s="34"/>
      <c r="T651" s="34"/>
      <c r="U651" s="34"/>
      <c r="V651" s="34"/>
      <c r="W651" s="29" t="s">
        <v>74</v>
      </c>
      <c r="X651" s="28">
        <v>36</v>
      </c>
      <c r="Y651" s="28">
        <v>1</v>
      </c>
      <c r="Z651" s="28">
        <v>1</v>
      </c>
      <c r="AA651" s="28">
        <v>2</v>
      </c>
      <c r="AB651" s="28">
        <v>1</v>
      </c>
      <c r="AC651" s="28">
        <v>1</v>
      </c>
      <c r="AD651" s="28">
        <v>2</v>
      </c>
      <c r="AE651" s="28">
        <v>4</v>
      </c>
      <c r="AF651" s="28">
        <v>3</v>
      </c>
      <c r="AG651" s="28">
        <v>3</v>
      </c>
      <c r="AH651" s="29" t="s">
        <v>2644</v>
      </c>
      <c r="AI651" s="36">
        <f>if(or(and(K651&lt;32, J651&lt;2), O651=1, P651=1, Q651=1, R651=1, S651=1, T651=1, U651=1, and(W651&lt;&gt;"", W651&lt;&gt;"Oxygen", W651&lt;&gt;"LowFlow")), "Intensive", "Intermediate")</f>
      </c>
      <c r="AJ651" s="37">
        <f>if(or(left(AH651, 1)="X", left(AH651, 1)="Y", left(AH651, 3)="J9M"), "CUSM", "No Match")</f>
      </c>
      <c r="AK651" s="37">
        <f>if(and(or(O651=3, P651=1, Q651=1, T651=1), AJ651="no Match"), "CUSM, CHU SJ, CHUQ", "")</f>
      </c>
      <c r="AL651" s="37">
        <f>IF(AND(O652=2, ISBLANK(P652), ISBLANK(Q652), ISBLANK(R652), ISBLANK(S652), ISBLANK(T652)), "CUSM, CHU SJ, CHUS, CHUQ", "")</f>
      </c>
      <c r="AM651" s="37">
        <f>if(and(AJ651="no match", AK651="", AL651="", K651&lt;26), "CUSM, CHU SJ, HGJ, CHUQ, CHUS", "")</f>
      </c>
      <c r="AN651" s="37">
        <f>if(and(AJ651="no match", AK651="", AL651="", K651&gt;26), "CUSM, CHU SJ, HGJ, CHUQ, CHUS, HMR", "")</f>
      </c>
    </row>
    <row x14ac:dyDescent="0.25" r="652" customHeight="1" ht="17.25">
      <c r="A652" s="27" t="s">
        <v>2645</v>
      </c>
      <c r="B652" s="28">
        <v>2</v>
      </c>
      <c r="C652" s="35">
        <v>795</v>
      </c>
      <c r="D652" s="29" t="s">
        <v>73</v>
      </c>
      <c r="E652" s="30" t="s">
        <v>54</v>
      </c>
      <c r="F652" s="31">
        <v>44532</v>
      </c>
      <c r="G652" s="32">
        <v>4.663194444444445</v>
      </c>
      <c r="H652" s="31">
        <v>44532</v>
      </c>
      <c r="I652" s="32">
        <v>4.097222222222222</v>
      </c>
      <c r="J652" s="33">
        <f>F652-H652</f>
      </c>
      <c r="K652" s="28">
        <v>40</v>
      </c>
      <c r="L652" s="28">
        <v>2</v>
      </c>
      <c r="M652" s="28">
        <v>1</v>
      </c>
      <c r="N652" s="34"/>
      <c r="O652" s="34"/>
      <c r="P652" s="34"/>
      <c r="Q652" s="34"/>
      <c r="R652" s="34"/>
      <c r="S652" s="34"/>
      <c r="T652" s="35">
        <v>1</v>
      </c>
      <c r="U652" s="34"/>
      <c r="V652" s="35">
        <v>1</v>
      </c>
      <c r="W652" s="29" t="s">
        <v>74</v>
      </c>
      <c r="X652" s="28">
        <v>24</v>
      </c>
      <c r="Y652" s="28">
        <v>1</v>
      </c>
      <c r="Z652" s="28">
        <v>1</v>
      </c>
      <c r="AA652" s="28">
        <v>3</v>
      </c>
      <c r="AB652" s="28">
        <v>1</v>
      </c>
      <c r="AC652" s="28">
        <v>2</v>
      </c>
      <c r="AD652" s="28">
        <v>2</v>
      </c>
      <c r="AE652" s="28">
        <v>4</v>
      </c>
      <c r="AF652" s="28">
        <v>1</v>
      </c>
      <c r="AG652" s="28">
        <v>3</v>
      </c>
      <c r="AH652" s="29" t="s">
        <v>2464</v>
      </c>
      <c r="AI652" s="36">
        <f>if(or(and(K652&lt;32, J652&lt;2), O652=1, P652=1, Q652=1, R652=1, S652=1, T652=1, U652=1, and(W652&lt;&gt;"", W652&lt;&gt;"Oxygen", W652&lt;&gt;"LowFlow")), "Intensive", "Intermediate")</f>
      </c>
      <c r="AJ652" s="37">
        <f>if(or(left(AH652, 1)="X", left(AH652, 1)="Y", left(AH652, 3)="J10M"), "CUSM", "No Match")</f>
      </c>
      <c r="AK652" s="37">
        <f>if(and(or(O652=3, P652=1, Q652=1, T652=1), AJ652="no Match"), "CUSM, CHU SJ, CHUQ", "")</f>
      </c>
      <c r="AL652" s="37">
        <f>IF(AND(O653=2, ISBLANK(P653), ISBLANK(Q653), ISBLANK(R653), ISBLANK(S653), ISBLANK(T653)), "CUSM, CHU SJ, CHUS, CHUQ", "")</f>
      </c>
      <c r="AM652" s="37">
        <f>if(and(AJ652="no match", AK652="", AL652="", K652&lt;26), "CUSM, CHU SJ, HGJ, CHUQ, CHUS", "")</f>
      </c>
      <c r="AN652" s="37">
        <f>if(and(AJ652="no match", AK652="", AL652="", K652&gt;26), "CUSM, CHU SJ, HGJ, CHUQ, CHUS, HMR", "")</f>
      </c>
    </row>
    <row x14ac:dyDescent="0.25" r="653" customHeight="1" ht="17.25">
      <c r="A653" s="27" t="s">
        <v>2646</v>
      </c>
      <c r="B653" s="28">
        <v>2</v>
      </c>
      <c r="C653" s="28">
        <v>796</v>
      </c>
      <c r="D653" s="29" t="s">
        <v>63</v>
      </c>
      <c r="E653" s="30" t="s">
        <v>54</v>
      </c>
      <c r="F653" s="31">
        <v>44532</v>
      </c>
      <c r="G653" s="32">
        <v>4.975694444444445</v>
      </c>
      <c r="H653" s="31">
        <v>44531</v>
      </c>
      <c r="I653" s="32">
        <v>4.924305555555556</v>
      </c>
      <c r="J653" s="33">
        <f>F653-H653</f>
      </c>
      <c r="K653" s="28">
        <v>38</v>
      </c>
      <c r="L653" s="28">
        <v>0</v>
      </c>
      <c r="M653" s="28">
        <v>2</v>
      </c>
      <c r="N653" s="35">
        <v>1</v>
      </c>
      <c r="O653" s="35">
        <v>2</v>
      </c>
      <c r="P653" s="35">
        <v>1</v>
      </c>
      <c r="Q653" s="34"/>
      <c r="R653" s="34"/>
      <c r="S653" s="34"/>
      <c r="T653" s="38"/>
      <c r="U653" s="34"/>
      <c r="V653" s="34"/>
      <c r="W653" s="29"/>
      <c r="X653" s="28">
        <v>30</v>
      </c>
      <c r="Y653" s="28">
        <v>1</v>
      </c>
      <c r="Z653" s="28">
        <v>1</v>
      </c>
      <c r="AA653" s="28">
        <v>2</v>
      </c>
      <c r="AB653" s="28">
        <v>1</v>
      </c>
      <c r="AC653" s="28">
        <v>2</v>
      </c>
      <c r="AD653" s="28">
        <v>1</v>
      </c>
      <c r="AE653" s="28">
        <v>4</v>
      </c>
      <c r="AF653" s="28">
        <v>2</v>
      </c>
      <c r="AG653" s="28">
        <v>2</v>
      </c>
      <c r="AH653" s="29" t="s">
        <v>2647</v>
      </c>
      <c r="AI653" s="36">
        <f>if(or(and(K653&lt;32, J653&lt;2), O653=1, P653=1, Q653=1, R653=1, S653=1, T653=1, U653=1, and(W653&lt;&gt;"", W653&lt;&gt;"Oxygen", W653&lt;&gt;"LowFlow")), "Intensive", "Intermediate")</f>
      </c>
      <c r="AJ653" s="37">
        <f>if(or(left(AH653, 1)="X", left(AH653, 1)="Y", left(AH653, 3)="J11M"), "CUSM", "No Match")</f>
      </c>
      <c r="AK653" s="37">
        <f>if(and(or(O653=3, P653=1, Q653=1, T653=1), AJ653="no Match"), "CUSM, CHU SJ, CHUQ", "")</f>
      </c>
      <c r="AL653" s="37">
        <f>IF(AND(O654=2, ISBLANK(P654), ISBLANK(Q654), ISBLANK(R654), ISBLANK(S654), ISBLANK(T654)), "CUSM, CHU SJ, CHUS, CHUQ", "")</f>
      </c>
      <c r="AM653" s="37">
        <f>if(and(AJ653="no match", AK653="", AL653="", K653&lt;26), "CUSM, CHU SJ, HGJ, CHUQ, CHUS", "")</f>
      </c>
      <c r="AN653" s="37">
        <f>if(and(AJ653="no match", AK653="", AL653="", K653&gt;26), "CUSM, CHU SJ, HGJ, CHUQ, CHUS, HMR", "")</f>
      </c>
    </row>
    <row x14ac:dyDescent="0.25" r="654" customHeight="1" ht="17.25">
      <c r="A654" s="27" t="s">
        <v>2648</v>
      </c>
      <c r="B654" s="28">
        <v>2</v>
      </c>
      <c r="C654" s="28">
        <v>757</v>
      </c>
      <c r="D654" s="29" t="s">
        <v>124</v>
      </c>
      <c r="E654" s="30" t="s">
        <v>220</v>
      </c>
      <c r="F654" s="31">
        <v>44532</v>
      </c>
      <c r="G654" s="32">
        <v>4.985416666666667</v>
      </c>
      <c r="H654" s="31">
        <v>44531</v>
      </c>
      <c r="I654" s="32">
        <v>4.898611111111111</v>
      </c>
      <c r="J654" s="33">
        <f>F654-H654</f>
      </c>
      <c r="K654" s="28">
        <v>33</v>
      </c>
      <c r="L654" s="28">
        <v>0</v>
      </c>
      <c r="M654" s="28">
        <v>1</v>
      </c>
      <c r="N654" s="34"/>
      <c r="O654" s="34"/>
      <c r="P654" s="34"/>
      <c r="Q654" s="34"/>
      <c r="R654" s="34"/>
      <c r="S654" s="34"/>
      <c r="T654" s="34"/>
      <c r="U654" s="34"/>
      <c r="V654" s="34"/>
      <c r="W654" s="29" t="s">
        <v>74</v>
      </c>
      <c r="X654" s="28">
        <v>23</v>
      </c>
      <c r="Y654" s="28">
        <v>1</v>
      </c>
      <c r="Z654" s="28">
        <v>2</v>
      </c>
      <c r="AA654" s="28">
        <v>3</v>
      </c>
      <c r="AB654" s="28">
        <v>1</v>
      </c>
      <c r="AC654" s="28">
        <v>2</v>
      </c>
      <c r="AD654" s="28">
        <v>1</v>
      </c>
      <c r="AE654" s="28">
        <v>4</v>
      </c>
      <c r="AF654" s="28">
        <v>3</v>
      </c>
      <c r="AG654" s="28">
        <v>2</v>
      </c>
      <c r="AH654" s="29" t="s">
        <v>2649</v>
      </c>
      <c r="AI654" s="36">
        <f>if(or(and(K654&lt;32, J654&lt;2), O654=1, P654=1, Q654=1, R654=1, S654=1, T654=1, U654=1, and(W654&lt;&gt;"", W654&lt;&gt;"Oxygen", W654&lt;&gt;"LowFlow")), "Intensive", "Intermediate")</f>
      </c>
      <c r="AJ654" s="37">
        <f>if(or(left(AH654, 1)="X", left(AH654, 1)="Y", left(AH654, 3)="J12M"), "CUSM", "No Match")</f>
      </c>
      <c r="AK654" s="37">
        <f>if(and(or(O654=3, P654=1, Q654=1, T654=1), AJ654="no Match"), "CUSM, CHU SJ, CHUQ", "")</f>
      </c>
      <c r="AL654" s="37">
        <f>IF(AND(O655=2, ISBLANK(P655), ISBLANK(Q655), ISBLANK(R655), ISBLANK(S655), ISBLANK(T655)), "CUSM, CHU SJ, CHUS, CHUQ", "")</f>
      </c>
      <c r="AM654" s="37">
        <f>if(and(AJ654="no match", AK654="", AL654="", K654&lt;26), "CUSM, CHU SJ, HGJ, CHUQ, CHUS", "")</f>
      </c>
      <c r="AN654" s="37">
        <f>if(and(AJ654="no match", AK654="", AL654="", K654&gt;26), "CUSM, CHU SJ, HGJ, CHUQ, CHUS, HMR", "")</f>
      </c>
    </row>
    <row x14ac:dyDescent="0.25" r="655" customHeight="1" ht="17.25">
      <c r="A655" s="27" t="s">
        <v>2650</v>
      </c>
      <c r="B655" s="28">
        <v>2</v>
      </c>
      <c r="C655" s="35">
        <v>782</v>
      </c>
      <c r="D655" s="29" t="s">
        <v>95</v>
      </c>
      <c r="E655" s="30" t="s">
        <v>220</v>
      </c>
      <c r="F655" s="31">
        <v>44532</v>
      </c>
      <c r="G655" s="32">
        <v>4.809027777777778</v>
      </c>
      <c r="H655" s="31">
        <v>44532</v>
      </c>
      <c r="I655" s="32">
        <v>4.686111111111111</v>
      </c>
      <c r="J655" s="33">
        <f>F655-H655</f>
      </c>
      <c r="K655" s="28">
        <v>33</v>
      </c>
      <c r="L655" s="28">
        <v>0</v>
      </c>
      <c r="M655" s="28">
        <v>1</v>
      </c>
      <c r="N655" s="34"/>
      <c r="O655" s="34"/>
      <c r="P655" s="34"/>
      <c r="Q655" s="34"/>
      <c r="R655" s="34"/>
      <c r="S655" s="34"/>
      <c r="T655" s="34"/>
      <c r="U655" s="34"/>
      <c r="V655" s="34"/>
      <c r="W655" s="29"/>
      <c r="X655" s="28">
        <v>37</v>
      </c>
      <c r="Y655" s="28">
        <v>2</v>
      </c>
      <c r="Z655" s="28">
        <v>2</v>
      </c>
      <c r="AA655" s="28">
        <v>2</v>
      </c>
      <c r="AB655" s="28">
        <v>1</v>
      </c>
      <c r="AC655" s="28">
        <v>2</v>
      </c>
      <c r="AD655" s="28">
        <v>2</v>
      </c>
      <c r="AE655" s="28">
        <v>4</v>
      </c>
      <c r="AF655" s="28">
        <v>2</v>
      </c>
      <c r="AG655" s="28">
        <v>2</v>
      </c>
      <c r="AH655" s="29" t="s">
        <v>2651</v>
      </c>
      <c r="AI655" s="36">
        <f>if(or(and(K655&lt;32, J655&lt;2), O655=1, P655=1, Q655=1, R655=1, S655=1, T655=1, U655=1, and(W655&lt;&gt;"", W655&lt;&gt;"Oxygen", W655&lt;&gt;"LowFlow")), "Intensive", "Intermediate")</f>
      </c>
      <c r="AJ655" s="37">
        <f>if(or(left(AH655, 1)="X", left(AH655, 1)="Y", left(AH655, 3)="J13M"), "CUSM", "No Match")</f>
      </c>
      <c r="AK655" s="37">
        <f>if(and(or(O655=3, P655=1, Q655=1, T655=1), AJ655="no Match"), "CUSM, CHU SJ, CHUQ", "")</f>
      </c>
      <c r="AL655" s="37">
        <f>IF(AND(O656=2, ISBLANK(P656), ISBLANK(Q656), ISBLANK(R656), ISBLANK(S656), ISBLANK(T656)), "CUSM, CHU SJ, CHUS, CHUQ", "")</f>
      </c>
      <c r="AM655" s="37">
        <f>if(and(AJ655="no match", AK655="", AL655="", K655&lt;26), "CUSM, CHU SJ, HGJ, CHUQ, CHUS", "")</f>
      </c>
      <c r="AN655" s="37">
        <f>if(and(AJ655="no match", AK655="", AL655="", K655&gt;26), "CUSM, CHU SJ, HGJ, CHUQ, CHUS, HMR", "")</f>
      </c>
    </row>
    <row x14ac:dyDescent="0.25" r="656" customHeight="1" ht="17.25">
      <c r="A656" s="27" t="s">
        <v>2652</v>
      </c>
      <c r="B656" s="28">
        <v>2</v>
      </c>
      <c r="C656" s="35">
        <v>782</v>
      </c>
      <c r="D656" s="29" t="s">
        <v>95</v>
      </c>
      <c r="E656" s="30" t="s">
        <v>220</v>
      </c>
      <c r="F656" s="31">
        <v>44532</v>
      </c>
      <c r="G656" s="32">
        <v>4.81875</v>
      </c>
      <c r="H656" s="31">
        <v>44532</v>
      </c>
      <c r="I656" s="32">
        <v>4.686805555555555</v>
      </c>
      <c r="J656" s="33">
        <f>F656-H656</f>
      </c>
      <c r="K656" s="28">
        <v>33</v>
      </c>
      <c r="L656" s="28">
        <v>0</v>
      </c>
      <c r="M656" s="28">
        <v>1</v>
      </c>
      <c r="N656" s="34"/>
      <c r="O656" s="34"/>
      <c r="P656" s="34"/>
      <c r="Q656" s="34"/>
      <c r="R656" s="34"/>
      <c r="S656" s="34"/>
      <c r="T656" s="34"/>
      <c r="U656" s="34"/>
      <c r="V656" s="34"/>
      <c r="W656" s="29"/>
      <c r="X656" s="28">
        <v>37</v>
      </c>
      <c r="Y656" s="28">
        <v>2</v>
      </c>
      <c r="Z656" s="28">
        <v>2</v>
      </c>
      <c r="AA656" s="28">
        <v>2</v>
      </c>
      <c r="AB656" s="28">
        <v>1</v>
      </c>
      <c r="AC656" s="28">
        <v>2</v>
      </c>
      <c r="AD656" s="28">
        <v>2</v>
      </c>
      <c r="AE656" s="28">
        <v>4</v>
      </c>
      <c r="AF656" s="28">
        <v>2</v>
      </c>
      <c r="AG656" s="28">
        <v>2</v>
      </c>
      <c r="AH656" s="29" t="s">
        <v>2651</v>
      </c>
      <c r="AI656" s="36">
        <f>if(or(and(K656&lt;32, J656&lt;2), O656=1, P656=1, Q656=1, R656=1, S656=1, T656=1, U656=1, and(W656&lt;&gt;"", W656&lt;&gt;"Oxygen", W656&lt;&gt;"LowFlow")), "Intensive", "Intermediate")</f>
      </c>
      <c r="AJ656" s="37">
        <f>if(or(left(AH656, 1)="X", left(AH656, 1)="Y", left(AH656, 3)="J14M"), "CUSM", "No Match")</f>
      </c>
      <c r="AK656" s="37">
        <f>if(and(or(O656=3, P656=1, Q656=1, T656=1), AJ656="no Match"), "CUSM, CHU SJ, CHUQ", "")</f>
      </c>
      <c r="AL656" s="37">
        <f>IF(AND(O657=2, ISBLANK(P657), ISBLANK(Q657), ISBLANK(R657), ISBLANK(S657), ISBLANK(T657)), "CUSM, CHU SJ, CHUS, CHUQ", "")</f>
      </c>
      <c r="AM656" s="37">
        <f>if(and(AJ656="no match", AK656="", AL656="", K656&lt;26), "CUSM, CHU SJ, HGJ, CHUQ, CHUS", "")</f>
      </c>
      <c r="AN656" s="37">
        <f>if(and(AJ656="no match", AK656="", AL656="", K656&gt;26), "CUSM, CHU SJ, HGJ, CHUQ, CHUS, HMR", "")</f>
      </c>
    </row>
    <row x14ac:dyDescent="0.25" r="657" customHeight="1" ht="17.25">
      <c r="A657" s="27" t="s">
        <v>2653</v>
      </c>
      <c r="B657" s="28">
        <v>2</v>
      </c>
      <c r="C657" s="35">
        <v>820</v>
      </c>
      <c r="D657" s="29" t="s">
        <v>69</v>
      </c>
      <c r="E657" s="30" t="s">
        <v>50</v>
      </c>
      <c r="F657" s="31">
        <v>44534</v>
      </c>
      <c r="G657" s="32">
        <v>4.91875</v>
      </c>
      <c r="H657" s="31">
        <v>44534</v>
      </c>
      <c r="I657" s="32">
        <v>4.308333333333334</v>
      </c>
      <c r="J657" s="33">
        <f>F657-H657</f>
      </c>
      <c r="K657" s="28">
        <v>37</v>
      </c>
      <c r="L657" s="28">
        <v>0</v>
      </c>
      <c r="M657" s="28">
        <v>1</v>
      </c>
      <c r="N657" s="34"/>
      <c r="O657" s="34"/>
      <c r="P657" s="34"/>
      <c r="Q657" s="34"/>
      <c r="R657" s="34"/>
      <c r="S657" s="34"/>
      <c r="T657" s="35">
        <v>1</v>
      </c>
      <c r="U657" s="34"/>
      <c r="V657" s="34"/>
      <c r="W657" s="29" t="s">
        <v>164</v>
      </c>
      <c r="X657" s="28">
        <v>30</v>
      </c>
      <c r="Y657" s="28">
        <v>1</v>
      </c>
      <c r="Z657" s="28">
        <v>2</v>
      </c>
      <c r="AA657" s="28">
        <v>1</v>
      </c>
      <c r="AB657" s="28">
        <v>2</v>
      </c>
      <c r="AC657" s="28">
        <v>1</v>
      </c>
      <c r="AD657" s="28">
        <v>2</v>
      </c>
      <c r="AE657" s="28">
        <v>4</v>
      </c>
      <c r="AF657" s="28">
        <v>2</v>
      </c>
      <c r="AG657" s="28">
        <v>2</v>
      </c>
      <c r="AH657" s="29" t="s">
        <v>2654</v>
      </c>
      <c r="AI657" s="36">
        <f>if(or(and(K657&lt;32, J657&lt;2), O657=1, P657=1, Q657=1, R657=1, S657=1, T657=1, U657=1, and(W657&lt;&gt;"", W657&lt;&gt;"Oxygen", W657&lt;&gt;"LowFlow")), "Intensive", "Intermediate")</f>
      </c>
      <c r="AJ657" s="37">
        <f>if(or(left(AH657, 1)="X", left(AH657, 1)="Y", left(AH657, 3)="J15M"), "CUSM", "No Match")</f>
      </c>
      <c r="AK657" s="37">
        <f>if(and(or(O657=3, P657=1, Q657=1, T657=1), AJ657="no Match"), "CUSM, CHU SJ, CHUQ", "")</f>
      </c>
      <c r="AL657" s="37">
        <f>IF(AND(O658=2, ISBLANK(P658), ISBLANK(Q658), ISBLANK(R658), ISBLANK(S658), ISBLANK(T658)), "CUSM, CHU SJ, CHUS, CHUQ", "")</f>
      </c>
      <c r="AM657" s="37">
        <f>if(and(AJ657="no match", AK657="", AL657="", K657&lt;26), "CUSM, CHU SJ, HGJ, CHUQ, CHUS", "")</f>
      </c>
      <c r="AN657" s="37">
        <f>if(and(AJ657="no match", AK657="", AL657="", K657&gt;26), "CUSM, CHU SJ, HGJ, CHUQ, CHUS, HMR", "")</f>
      </c>
    </row>
    <row x14ac:dyDescent="0.25" r="658" customHeight="1" ht="17.25">
      <c r="A658" s="27" t="s">
        <v>2655</v>
      </c>
      <c r="B658" s="28">
        <v>2</v>
      </c>
      <c r="C658" s="28">
        <v>734</v>
      </c>
      <c r="D658" s="29" t="s">
        <v>264</v>
      </c>
      <c r="E658" s="30" t="s">
        <v>54</v>
      </c>
      <c r="F658" s="31">
        <v>44535</v>
      </c>
      <c r="G658" s="32">
        <v>4.71875</v>
      </c>
      <c r="H658" s="31">
        <v>44529</v>
      </c>
      <c r="I658" s="32">
        <v>4.839583333333334</v>
      </c>
      <c r="J658" s="33">
        <f>F658-H658</f>
      </c>
      <c r="K658" s="28">
        <v>36</v>
      </c>
      <c r="L658" s="28">
        <v>4</v>
      </c>
      <c r="M658" s="28">
        <v>1</v>
      </c>
      <c r="N658" s="34"/>
      <c r="O658" s="34"/>
      <c r="P658" s="34"/>
      <c r="Q658" s="34"/>
      <c r="R658" s="34"/>
      <c r="S658" s="34"/>
      <c r="T658" s="34"/>
      <c r="U658" s="34"/>
      <c r="V658" s="34"/>
      <c r="W658" s="29"/>
      <c r="X658" s="28">
        <v>32</v>
      </c>
      <c r="Y658" s="28">
        <v>1</v>
      </c>
      <c r="Z658" s="28">
        <v>1</v>
      </c>
      <c r="AA658" s="28">
        <v>1</v>
      </c>
      <c r="AB658" s="28">
        <v>1</v>
      </c>
      <c r="AC658" s="28">
        <v>2</v>
      </c>
      <c r="AD658" s="28">
        <v>3</v>
      </c>
      <c r="AE658" s="28">
        <v>4</v>
      </c>
      <c r="AF658" s="28">
        <v>2</v>
      </c>
      <c r="AG658" s="28">
        <v>2</v>
      </c>
      <c r="AH658" s="29" t="s">
        <v>2656</v>
      </c>
      <c r="AI658" s="36">
        <f>if(or(and(K658&lt;32, J658&lt;2), O658=1, P658=1, Q658=1, R658=1, S658=1, T658=1, U658=1, and(W658&lt;&gt;"", W658&lt;&gt;"Oxygen", W658&lt;&gt;"LowFlow")), "Intensive", "Intermediate")</f>
      </c>
      <c r="AJ658" s="37">
        <f>if(or(left(AH658, 1)="X", left(AH658, 1)="Y", left(AH658, 3)="J16M"), "CUSM", "No Match")</f>
      </c>
      <c r="AK658" s="37">
        <f>if(and(or(O658=3, P658=1, Q658=1, T658=1), AJ658="no Match"), "CUSM, CHU SJ, CHUQ", "")</f>
      </c>
      <c r="AL658" s="37">
        <f>IF(AND(O659=2, ISBLANK(P659), ISBLANK(Q659), ISBLANK(R659), ISBLANK(S659), ISBLANK(T659)), "CUSM, CHU SJ, CHUS, CHUQ", "")</f>
      </c>
      <c r="AM658" s="37">
        <f>if(and(AJ658="no match", AK658="", AL658="", K658&lt;26), "CUSM, CHU SJ, HGJ, CHUQ, CHUS", "")</f>
      </c>
      <c r="AN658" s="37">
        <f>if(and(AJ658="no match", AK658="", AL658="", K658&gt;26), "CUSM, CHU SJ, HGJ, CHUQ, CHUS, HMR", "")</f>
      </c>
    </row>
    <row x14ac:dyDescent="0.25" r="659" customHeight="1" ht="17.25">
      <c r="A659" s="27" t="s">
        <v>2657</v>
      </c>
      <c r="B659" s="28">
        <v>2</v>
      </c>
      <c r="C659" s="28">
        <v>820</v>
      </c>
      <c r="D659" s="29" t="s">
        <v>69</v>
      </c>
      <c r="E659" s="30" t="s">
        <v>54</v>
      </c>
      <c r="F659" s="31">
        <v>44535</v>
      </c>
      <c r="G659" s="32">
        <v>4.996527777777778</v>
      </c>
      <c r="H659" s="31">
        <v>44535</v>
      </c>
      <c r="I659" s="32">
        <v>4.8597222222222225</v>
      </c>
      <c r="J659" s="33">
        <f>F659-H659</f>
      </c>
      <c r="K659" s="28">
        <v>42</v>
      </c>
      <c r="L659" s="28">
        <v>0</v>
      </c>
      <c r="M659" s="28">
        <v>1</v>
      </c>
      <c r="N659" s="34"/>
      <c r="O659" s="34"/>
      <c r="P659" s="34"/>
      <c r="Q659" s="34"/>
      <c r="R659" s="34"/>
      <c r="S659" s="34"/>
      <c r="T659" s="35">
        <v>1</v>
      </c>
      <c r="U659" s="34"/>
      <c r="V659" s="35">
        <v>1</v>
      </c>
      <c r="W659" s="29" t="s">
        <v>164</v>
      </c>
      <c r="X659" s="28">
        <v>32</v>
      </c>
      <c r="Y659" s="28">
        <v>1</v>
      </c>
      <c r="Z659" s="28">
        <v>1</v>
      </c>
      <c r="AA659" s="28">
        <v>3</v>
      </c>
      <c r="AB659" s="28">
        <v>2</v>
      </c>
      <c r="AC659" s="28">
        <v>2</v>
      </c>
      <c r="AD659" s="28">
        <v>2</v>
      </c>
      <c r="AE659" s="28">
        <v>4</v>
      </c>
      <c r="AF659" s="28">
        <v>1</v>
      </c>
      <c r="AG659" s="28">
        <v>2</v>
      </c>
      <c r="AH659" s="29" t="s">
        <v>2408</v>
      </c>
      <c r="AI659" s="36">
        <f>if(or(and(K659&lt;32, J659&lt;2), O659=1, P659=1, Q659=1, R659=1, S659=1, T659=1, U659=1, and(W659&lt;&gt;"", W659&lt;&gt;"Oxygen", W659&lt;&gt;"LowFlow")), "Intensive", "Intermediate")</f>
      </c>
      <c r="AJ659" s="37">
        <f>if(or(left(AH659, 1)="X", left(AH659, 1)="Y", left(AH659, 3)="J17M"), "CUSM", "No Match")</f>
      </c>
      <c r="AK659" s="37">
        <f>if(and(or(O659=3, P659=1, Q659=1, T659=1), AJ659="no Match"), "CUSM, CHU SJ, CHUQ", "")</f>
      </c>
      <c r="AL659" s="37">
        <f>IF(AND(O660=2, ISBLANK(P660), ISBLANK(Q660), ISBLANK(R660), ISBLANK(S660), ISBLANK(T660)), "CUSM, CHU SJ, CHUS, CHUQ", "")</f>
      </c>
      <c r="AM659" s="37">
        <f>if(and(AJ659="no match", AK659="", AL659="", K659&lt;26), "CUSM, CHU SJ, HGJ, CHUQ, CHUS", "")</f>
      </c>
      <c r="AN659" s="37">
        <f>if(and(AJ659="no match", AK659="", AL659="", K659&gt;26), "CUSM, CHU SJ, HGJ, CHUQ, CHUS, HMR", "")</f>
      </c>
    </row>
    <row x14ac:dyDescent="0.25" r="660" customHeight="1" ht="17.25">
      <c r="A660" s="27" t="s">
        <v>2658</v>
      </c>
      <c r="B660" s="28">
        <v>2</v>
      </c>
      <c r="C660" s="35">
        <v>721</v>
      </c>
      <c r="D660" s="29" t="s">
        <v>367</v>
      </c>
      <c r="E660" s="30" t="s">
        <v>50</v>
      </c>
      <c r="F660" s="31">
        <v>44536</v>
      </c>
      <c r="G660" s="32">
        <v>4.7555555555555555</v>
      </c>
      <c r="H660" s="31">
        <v>44536</v>
      </c>
      <c r="I660" s="32">
        <v>4.220138888888889</v>
      </c>
      <c r="J660" s="33">
        <f>F660-H660</f>
      </c>
      <c r="K660" s="28">
        <v>33</v>
      </c>
      <c r="L660" s="28">
        <v>2</v>
      </c>
      <c r="M660" s="28">
        <v>1</v>
      </c>
      <c r="N660" s="35">
        <v>1</v>
      </c>
      <c r="O660" s="34"/>
      <c r="P660" s="35">
        <v>1</v>
      </c>
      <c r="Q660" s="34"/>
      <c r="R660" s="34"/>
      <c r="S660" s="34"/>
      <c r="T660" s="34"/>
      <c r="U660" s="34"/>
      <c r="V660" s="34"/>
      <c r="W660" s="29"/>
      <c r="X660" s="28">
        <v>30</v>
      </c>
      <c r="Y660" s="28">
        <v>1</v>
      </c>
      <c r="Z660" s="28">
        <v>1</v>
      </c>
      <c r="AA660" s="28">
        <v>1</v>
      </c>
      <c r="AB660" s="28">
        <v>1</v>
      </c>
      <c r="AC660" s="28">
        <v>2</v>
      </c>
      <c r="AD660" s="28">
        <v>2</v>
      </c>
      <c r="AE660" s="28">
        <v>4</v>
      </c>
      <c r="AF660" s="28">
        <v>2</v>
      </c>
      <c r="AG660" s="28">
        <v>1</v>
      </c>
      <c r="AH660" s="29" t="s">
        <v>1332</v>
      </c>
      <c r="AI660" s="36">
        <f>if(or(and(K660&lt;32, J660&lt;2), O660=1, P660=1, Q660=1, R660=1, S660=1, T660=1, U660=1, and(W660&lt;&gt;"", W660&lt;&gt;"Oxygen", W660&lt;&gt;"LowFlow")), "Intensive", "Intermediate")</f>
      </c>
      <c r="AJ660" s="37">
        <f>if(or(left(AH660, 1)="X", left(AH660, 1)="Y", left(AH660, 3)="J18M"), "CUSM", "No Match")</f>
      </c>
      <c r="AK660" s="37">
        <f>if(and(or(O660=3, P660=1, Q660=1, T660=1), AJ660="no Match"), "CUSM, CHU SJ, CHUQ", "")</f>
      </c>
      <c r="AL660" s="37">
        <f>IF(AND(O661=2, ISBLANK(P661), ISBLANK(Q661), ISBLANK(R661), ISBLANK(S661), ISBLANK(T661)), "CUSM, CHU SJ, CHUS, CHUQ", "")</f>
      </c>
      <c r="AM660" s="37">
        <f>if(and(AJ660="no match", AK660="", AL660="", K660&lt;26), "CUSM, CHU SJ, HGJ, CHUQ, CHUS", "")</f>
      </c>
      <c r="AN660" s="37">
        <f>if(and(AJ660="no match", AK660="", AL660="", K660&gt;26), "CUSM, CHU SJ, HGJ, CHUQ, CHUS, HMR", "")</f>
      </c>
    </row>
    <row x14ac:dyDescent="0.25" r="661" customHeight="1" ht="17.25">
      <c r="A661" s="27" t="s">
        <v>2659</v>
      </c>
      <c r="B661" s="28">
        <v>2</v>
      </c>
      <c r="C661" s="35">
        <v>782</v>
      </c>
      <c r="D661" s="29" t="s">
        <v>95</v>
      </c>
      <c r="E661" s="30" t="s">
        <v>50</v>
      </c>
      <c r="F661" s="31">
        <v>44536</v>
      </c>
      <c r="G661" s="32">
        <v>4.604166666666666</v>
      </c>
      <c r="H661" s="31">
        <v>44536</v>
      </c>
      <c r="I661" s="32">
        <v>4.344444444444445</v>
      </c>
      <c r="J661" s="33">
        <f>F661-H661</f>
      </c>
      <c r="K661" s="28">
        <v>38</v>
      </c>
      <c r="L661" s="28">
        <v>1</v>
      </c>
      <c r="M661" s="28">
        <v>1</v>
      </c>
      <c r="N661" s="34"/>
      <c r="O661" s="34"/>
      <c r="P661" s="34"/>
      <c r="Q661" s="34"/>
      <c r="R661" s="34"/>
      <c r="S661" s="34"/>
      <c r="T661" s="38"/>
      <c r="U661" s="34"/>
      <c r="V661" s="34"/>
      <c r="W661" s="29" t="s">
        <v>58</v>
      </c>
      <c r="X661" s="28">
        <v>28</v>
      </c>
      <c r="Y661" s="28">
        <v>1</v>
      </c>
      <c r="Z661" s="28">
        <v>2</v>
      </c>
      <c r="AA661" s="28">
        <v>2</v>
      </c>
      <c r="AB661" s="28">
        <v>1</v>
      </c>
      <c r="AC661" s="28">
        <v>2</v>
      </c>
      <c r="AD661" s="28">
        <v>2</v>
      </c>
      <c r="AE661" s="28">
        <v>4</v>
      </c>
      <c r="AF661" s="28">
        <v>2</v>
      </c>
      <c r="AG661" s="28">
        <v>2</v>
      </c>
      <c r="AH661" s="29" t="s">
        <v>2660</v>
      </c>
      <c r="AI661" s="36">
        <f>if(or(and(K661&lt;32, J661&lt;2), O661=1, P661=1, Q661=1, R661=1, S661=1, T661=1, U661=1, and(W661&lt;&gt;"", W661&lt;&gt;"Oxygen", W661&lt;&gt;"LowFlow")), "Intensive", "Intermediate")</f>
      </c>
      <c r="AJ661" s="37">
        <f>if(or(left(AH661, 1)="X", left(AH661, 1)="Y", left(AH661, 3)="J19M"), "CUSM", "No Match")</f>
      </c>
      <c r="AK661" s="37">
        <f>if(and(or(O661=3, P661=1, Q661=1, T661=1), AJ661="no Match"), "CUSM, CHU SJ, CHUQ", "")</f>
      </c>
      <c r="AL661" s="37">
        <f>IF(AND(O662=2, ISBLANK(P662), ISBLANK(Q662), ISBLANK(R662), ISBLANK(S662), ISBLANK(T662)), "CUSM, CHU SJ, CHUS, CHUQ", "")</f>
      </c>
      <c r="AM661" s="37">
        <f>if(and(AJ661="no match", AK661="", AL661="", K661&lt;26), "CUSM, CHU SJ, HGJ, CHUQ, CHUS", "")</f>
      </c>
      <c r="AN661" s="37">
        <f>if(and(AJ661="no match", AK661="", AL661="", K661&gt;26), "CUSM, CHU SJ, HGJ, CHUQ, CHUS, HMR", "")</f>
      </c>
    </row>
    <row x14ac:dyDescent="0.25" r="662" customHeight="1" ht="17.25">
      <c r="A662" s="27" t="s">
        <v>2661</v>
      </c>
      <c r="B662" s="28">
        <v>2</v>
      </c>
      <c r="C662" s="35">
        <v>782</v>
      </c>
      <c r="D662" s="29" t="s">
        <v>95</v>
      </c>
      <c r="E662" s="30" t="s">
        <v>50</v>
      </c>
      <c r="F662" s="31">
        <v>44537</v>
      </c>
      <c r="G662" s="32">
        <v>4.302083333333334</v>
      </c>
      <c r="H662" s="31">
        <v>44536</v>
      </c>
      <c r="I662" s="32">
        <v>4.705555555555556</v>
      </c>
      <c r="J662" s="33">
        <f>F662-H662</f>
      </c>
      <c r="K662" s="28">
        <v>40</v>
      </c>
      <c r="L662" s="28">
        <v>0</v>
      </c>
      <c r="M662" s="28">
        <v>2</v>
      </c>
      <c r="N662" s="35">
        <v>1</v>
      </c>
      <c r="O662" s="35">
        <v>2</v>
      </c>
      <c r="P662" s="35">
        <v>1</v>
      </c>
      <c r="Q662" s="34"/>
      <c r="R662" s="34"/>
      <c r="S662" s="34"/>
      <c r="T662" s="34"/>
      <c r="U662" s="34"/>
      <c r="V662" s="34"/>
      <c r="W662" s="29" t="s">
        <v>58</v>
      </c>
      <c r="X662" s="28">
        <v>38</v>
      </c>
      <c r="Y662" s="28">
        <v>1</v>
      </c>
      <c r="Z662" s="28">
        <v>2</v>
      </c>
      <c r="AA662" s="28">
        <v>1</v>
      </c>
      <c r="AB662" s="28">
        <v>1</v>
      </c>
      <c r="AC662" s="28">
        <v>2</v>
      </c>
      <c r="AD662" s="28">
        <v>2</v>
      </c>
      <c r="AE662" s="28">
        <v>4</v>
      </c>
      <c r="AF662" s="28">
        <v>2</v>
      </c>
      <c r="AG662" s="28">
        <v>2</v>
      </c>
      <c r="AH662" s="29" t="s">
        <v>2662</v>
      </c>
      <c r="AI662" s="36">
        <f>if(or(and(K662&lt;32, J662&lt;2), O662=1, P662=1, Q662=1, R662=1, S662=1, T662=1, U662=1, and(W662&lt;&gt;"", W662&lt;&gt;"Oxygen", W662&lt;&gt;"LowFlow")), "Intensive", "Intermediate")</f>
      </c>
      <c r="AJ662" s="37">
        <f>if(or(left(AH662, 1)="X", left(AH662, 1)="Y", left(AH662, 3)="J20M"), "CUSM", "No Match")</f>
      </c>
      <c r="AK662" s="37">
        <f>if(and(or(O662=3, P662=1, Q662=1, T662=1), AJ662="no Match"), "CUSM, CHU SJ, CHUQ", "")</f>
      </c>
      <c r="AL662" s="37">
        <f>IF(AND(O663=2, ISBLANK(P663), ISBLANK(Q663), ISBLANK(R663), ISBLANK(S663), ISBLANK(T663)), "CUSM, CHU SJ, CHUS, CHUQ", "")</f>
      </c>
      <c r="AM662" s="37">
        <f>if(and(AJ662="no match", AK662="", AL662="", K662&lt;26), "CUSM, CHU SJ, HGJ, CHUQ, CHUS", "")</f>
      </c>
      <c r="AN662" s="37">
        <f>if(and(AJ662="no match", AK662="", AL662="", K662&gt;26), "CUSM, CHU SJ, HGJ, CHUQ, CHUS, HMR", "")</f>
      </c>
    </row>
    <row x14ac:dyDescent="0.25" r="663" customHeight="1" ht="17.25">
      <c r="A663" s="27" t="s">
        <v>2663</v>
      </c>
      <c r="B663" s="28">
        <v>2</v>
      </c>
      <c r="C663" s="35">
        <v>780</v>
      </c>
      <c r="D663" s="29" t="s">
        <v>190</v>
      </c>
      <c r="E663" s="30" t="s">
        <v>149</v>
      </c>
      <c r="F663" s="31">
        <v>44539</v>
      </c>
      <c r="G663" s="32">
        <v>4.9527777777777775</v>
      </c>
      <c r="H663" s="31">
        <v>44539</v>
      </c>
      <c r="I663" s="32">
        <v>4.605555555555556</v>
      </c>
      <c r="J663" s="33">
        <f>F663-H663</f>
      </c>
      <c r="K663" s="28">
        <v>25</v>
      </c>
      <c r="L663" s="28">
        <v>0</v>
      </c>
      <c r="M663" s="28">
        <v>2</v>
      </c>
      <c r="N663" s="34"/>
      <c r="O663" s="34"/>
      <c r="P663" s="34"/>
      <c r="Q663" s="34"/>
      <c r="R663" s="34"/>
      <c r="S663" s="34"/>
      <c r="T663" s="34"/>
      <c r="U663" s="35">
        <v>1</v>
      </c>
      <c r="V663" s="35">
        <v>1</v>
      </c>
      <c r="W663" s="29" t="s">
        <v>74</v>
      </c>
      <c r="X663" s="28">
        <v>20</v>
      </c>
      <c r="Y663" s="28">
        <v>1</v>
      </c>
      <c r="Z663" s="28">
        <v>1</v>
      </c>
      <c r="AA663" s="28">
        <v>3</v>
      </c>
      <c r="AB663" s="28">
        <v>4</v>
      </c>
      <c r="AC663" s="28">
        <v>3</v>
      </c>
      <c r="AD663" s="28">
        <v>3</v>
      </c>
      <c r="AE663" s="28">
        <v>4</v>
      </c>
      <c r="AF663" s="28">
        <v>3</v>
      </c>
      <c r="AG663" s="28">
        <v>3</v>
      </c>
      <c r="AH663" s="29" t="s">
        <v>2664</v>
      </c>
      <c r="AI663" s="36">
        <f>if(or(and(K663&lt;32, J663&lt;2), O663=1, P663=1, Q663=1, R663=1, S663=1, T663=1, U663=1, and(W663&lt;&gt;"", W663&lt;&gt;"Oxygen", W663&lt;&gt;"LowFlow")), "Intensive", "Intermediate")</f>
      </c>
      <c r="AJ663" s="37">
        <f>if(or(left(AH663, 1)="X", left(AH663, 1)="Y", left(AH663, 3)="J21M"), "CUSM", "No Match")</f>
      </c>
      <c r="AK663" s="37">
        <f>if(and(or(O663=3, P663=1, Q663=1, T663=1), AJ663="no Match"), "CUSM, CHU SJ, CHUQ", "")</f>
      </c>
      <c r="AL663" s="37">
        <f>IF(AND(O664=2, ISBLANK(P664), ISBLANK(Q664), ISBLANK(R664), ISBLANK(S664), ISBLANK(T664)), "CUSM, CHU SJ, CHUS, CHUQ", "")</f>
      </c>
      <c r="AM663" s="37">
        <f>if(and(AJ663="no match", AK663="", AL663="", K663&lt;26), "CUSM, CHU SJ, HGJ, CHUQ, CHUS", "")</f>
      </c>
      <c r="AN663" s="37">
        <f>if(and(AJ663="no match", AK663="", AL663="", K663&gt;26), "CUSM, CHU SJ, HGJ, CHUQ, CHUS, HMR", "")</f>
      </c>
    </row>
    <row x14ac:dyDescent="0.25" r="664" customHeight="1" ht="17.25">
      <c r="A664" s="27" t="s">
        <v>2665</v>
      </c>
      <c r="B664" s="28">
        <v>2</v>
      </c>
      <c r="C664" s="35">
        <v>815</v>
      </c>
      <c r="D664" s="29" t="s">
        <v>100</v>
      </c>
      <c r="E664" s="30" t="s">
        <v>54</v>
      </c>
      <c r="F664" s="31">
        <v>44539</v>
      </c>
      <c r="G664" s="32">
        <v>4.8125</v>
      </c>
      <c r="H664" s="31">
        <v>44539</v>
      </c>
      <c r="I664" s="32">
        <v>4.061805555555555</v>
      </c>
      <c r="J664" s="33">
        <f>F664-H664</f>
      </c>
      <c r="K664" s="28">
        <v>35</v>
      </c>
      <c r="L664" s="28">
        <v>5</v>
      </c>
      <c r="M664" s="28">
        <v>1</v>
      </c>
      <c r="N664" s="34"/>
      <c r="O664" s="34"/>
      <c r="P664" s="34"/>
      <c r="Q664" s="34"/>
      <c r="R664" s="34"/>
      <c r="S664" s="34"/>
      <c r="T664" s="34"/>
      <c r="U664" s="34"/>
      <c r="V664" s="34"/>
      <c r="W664" s="29" t="s">
        <v>164</v>
      </c>
      <c r="X664" s="28">
        <v>33</v>
      </c>
      <c r="Y664" s="28">
        <v>2</v>
      </c>
      <c r="Z664" s="28">
        <v>2</v>
      </c>
      <c r="AA664" s="28">
        <v>2</v>
      </c>
      <c r="AB664" s="28">
        <v>1</v>
      </c>
      <c r="AC664" s="28">
        <v>2</v>
      </c>
      <c r="AD664" s="28">
        <v>2</v>
      </c>
      <c r="AE664" s="28">
        <v>4</v>
      </c>
      <c r="AF664" s="28">
        <v>2</v>
      </c>
      <c r="AG664" s="28">
        <v>2</v>
      </c>
      <c r="AH664" s="29" t="s">
        <v>109</v>
      </c>
      <c r="AI664" s="36">
        <f>if(or(and(K664&lt;32, J664&lt;2), O664=1, P664=1, Q664=1, R664=1, S664=1, T664=1, U664=1, and(W664&lt;&gt;"", W664&lt;&gt;"Oxygen", W664&lt;&gt;"LowFlow")), "Intensive", "Intermediate")</f>
      </c>
      <c r="AJ664" s="37">
        <f>if(or(left(AH664, 1)="X", left(AH664, 1)="Y", left(AH664, 3)="J22M"), "CUSM", "No Match")</f>
      </c>
      <c r="AK664" s="37">
        <f>if(and(or(O664=3, P664=1, Q664=1, T664=1), AJ664="no Match"), "CUSM, CHU SJ, CHUQ", "")</f>
      </c>
      <c r="AL664" s="37">
        <f>IF(AND(O665=2, ISBLANK(P665), ISBLANK(Q665), ISBLANK(R665), ISBLANK(S665), ISBLANK(T665)), "CUSM, CHU SJ, CHUS, CHUQ", "")</f>
      </c>
      <c r="AM664" s="37">
        <f>if(and(AJ664="no match", AK664="", AL664="", K664&lt;26), "CUSM, CHU SJ, HGJ, CHUQ, CHUS", "")</f>
      </c>
      <c r="AN664" s="37">
        <f>if(and(AJ664="no match", AK664="", AL664="", K664&gt;26), "CUSM, CHU SJ, HGJ, CHUQ, CHUS, HMR", "")</f>
      </c>
    </row>
    <row x14ac:dyDescent="0.25" r="665" customHeight="1" ht="17.25">
      <c r="A665" s="27" t="s">
        <v>2666</v>
      </c>
      <c r="B665" s="28">
        <v>2</v>
      </c>
      <c r="C665" s="35">
        <v>756</v>
      </c>
      <c r="D665" s="29" t="s">
        <v>66</v>
      </c>
      <c r="E665" s="30" t="s">
        <v>50</v>
      </c>
      <c r="F665" s="31">
        <v>44540</v>
      </c>
      <c r="G665" s="32">
        <v>4.3381944444444445</v>
      </c>
      <c r="H665" s="31">
        <v>44539</v>
      </c>
      <c r="I665" s="32">
        <v>4.658333333333333</v>
      </c>
      <c r="J665" s="33">
        <f>F665-H665</f>
      </c>
      <c r="K665" s="28">
        <v>35</v>
      </c>
      <c r="L665" s="28">
        <v>2</v>
      </c>
      <c r="M665" s="28">
        <v>2</v>
      </c>
      <c r="N665" s="28">
        <v>1</v>
      </c>
      <c r="O665" s="34"/>
      <c r="P665" s="28">
        <v>1</v>
      </c>
      <c r="Q665" s="38"/>
      <c r="R665" s="34"/>
      <c r="S665" s="34"/>
      <c r="T665" s="34"/>
      <c r="U665" s="34"/>
      <c r="V665" s="34"/>
      <c r="W665" s="29" t="s">
        <v>74</v>
      </c>
      <c r="X665" s="28">
        <v>29</v>
      </c>
      <c r="Y665" s="28">
        <v>1</v>
      </c>
      <c r="Z665" s="28">
        <v>2</v>
      </c>
      <c r="AA665" s="28">
        <v>2</v>
      </c>
      <c r="AB665" s="28">
        <v>1</v>
      </c>
      <c r="AC665" s="28">
        <v>2</v>
      </c>
      <c r="AD665" s="28">
        <v>3</v>
      </c>
      <c r="AE665" s="28">
        <v>4</v>
      </c>
      <c r="AF665" s="28">
        <v>2</v>
      </c>
      <c r="AG665" s="28">
        <v>2</v>
      </c>
      <c r="AH665" s="29" t="s">
        <v>2667</v>
      </c>
      <c r="AI665" s="36">
        <f>if(or(and(K665&lt;32, J665&lt;2), O665=1, P665=1, Q665=1, R665=1, S665=1, T665=1, U665=1, and(W665&lt;&gt;"", W665&lt;&gt;"Oxygen", W665&lt;&gt;"LowFlow")), "Intensive", "Intermediate")</f>
      </c>
      <c r="AJ665" s="37">
        <f>if(or(left(AH665, 1)="X", left(AH665, 1)="Y", left(AH665, 3)="J23M"), "CUSM", "No Match")</f>
      </c>
      <c r="AK665" s="37">
        <f>if(and(or(O665=3, P665=1, Q665=1, T665=1), AJ665="no Match"), "CUSM, CHU SJ, CHUQ", "")</f>
      </c>
      <c r="AL665" s="37">
        <f>IF(AND(O666=2, ISBLANK(P666), ISBLANK(Q666), ISBLANK(R666), ISBLANK(S666), ISBLANK(T666)), "CUSM, CHU SJ, CHUS, CHUQ", "")</f>
      </c>
      <c r="AM665" s="37">
        <f>if(and(AJ665="no match", AK665="", AL665="", K665&lt;26), "CUSM, CHU SJ, HGJ, CHUQ, CHUS", "")</f>
      </c>
      <c r="AN665" s="37">
        <f>if(and(AJ665="no match", AK665="", AL665="", K665&gt;26), "CUSM, CHU SJ, HGJ, CHUQ, CHUS, HMR", "")</f>
      </c>
    </row>
    <row x14ac:dyDescent="0.25" r="666" customHeight="1" ht="17.25">
      <c r="A666" s="27" t="s">
        <v>2668</v>
      </c>
      <c r="B666" s="28">
        <v>2</v>
      </c>
      <c r="C666" s="28">
        <v>820</v>
      </c>
      <c r="D666" s="29" t="s">
        <v>69</v>
      </c>
      <c r="E666" s="30" t="s">
        <v>220</v>
      </c>
      <c r="F666" s="31">
        <v>44540</v>
      </c>
      <c r="G666" s="32">
        <v>4.502777777777778</v>
      </c>
      <c r="H666" s="31">
        <v>44540</v>
      </c>
      <c r="I666" s="32">
        <v>4.238194444444444</v>
      </c>
      <c r="J666" s="33">
        <f>F666-H666</f>
      </c>
      <c r="K666" s="28">
        <v>32</v>
      </c>
      <c r="L666" s="28">
        <v>0</v>
      </c>
      <c r="M666" s="28">
        <v>1</v>
      </c>
      <c r="N666" s="34"/>
      <c r="O666" s="34"/>
      <c r="P666" s="34"/>
      <c r="Q666" s="34"/>
      <c r="R666" s="34"/>
      <c r="S666" s="34"/>
      <c r="T666" s="34"/>
      <c r="U666" s="34"/>
      <c r="V666" s="34"/>
      <c r="W666" s="29" t="s">
        <v>164</v>
      </c>
      <c r="X666" s="28">
        <v>31</v>
      </c>
      <c r="Y666" s="28">
        <v>1</v>
      </c>
      <c r="Z666" s="28">
        <v>1</v>
      </c>
      <c r="AA666" s="28">
        <v>1</v>
      </c>
      <c r="AB666" s="28">
        <v>3</v>
      </c>
      <c r="AC666" s="28">
        <v>2</v>
      </c>
      <c r="AD666" s="28">
        <v>1</v>
      </c>
      <c r="AE666" s="28">
        <v>4</v>
      </c>
      <c r="AF666" s="28">
        <v>2</v>
      </c>
      <c r="AG666" s="28">
        <v>2</v>
      </c>
      <c r="AH666" s="29" t="s">
        <v>2669</v>
      </c>
      <c r="AI666" s="36">
        <f>if(or(and(K666&lt;32, J666&lt;2), O666=1, P666=1, Q666=1, R666=1, S666=1, T666=1, U666=1, and(W666&lt;&gt;"", W666&lt;&gt;"Oxygen", W666&lt;&gt;"LowFlow")), "Intensive", "Intermediate")</f>
      </c>
      <c r="AJ666" s="37">
        <f>if(or(left(AH666, 1)="X", left(AH666, 1)="Y", left(AH666, 3)="J24M"), "CUSM", "No Match")</f>
      </c>
      <c r="AK666" s="37">
        <f>if(and(or(O666=3, P666=1, Q666=1, T666=1), AJ666="no Match"), "CUSM, CHU SJ, CHUQ", "")</f>
      </c>
      <c r="AL666" s="37">
        <f>IF(AND(O667=2, ISBLANK(P667), ISBLANK(Q667), ISBLANK(R667), ISBLANK(S667), ISBLANK(T667)), "CUSM, CHU SJ, CHUS, CHUQ", "")</f>
      </c>
      <c r="AM666" s="37">
        <f>if(and(AJ666="no match", AK666="", AL666="", K666&lt;26), "CUSM, CHU SJ, HGJ, CHUQ, CHUS", "")</f>
      </c>
      <c r="AN666" s="37">
        <f>if(and(AJ666="no match", AK666="", AL666="", K666&gt;26), "CUSM, CHU SJ, HGJ, CHUQ, CHUS, HMR", "")</f>
      </c>
    </row>
    <row x14ac:dyDescent="0.25" r="667" customHeight="1" ht="17.25">
      <c r="A667" s="27" t="s">
        <v>2670</v>
      </c>
      <c r="B667" s="28">
        <v>2</v>
      </c>
      <c r="C667" s="35">
        <v>806</v>
      </c>
      <c r="D667" s="29" t="s">
        <v>438</v>
      </c>
      <c r="E667" s="30" t="s">
        <v>54</v>
      </c>
      <c r="F667" s="31">
        <v>44541</v>
      </c>
      <c r="G667" s="32">
        <v>4.277777777777778</v>
      </c>
      <c r="H667" s="31">
        <v>44540</v>
      </c>
      <c r="I667" s="32">
        <v>4.972222222222222</v>
      </c>
      <c r="J667" s="33">
        <f>F667-H667</f>
      </c>
      <c r="K667" s="28">
        <v>38</v>
      </c>
      <c r="L667" s="28">
        <v>5</v>
      </c>
      <c r="M667" s="28">
        <v>2</v>
      </c>
      <c r="N667" s="34"/>
      <c r="O667" s="34"/>
      <c r="P667" s="34"/>
      <c r="Q667" s="34"/>
      <c r="R667" s="34"/>
      <c r="S667" s="34"/>
      <c r="T667" s="35">
        <v>1</v>
      </c>
      <c r="U667" s="35">
        <v>1</v>
      </c>
      <c r="V667" s="35">
        <v>1</v>
      </c>
      <c r="W667" s="29" t="s">
        <v>74</v>
      </c>
      <c r="X667" s="28">
        <v>31</v>
      </c>
      <c r="Y667" s="28">
        <v>1</v>
      </c>
      <c r="Z667" s="28">
        <v>2</v>
      </c>
      <c r="AA667" s="28">
        <v>2</v>
      </c>
      <c r="AB667" s="28">
        <v>1</v>
      </c>
      <c r="AC667" s="28">
        <v>1</v>
      </c>
      <c r="AD667" s="28">
        <v>2</v>
      </c>
      <c r="AE667" s="28">
        <v>4</v>
      </c>
      <c r="AF667" s="28">
        <v>2</v>
      </c>
      <c r="AG667" s="28">
        <v>2</v>
      </c>
      <c r="AH667" s="29" t="s">
        <v>1008</v>
      </c>
      <c r="AI667" s="36">
        <f>if(or(and(K667&lt;32, J667&lt;2), O667=1, P667=1, Q667=1, R667=1, S667=1, T667=1, U667=1, and(W667&lt;&gt;"", W667&lt;&gt;"Oxygen", W667&lt;&gt;"LowFlow")), "Intensive", "Intermediate")</f>
      </c>
      <c r="AJ667" s="37">
        <f>if(or(left(AH667, 1)="X", left(AH667, 1)="Y", left(AH667, 3)="J25M"), "CUSM", "No Match")</f>
      </c>
      <c r="AK667" s="37">
        <f>if(and(or(O667=3, P667=1, Q667=1, T667=1), AJ667="no Match"), "CUSM, CHU SJ, CHUQ", "")</f>
      </c>
      <c r="AL667" s="37">
        <f>IF(AND(O668=2, ISBLANK(P668), ISBLANK(Q668), ISBLANK(R668), ISBLANK(S668), ISBLANK(T668)), "CUSM, CHU SJ, CHUS, CHUQ", "")</f>
      </c>
      <c r="AM667" s="37">
        <f>if(and(AJ667="no match", AK667="", AL667="", K667&lt;26), "CUSM, CHU SJ, HGJ, CHUQ, CHUS", "")</f>
      </c>
      <c r="AN667" s="37">
        <f>if(and(AJ667="no match", AK667="", AL667="", K667&gt;26), "CUSM, CHU SJ, HGJ, CHUQ, CHUS, HMR", "")</f>
      </c>
    </row>
    <row x14ac:dyDescent="0.25" r="668" customHeight="1" ht="17.25">
      <c r="A668" s="27" t="s">
        <v>2671</v>
      </c>
      <c r="B668" s="28">
        <v>2</v>
      </c>
      <c r="C668" s="35">
        <v>734</v>
      </c>
      <c r="D668" s="29" t="s">
        <v>264</v>
      </c>
      <c r="E668" s="30" t="s">
        <v>54</v>
      </c>
      <c r="F668" s="31">
        <v>44541</v>
      </c>
      <c r="G668" s="32">
        <v>4.758333333333333</v>
      </c>
      <c r="H668" s="31">
        <v>44541</v>
      </c>
      <c r="I668" s="32">
        <v>4.618055555555555</v>
      </c>
      <c r="J668" s="33">
        <f>F668-H668</f>
      </c>
      <c r="K668" s="28">
        <v>27</v>
      </c>
      <c r="L668" s="28">
        <v>4</v>
      </c>
      <c r="M668" s="28">
        <v>1</v>
      </c>
      <c r="N668" s="35">
        <v>1</v>
      </c>
      <c r="O668" s="34"/>
      <c r="P668" s="35">
        <v>1</v>
      </c>
      <c r="Q668" s="34"/>
      <c r="R668" s="34"/>
      <c r="S668" s="34"/>
      <c r="T668" s="34"/>
      <c r="U668" s="34"/>
      <c r="V668" s="34"/>
      <c r="W668" s="29" t="s">
        <v>74</v>
      </c>
      <c r="X668" s="28">
        <v>31</v>
      </c>
      <c r="Y668" s="28">
        <v>1</v>
      </c>
      <c r="Z668" s="28">
        <v>1</v>
      </c>
      <c r="AA668" s="28">
        <v>2</v>
      </c>
      <c r="AB668" s="28">
        <v>1</v>
      </c>
      <c r="AC668" s="28">
        <v>2</v>
      </c>
      <c r="AD668" s="28">
        <v>1</v>
      </c>
      <c r="AE668" s="28">
        <v>4</v>
      </c>
      <c r="AF668" s="28">
        <v>2</v>
      </c>
      <c r="AG668" s="28">
        <v>2</v>
      </c>
      <c r="AH668" s="29" t="s">
        <v>2672</v>
      </c>
      <c r="AI668" s="36">
        <f>if(or(and(K668&lt;32, J668&lt;2), O668=1, P668=1, Q668=1, R668=1, S668=1, T668=1, U668=1, and(W668&lt;&gt;"", W668&lt;&gt;"Oxygen", W668&lt;&gt;"LowFlow")), "Intensive", "Intermediate")</f>
      </c>
      <c r="AJ668" s="37">
        <f>if(or(left(AH668, 1)="X", left(AH668, 1)="Y", left(AH668, 3)="J26M"), "CUSM", "No Match")</f>
      </c>
      <c r="AK668" s="37">
        <f>if(and(or(O668=3, P668=1, Q668=1, T668=1), AJ668="no Match"), "CUSM, CHU SJ, CHUQ", "")</f>
      </c>
      <c r="AL668" s="37">
        <f>IF(AND(O669=2, ISBLANK(P669), ISBLANK(Q669), ISBLANK(R669), ISBLANK(S669), ISBLANK(T669)), "CUSM, CHU SJ, CHUS, CHUQ", "")</f>
      </c>
      <c r="AM668" s="37">
        <f>if(and(AJ668="no match", AK668="", AL668="", K668&lt;26), "CUSM, CHU SJ, HGJ, CHUQ, CHUS", "")</f>
      </c>
      <c r="AN668" s="37">
        <f>if(and(AJ668="no match", AK668="", AL668="", K668&gt;26), "CUSM, CHU SJ, HGJ, CHUQ, CHUS, HMR", "")</f>
      </c>
    </row>
    <row x14ac:dyDescent="0.25" r="669" customHeight="1" ht="17.25">
      <c r="A669" s="27" t="s">
        <v>2673</v>
      </c>
      <c r="B669" s="28">
        <v>2</v>
      </c>
      <c r="C669" s="28">
        <v>2</v>
      </c>
      <c r="D669" s="29" t="s">
        <v>269</v>
      </c>
      <c r="E669" s="30" t="s">
        <v>78</v>
      </c>
      <c r="F669" s="31">
        <v>44541</v>
      </c>
      <c r="G669" s="32">
        <v>4.645833333333334</v>
      </c>
      <c r="H669" s="31">
        <v>44541</v>
      </c>
      <c r="I669" s="32">
        <v>4.517361111111111</v>
      </c>
      <c r="J669" s="33">
        <f>F669-H669</f>
      </c>
      <c r="K669" s="28">
        <v>39</v>
      </c>
      <c r="L669" s="28">
        <v>4</v>
      </c>
      <c r="M669" s="28">
        <v>2</v>
      </c>
      <c r="N669" s="34"/>
      <c r="O669" s="34"/>
      <c r="P669" s="34"/>
      <c r="Q669" s="34"/>
      <c r="R669" s="34"/>
      <c r="S669" s="34"/>
      <c r="T669" s="34"/>
      <c r="U669" s="34"/>
      <c r="V669" s="34"/>
      <c r="W669" s="29" t="s">
        <v>164</v>
      </c>
      <c r="X669" s="28">
        <v>33</v>
      </c>
      <c r="Y669" s="28">
        <v>1</v>
      </c>
      <c r="Z669" s="28">
        <v>1</v>
      </c>
      <c r="AA669" s="28">
        <v>2</v>
      </c>
      <c r="AB669" s="28">
        <v>1</v>
      </c>
      <c r="AC669" s="28">
        <v>2</v>
      </c>
      <c r="AD669" s="28">
        <v>1</v>
      </c>
      <c r="AE669" s="28">
        <v>2</v>
      </c>
      <c r="AF669" s="28">
        <v>2</v>
      </c>
      <c r="AG669" s="28">
        <v>2</v>
      </c>
      <c r="AH669" s="29"/>
      <c r="AI669" s="36">
        <f>if(or(and(K669&lt;32, J669&lt;2), O669=1, P669=1, Q669=1, R669=1, S669=1, T669=1, U669=1, and(W669&lt;&gt;"", W669&lt;&gt;"Oxygen", W669&lt;&gt;"LowFlow")), "Intensive", "Intermediate")</f>
      </c>
      <c r="AJ669" s="37">
        <f>if(or(left(AH669, 1)="X", left(AH669, 1)="Y", left(AH669, 3)="J27M"), "CUSM", "No Match")</f>
      </c>
      <c r="AK669" s="37">
        <f>if(and(or(O669=3, P669=1, Q669=1, T669=1), AJ669="no Match"), "CUSM, CHU SJ, CHUQ", "")</f>
      </c>
      <c r="AL669" s="37">
        <f>IF(AND(O670=2, ISBLANK(P670), ISBLANK(Q670), ISBLANK(R670), ISBLANK(S670), ISBLANK(T670)), "CUSM, CHU SJ, CHUS, CHUQ", "")</f>
      </c>
      <c r="AM669" s="37">
        <f>if(and(AJ669="no match", AK669="", AL669="", K669&lt;26), "CUSM, CHU SJ, HGJ, CHUQ, CHUS", "")</f>
      </c>
      <c r="AN669" s="37">
        <f>if(and(AJ669="no match", AK669="", AL669="", K669&gt;26), "CUSM, CHU SJ, HGJ, CHUQ, CHUS, HMR", "")</f>
      </c>
    </row>
    <row x14ac:dyDescent="0.25" r="670" customHeight="1" ht="17.25">
      <c r="A670" s="27" t="s">
        <v>2674</v>
      </c>
      <c r="B670" s="28">
        <v>2</v>
      </c>
      <c r="C670" s="35">
        <v>817</v>
      </c>
      <c r="D670" s="29" t="s">
        <v>163</v>
      </c>
      <c r="E670" s="30" t="s">
        <v>50</v>
      </c>
      <c r="F670" s="31">
        <v>44541</v>
      </c>
      <c r="G670" s="32">
        <v>4.493055555555555</v>
      </c>
      <c r="H670" s="31">
        <v>44541</v>
      </c>
      <c r="I670" s="32">
        <v>4.248611111111111</v>
      </c>
      <c r="J670" s="33">
        <f>F670-H670</f>
      </c>
      <c r="K670" s="28">
        <v>36</v>
      </c>
      <c r="L670" s="28">
        <v>6</v>
      </c>
      <c r="M670" s="28">
        <v>2</v>
      </c>
      <c r="N670" s="34"/>
      <c r="O670" s="34"/>
      <c r="P670" s="34"/>
      <c r="Q670" s="34"/>
      <c r="R670" s="34"/>
      <c r="S670" s="34"/>
      <c r="T670" s="34"/>
      <c r="U670" s="34"/>
      <c r="V670" s="34"/>
      <c r="W670" s="29" t="s">
        <v>58</v>
      </c>
      <c r="X670" s="28">
        <v>28</v>
      </c>
      <c r="Y670" s="28">
        <v>1</v>
      </c>
      <c r="Z670" s="28">
        <v>2</v>
      </c>
      <c r="AA670" s="28">
        <v>1</v>
      </c>
      <c r="AB670" s="28">
        <v>1</v>
      </c>
      <c r="AC670" s="28">
        <v>1</v>
      </c>
      <c r="AD670" s="28">
        <v>2</v>
      </c>
      <c r="AE670" s="28">
        <v>4</v>
      </c>
      <c r="AF670" s="28">
        <v>2</v>
      </c>
      <c r="AG670" s="28">
        <v>2</v>
      </c>
      <c r="AH670" s="29" t="s">
        <v>2675</v>
      </c>
      <c r="AI670" s="36">
        <f>if(or(and(K670&lt;32, J670&lt;2), O670=1, P670=1, Q670=1, R670=1, S670=1, T670=1, U670=1, and(W670&lt;&gt;"", W670&lt;&gt;"Oxygen", W670&lt;&gt;"LowFlow")), "Intensive", "Intermediate")</f>
      </c>
      <c r="AJ670" s="37">
        <f>if(or(left(AH670, 1)="X", left(AH670, 1)="Y", left(AH670, 3)="J28M"), "CUSM", "No Match")</f>
      </c>
      <c r="AK670" s="37">
        <f>if(and(or(O670=3, P670=1, Q670=1, T670=1), AJ670="no Match"), "CUSM, CHU SJ, CHUQ", "")</f>
      </c>
      <c r="AL670" s="37">
        <f>IF(AND(O671=2, ISBLANK(P671), ISBLANK(Q671), ISBLANK(R671), ISBLANK(S671), ISBLANK(T671)), "CUSM, CHU SJ, CHUS, CHUQ", "")</f>
      </c>
      <c r="AM670" s="37">
        <f>if(and(AJ670="no match", AK670="", AL670="", K670&lt;26), "CUSM, CHU SJ, HGJ, CHUQ, CHUS", "")</f>
      </c>
      <c r="AN670" s="37">
        <f>if(and(AJ670="no match", AK670="", AL670="", K670&gt;26), "CUSM, CHU SJ, HGJ, CHUQ, CHUS, HMR", "")</f>
      </c>
    </row>
    <row x14ac:dyDescent="0.25" r="671" customHeight="1" ht="17.25">
      <c r="A671" s="27" t="s">
        <v>2676</v>
      </c>
      <c r="B671" s="28">
        <v>2</v>
      </c>
      <c r="C671" s="35">
        <v>835</v>
      </c>
      <c r="D671" s="29" t="s">
        <v>170</v>
      </c>
      <c r="E671" s="30" t="s">
        <v>54</v>
      </c>
      <c r="F671" s="31">
        <v>44544</v>
      </c>
      <c r="G671" s="32">
        <v>4.947916666666666</v>
      </c>
      <c r="H671" s="31">
        <v>44544</v>
      </c>
      <c r="I671" s="32">
        <v>4.788888888888889</v>
      </c>
      <c r="J671" s="33">
        <f>F671-H671</f>
      </c>
      <c r="K671" s="28">
        <v>36</v>
      </c>
      <c r="L671" s="28">
        <v>1</v>
      </c>
      <c r="M671" s="28">
        <v>1</v>
      </c>
      <c r="N671" s="35">
        <v>1</v>
      </c>
      <c r="O671" s="34"/>
      <c r="P671" s="35">
        <v>1</v>
      </c>
      <c r="Q671" s="34"/>
      <c r="R671" s="34"/>
      <c r="S671" s="34"/>
      <c r="T671" s="34"/>
      <c r="U671" s="34"/>
      <c r="V671" s="34"/>
      <c r="W671" s="29" t="s">
        <v>58</v>
      </c>
      <c r="X671" s="28">
        <v>33</v>
      </c>
      <c r="Y671" s="28">
        <v>1</v>
      </c>
      <c r="Z671" s="28">
        <v>2</v>
      </c>
      <c r="AA671" s="28">
        <v>2</v>
      </c>
      <c r="AB671" s="28">
        <v>1</v>
      </c>
      <c r="AC671" s="28">
        <v>2</v>
      </c>
      <c r="AD671" s="28">
        <v>2</v>
      </c>
      <c r="AE671" s="28">
        <v>4</v>
      </c>
      <c r="AF671" s="28">
        <v>2</v>
      </c>
      <c r="AG671" s="28">
        <v>2</v>
      </c>
      <c r="AH671" s="29" t="s">
        <v>2677</v>
      </c>
      <c r="AI671" s="36">
        <f>if(or(and(K671&lt;32, J671&lt;2), O671=1, P671=1, Q671=1, R671=1, S671=1, T671=1, U671=1, and(W671&lt;&gt;"", W671&lt;&gt;"Oxygen", W671&lt;&gt;"LowFlow")), "Intensive", "Intermediate")</f>
      </c>
      <c r="AJ671" s="37">
        <f>if(or(left(AH671, 1)="X", left(AH671, 1)="Y", left(AH671, 3)="J29M"), "CUSM", "No Match")</f>
      </c>
      <c r="AK671" s="37">
        <f>if(and(or(O671=3, P671=1, Q671=1, T671=1), AJ671="no Match"), "CUSM, CHU SJ, CHUQ", "")</f>
      </c>
      <c r="AL671" s="37">
        <f>IF(AND(O672=2, ISBLANK(P672), ISBLANK(Q672), ISBLANK(R672), ISBLANK(S672), ISBLANK(T672)), "CUSM, CHU SJ, CHUS, CHUQ", "")</f>
      </c>
      <c r="AM671" s="37">
        <f>if(and(AJ671="no match", AK671="", AL671="", K671&lt;26), "CUSM, CHU SJ, HGJ, CHUQ, CHUS", "")</f>
      </c>
      <c r="AN671" s="37">
        <f>if(and(AJ671="no match", AK671="", AL671="", K671&gt;26), "CUSM, CHU SJ, HGJ, CHUQ, CHUS, HMR", "")</f>
      </c>
    </row>
    <row x14ac:dyDescent="0.25" r="672" customHeight="1" ht="17.25">
      <c r="A672" s="27" t="s">
        <v>2678</v>
      </c>
      <c r="B672" s="28">
        <v>2</v>
      </c>
      <c r="C672" s="35">
        <v>1019</v>
      </c>
      <c r="D672" s="29" t="s">
        <v>354</v>
      </c>
      <c r="E672" s="30" t="s">
        <v>50</v>
      </c>
      <c r="F672" s="31">
        <v>44544</v>
      </c>
      <c r="G672" s="32">
        <v>4.968055555555555</v>
      </c>
      <c r="H672" s="31">
        <v>44544</v>
      </c>
      <c r="I672" s="32">
        <v>4.802777777777777</v>
      </c>
      <c r="J672" s="33">
        <f>F672-H672</f>
      </c>
      <c r="K672" s="28">
        <v>37</v>
      </c>
      <c r="L672" s="28">
        <v>0</v>
      </c>
      <c r="M672" s="28">
        <v>2</v>
      </c>
      <c r="N672" s="34"/>
      <c r="O672" s="34"/>
      <c r="P672" s="34"/>
      <c r="Q672" s="34"/>
      <c r="R672" s="34"/>
      <c r="S672" s="34"/>
      <c r="T672" s="35">
        <v>1</v>
      </c>
      <c r="U672" s="34"/>
      <c r="V672" s="34"/>
      <c r="W672" s="29"/>
      <c r="X672" s="28">
        <v>34</v>
      </c>
      <c r="Y672" s="28">
        <v>2</v>
      </c>
      <c r="Z672" s="28">
        <v>2</v>
      </c>
      <c r="AA672" s="28">
        <v>2</v>
      </c>
      <c r="AB672" s="28">
        <v>1</v>
      </c>
      <c r="AC672" s="28">
        <v>2</v>
      </c>
      <c r="AD672" s="28">
        <v>1</v>
      </c>
      <c r="AE672" s="28">
        <v>4</v>
      </c>
      <c r="AF672" s="28">
        <v>2</v>
      </c>
      <c r="AG672" s="28">
        <v>2</v>
      </c>
      <c r="AH672" s="29" t="s">
        <v>2679</v>
      </c>
      <c r="AI672" s="36">
        <f>if(or(and(K672&lt;32, J672&lt;2), O672=1, P672=1, Q672=1, R672=1, S672=1, T672=1, U672=1, and(W672&lt;&gt;"", W672&lt;&gt;"Oxygen", W672&lt;&gt;"LowFlow")), "Intensive", "Intermediate")</f>
      </c>
      <c r="AJ672" s="37">
        <f>if(or(left(AH672, 1)="X", left(AH672, 1)="Y", left(AH672, 3)="J30M"), "CUSM", "No Match")</f>
      </c>
      <c r="AK672" s="37">
        <f>if(and(or(O672=3, P672=1, Q672=1, T672=1), AJ672="no Match"), "CUSM, CHU SJ, CHUQ", "")</f>
      </c>
      <c r="AL672" s="37">
        <f>IF(AND(O673=2, ISBLANK(P673), ISBLANK(Q673), ISBLANK(R673), ISBLANK(S673), ISBLANK(T673)), "CUSM, CHU SJ, CHUS, CHUQ", "")</f>
      </c>
      <c r="AM672" s="37">
        <f>if(and(AJ672="no match", AK672="", AL672="", K672&lt;26), "CUSM, CHU SJ, HGJ, CHUQ, CHUS", "")</f>
      </c>
      <c r="AN672" s="37">
        <f>if(and(AJ672="no match", AK672="", AL672="", K672&gt;26), "CUSM, CHU SJ, HGJ, CHUQ, CHUS, HMR", "")</f>
      </c>
    </row>
    <row x14ac:dyDescent="0.25" r="673" customHeight="1" ht="17.25">
      <c r="A673" s="27" t="s">
        <v>2680</v>
      </c>
      <c r="B673" s="28">
        <v>2</v>
      </c>
      <c r="C673" s="35">
        <v>746</v>
      </c>
      <c r="D673" s="29" t="s">
        <v>139</v>
      </c>
      <c r="E673" s="30" t="s">
        <v>50</v>
      </c>
      <c r="F673" s="31">
        <v>44544</v>
      </c>
      <c r="G673" s="32">
        <v>4.885416666666666</v>
      </c>
      <c r="H673" s="31">
        <v>44542</v>
      </c>
      <c r="I673" s="32">
        <v>4.697222222222223</v>
      </c>
      <c r="J673" s="33">
        <f>F673-H673</f>
      </c>
      <c r="K673" s="28">
        <v>40</v>
      </c>
      <c r="L673" s="28">
        <v>6</v>
      </c>
      <c r="M673" s="28">
        <v>2</v>
      </c>
      <c r="N673" s="35">
        <v>1</v>
      </c>
      <c r="O673" s="34"/>
      <c r="P673" s="34"/>
      <c r="Q673" s="34"/>
      <c r="R673" s="34"/>
      <c r="S673" s="34"/>
      <c r="T673" s="34"/>
      <c r="U673" s="34"/>
      <c r="V673" s="34"/>
      <c r="W673" s="29"/>
      <c r="X673" s="28">
        <v>21</v>
      </c>
      <c r="Y673" s="28">
        <v>1</v>
      </c>
      <c r="Z673" s="28">
        <v>1</v>
      </c>
      <c r="AA673" s="28">
        <v>2</v>
      </c>
      <c r="AB673" s="28">
        <v>1</v>
      </c>
      <c r="AC673" s="28">
        <v>2</v>
      </c>
      <c r="AD673" s="28">
        <v>2</v>
      </c>
      <c r="AE673" s="28">
        <v>4</v>
      </c>
      <c r="AF673" s="28">
        <v>2</v>
      </c>
      <c r="AG673" s="28">
        <v>2</v>
      </c>
      <c r="AH673" s="29" t="s">
        <v>2681</v>
      </c>
      <c r="AI673" s="36">
        <f>if(or(and(K673&lt;32, J673&lt;2), O673=1, P673=1, Q673=1, R673=1, S673=1, T673=1, U673=1, and(W673&lt;&gt;"", W673&lt;&gt;"Oxygen", W673&lt;&gt;"LowFlow")), "Intensive", "Intermediate")</f>
      </c>
      <c r="AJ673" s="37">
        <f>if(or(left(AH673, 1)="X", left(AH673, 1)="Y", left(AH673, 3)="J31M"), "CUSM", "No Match")</f>
      </c>
      <c r="AK673" s="37">
        <f>if(and(or(O673=3, P673=1, Q673=1, T673=1), AJ673="no Match"), "CUSM, CHU SJ, CHUQ", "")</f>
      </c>
      <c r="AL673" s="37">
        <f>IF(AND(O674=2, ISBLANK(P674), ISBLANK(Q674), ISBLANK(R674), ISBLANK(S674), ISBLANK(T674)), "CUSM, CHU SJ, CHUS, CHUQ", "")</f>
      </c>
      <c r="AM673" s="37">
        <f>if(and(AJ673="no match", AK673="", AL673="", K673&lt;26), "CUSM, CHU SJ, HGJ, CHUQ, CHUS", "")</f>
      </c>
      <c r="AN673" s="37">
        <f>if(and(AJ673="no match", AK673="", AL673="", K673&gt;26), "CUSM, CHU SJ, HGJ, CHUQ, CHUS, HMR", "")</f>
      </c>
    </row>
    <row x14ac:dyDescent="0.25" r="674" customHeight="1" ht="17.25">
      <c r="A674" s="27" t="s">
        <v>2682</v>
      </c>
      <c r="B674" s="28">
        <v>2</v>
      </c>
      <c r="C674" s="35">
        <v>734</v>
      </c>
      <c r="D674" s="29" t="s">
        <v>264</v>
      </c>
      <c r="E674" s="30" t="s">
        <v>50</v>
      </c>
      <c r="F674" s="31">
        <v>44544</v>
      </c>
      <c r="G674" s="32">
        <v>4.583333333333334</v>
      </c>
      <c r="H674" s="31">
        <v>44544</v>
      </c>
      <c r="I674" s="32">
        <v>4.397916666666667</v>
      </c>
      <c r="J674" s="33">
        <f>F674-H674</f>
      </c>
      <c r="K674" s="28">
        <v>39</v>
      </c>
      <c r="L674" s="28">
        <v>0</v>
      </c>
      <c r="M674" s="28">
        <v>1</v>
      </c>
      <c r="N674" s="38"/>
      <c r="O674" s="34"/>
      <c r="P674" s="38"/>
      <c r="Q674" s="34"/>
      <c r="R674" s="34"/>
      <c r="S674" s="34"/>
      <c r="T674" s="34"/>
      <c r="U674" s="38"/>
      <c r="V674" s="38"/>
      <c r="W674" s="29"/>
      <c r="X674" s="28">
        <v>31</v>
      </c>
      <c r="Y674" s="28">
        <v>1</v>
      </c>
      <c r="Z674" s="28">
        <v>2</v>
      </c>
      <c r="AA674" s="28">
        <v>2</v>
      </c>
      <c r="AB674" s="28">
        <v>1</v>
      </c>
      <c r="AC674" s="28">
        <v>2</v>
      </c>
      <c r="AD674" s="28">
        <v>1</v>
      </c>
      <c r="AE674" s="28">
        <v>4</v>
      </c>
      <c r="AF674" s="28">
        <v>2</v>
      </c>
      <c r="AG674" s="28">
        <v>2</v>
      </c>
      <c r="AH674" s="29" t="s">
        <v>2683</v>
      </c>
      <c r="AI674" s="36">
        <f>if(or(and(K674&lt;32, J674&lt;2), O674=1, P674=1, Q674=1, R674=1, S674=1, T674=1, U674=1, and(W674&lt;&gt;"", W674&lt;&gt;"Oxygen", W674&lt;&gt;"LowFlow")), "Intensive", "Intermediate")</f>
      </c>
      <c r="AJ674" s="37">
        <f>if(or(left(AH674, 1)="X", left(AH674, 1)="Y", left(AH674, 3)="J32M"), "CUSM", "No Match")</f>
      </c>
      <c r="AK674" s="37">
        <f>if(and(or(O674=3, P674=1, Q674=1, T674=1), AJ674="no Match"), "CUSM, CHU SJ, CHUQ", "")</f>
      </c>
      <c r="AL674" s="37">
        <f>IF(AND(O675=2, ISBLANK(P675), ISBLANK(Q675), ISBLANK(R675), ISBLANK(S675), ISBLANK(T675)), "CUSM, CHU SJ, CHUS, CHUQ", "")</f>
      </c>
      <c r="AM674" s="37">
        <f>if(and(AJ674="no match", AK674="", AL674="", K674&lt;26), "CUSM, CHU SJ, HGJ, CHUQ, CHUS", "")</f>
      </c>
      <c r="AN674" s="37">
        <f>if(and(AJ674="no match", AK674="", AL674="", K674&gt;26), "CUSM, CHU SJ, HGJ, CHUQ, CHUS, HMR", "")</f>
      </c>
    </row>
    <row x14ac:dyDescent="0.25" r="675" customHeight="1" ht="17.25">
      <c r="A675" s="27" t="s">
        <v>2684</v>
      </c>
      <c r="B675" s="28">
        <v>2</v>
      </c>
      <c r="C675" s="35">
        <v>734</v>
      </c>
      <c r="D675" s="29" t="s">
        <v>264</v>
      </c>
      <c r="E675" s="30" t="s">
        <v>50</v>
      </c>
      <c r="F675" s="31">
        <v>44545</v>
      </c>
      <c r="G675" s="32">
        <v>4.913194444444445</v>
      </c>
      <c r="H675" s="31">
        <v>44545</v>
      </c>
      <c r="I675" s="32">
        <v>4.551388888888889</v>
      </c>
      <c r="J675" s="33">
        <f>F675-H675</f>
      </c>
      <c r="K675" s="28">
        <v>38</v>
      </c>
      <c r="L675" s="28">
        <v>5</v>
      </c>
      <c r="M675" s="28">
        <v>2</v>
      </c>
      <c r="N675" s="35">
        <v>1</v>
      </c>
      <c r="O675" s="34"/>
      <c r="P675" s="35">
        <v>1</v>
      </c>
      <c r="Q675" s="34"/>
      <c r="R675" s="34"/>
      <c r="S675" s="34"/>
      <c r="T675" s="35">
        <v>1</v>
      </c>
      <c r="U675" s="35">
        <v>1</v>
      </c>
      <c r="V675" s="35">
        <v>1</v>
      </c>
      <c r="W675" s="29" t="s">
        <v>74</v>
      </c>
      <c r="X675" s="28">
        <v>30</v>
      </c>
      <c r="Y675" s="28">
        <v>1</v>
      </c>
      <c r="Z675" s="28">
        <v>2</v>
      </c>
      <c r="AA675" s="28">
        <v>1</v>
      </c>
      <c r="AB675" s="28">
        <v>1</v>
      </c>
      <c r="AC675" s="28">
        <v>2</v>
      </c>
      <c r="AD675" s="28">
        <v>2</v>
      </c>
      <c r="AE675" s="28">
        <v>4</v>
      </c>
      <c r="AF675" s="28">
        <v>2</v>
      </c>
      <c r="AG675" s="28">
        <v>2</v>
      </c>
      <c r="AH675" s="29" t="s">
        <v>2685</v>
      </c>
      <c r="AI675" s="36">
        <f>if(or(and(K675&lt;32, J675&lt;2), O675=1, P675=1, Q675=1, R675=1, S675=1, T675=1, U675=1, and(W675&lt;&gt;"", W675&lt;&gt;"Oxygen", W675&lt;&gt;"LowFlow")), "Intensive", "Intermediate")</f>
      </c>
      <c r="AJ675" s="37">
        <f>if(or(left(AH675, 1)="X", left(AH675, 1)="Y", left(AH675, 3)="J33M"), "CUSM", "No Match")</f>
      </c>
      <c r="AK675" s="37">
        <f>if(and(or(O675=3, P675=1, Q675=1, T675=1), AJ675="no Match"), "CUSM, CHU SJ, CHUQ", "")</f>
      </c>
      <c r="AL675" s="37">
        <f>IF(AND(O676=2, ISBLANK(P676), ISBLANK(Q676), ISBLANK(R676), ISBLANK(S676), ISBLANK(T676)), "CUSM, CHU SJ, CHUS, CHUQ", "")</f>
      </c>
      <c r="AM675" s="37">
        <f>if(and(AJ675="no match", AK675="", AL675="", K675&lt;26), "CUSM, CHU SJ, HGJ, CHUQ, CHUS", "")</f>
      </c>
      <c r="AN675" s="37">
        <f>if(and(AJ675="no match", AK675="", AL675="", K675&gt;26), "CUSM, CHU SJ, HGJ, CHUQ, CHUS, HMR", "")</f>
      </c>
    </row>
    <row x14ac:dyDescent="0.25" r="676" customHeight="1" ht="17.25">
      <c r="A676" s="27" t="s">
        <v>2686</v>
      </c>
      <c r="B676" s="28">
        <v>2</v>
      </c>
      <c r="C676" s="35">
        <v>796</v>
      </c>
      <c r="D676" s="29" t="s">
        <v>63</v>
      </c>
      <c r="E676" s="30" t="s">
        <v>50</v>
      </c>
      <c r="F676" s="31">
        <v>44545</v>
      </c>
      <c r="G676" s="32">
        <v>4.770833333333334</v>
      </c>
      <c r="H676" s="31">
        <v>44541</v>
      </c>
      <c r="I676" s="32">
        <v>4.528472222222222</v>
      </c>
      <c r="J676" s="33">
        <f>F676-H676</f>
      </c>
      <c r="K676" s="28">
        <v>38</v>
      </c>
      <c r="L676" s="28">
        <v>5</v>
      </c>
      <c r="M676" s="28">
        <v>2</v>
      </c>
      <c r="N676" s="34"/>
      <c r="O676" s="34"/>
      <c r="P676" s="34"/>
      <c r="Q676" s="34"/>
      <c r="R676" s="34"/>
      <c r="S676" s="34"/>
      <c r="T676" s="34"/>
      <c r="U676" s="34"/>
      <c r="V676" s="38"/>
      <c r="W676" s="29"/>
      <c r="X676" s="28">
        <v>25</v>
      </c>
      <c r="Y676" s="28">
        <v>1</v>
      </c>
      <c r="Z676" s="28">
        <v>1</v>
      </c>
      <c r="AA676" s="28">
        <v>2</v>
      </c>
      <c r="AB676" s="28">
        <v>1</v>
      </c>
      <c r="AC676" s="28">
        <v>2</v>
      </c>
      <c r="AD676" s="28">
        <v>2</v>
      </c>
      <c r="AE676" s="28">
        <v>4</v>
      </c>
      <c r="AF676" s="28">
        <v>3</v>
      </c>
      <c r="AG676" s="28">
        <v>2</v>
      </c>
      <c r="AH676" s="29" t="s">
        <v>2687</v>
      </c>
      <c r="AI676" s="36">
        <f>if(or(and(K676&lt;32, J676&lt;2), O676=1, P676=1, Q676=1, R676=1, S676=1, T676=1, U676=1, and(W676&lt;&gt;"", W676&lt;&gt;"Oxygen", W676&lt;&gt;"LowFlow")), "Intensive", "Intermediate")</f>
      </c>
      <c r="AJ676" s="37">
        <f>if(or(left(AH676, 1)="X", left(AH676, 1)="Y", left(AH676, 3)="J34M"), "CUSM", "No Match")</f>
      </c>
      <c r="AK676" s="37">
        <f>if(and(or(O676=3, P676=1, Q676=1, T676=1), AJ676="no Match"), "CUSM, CHU SJ, CHUQ", "")</f>
      </c>
      <c r="AL676" s="37">
        <f>IF(AND(O677=2, ISBLANK(P677), ISBLANK(Q677), ISBLANK(R677), ISBLANK(S677), ISBLANK(T677)), "CUSM, CHU SJ, CHUS, CHUQ", "")</f>
      </c>
      <c r="AM676" s="37">
        <f>if(and(AJ676="no match", AK676="", AL676="", K676&lt;26), "CUSM, CHU SJ, HGJ, CHUQ, CHUS", "")</f>
      </c>
      <c r="AN676" s="37">
        <f>if(and(AJ676="no match", AK676="", AL676="", K676&gt;26), "CUSM, CHU SJ, HGJ, CHUQ, CHUS, HMR", "")</f>
      </c>
    </row>
    <row x14ac:dyDescent="0.25" r="677" customHeight="1" ht="17.25">
      <c r="A677" s="27" t="s">
        <v>2688</v>
      </c>
      <c r="B677" s="28">
        <v>2</v>
      </c>
      <c r="C677" s="35">
        <v>839</v>
      </c>
      <c r="D677" s="29" t="s">
        <v>53</v>
      </c>
      <c r="E677" s="30" t="s">
        <v>78</v>
      </c>
      <c r="F677" s="31">
        <v>44546</v>
      </c>
      <c r="G677" s="32">
        <v>4.208333333333334</v>
      </c>
      <c r="H677" s="31">
        <v>44545</v>
      </c>
      <c r="I677" s="32">
        <v>4.289583333333333</v>
      </c>
      <c r="J677" s="33">
        <f>F677-H677</f>
      </c>
      <c r="K677" s="28">
        <v>40</v>
      </c>
      <c r="L677" s="28">
        <v>0</v>
      </c>
      <c r="M677" s="28">
        <v>1</v>
      </c>
      <c r="N677" s="34"/>
      <c r="O677" s="34"/>
      <c r="P677" s="34"/>
      <c r="Q677" s="34"/>
      <c r="R677" s="34"/>
      <c r="S677" s="34"/>
      <c r="T677" s="34"/>
      <c r="U677" s="34"/>
      <c r="V677" s="34"/>
      <c r="W677" s="29" t="s">
        <v>58</v>
      </c>
      <c r="X677" s="28">
        <v>33</v>
      </c>
      <c r="Y677" s="28">
        <v>1</v>
      </c>
      <c r="Z677" s="28">
        <v>1</v>
      </c>
      <c r="AA677" s="28">
        <v>1</v>
      </c>
      <c r="AB677" s="28">
        <v>4</v>
      </c>
      <c r="AC677" s="28">
        <v>2</v>
      </c>
      <c r="AD677" s="28">
        <v>2</v>
      </c>
      <c r="AE677" s="28">
        <v>2</v>
      </c>
      <c r="AF677" s="28">
        <v>2</v>
      </c>
      <c r="AG677" s="28">
        <v>2</v>
      </c>
      <c r="AH677" s="29" t="s">
        <v>2689</v>
      </c>
      <c r="AI677" s="36">
        <f>if(or(and(K677&lt;32, J677&lt;2), O677=1, P677=1, Q677=1, R677=1, S677=1, T677=1, U677=1, and(W677&lt;&gt;"", W677&lt;&gt;"Oxygen", W677&lt;&gt;"LowFlow")), "Intensive", "Intermediate")</f>
      </c>
      <c r="AJ677" s="37">
        <f>if(or(left(AH677, 1)="X", left(AH677, 1)="Y", left(AH677, 3)="J35M"), "CUSM", "No Match")</f>
      </c>
      <c r="AK677" s="37">
        <f>if(and(or(O677=3, P677=1, Q677=1, T677=1), AJ677="no Match"), "CUSM, CHU SJ, CHUQ", "")</f>
      </c>
      <c r="AL677" s="37">
        <f>IF(AND(O678=2, ISBLANK(P678), ISBLANK(Q678), ISBLANK(R678), ISBLANK(S678), ISBLANK(T678)), "CUSM, CHU SJ, CHUS, CHUQ", "")</f>
      </c>
      <c r="AM677" s="37">
        <f>if(and(AJ677="no match", AK677="", AL677="", K677&lt;26), "CUSM, CHU SJ, HGJ, CHUQ, CHUS", "")</f>
      </c>
      <c r="AN677" s="37">
        <f>if(and(AJ677="no match", AK677="", AL677="", K677&gt;26), "CUSM, CHU SJ, HGJ, CHUQ, CHUS, HMR", "")</f>
      </c>
    </row>
    <row x14ac:dyDescent="0.25" r="678" customHeight="1" ht="17.25">
      <c r="A678" s="27" t="s">
        <v>2690</v>
      </c>
      <c r="B678" s="28">
        <v>2</v>
      </c>
      <c r="C678" s="35">
        <v>756</v>
      </c>
      <c r="D678" s="29" t="s">
        <v>66</v>
      </c>
      <c r="E678" s="30" t="s">
        <v>50</v>
      </c>
      <c r="F678" s="31">
        <v>44546</v>
      </c>
      <c r="G678" s="32">
        <v>4.416666666666666</v>
      </c>
      <c r="H678" s="31">
        <v>44546</v>
      </c>
      <c r="I678" s="32">
        <v>4.165972222222223</v>
      </c>
      <c r="J678" s="33">
        <f>F678-H678</f>
      </c>
      <c r="K678" s="28">
        <v>41</v>
      </c>
      <c r="L678" s="28">
        <v>4</v>
      </c>
      <c r="M678" s="28">
        <v>1</v>
      </c>
      <c r="N678" s="34"/>
      <c r="O678" s="34"/>
      <c r="P678" s="34"/>
      <c r="Q678" s="34"/>
      <c r="R678" s="34"/>
      <c r="S678" s="34"/>
      <c r="T678" s="34"/>
      <c r="U678" s="34"/>
      <c r="V678" s="34"/>
      <c r="W678" s="29" t="s">
        <v>58</v>
      </c>
      <c r="X678" s="28">
        <v>37</v>
      </c>
      <c r="Y678" s="28">
        <v>1</v>
      </c>
      <c r="Z678" s="28">
        <v>2</v>
      </c>
      <c r="AA678" s="28">
        <v>2</v>
      </c>
      <c r="AB678" s="28">
        <v>1</v>
      </c>
      <c r="AC678" s="28">
        <v>2</v>
      </c>
      <c r="AD678" s="28">
        <v>2</v>
      </c>
      <c r="AE678" s="28">
        <v>4</v>
      </c>
      <c r="AF678" s="28">
        <v>3</v>
      </c>
      <c r="AG678" s="28">
        <v>2</v>
      </c>
      <c r="AH678" s="29" t="s">
        <v>2143</v>
      </c>
      <c r="AI678" s="36">
        <f>if(or(and(K678&lt;32, J678&lt;2), O678=1, P678=1, Q678=1, R678=1, S678=1, T678=1, U678=1, and(W678&lt;&gt;"", W678&lt;&gt;"Oxygen", W678&lt;&gt;"LowFlow")), "Intensive", "Intermediate")</f>
      </c>
      <c r="AJ678" s="37">
        <f>if(or(left(AH678, 1)="X", left(AH678, 1)="Y", left(AH678, 3)="J36M"), "CUSM", "No Match")</f>
      </c>
      <c r="AK678" s="37">
        <f>if(and(or(O678=3, P678=1, Q678=1, T678=1), AJ678="no Match"), "CUSM, CHU SJ, CHUQ", "")</f>
      </c>
      <c r="AL678" s="37">
        <f>IF(AND(O679=2, ISBLANK(P679), ISBLANK(Q679), ISBLANK(R679), ISBLANK(S679), ISBLANK(T679)), "CUSM, CHU SJ, CHUS, CHUQ", "")</f>
      </c>
      <c r="AM678" s="37">
        <f>if(and(AJ678="no match", AK678="", AL678="", K678&lt;26), "CUSM, CHU SJ, HGJ, CHUQ, CHUS", "")</f>
      </c>
      <c r="AN678" s="37">
        <f>if(and(AJ678="no match", AK678="", AL678="", K678&gt;26), "CUSM, CHU SJ, HGJ, CHUQ, CHUS, HMR", "")</f>
      </c>
    </row>
    <row x14ac:dyDescent="0.25" r="679" customHeight="1" ht="17.25">
      <c r="A679" s="27" t="s">
        <v>2691</v>
      </c>
      <c r="B679" s="28">
        <v>2</v>
      </c>
      <c r="C679" s="35">
        <v>820</v>
      </c>
      <c r="D679" s="29" t="s">
        <v>69</v>
      </c>
      <c r="E679" s="30" t="s">
        <v>54</v>
      </c>
      <c r="F679" s="31">
        <v>44547</v>
      </c>
      <c r="G679" s="32">
        <v>4.631944444444445</v>
      </c>
      <c r="H679" s="31">
        <v>44546</v>
      </c>
      <c r="I679" s="32">
        <v>4.20625</v>
      </c>
      <c r="J679" s="33">
        <f>F679-H679</f>
      </c>
      <c r="K679" s="28">
        <v>32</v>
      </c>
      <c r="L679" s="28">
        <v>1</v>
      </c>
      <c r="M679" s="28">
        <v>2</v>
      </c>
      <c r="N679" s="35">
        <v>1</v>
      </c>
      <c r="O679" s="28">
        <v>2</v>
      </c>
      <c r="P679" s="35">
        <v>1</v>
      </c>
      <c r="Q679" s="34"/>
      <c r="R679" s="34"/>
      <c r="S679" s="34"/>
      <c r="T679" s="38"/>
      <c r="U679" s="34"/>
      <c r="V679" s="34"/>
      <c r="W679" s="29" t="s">
        <v>164</v>
      </c>
      <c r="X679" s="28">
        <v>33</v>
      </c>
      <c r="Y679" s="28">
        <v>1</v>
      </c>
      <c r="Z679" s="28">
        <v>1</v>
      </c>
      <c r="AA679" s="28">
        <v>1</v>
      </c>
      <c r="AB679" s="28">
        <v>1</v>
      </c>
      <c r="AC679" s="28">
        <v>2</v>
      </c>
      <c r="AD679" s="28">
        <v>2</v>
      </c>
      <c r="AE679" s="28">
        <v>4</v>
      </c>
      <c r="AF679" s="28">
        <v>2</v>
      </c>
      <c r="AG679" s="28">
        <v>2</v>
      </c>
      <c r="AH679" s="29" t="s">
        <v>2692</v>
      </c>
      <c r="AI679" s="36">
        <f>if(or(and(K679&lt;32, J679&lt;2), O679=1, P679=1, Q679=1, R679=1, S679=1, T679=1, U679=1, and(W679&lt;&gt;"", W679&lt;&gt;"Oxygen", W679&lt;&gt;"LowFlow")), "Intensive", "Intermediate")</f>
      </c>
      <c r="AJ679" s="37">
        <f>if(or(left(AH679, 1)="X", left(AH679, 1)="Y", left(AH679, 3)="J37M"), "CUSM", "No Match")</f>
      </c>
      <c r="AK679" s="37">
        <f>if(and(or(O679=3, P679=1, Q679=1, T679=1), AJ679="no Match"), "CUSM, CHU SJ, CHUQ", "")</f>
      </c>
      <c r="AL679" s="37">
        <f>IF(AND(O680=2, ISBLANK(P680), ISBLANK(Q680), ISBLANK(R680), ISBLANK(S680), ISBLANK(T680)), "CUSM, CHU SJ, CHUS, CHUQ", "")</f>
      </c>
      <c r="AM679" s="37">
        <f>if(and(AJ679="no match", AK679="", AL679="", K679&lt;26), "CUSM, CHU SJ, HGJ, CHUQ, CHUS", "")</f>
      </c>
      <c r="AN679" s="37">
        <f>if(and(AJ679="no match", AK679="", AL679="", K679&gt;26), "CUSM, CHU SJ, HGJ, CHUQ, CHUS, HMR", "")</f>
      </c>
    </row>
    <row x14ac:dyDescent="0.25" r="680" customHeight="1" ht="17.25">
      <c r="A680" s="27" t="s">
        <v>2693</v>
      </c>
      <c r="B680" s="28">
        <v>2</v>
      </c>
      <c r="C680" s="28">
        <v>796</v>
      </c>
      <c r="D680" s="29" t="s">
        <v>63</v>
      </c>
      <c r="E680" s="30" t="s">
        <v>54</v>
      </c>
      <c r="F680" s="31">
        <v>44547</v>
      </c>
      <c r="G680" s="32">
        <v>4.666666666666666</v>
      </c>
      <c r="H680" s="31">
        <v>44541</v>
      </c>
      <c r="I680" s="32">
        <v>4.784722222222222</v>
      </c>
      <c r="J680" s="33">
        <f>F680-H680</f>
      </c>
      <c r="K680" s="28">
        <v>35</v>
      </c>
      <c r="L680" s="28">
        <v>4</v>
      </c>
      <c r="M680" s="28">
        <v>1</v>
      </c>
      <c r="N680" s="38"/>
      <c r="O680" s="38"/>
      <c r="P680" s="38"/>
      <c r="Q680" s="34"/>
      <c r="R680" s="34"/>
      <c r="S680" s="34"/>
      <c r="T680" s="34"/>
      <c r="U680" s="34"/>
      <c r="V680" s="34"/>
      <c r="W680" s="29"/>
      <c r="X680" s="28">
        <v>26</v>
      </c>
      <c r="Y680" s="28">
        <v>1</v>
      </c>
      <c r="Z680" s="28">
        <v>1</v>
      </c>
      <c r="AA680" s="28">
        <v>2</v>
      </c>
      <c r="AB680" s="28">
        <v>1</v>
      </c>
      <c r="AC680" s="28">
        <v>2</v>
      </c>
      <c r="AD680" s="28">
        <v>1</v>
      </c>
      <c r="AE680" s="28">
        <v>4</v>
      </c>
      <c r="AF680" s="28">
        <v>2</v>
      </c>
      <c r="AG680" s="28">
        <v>2</v>
      </c>
      <c r="AH680" s="29" t="s">
        <v>2694</v>
      </c>
      <c r="AI680" s="36">
        <f>if(or(and(K680&lt;32, J680&lt;2), O680=1, P680=1, Q680=1, R680=1, S680=1, T680=1, U680=1, and(W680&lt;&gt;"", W680&lt;&gt;"Oxygen", W680&lt;&gt;"LowFlow")), "Intensive", "Intermediate")</f>
      </c>
      <c r="AJ680" s="37">
        <f>if(or(left(AH680, 1)="X", left(AH680, 1)="Y", left(AH680, 3)="J38M"), "CUSM", "No Match")</f>
      </c>
      <c r="AK680" s="37">
        <f>if(and(or(O680=3, P680=1, Q680=1, T680=1), AJ680="no Match"), "CUSM, CHU SJ, CHUQ", "")</f>
      </c>
      <c r="AL680" s="37">
        <f>IF(AND(O681=2, ISBLANK(P681), ISBLANK(Q681), ISBLANK(R681), ISBLANK(S681), ISBLANK(T681)), "CUSM, CHU SJ, CHUS, CHUQ", "")</f>
      </c>
      <c r="AM680" s="37">
        <f>if(and(AJ680="no match", AK680="", AL680="", K680&lt;26), "CUSM, CHU SJ, HGJ, CHUQ, CHUS", "")</f>
      </c>
      <c r="AN680" s="37">
        <f>if(and(AJ680="no match", AK680="", AL680="", K680&gt;26), "CUSM, CHU SJ, HGJ, CHUQ, CHUS, HMR", "")</f>
      </c>
    </row>
    <row x14ac:dyDescent="0.25" r="681" customHeight="1" ht="17.25">
      <c r="A681" s="27" t="s">
        <v>2695</v>
      </c>
      <c r="B681" s="28">
        <v>2</v>
      </c>
      <c r="C681" s="35">
        <v>820</v>
      </c>
      <c r="D681" s="29" t="s">
        <v>69</v>
      </c>
      <c r="E681" s="30" t="s">
        <v>50</v>
      </c>
      <c r="F681" s="31">
        <v>44547</v>
      </c>
      <c r="G681" s="32">
        <v>4.75</v>
      </c>
      <c r="H681" s="31">
        <v>44544</v>
      </c>
      <c r="I681" s="32">
        <v>4.768055555555556</v>
      </c>
      <c r="J681" s="33">
        <f>F681-H681</f>
      </c>
      <c r="K681" s="28">
        <v>38</v>
      </c>
      <c r="L681" s="28">
        <v>0</v>
      </c>
      <c r="M681" s="28">
        <v>2</v>
      </c>
      <c r="N681" s="35">
        <v>1</v>
      </c>
      <c r="O681" s="34"/>
      <c r="P681" s="34"/>
      <c r="Q681" s="34"/>
      <c r="R681" s="34"/>
      <c r="S681" s="34"/>
      <c r="T681" s="34"/>
      <c r="U681" s="34"/>
      <c r="V681" s="34"/>
      <c r="W681" s="29"/>
      <c r="X681" s="28">
        <v>29</v>
      </c>
      <c r="Y681" s="28">
        <v>1</v>
      </c>
      <c r="Z681" s="28">
        <v>2</v>
      </c>
      <c r="AA681" s="28">
        <v>2</v>
      </c>
      <c r="AB681" s="28">
        <v>1</v>
      </c>
      <c r="AC681" s="28">
        <v>2</v>
      </c>
      <c r="AD681" s="28">
        <v>2</v>
      </c>
      <c r="AE681" s="28">
        <v>4</v>
      </c>
      <c r="AF681" s="28">
        <v>3</v>
      </c>
      <c r="AG681" s="28">
        <v>2</v>
      </c>
      <c r="AH681" s="29" t="s">
        <v>2696</v>
      </c>
      <c r="AI681" s="36">
        <f>if(or(and(K681&lt;32, J681&lt;2), O681=1, P681=1, Q681=1, R681=1, S681=1, T681=1, U681=1, and(W681&lt;&gt;"", W681&lt;&gt;"Oxygen", W681&lt;&gt;"LowFlow")), "Intensive", "Intermediate")</f>
      </c>
      <c r="AJ681" s="37">
        <f>if(or(left(AH681, 1)="X", left(AH681, 1)="Y", left(AH681, 3)="J39M"), "CUSM", "No Match")</f>
      </c>
      <c r="AK681" s="37">
        <f>if(and(or(O681=3, P681=1, Q681=1, T681=1), AJ681="no Match"), "CUSM, CHU SJ, CHUQ", "")</f>
      </c>
      <c r="AL681" s="37">
        <f>IF(AND(O682=2, ISBLANK(P682), ISBLANK(Q682), ISBLANK(R682), ISBLANK(S682), ISBLANK(T682)), "CUSM, CHU SJ, CHUS, CHUQ", "")</f>
      </c>
      <c r="AM681" s="37">
        <f>if(and(AJ681="no match", AK681="", AL681="", K681&lt;26), "CUSM, CHU SJ, HGJ, CHUQ, CHUS", "")</f>
      </c>
      <c r="AN681" s="37">
        <f>if(and(AJ681="no match", AK681="", AL681="", K681&gt;26), "CUSM, CHU SJ, HGJ, CHUQ, CHUS, HMR", "")</f>
      </c>
    </row>
    <row x14ac:dyDescent="0.25" r="682" customHeight="1" ht="17.25">
      <c r="A682" s="27" t="s">
        <v>2697</v>
      </c>
      <c r="B682" s="28">
        <v>2</v>
      </c>
      <c r="C682" s="35">
        <v>820</v>
      </c>
      <c r="D682" s="29" t="s">
        <v>69</v>
      </c>
      <c r="E682" s="30" t="s">
        <v>78</v>
      </c>
      <c r="F682" s="31">
        <v>44548</v>
      </c>
      <c r="G682" s="32">
        <v>4.96875</v>
      </c>
      <c r="H682" s="31">
        <v>44548</v>
      </c>
      <c r="I682" s="32">
        <v>4.3590277777777775</v>
      </c>
      <c r="J682" s="33">
        <f>F682-H682</f>
      </c>
      <c r="K682" s="28">
        <v>37</v>
      </c>
      <c r="L682" s="28">
        <v>0</v>
      </c>
      <c r="M682" s="28">
        <v>2</v>
      </c>
      <c r="N682" s="34"/>
      <c r="O682" s="34"/>
      <c r="P682" s="34"/>
      <c r="Q682" s="34"/>
      <c r="R682" s="34"/>
      <c r="S682" s="34"/>
      <c r="T682" s="34"/>
      <c r="U682" s="34"/>
      <c r="V682" s="34"/>
      <c r="W682" s="29" t="s">
        <v>58</v>
      </c>
      <c r="X682" s="28">
        <v>39</v>
      </c>
      <c r="Y682" s="28">
        <v>1</v>
      </c>
      <c r="Z682" s="28">
        <v>1</v>
      </c>
      <c r="AA682" s="28">
        <v>2</v>
      </c>
      <c r="AB682" s="28">
        <v>1</v>
      </c>
      <c r="AC682" s="28">
        <v>2</v>
      </c>
      <c r="AD682" s="28">
        <v>1</v>
      </c>
      <c r="AE682" s="28">
        <v>4</v>
      </c>
      <c r="AF682" s="28">
        <v>3</v>
      </c>
      <c r="AG682" s="28">
        <v>2</v>
      </c>
      <c r="AH682" s="29" t="s">
        <v>2698</v>
      </c>
      <c r="AI682" s="36">
        <f>if(or(and(K682&lt;32, J682&lt;2), O682=1, P682=1, Q682=1, R682=1, S682=1, T682=1, U682=1, and(W682&lt;&gt;"", W682&lt;&gt;"Oxygen", W682&lt;&gt;"LowFlow")), "Intensive", "Intermediate")</f>
      </c>
      <c r="AJ682" s="37">
        <f>if(or(left(AH682, 1)="X", left(AH682, 1)="Y", left(AH682, 3)="J40M"), "CUSM", "No Match")</f>
      </c>
      <c r="AK682" s="37">
        <f>if(and(or(O682=3, P682=1, Q682=1, T682=1), AJ682="no Match"), "CUSM, CHU SJ, CHUQ", "")</f>
      </c>
      <c r="AL682" s="37">
        <f>IF(AND(O683=2, ISBLANK(P683), ISBLANK(Q683), ISBLANK(R683), ISBLANK(S683), ISBLANK(T683)), "CUSM, CHU SJ, CHUS, CHUQ", "")</f>
      </c>
      <c r="AM682" s="37">
        <f>if(and(AJ682="no match", AK682="", AL682="", K682&lt;26), "CUSM, CHU SJ, HGJ, CHUQ, CHUS", "")</f>
      </c>
      <c r="AN682" s="37">
        <f>if(and(AJ682="no match", AK682="", AL682="", K682&gt;26), "CUSM, CHU SJ, HGJ, CHUQ, CHUS, HMR", "")</f>
      </c>
    </row>
    <row x14ac:dyDescent="0.25" r="683" customHeight="1" ht="17.25">
      <c r="A683" s="27" t="s">
        <v>2699</v>
      </c>
      <c r="B683" s="28">
        <v>2</v>
      </c>
      <c r="C683" s="35">
        <v>815</v>
      </c>
      <c r="D683" s="29" t="s">
        <v>100</v>
      </c>
      <c r="E683" s="30" t="s">
        <v>50</v>
      </c>
      <c r="F683" s="31">
        <v>44548</v>
      </c>
      <c r="G683" s="32">
        <v>4.777777777777778</v>
      </c>
      <c r="H683" s="31">
        <v>44547</v>
      </c>
      <c r="I683" s="32">
        <v>4.904861111111111</v>
      </c>
      <c r="J683" s="33">
        <f>F683-H683</f>
      </c>
      <c r="K683" s="28">
        <v>35</v>
      </c>
      <c r="L683" s="28">
        <v>5</v>
      </c>
      <c r="M683" s="28">
        <v>1</v>
      </c>
      <c r="N683" s="34"/>
      <c r="O683" s="34"/>
      <c r="P683" s="34"/>
      <c r="Q683" s="34"/>
      <c r="R683" s="34"/>
      <c r="S683" s="34"/>
      <c r="T683" s="34"/>
      <c r="U683" s="34"/>
      <c r="V683" s="34"/>
      <c r="W683" s="29" t="s">
        <v>164</v>
      </c>
      <c r="X683" s="28">
        <v>27</v>
      </c>
      <c r="Y683" s="28">
        <v>1</v>
      </c>
      <c r="Z683" s="28">
        <v>2</v>
      </c>
      <c r="AA683" s="28">
        <v>3</v>
      </c>
      <c r="AB683" s="28">
        <v>1</v>
      </c>
      <c r="AC683" s="28">
        <v>2</v>
      </c>
      <c r="AD683" s="28">
        <v>2</v>
      </c>
      <c r="AE683" s="28">
        <v>4</v>
      </c>
      <c r="AF683" s="28">
        <v>3</v>
      </c>
      <c r="AG683" s="28">
        <v>2</v>
      </c>
      <c r="AH683" s="29" t="s">
        <v>2700</v>
      </c>
      <c r="AI683" s="36">
        <f>if(or(and(K683&lt;32, J683&lt;2), O683=1, P683=1, Q683=1, R683=1, S683=1, T683=1, U683=1, and(W683&lt;&gt;"", W683&lt;&gt;"Oxygen", W683&lt;&gt;"LowFlow")), "Intensive", "Intermediate")</f>
      </c>
      <c r="AJ683" s="37">
        <f>if(or(left(AH683, 1)="X", left(AH683, 1)="Y", left(AH683, 3)="J41M"), "CUSM", "No Match")</f>
      </c>
      <c r="AK683" s="37">
        <f>if(and(or(O683=3, P683=1, Q683=1, T683=1), AJ683="no Match"), "CUSM, CHU SJ, CHUQ", "")</f>
      </c>
      <c r="AL683" s="37">
        <f>IF(AND(O684=2, ISBLANK(P684), ISBLANK(Q684), ISBLANK(R684), ISBLANK(S684), ISBLANK(T684)), "CUSM, CHU SJ, CHUS, CHUQ", "")</f>
      </c>
      <c r="AM683" s="37">
        <f>if(and(AJ683="no match", AK683="", AL683="", K683&lt;26), "CUSM, CHU SJ, HGJ, CHUQ, CHUS", "")</f>
      </c>
      <c r="AN683" s="37">
        <f>if(and(AJ683="no match", AK683="", AL683="", K683&gt;26), "CUSM, CHU SJ, HGJ, CHUQ, CHUS, HMR", "")</f>
      </c>
    </row>
    <row x14ac:dyDescent="0.25" r="684" customHeight="1" ht="17.25">
      <c r="A684" s="27" t="s">
        <v>2701</v>
      </c>
      <c r="B684" s="28">
        <v>2</v>
      </c>
      <c r="C684" s="28">
        <v>1019</v>
      </c>
      <c r="D684" s="29" t="s">
        <v>354</v>
      </c>
      <c r="E684" s="30" t="s">
        <v>54</v>
      </c>
      <c r="F684" s="31">
        <v>44550</v>
      </c>
      <c r="G684" s="32">
        <v>4.770833333333334</v>
      </c>
      <c r="H684" s="31">
        <v>44549</v>
      </c>
      <c r="I684" s="32">
        <v>4.770833333333334</v>
      </c>
      <c r="J684" s="33">
        <f>F684-H684</f>
      </c>
      <c r="K684" s="28">
        <v>40</v>
      </c>
      <c r="L684" s="28">
        <v>3</v>
      </c>
      <c r="M684" s="28">
        <v>2</v>
      </c>
      <c r="N684" s="28">
        <v>1</v>
      </c>
      <c r="O684" s="34"/>
      <c r="P684" s="34"/>
      <c r="Q684" s="34"/>
      <c r="R684" s="34"/>
      <c r="S684" s="34"/>
      <c r="T684" s="34"/>
      <c r="U684" s="34"/>
      <c r="V684" s="34"/>
      <c r="W684" s="29"/>
      <c r="X684" s="28">
        <v>24</v>
      </c>
      <c r="Y684" s="28">
        <v>1</v>
      </c>
      <c r="Z684" s="28">
        <v>1</v>
      </c>
      <c r="AA684" s="28">
        <v>1</v>
      </c>
      <c r="AB684" s="28">
        <v>1</v>
      </c>
      <c r="AC684" s="28">
        <v>2</v>
      </c>
      <c r="AD684" s="28">
        <v>2</v>
      </c>
      <c r="AE684" s="28">
        <v>4</v>
      </c>
      <c r="AF684" s="28">
        <v>2</v>
      </c>
      <c r="AG684" s="28">
        <v>2</v>
      </c>
      <c r="AH684" s="29" t="s">
        <v>2702</v>
      </c>
      <c r="AI684" s="36">
        <f>if(or(and(K684&lt;32, J684&lt;2), O684=1, P684=1, Q684=1, R684=1, S684=1, T684=1, U684=1, and(W684&lt;&gt;"", W684&lt;&gt;"Oxygen", W684&lt;&gt;"LowFlow")), "Intensive", "Intermediate")</f>
      </c>
      <c r="AJ684" s="37">
        <f>if(or(left(AH684, 1)="X", left(AH684, 1)="Y", left(AH684, 3)="J42M"), "CUSM", "No Match")</f>
      </c>
      <c r="AK684" s="37">
        <f>if(and(or(O684=3, P684=1, Q684=1, T684=1), AJ684="no Match"), "CUSM, CHU SJ, CHUQ", "")</f>
      </c>
      <c r="AL684" s="37">
        <f>IF(AND(O685=2, ISBLANK(P685), ISBLANK(Q685), ISBLANK(R685), ISBLANK(S685), ISBLANK(T685)), "CUSM, CHU SJ, CHUS, CHUQ", "")</f>
      </c>
      <c r="AM684" s="37">
        <f>if(and(AJ684="no match", AK684="", AL684="", K684&lt;26), "CUSM, CHU SJ, HGJ, CHUQ, CHUS", "")</f>
      </c>
      <c r="AN684" s="37">
        <f>if(and(AJ684="no match", AK684="", AL684="", K684&gt;26), "CUSM, CHU SJ, HGJ, CHUQ, CHUS, HMR", "")</f>
      </c>
    </row>
    <row x14ac:dyDescent="0.25" r="685" customHeight="1" ht="17.25">
      <c r="A685" s="27" t="s">
        <v>2703</v>
      </c>
      <c r="B685" s="28">
        <v>2</v>
      </c>
      <c r="C685" s="35">
        <v>731</v>
      </c>
      <c r="D685" s="29" t="s">
        <v>103</v>
      </c>
      <c r="E685" s="30" t="s">
        <v>54</v>
      </c>
      <c r="F685" s="31">
        <v>44550</v>
      </c>
      <c r="G685" s="32">
        <v>4.805555555555555</v>
      </c>
      <c r="H685" s="31">
        <v>44550</v>
      </c>
      <c r="I685" s="32">
        <v>4.554166666666667</v>
      </c>
      <c r="J685" s="33">
        <f>F685-H685</f>
      </c>
      <c r="K685" s="28">
        <v>36</v>
      </c>
      <c r="L685" s="28">
        <v>4</v>
      </c>
      <c r="M685" s="28">
        <v>1</v>
      </c>
      <c r="N685" s="35">
        <v>1</v>
      </c>
      <c r="O685" s="35">
        <v>2</v>
      </c>
      <c r="P685" s="35">
        <v>1</v>
      </c>
      <c r="Q685" s="34"/>
      <c r="R685" s="34"/>
      <c r="S685" s="34"/>
      <c r="T685" s="34"/>
      <c r="U685" s="34"/>
      <c r="V685" s="34"/>
      <c r="W685" s="29" t="s">
        <v>58</v>
      </c>
      <c r="X685" s="28">
        <v>29</v>
      </c>
      <c r="Y685" s="28">
        <v>1</v>
      </c>
      <c r="Z685" s="28">
        <v>2</v>
      </c>
      <c r="AA685" s="28">
        <v>2</v>
      </c>
      <c r="AB685" s="28">
        <v>1</v>
      </c>
      <c r="AC685" s="28">
        <v>1</v>
      </c>
      <c r="AD685" s="28">
        <v>2</v>
      </c>
      <c r="AE685" s="28">
        <v>4</v>
      </c>
      <c r="AF685" s="35">
        <v>2</v>
      </c>
      <c r="AG685" s="28">
        <v>2</v>
      </c>
      <c r="AH685" s="29" t="s">
        <v>2704</v>
      </c>
      <c r="AI685" s="36">
        <f>if(or(and(K685&lt;32, J685&lt;2), O685=1, P685=1, Q685=1, R685=1, S685=1, T685=1, U685=1, and(W685&lt;&gt;"", W685&lt;&gt;"Oxygen", W685&lt;&gt;"LowFlow")), "Intensive", "Intermediate")</f>
      </c>
      <c r="AJ685" s="37">
        <f>if(or(left(AH685, 1)="X", left(AH685, 1)="Y", left(AH685, 3)="J43M"), "CUSM", "No Match")</f>
      </c>
      <c r="AK685" s="37">
        <f>if(and(or(O685=3, P685=1, Q685=1, T685=1), AJ685="no Match"), "CUSM, CHU SJ, CHUQ", "")</f>
      </c>
      <c r="AL685" s="37">
        <f>IF(AND(O686=2, ISBLANK(P686), ISBLANK(Q686), ISBLANK(R686), ISBLANK(S686), ISBLANK(T686)), "CUSM, CHU SJ, CHUS, CHUQ", "")</f>
      </c>
      <c r="AM685" s="37">
        <f>if(and(AJ685="no match", AK685="", AL685="", K685&lt;26), "CUSM, CHU SJ, HGJ, CHUQ, CHUS", "")</f>
      </c>
      <c r="AN685" s="37">
        <f>if(and(AJ685="no match", AK685="", AL685="", K685&gt;26), "CUSM, CHU SJ, HGJ, CHUQ, CHUS, HMR", "")</f>
      </c>
    </row>
    <row x14ac:dyDescent="0.25" r="686" customHeight="1" ht="17.25">
      <c r="A686" s="27" t="s">
        <v>2705</v>
      </c>
      <c r="B686" s="28">
        <v>2</v>
      </c>
      <c r="C686" s="28">
        <v>822</v>
      </c>
      <c r="D686" s="29" t="s">
        <v>167</v>
      </c>
      <c r="E686" s="30" t="s">
        <v>78</v>
      </c>
      <c r="F686" s="31">
        <v>44550</v>
      </c>
      <c r="G686" s="32">
        <v>4.875</v>
      </c>
      <c r="H686" s="31">
        <v>44550</v>
      </c>
      <c r="I686" s="32">
        <v>4.19375</v>
      </c>
      <c r="J686" s="33">
        <f>F686-H686</f>
      </c>
      <c r="K686" s="28">
        <v>30</v>
      </c>
      <c r="L686" s="28">
        <v>1</v>
      </c>
      <c r="M686" s="28">
        <v>2</v>
      </c>
      <c r="N686" s="38"/>
      <c r="O686" s="34"/>
      <c r="P686" s="38"/>
      <c r="Q686" s="34"/>
      <c r="R686" s="34"/>
      <c r="S686" s="34"/>
      <c r="T686" s="34"/>
      <c r="U686" s="34"/>
      <c r="V686" s="34"/>
      <c r="W686" s="29" t="s">
        <v>74</v>
      </c>
      <c r="X686" s="28">
        <v>31</v>
      </c>
      <c r="Y686" s="28">
        <v>1</v>
      </c>
      <c r="Z686" s="28">
        <v>2</v>
      </c>
      <c r="AA686" s="28">
        <v>1</v>
      </c>
      <c r="AB686" s="28">
        <v>1</v>
      </c>
      <c r="AC686" s="28">
        <v>2</v>
      </c>
      <c r="AD686" s="28">
        <v>2</v>
      </c>
      <c r="AE686" s="28">
        <v>4</v>
      </c>
      <c r="AF686" s="28">
        <v>2</v>
      </c>
      <c r="AG686" s="28">
        <v>2</v>
      </c>
      <c r="AH686" s="29" t="s">
        <v>2706</v>
      </c>
      <c r="AI686" s="36">
        <f>if(or(and(K686&lt;32, J686&lt;2), O686=1, P686=1, Q686=1, R686=1, S686=1, T686=1, U686=1, and(W686&lt;&gt;"", W686&lt;&gt;"Oxygen", W686&lt;&gt;"LowFlow")), "Intensive", "Intermediate")</f>
      </c>
      <c r="AJ686" s="37">
        <f>if(or(left(AH686, 1)="X", left(AH686, 1)="Y", left(AH686, 3)="J44M"), "CUSM", "No Match")</f>
      </c>
      <c r="AK686" s="37">
        <f>if(and(or(O686=3, P686=1, Q686=1, T686=1), AJ686="no Match"), "CUSM, CHU SJ, CHUQ", "")</f>
      </c>
      <c r="AL686" s="37">
        <f>IF(AND(O687=2, ISBLANK(P687), ISBLANK(Q687), ISBLANK(R687), ISBLANK(S687), ISBLANK(T687)), "CUSM, CHU SJ, CHUS, CHUQ", "")</f>
      </c>
      <c r="AM686" s="37">
        <f>if(and(AJ686="no match", AK686="", AL686="", K686&lt;26), "CUSM, CHU SJ, HGJ, CHUQ, CHUS", "")</f>
      </c>
      <c r="AN686" s="37">
        <f>if(and(AJ686="no match", AK686="", AL686="", K686&gt;26), "CUSM, CHU SJ, HGJ, CHUQ, CHUS, HMR", "")</f>
      </c>
    </row>
    <row x14ac:dyDescent="0.25" r="687" customHeight="1" ht="17.25">
      <c r="A687" s="27" t="s">
        <v>2707</v>
      </c>
      <c r="B687" s="28">
        <v>2</v>
      </c>
      <c r="C687" s="35">
        <v>835</v>
      </c>
      <c r="D687" s="29" t="s">
        <v>170</v>
      </c>
      <c r="E687" s="30" t="s">
        <v>220</v>
      </c>
      <c r="F687" s="31">
        <v>44551</v>
      </c>
      <c r="G687" s="32">
        <v>4.923611111111111</v>
      </c>
      <c r="H687" s="31">
        <v>44551</v>
      </c>
      <c r="I687" s="32">
        <v>4.666666666666666</v>
      </c>
      <c r="J687" s="33">
        <f>F687-H687</f>
      </c>
      <c r="K687" s="28">
        <v>32</v>
      </c>
      <c r="L687" s="28">
        <v>4</v>
      </c>
      <c r="M687" s="28">
        <v>2</v>
      </c>
      <c r="N687" s="34"/>
      <c r="O687" s="34"/>
      <c r="P687" s="34"/>
      <c r="Q687" s="34"/>
      <c r="R687" s="34"/>
      <c r="S687" s="34"/>
      <c r="T687" s="34"/>
      <c r="U687" s="34"/>
      <c r="V687" s="34"/>
      <c r="W687" s="29" t="s">
        <v>74</v>
      </c>
      <c r="X687" s="28">
        <v>27</v>
      </c>
      <c r="Y687" s="28">
        <v>1</v>
      </c>
      <c r="Z687" s="28">
        <v>1</v>
      </c>
      <c r="AA687" s="28">
        <v>2</v>
      </c>
      <c r="AB687" s="28">
        <v>1</v>
      </c>
      <c r="AC687" s="28">
        <v>2</v>
      </c>
      <c r="AD687" s="28">
        <v>2</v>
      </c>
      <c r="AE687" s="28">
        <v>4</v>
      </c>
      <c r="AF687" s="28">
        <v>2</v>
      </c>
      <c r="AG687" s="28">
        <v>2</v>
      </c>
      <c r="AH687" s="29" t="s">
        <v>2708</v>
      </c>
      <c r="AI687" s="36">
        <f>if(or(and(K687&lt;32, J687&lt;2), O687=1, P687=1, Q687=1, R687=1, S687=1, T687=1, U687=1, and(W687&lt;&gt;"", W687&lt;&gt;"Oxygen", W687&lt;&gt;"LowFlow")), "Intensive", "Intermediate")</f>
      </c>
      <c r="AJ687" s="37">
        <f>if(or(left(AH687, 1)="X", left(AH687, 1)="Y", left(AH687, 3)="J45M"), "CUSM", "No Match")</f>
      </c>
      <c r="AK687" s="37">
        <f>if(and(or(O687=3, P687=1, Q687=1, T687=1), AJ687="no Match"), "CUSM, CHU SJ, CHUQ", "")</f>
      </c>
      <c r="AL687" s="37">
        <f>IF(AND(O688=2, ISBLANK(P688), ISBLANK(Q688), ISBLANK(R688), ISBLANK(S688), ISBLANK(T688)), "CUSM, CHU SJ, CHUS, CHUQ", "")</f>
      </c>
      <c r="AM687" s="37">
        <f>if(and(AJ687="no match", AK687="", AL687="", K687&lt;26), "CUSM, CHU SJ, HGJ, CHUQ, CHUS", "")</f>
      </c>
      <c r="AN687" s="37">
        <f>if(and(AJ687="no match", AK687="", AL687="", K687&gt;26), "CUSM, CHU SJ, HGJ, CHUQ, CHUS, HMR", "")</f>
      </c>
    </row>
    <row x14ac:dyDescent="0.25" r="688" customHeight="1" ht="17.25">
      <c r="A688" s="27" t="s">
        <v>2709</v>
      </c>
      <c r="B688" s="28">
        <v>2</v>
      </c>
      <c r="C688" s="35">
        <v>1019</v>
      </c>
      <c r="D688" s="29" t="s">
        <v>354</v>
      </c>
      <c r="E688" s="30" t="s">
        <v>54</v>
      </c>
      <c r="F688" s="31">
        <v>44552</v>
      </c>
      <c r="G688" s="32">
        <v>4.965277777777778</v>
      </c>
      <c r="H688" s="31">
        <v>44469</v>
      </c>
      <c r="I688" s="32">
        <v>4.645138888888889</v>
      </c>
      <c r="J688" s="33">
        <f>F688-H688</f>
      </c>
      <c r="K688" s="28">
        <v>29</v>
      </c>
      <c r="L688" s="28">
        <v>4</v>
      </c>
      <c r="M688" s="28">
        <v>2</v>
      </c>
      <c r="N688" s="35">
        <v>1</v>
      </c>
      <c r="O688" s="34"/>
      <c r="P688" s="35">
        <v>1</v>
      </c>
      <c r="Q688" s="34"/>
      <c r="R688" s="34"/>
      <c r="S688" s="34"/>
      <c r="T688" s="34"/>
      <c r="U688" s="34"/>
      <c r="V688" s="35">
        <v>1</v>
      </c>
      <c r="W688" s="29" t="s">
        <v>58</v>
      </c>
      <c r="X688" s="28">
        <v>33</v>
      </c>
      <c r="Y688" s="28">
        <v>1</v>
      </c>
      <c r="Z688" s="28">
        <v>2</v>
      </c>
      <c r="AA688" s="28">
        <v>2</v>
      </c>
      <c r="AB688" s="28">
        <v>1</v>
      </c>
      <c r="AC688" s="28">
        <v>2</v>
      </c>
      <c r="AD688" s="28">
        <v>2</v>
      </c>
      <c r="AE688" s="28">
        <v>2</v>
      </c>
      <c r="AF688" s="28">
        <v>2</v>
      </c>
      <c r="AG688" s="28">
        <v>2</v>
      </c>
      <c r="AH688" s="29" t="s">
        <v>2710</v>
      </c>
      <c r="AI688" s="36">
        <f>if(or(and(K688&lt;32, J688&lt;2), O688=1, P688=1, Q688=1, R688=1, S688=1, T688=1, U688=1, and(W688&lt;&gt;"", W688&lt;&gt;"Oxygen", W688&lt;&gt;"LowFlow")), "Intensive", "Intermediate")</f>
      </c>
      <c r="AJ688" s="37">
        <f>if(or(left(AH688, 1)="X", left(AH688, 1)="Y", left(AH688, 3)="J46M"), "CUSM", "No Match")</f>
      </c>
      <c r="AK688" s="37">
        <f>if(and(or(O688=3, P688=1, Q688=1, T688=1), AJ688="no Match"), "CUSM, CHU SJ, CHUQ", "")</f>
      </c>
      <c r="AL688" s="37">
        <f>IF(AND(O689=2, ISBLANK(P689), ISBLANK(Q689), ISBLANK(R689), ISBLANK(S689), ISBLANK(T689)), "CUSM, CHU SJ, CHUS, CHUQ", "")</f>
      </c>
      <c r="AM688" s="37">
        <f>if(and(AJ688="no match", AK688="", AL688="", K688&lt;26), "CUSM, CHU SJ, HGJ, CHUQ, CHUS", "")</f>
      </c>
      <c r="AN688" s="37">
        <f>if(and(AJ688="no match", AK688="", AL688="", K688&gt;26), "CUSM, CHU SJ, HGJ, CHUQ, CHUS, HMR", "")</f>
      </c>
    </row>
    <row x14ac:dyDescent="0.25" r="689" customHeight="1" ht="17.25">
      <c r="A689" s="27" t="s">
        <v>2711</v>
      </c>
      <c r="B689" s="28">
        <v>2</v>
      </c>
      <c r="C689" s="35">
        <v>2</v>
      </c>
      <c r="D689" s="29" t="s">
        <v>269</v>
      </c>
      <c r="E689" s="30" t="s">
        <v>50</v>
      </c>
      <c r="F689" s="31">
        <v>44552</v>
      </c>
      <c r="G689" s="32">
        <v>4.447916666666666</v>
      </c>
      <c r="H689" s="31">
        <v>44552</v>
      </c>
      <c r="I689" s="32">
        <v>4.303472222222222</v>
      </c>
      <c r="J689" s="33">
        <f>F689-H689</f>
      </c>
      <c r="K689" s="28">
        <v>40</v>
      </c>
      <c r="L689" s="28">
        <v>3</v>
      </c>
      <c r="M689" s="28">
        <v>2</v>
      </c>
      <c r="N689" s="34"/>
      <c r="O689" s="34"/>
      <c r="P689" s="34"/>
      <c r="Q689" s="34"/>
      <c r="R689" s="34"/>
      <c r="S689" s="34"/>
      <c r="T689" s="35">
        <v>1</v>
      </c>
      <c r="U689" s="34"/>
      <c r="V689" s="34"/>
      <c r="W689" s="29" t="s">
        <v>74</v>
      </c>
      <c r="X689" s="28">
        <v>38</v>
      </c>
      <c r="Y689" s="28">
        <v>1</v>
      </c>
      <c r="Z689" s="28">
        <v>1</v>
      </c>
      <c r="AA689" s="28">
        <v>2</v>
      </c>
      <c r="AB689" s="28">
        <v>1</v>
      </c>
      <c r="AC689" s="28">
        <v>2</v>
      </c>
      <c r="AD689" s="28">
        <v>2</v>
      </c>
      <c r="AE689" s="28">
        <v>1</v>
      </c>
      <c r="AF689" s="38"/>
      <c r="AG689" s="28">
        <v>2</v>
      </c>
      <c r="AH689" s="29" t="s">
        <v>2712</v>
      </c>
      <c r="AI689" s="36">
        <f>if(or(and(K689&lt;32, J689&lt;2), O689=1, P689=1, Q689=1, R689=1, S689=1, T689=1, U689=1, and(W689&lt;&gt;"", W689&lt;&gt;"Oxygen", W689&lt;&gt;"LowFlow")), "Intensive", "Intermediate")</f>
      </c>
      <c r="AJ689" s="37">
        <f>if(or(left(AH689, 1)="X", left(AH689, 1)="Y", left(AH689, 3)="J47M"), "CUSM", "No Match")</f>
      </c>
      <c r="AK689" s="37">
        <f>if(and(or(O689=3, P689=1, Q689=1, T689=1), AJ689="no Match"), "CUSM, CHU SJ, CHUQ", "")</f>
      </c>
      <c r="AL689" s="37">
        <f>IF(AND(O690=2, ISBLANK(P690), ISBLANK(Q690), ISBLANK(R690), ISBLANK(S690), ISBLANK(T690)), "CUSM, CHU SJ, CHUS, CHUQ", "")</f>
      </c>
      <c r="AM689" s="37">
        <f>if(and(AJ689="no match", AK689="", AL689="", K689&lt;26), "CUSM, CHU SJ, HGJ, CHUQ, CHUS", "")</f>
      </c>
      <c r="AN689" s="37">
        <f>if(and(AJ689="no match", AK689="", AL689="", K689&gt;26), "CUSM, CHU SJ, HGJ, CHUQ, CHUS, HMR", "")</f>
      </c>
    </row>
    <row x14ac:dyDescent="0.25" r="690" customHeight="1" ht="17.25">
      <c r="A690" s="27" t="s">
        <v>2713</v>
      </c>
      <c r="B690" s="28">
        <v>2</v>
      </c>
      <c r="C690" s="28">
        <v>748</v>
      </c>
      <c r="D690" s="29" t="s">
        <v>145</v>
      </c>
      <c r="E690" s="30" t="s">
        <v>118</v>
      </c>
      <c r="F690" s="31">
        <v>44553</v>
      </c>
      <c r="G690" s="32">
        <v>4.416666666666666</v>
      </c>
      <c r="H690" s="31">
        <v>44553</v>
      </c>
      <c r="I690" s="32">
        <v>4.230555555555556</v>
      </c>
      <c r="J690" s="33">
        <f>F690-H690</f>
      </c>
      <c r="K690" s="28">
        <v>30</v>
      </c>
      <c r="L690" s="28">
        <v>0</v>
      </c>
      <c r="M690" s="28">
        <v>2</v>
      </c>
      <c r="N690" s="34"/>
      <c r="O690" s="34"/>
      <c r="P690" s="34"/>
      <c r="Q690" s="34"/>
      <c r="R690" s="34"/>
      <c r="S690" s="34"/>
      <c r="T690" s="34"/>
      <c r="U690" s="34"/>
      <c r="V690" s="34"/>
      <c r="W690" s="29" t="s">
        <v>74</v>
      </c>
      <c r="X690" s="28">
        <v>25</v>
      </c>
      <c r="Y690" s="28">
        <v>1</v>
      </c>
      <c r="Z690" s="28">
        <v>1</v>
      </c>
      <c r="AA690" s="28">
        <v>3</v>
      </c>
      <c r="AB690" s="28">
        <v>1</v>
      </c>
      <c r="AC690" s="28">
        <v>2</v>
      </c>
      <c r="AD690" s="28">
        <v>2</v>
      </c>
      <c r="AE690" s="28">
        <v>4</v>
      </c>
      <c r="AF690" s="28">
        <v>3</v>
      </c>
      <c r="AG690" s="28">
        <v>2</v>
      </c>
      <c r="AH690" s="29" t="s">
        <v>2714</v>
      </c>
      <c r="AI690" s="36">
        <f>if(or(and(K690&lt;32, J690&lt;2), O690=1, P690=1, Q690=1, R690=1, S690=1, T690=1, U690=1, and(W690&lt;&gt;"", W690&lt;&gt;"Oxygen", W690&lt;&gt;"LowFlow")), "Intensive", "Intermediate")</f>
      </c>
      <c r="AJ690" s="37">
        <f>if(or(left(AH690, 1)="X", left(AH690, 1)="Y", left(AH690, 3)="J48M"), "CUSM", "No Match")</f>
      </c>
      <c r="AK690" s="37">
        <f>if(and(or(O690=3, P690=1, Q690=1, T690=1), AJ690="no Match"), "CUSM, CHU SJ, CHUQ", "")</f>
      </c>
      <c r="AL690" s="37">
        <f>IF(AND(O691=2, ISBLANK(P691), ISBLANK(Q691), ISBLANK(R691), ISBLANK(S691), ISBLANK(T691)), "CUSM, CHU SJ, CHUS, CHUQ", "")</f>
      </c>
      <c r="AM690" s="37">
        <f>if(and(AJ690="no match", AK690="", AL690="", K690&lt;26), "CUSM, CHU SJ, HGJ, CHUQ, CHUS", "")</f>
      </c>
      <c r="AN690" s="37">
        <f>if(and(AJ690="no match", AK690="", AL690="", K690&gt;26), "CUSM, CHU SJ, HGJ, CHUQ, CHUS, HMR", "")</f>
      </c>
    </row>
    <row x14ac:dyDescent="0.25" r="691" customHeight="1" ht="17.25">
      <c r="A691" s="27" t="s">
        <v>2715</v>
      </c>
      <c r="B691" s="28">
        <v>2</v>
      </c>
      <c r="C691" s="35">
        <v>779</v>
      </c>
      <c r="D691" s="29" t="s">
        <v>136</v>
      </c>
      <c r="E691" s="30" t="s">
        <v>50</v>
      </c>
      <c r="F691" s="31">
        <v>44553</v>
      </c>
      <c r="G691" s="32">
        <v>4.770833333333334</v>
      </c>
      <c r="H691" s="31">
        <v>44553</v>
      </c>
      <c r="I691" s="32">
        <v>4.558333333333334</v>
      </c>
      <c r="J691" s="33">
        <f>F691-H691</f>
      </c>
      <c r="K691" s="28">
        <v>41</v>
      </c>
      <c r="L691" s="28">
        <v>0</v>
      </c>
      <c r="M691" s="28">
        <v>1</v>
      </c>
      <c r="N691" s="28">
        <v>1</v>
      </c>
      <c r="O691" s="34"/>
      <c r="P691" s="34"/>
      <c r="Q691" s="34"/>
      <c r="R691" s="34"/>
      <c r="S691" s="34"/>
      <c r="T691" s="35">
        <v>1</v>
      </c>
      <c r="U691" s="35">
        <v>1</v>
      </c>
      <c r="V691" s="35">
        <v>1</v>
      </c>
      <c r="W691" s="29" t="s">
        <v>70</v>
      </c>
      <c r="X691" s="28">
        <v>28</v>
      </c>
      <c r="Y691" s="28">
        <v>1</v>
      </c>
      <c r="Z691" s="28">
        <v>1</v>
      </c>
      <c r="AA691" s="28">
        <v>1</v>
      </c>
      <c r="AB691" s="28">
        <v>1</v>
      </c>
      <c r="AC691" s="28">
        <v>2</v>
      </c>
      <c r="AD691" s="28">
        <v>2</v>
      </c>
      <c r="AE691" s="28">
        <v>4</v>
      </c>
      <c r="AF691" s="28">
        <v>2</v>
      </c>
      <c r="AG691" s="28">
        <v>2</v>
      </c>
      <c r="AH691" s="29" t="s">
        <v>2716</v>
      </c>
      <c r="AI691" s="36">
        <f>if(or(and(K691&lt;32, J691&lt;2), O691=1, P691=1, Q691=1, R691=1, S691=1, T691=1, U691=1, and(W691&lt;&gt;"", W691&lt;&gt;"Oxygen", W691&lt;&gt;"LowFlow")), "Intensive", "Intermediate")</f>
      </c>
      <c r="AJ691" s="37">
        <f>if(or(left(AH691, 1)="X", left(AH691, 1)="Y", left(AH691, 3)="J49M"), "CUSM", "No Match")</f>
      </c>
      <c r="AK691" s="37">
        <f>if(and(or(O691=3, P691=1, Q691=1, T691=1), AJ691="no Match"), "CUSM, CHU SJ, CHUQ", "")</f>
      </c>
      <c r="AL691" s="37">
        <f>IF(AND(O692=2, ISBLANK(P692), ISBLANK(Q692), ISBLANK(R692), ISBLANK(S692), ISBLANK(T692)), "CUSM, CHU SJ, CHUS, CHUQ", "")</f>
      </c>
      <c r="AM691" s="37">
        <f>if(and(AJ691="no match", AK691="", AL691="", K691&lt;26), "CUSM, CHU SJ, HGJ, CHUQ, CHUS", "")</f>
      </c>
      <c r="AN691" s="37">
        <f>if(and(AJ691="no match", AK691="", AL691="", K691&gt;26), "CUSM, CHU SJ, HGJ, CHUQ, CHUS, HMR", "")</f>
      </c>
    </row>
    <row x14ac:dyDescent="0.25" r="692" customHeight="1" ht="17.25">
      <c r="A692" s="27" t="s">
        <v>2717</v>
      </c>
      <c r="B692" s="28">
        <v>2</v>
      </c>
      <c r="C692" s="35">
        <v>730</v>
      </c>
      <c r="D692" s="29" t="s">
        <v>81</v>
      </c>
      <c r="E692" s="30" t="s">
        <v>50</v>
      </c>
      <c r="F692" s="31">
        <v>44553</v>
      </c>
      <c r="G692" s="32">
        <v>4.583333333333334</v>
      </c>
      <c r="H692" s="31">
        <v>44553</v>
      </c>
      <c r="I692" s="32">
        <v>4.3597222222222225</v>
      </c>
      <c r="J692" s="33">
        <f>F692-H692</f>
      </c>
      <c r="K692" s="28">
        <v>37</v>
      </c>
      <c r="L692" s="28">
        <v>6</v>
      </c>
      <c r="M692" s="28">
        <v>1</v>
      </c>
      <c r="N692" s="34"/>
      <c r="O692" s="34"/>
      <c r="P692" s="34"/>
      <c r="Q692" s="34"/>
      <c r="R692" s="34"/>
      <c r="S692" s="34"/>
      <c r="T692" s="35">
        <v>1</v>
      </c>
      <c r="U692" s="34"/>
      <c r="V692" s="34"/>
      <c r="W692" s="29" t="s">
        <v>58</v>
      </c>
      <c r="X692" s="28">
        <v>35</v>
      </c>
      <c r="Y692" s="28">
        <v>1</v>
      </c>
      <c r="Z692" s="28">
        <v>2</v>
      </c>
      <c r="AA692" s="28">
        <v>2</v>
      </c>
      <c r="AB692" s="28">
        <v>1</v>
      </c>
      <c r="AC692" s="28">
        <v>2</v>
      </c>
      <c r="AD692" s="28">
        <v>2</v>
      </c>
      <c r="AE692" s="28">
        <v>3</v>
      </c>
      <c r="AF692" s="28">
        <v>2</v>
      </c>
      <c r="AG692" s="28">
        <v>2</v>
      </c>
      <c r="AH692" s="29" t="s">
        <v>2718</v>
      </c>
      <c r="AI692" s="36">
        <f>if(or(and(K692&lt;32, J692&lt;2), O692=1, P692=1, Q692=1, R692=1, S692=1, T692=1, U692=1, and(W692&lt;&gt;"", W692&lt;&gt;"Oxygen", W692&lt;&gt;"LowFlow")), "Intensive", "Intermediate")</f>
      </c>
      <c r="AJ692" s="37">
        <f>if(or(left(AH692, 1)="X", left(AH692, 1)="Y", left(AH692, 3)="J50M"), "CUSM", "No Match")</f>
      </c>
      <c r="AK692" s="37">
        <f>if(and(or(O692=3, P692=1, Q692=1, T692=1), AJ692="no Match"), "CUSM, CHU SJ, CHUQ", "")</f>
      </c>
      <c r="AL692" s="37">
        <f>IF(AND(O693=2, ISBLANK(P693), ISBLANK(Q693), ISBLANK(R693), ISBLANK(S693), ISBLANK(T693)), "CUSM, CHU SJ, CHUS, CHUQ", "")</f>
      </c>
      <c r="AM692" s="37">
        <f>if(and(AJ692="no match", AK692="", AL692="", K692&lt;26), "CUSM, CHU SJ, HGJ, CHUQ, CHUS", "")</f>
      </c>
      <c r="AN692" s="37">
        <f>if(and(AJ692="no match", AK692="", AL692="", K692&gt;26), "CUSM, CHU SJ, HGJ, CHUQ, CHUS, HMR", "")</f>
      </c>
    </row>
    <row x14ac:dyDescent="0.25" r="693" customHeight="1" ht="17.25">
      <c r="A693" s="27" t="s">
        <v>2719</v>
      </c>
      <c r="B693" s="28">
        <v>2</v>
      </c>
      <c r="C693" s="35">
        <v>748</v>
      </c>
      <c r="D693" s="29" t="s">
        <v>145</v>
      </c>
      <c r="E693" s="30" t="s">
        <v>118</v>
      </c>
      <c r="F693" s="31">
        <v>44554</v>
      </c>
      <c r="G693" s="32">
        <v>4.095833333333333</v>
      </c>
      <c r="H693" s="31">
        <v>44554</v>
      </c>
      <c r="I693" s="32">
        <v>4.066666666666666</v>
      </c>
      <c r="J693" s="33">
        <f>F693-H693</f>
      </c>
      <c r="K693" s="28">
        <v>32</v>
      </c>
      <c r="L693" s="28">
        <v>1</v>
      </c>
      <c r="M693" s="28">
        <v>1</v>
      </c>
      <c r="N693" s="34"/>
      <c r="O693" s="34"/>
      <c r="P693" s="34"/>
      <c r="Q693" s="34"/>
      <c r="R693" s="34"/>
      <c r="S693" s="34"/>
      <c r="T693" s="34"/>
      <c r="U693" s="34"/>
      <c r="V693" s="34"/>
      <c r="W693" s="29" t="s">
        <v>58</v>
      </c>
      <c r="X693" s="28">
        <v>31</v>
      </c>
      <c r="Y693" s="28">
        <v>2</v>
      </c>
      <c r="Z693" s="28">
        <v>1</v>
      </c>
      <c r="AA693" s="28">
        <v>2</v>
      </c>
      <c r="AB693" s="28">
        <v>1</v>
      </c>
      <c r="AC693" s="28">
        <v>2</v>
      </c>
      <c r="AD693" s="28">
        <v>1</v>
      </c>
      <c r="AE693" s="28">
        <v>4</v>
      </c>
      <c r="AF693" s="28">
        <v>2</v>
      </c>
      <c r="AG693" s="28">
        <v>2</v>
      </c>
      <c r="AH693" s="29" t="s">
        <v>2720</v>
      </c>
      <c r="AI693" s="36">
        <f>if(or(and(K693&lt;32, J693&lt;2), O693=1, P693=1, Q693=1, R693=1, S693=1, T693=1, U693=1, and(W693&lt;&gt;"", W693&lt;&gt;"Oxygen", W693&lt;&gt;"LowFlow")), "Intensive", "Intermediate")</f>
      </c>
      <c r="AJ693" s="37">
        <f>if(or(left(AH693, 1)="X", left(AH693, 1)="Y", left(AH693, 3)="J51M"), "CUSM", "No Match")</f>
      </c>
      <c r="AK693" s="37">
        <f>if(and(or(O693=3, P693=1, Q693=1, T693=1), AJ693="no Match"), "CUSM, CHU SJ, CHUQ", "")</f>
      </c>
      <c r="AL693" s="37">
        <f>IF(AND(O694=2, ISBLANK(P694), ISBLANK(Q694), ISBLANK(R694), ISBLANK(S694), ISBLANK(T694)), "CUSM, CHU SJ, CHUS, CHUQ", "")</f>
      </c>
      <c r="AM693" s="37">
        <f>if(and(AJ693="no match", AK693="", AL693="", K693&lt;26), "CUSM, CHU SJ, HGJ, CHUQ, CHUS", "")</f>
      </c>
      <c r="AN693" s="37">
        <f>if(and(AJ693="no match", AK693="", AL693="", K693&gt;26), "CUSM, CHU SJ, HGJ, CHUQ, CHUS, HMR", "")</f>
      </c>
    </row>
    <row x14ac:dyDescent="0.25" r="694" customHeight="1" ht="17.25">
      <c r="A694" s="27" t="s">
        <v>2721</v>
      </c>
      <c r="B694" s="28">
        <v>2</v>
      </c>
      <c r="C694" s="35">
        <v>835</v>
      </c>
      <c r="D694" s="29" t="s">
        <v>170</v>
      </c>
      <c r="E694" s="30" t="s">
        <v>54</v>
      </c>
      <c r="F694" s="31">
        <v>44554</v>
      </c>
      <c r="G694" s="32">
        <v>4.833333333333334</v>
      </c>
      <c r="H694" s="31">
        <v>44553</v>
      </c>
      <c r="I694" s="32">
        <v>4.4006944444444445</v>
      </c>
      <c r="J694" s="33">
        <f>F694-H694</f>
      </c>
      <c r="K694" s="28">
        <v>39</v>
      </c>
      <c r="L694" s="28">
        <v>0</v>
      </c>
      <c r="M694" s="28">
        <v>2</v>
      </c>
      <c r="N694" s="34"/>
      <c r="O694" s="34"/>
      <c r="P694" s="34"/>
      <c r="Q694" s="34"/>
      <c r="R694" s="34"/>
      <c r="S694" s="34"/>
      <c r="T694" s="34"/>
      <c r="U694" s="34"/>
      <c r="V694" s="34"/>
      <c r="W694" s="29"/>
      <c r="X694" s="28">
        <v>40</v>
      </c>
      <c r="Y694" s="28">
        <v>1</v>
      </c>
      <c r="Z694" s="28">
        <v>2</v>
      </c>
      <c r="AA694" s="28">
        <v>2</v>
      </c>
      <c r="AB694" s="28">
        <v>1</v>
      </c>
      <c r="AC694" s="28">
        <v>2</v>
      </c>
      <c r="AD694" s="28">
        <v>2</v>
      </c>
      <c r="AE694" s="28">
        <v>4</v>
      </c>
      <c r="AF694" s="28">
        <v>2</v>
      </c>
      <c r="AG694" s="28">
        <v>2</v>
      </c>
      <c r="AH694" s="29" t="s">
        <v>2722</v>
      </c>
      <c r="AI694" s="36">
        <f>if(or(and(K694&lt;32, J694&lt;2), O694=1, P694=1, Q694=1, R694=1, S694=1, T694=1, U694=1, and(W694&lt;&gt;"", W694&lt;&gt;"Oxygen", W694&lt;&gt;"LowFlow")), "Intensive", "Intermediate")</f>
      </c>
      <c r="AJ694" s="37">
        <f>if(or(left(AH694, 1)="X", left(AH694, 1)="Y", left(AH694, 3)="J52M"), "CUSM", "No Match")</f>
      </c>
      <c r="AK694" s="37">
        <f>if(and(or(O694=3, P694=1, Q694=1, T694=1), AJ694="no Match"), "CUSM, CHU SJ, CHUQ", "")</f>
      </c>
      <c r="AL694" s="37">
        <f>IF(AND(O695=2, ISBLANK(P695), ISBLANK(Q695), ISBLANK(R695), ISBLANK(S695), ISBLANK(T695)), "CUSM, CHU SJ, CHUS, CHUQ", "")</f>
      </c>
      <c r="AM694" s="37">
        <f>if(and(AJ694="no match", AK694="", AL694="", K694&lt;26), "CUSM, CHU SJ, HGJ, CHUQ, CHUS", "")</f>
      </c>
      <c r="AN694" s="37">
        <f>if(and(AJ694="no match", AK694="", AL694="", K694&gt;26), "CUSM, CHU SJ, HGJ, CHUQ, CHUS, HMR", "")</f>
      </c>
    </row>
    <row x14ac:dyDescent="0.25" r="695" customHeight="1" ht="17.25">
      <c r="A695" s="27" t="s">
        <v>2723</v>
      </c>
      <c r="B695" s="28">
        <v>2</v>
      </c>
      <c r="C695" s="35">
        <v>779</v>
      </c>
      <c r="D695" s="29" t="s">
        <v>136</v>
      </c>
      <c r="E695" s="30" t="s">
        <v>50</v>
      </c>
      <c r="F695" s="31">
        <v>44556</v>
      </c>
      <c r="G695" s="32">
        <v>4.2555555555555555</v>
      </c>
      <c r="H695" s="31">
        <v>44556</v>
      </c>
      <c r="I695" s="32">
        <v>4.160416666666666</v>
      </c>
      <c r="J695" s="33">
        <f>F695-H695</f>
      </c>
      <c r="K695" s="28">
        <v>26</v>
      </c>
      <c r="L695" s="28">
        <v>6</v>
      </c>
      <c r="M695" s="28">
        <v>1</v>
      </c>
      <c r="N695" s="34"/>
      <c r="O695" s="34"/>
      <c r="P695" s="34"/>
      <c r="Q695" s="34"/>
      <c r="R695" s="34"/>
      <c r="S695" s="34"/>
      <c r="T695" s="34"/>
      <c r="U695" s="34"/>
      <c r="V695" s="34"/>
      <c r="W695" s="29" t="s">
        <v>74</v>
      </c>
      <c r="X695" s="28">
        <v>31</v>
      </c>
      <c r="Y695" s="28">
        <v>1</v>
      </c>
      <c r="Z695" s="28">
        <v>2</v>
      </c>
      <c r="AA695" s="28">
        <v>3</v>
      </c>
      <c r="AB695" s="28">
        <v>1</v>
      </c>
      <c r="AC695" s="28">
        <v>2</v>
      </c>
      <c r="AD695" s="28">
        <v>2</v>
      </c>
      <c r="AE695" s="28">
        <v>1</v>
      </c>
      <c r="AF695" s="28">
        <v>1</v>
      </c>
      <c r="AG695" s="28">
        <v>2</v>
      </c>
      <c r="AH695" s="29" t="s">
        <v>2724</v>
      </c>
      <c r="AI695" s="36">
        <f>if(or(and(K695&lt;32, J695&lt;2), O695=1, P695=1, Q695=1, R695=1, S695=1, T695=1, U695=1, and(W695&lt;&gt;"", W695&lt;&gt;"Oxygen", W695&lt;&gt;"LowFlow")), "Intensive", "Intermediate")</f>
      </c>
      <c r="AJ695" s="37">
        <f>if(or(left(AH695, 1)="X", left(AH695, 1)="Y", left(AH695, 3)="J53M"), "CUSM", "No Match")</f>
      </c>
      <c r="AK695" s="37">
        <f>if(and(or(O695=3, P695=1, Q695=1, T695=1), AJ695="no Match"), "CUSM, CHU SJ, CHUQ", "")</f>
      </c>
      <c r="AL695" s="37">
        <f>IF(AND(O696=2, ISBLANK(P696), ISBLANK(Q696), ISBLANK(R696), ISBLANK(S696), ISBLANK(T696)), "CUSM, CHU SJ, CHUS, CHUQ", "")</f>
      </c>
      <c r="AM695" s="37">
        <f>if(and(AJ695="no match", AK695="", AL695="", K695&lt;26), "CUSM, CHU SJ, HGJ, CHUQ, CHUS", "")</f>
      </c>
      <c r="AN695" s="37">
        <f>if(and(AJ695="no match", AK695="", AL695="", K695&gt;26), "CUSM, CHU SJ, HGJ, CHUQ, CHUS, HMR", "")</f>
      </c>
    </row>
    <row x14ac:dyDescent="0.25" r="696" customHeight="1" ht="17.25">
      <c r="A696" s="27" t="s">
        <v>2725</v>
      </c>
      <c r="B696" s="28">
        <v>2</v>
      </c>
      <c r="C696" s="35">
        <v>730</v>
      </c>
      <c r="D696" s="29" t="s">
        <v>81</v>
      </c>
      <c r="E696" s="30" t="s">
        <v>50</v>
      </c>
      <c r="F696" s="31">
        <v>44559</v>
      </c>
      <c r="G696" s="32">
        <v>4.280555555555555</v>
      </c>
      <c r="H696" s="31">
        <v>44559</v>
      </c>
      <c r="I696" s="32">
        <v>4.079861111111111</v>
      </c>
      <c r="J696" s="33">
        <f>F696-H696</f>
      </c>
      <c r="K696" s="28">
        <v>34</v>
      </c>
      <c r="L696" s="28">
        <v>0</v>
      </c>
      <c r="M696" s="28">
        <v>1</v>
      </c>
      <c r="N696" s="35">
        <v>1</v>
      </c>
      <c r="O696" s="35">
        <v>2</v>
      </c>
      <c r="P696" s="35">
        <v>1</v>
      </c>
      <c r="Q696" s="34"/>
      <c r="R696" s="34"/>
      <c r="S696" s="34"/>
      <c r="T696" s="34"/>
      <c r="U696" s="34"/>
      <c r="V696" s="34"/>
      <c r="W696" s="29"/>
      <c r="X696" s="28">
        <v>25</v>
      </c>
      <c r="Y696" s="28">
        <v>1</v>
      </c>
      <c r="Z696" s="28">
        <v>2</v>
      </c>
      <c r="AA696" s="28">
        <v>2</v>
      </c>
      <c r="AB696" s="28">
        <v>1</v>
      </c>
      <c r="AC696" s="28">
        <v>2</v>
      </c>
      <c r="AD696" s="28">
        <v>2</v>
      </c>
      <c r="AE696" s="28">
        <v>2</v>
      </c>
      <c r="AF696" s="35">
        <v>2</v>
      </c>
      <c r="AG696" s="28">
        <v>2</v>
      </c>
      <c r="AH696" s="29" t="s">
        <v>2726</v>
      </c>
      <c r="AI696" s="36">
        <f>if(or(and(K696&lt;32, J696&lt;2), O696=1, P696=1, Q696=1, R696=1, S696=1, T696=1, U696=1, and(W696&lt;&gt;"", W696&lt;&gt;"Oxygen", W696&lt;&gt;"LowFlow")), "Intensive", "Intermediate")</f>
      </c>
      <c r="AJ696" s="37">
        <f>if(or(left(AH696, 1)="X", left(AH696, 1)="Y", left(AH696, 3)="J54M"), "CUSM", "No Match")</f>
      </c>
      <c r="AK696" s="37">
        <f>if(and(or(O696=3, P696=1, Q696=1, T696=1), AJ696="no Match"), "CUSM, CHU SJ, CHUQ", "")</f>
      </c>
      <c r="AL696" s="37">
        <f>IF(AND(O697=2, ISBLANK(P697), ISBLANK(Q697), ISBLANK(R697), ISBLANK(S697), ISBLANK(T697)), "CUSM, CHU SJ, CHUS, CHUQ", "")</f>
      </c>
      <c r="AM696" s="37">
        <f>if(and(AJ696="no match", AK696="", AL696="", K696&lt;26), "CUSM, CHU SJ, HGJ, CHUQ, CHUS", "")</f>
      </c>
      <c r="AN696" s="37">
        <f>if(and(AJ696="no match", AK696="", AL696="", K696&gt;26), "CUSM, CHU SJ, HGJ, CHUQ, CHUS, HMR", "")</f>
      </c>
    </row>
    <row x14ac:dyDescent="0.25" r="697" customHeight="1" ht="17.25">
      <c r="A697" s="27" t="s">
        <v>2727</v>
      </c>
      <c r="B697" s="28">
        <v>2</v>
      </c>
      <c r="C697" s="28">
        <v>831</v>
      </c>
      <c r="D697" s="29" t="s">
        <v>313</v>
      </c>
      <c r="E697" s="30" t="s">
        <v>50</v>
      </c>
      <c r="F697" s="31">
        <v>44559</v>
      </c>
      <c r="G697" s="32">
        <v>4.477083333333333</v>
      </c>
      <c r="H697" s="31">
        <v>44559</v>
      </c>
      <c r="I697" s="32">
        <v>4.283333333333333</v>
      </c>
      <c r="J697" s="33">
        <f>F697-H697</f>
      </c>
      <c r="K697" s="28">
        <v>35</v>
      </c>
      <c r="L697" s="28">
        <v>1</v>
      </c>
      <c r="M697" s="28">
        <v>1</v>
      </c>
      <c r="N697" s="34"/>
      <c r="O697" s="35">
        <v>2</v>
      </c>
      <c r="P697" s="34"/>
      <c r="Q697" s="34"/>
      <c r="R697" s="34"/>
      <c r="S697" s="34"/>
      <c r="T697" s="34"/>
      <c r="U697" s="34"/>
      <c r="V697" s="34"/>
      <c r="W697" s="29" t="s">
        <v>74</v>
      </c>
      <c r="X697" s="28">
        <v>38</v>
      </c>
      <c r="Y697" s="28">
        <v>2</v>
      </c>
      <c r="Z697" s="28">
        <v>2</v>
      </c>
      <c r="AA697" s="28">
        <v>3</v>
      </c>
      <c r="AB697" s="28">
        <v>1</v>
      </c>
      <c r="AC697" s="28">
        <v>2</v>
      </c>
      <c r="AD697" s="28">
        <v>2</v>
      </c>
      <c r="AE697" s="28">
        <v>4</v>
      </c>
      <c r="AF697" s="28">
        <v>2</v>
      </c>
      <c r="AG697" s="28">
        <v>2</v>
      </c>
      <c r="AH697" s="29" t="s">
        <v>2728</v>
      </c>
      <c r="AI697" s="36">
        <f>if(or(and(K697&lt;32, J697&lt;2), O697=1, P697=1, Q697=1, R697=1, S697=1, T697=1, U697=1, and(W697&lt;&gt;"", W697&lt;&gt;"Oxygen", W697&lt;&gt;"LowFlow")), "Intensive", "Intermediate")</f>
      </c>
      <c r="AJ697" s="37">
        <f>if(or(left(AH697, 1)="X", left(AH697, 1)="Y", left(AH697, 3)="J55M"), "CUSM", "No Match")</f>
      </c>
      <c r="AK697" s="37">
        <f>if(and(or(O697=3, P697=1, Q697=1, T697=1), AJ697="no Match"), "CUSM, CHU SJ, CHUQ", "")</f>
      </c>
      <c r="AL697" s="37">
        <f>IF(AND(O698=2, ISBLANK(P698), ISBLANK(Q698), ISBLANK(R698), ISBLANK(S698), ISBLANK(T698)), "CUSM, CHU SJ, CHUS, CHUQ", "")</f>
      </c>
      <c r="AM697" s="37">
        <f>if(and(AJ697="no match", AK697="", AL697="", K697&lt;26), "CUSM, CHU SJ, HGJ, CHUQ, CHUS", "")</f>
      </c>
      <c r="AN697" s="37">
        <f>if(and(AJ697="no match", AK697="", AL697="", K697&gt;26), "CUSM, CHU SJ, HGJ, CHUQ, CHUS, HMR", "")</f>
      </c>
    </row>
    <row x14ac:dyDescent="0.25" r="698" customHeight="1" ht="17.25">
      <c r="A698" s="27" t="s">
        <v>2729</v>
      </c>
      <c r="B698" s="28">
        <v>2</v>
      </c>
      <c r="C698" s="35">
        <v>782</v>
      </c>
      <c r="D698" s="29" t="s">
        <v>95</v>
      </c>
      <c r="E698" s="30" t="s">
        <v>78</v>
      </c>
      <c r="F698" s="31">
        <v>44560</v>
      </c>
      <c r="G698" s="32">
        <v>4.6875</v>
      </c>
      <c r="H698" s="31">
        <v>44560</v>
      </c>
      <c r="I698" s="32">
        <v>4.425</v>
      </c>
      <c r="J698" s="33">
        <f>F698-H698</f>
      </c>
      <c r="K698" s="28">
        <v>36</v>
      </c>
      <c r="L698" s="28">
        <v>1</v>
      </c>
      <c r="M698" s="28">
        <v>2</v>
      </c>
      <c r="N698" s="38"/>
      <c r="O698" s="34"/>
      <c r="P698" s="38"/>
      <c r="Q698" s="34"/>
      <c r="R698" s="34"/>
      <c r="S698" s="34"/>
      <c r="T698" s="34"/>
      <c r="U698" s="34"/>
      <c r="V698" s="34"/>
      <c r="W698" s="29"/>
      <c r="X698" s="28">
        <v>29</v>
      </c>
      <c r="Y698" s="28">
        <v>2</v>
      </c>
      <c r="Z698" s="28">
        <v>2</v>
      </c>
      <c r="AA698" s="28">
        <v>2</v>
      </c>
      <c r="AB698" s="28">
        <v>1</v>
      </c>
      <c r="AC698" s="28">
        <v>2</v>
      </c>
      <c r="AD698" s="28">
        <v>2</v>
      </c>
      <c r="AE698" s="28">
        <v>4</v>
      </c>
      <c r="AF698" s="28">
        <v>3</v>
      </c>
      <c r="AG698" s="28">
        <v>2</v>
      </c>
      <c r="AH698" s="29" t="s">
        <v>2730</v>
      </c>
      <c r="AI698" s="36">
        <f>if(or(and(K698&lt;32, J698&lt;2), O698=1, P698=1, Q698=1, R698=1, S698=1, T698=1, U698=1, and(W698&lt;&gt;"", W698&lt;&gt;"Oxygen", W698&lt;&gt;"LowFlow")), "Intensive", "Intermediate")</f>
      </c>
      <c r="AJ698" s="37">
        <f>if(or(left(AH698, 1)="X", left(AH698, 1)="Y", left(AH698, 3)="J56M"), "CUSM", "No Match")</f>
      </c>
      <c r="AK698" s="37">
        <f>if(and(or(O698=3, P698=1, Q698=1, T698=1), AJ698="no Match"), "CUSM, CHU SJ, CHUQ", "")</f>
      </c>
      <c r="AL698" s="37">
        <f>IF(AND(O699=2, ISBLANK(P699), ISBLANK(Q699), ISBLANK(R699), ISBLANK(S699), ISBLANK(T699)), "CUSM, CHU SJ, CHUS, CHUQ", "")</f>
      </c>
      <c r="AM698" s="37">
        <f>if(and(AJ698="no match", AK698="", AL698="", K698&lt;26), "CUSM, CHU SJ, HGJ, CHUQ, CHUS", "")</f>
      </c>
      <c r="AN698" s="37">
        <f>if(and(AJ698="no match", AK698="", AL698="", K698&gt;26), "CUSM, CHU SJ, HGJ, CHUQ, CHUS, HMR", "")</f>
      </c>
    </row>
    <row x14ac:dyDescent="0.25" r="699" customHeight="1" ht="17.25">
      <c r="A699" s="27" t="s">
        <v>2731</v>
      </c>
      <c r="B699" s="28">
        <v>2</v>
      </c>
      <c r="C699" s="35">
        <v>820</v>
      </c>
      <c r="D699" s="29" t="s">
        <v>69</v>
      </c>
      <c r="E699" s="30" t="s">
        <v>78</v>
      </c>
      <c r="F699" s="31">
        <v>44560</v>
      </c>
      <c r="G699" s="32">
        <v>4.71875</v>
      </c>
      <c r="H699" s="31">
        <v>44559</v>
      </c>
      <c r="I699" s="32">
        <v>4.715277777777778</v>
      </c>
      <c r="J699" s="33">
        <f>F699-H699</f>
      </c>
      <c r="K699" s="28">
        <v>32</v>
      </c>
      <c r="L699" s="28">
        <v>1</v>
      </c>
      <c r="M699" s="28">
        <v>2</v>
      </c>
      <c r="N699" s="34"/>
      <c r="O699" s="34"/>
      <c r="P699" s="34"/>
      <c r="Q699" s="34"/>
      <c r="R699" s="34"/>
      <c r="S699" s="34"/>
      <c r="T699" s="34"/>
      <c r="U699" s="34"/>
      <c r="V699" s="34"/>
      <c r="W699" s="29" t="s">
        <v>74</v>
      </c>
      <c r="X699" s="28">
        <v>32</v>
      </c>
      <c r="Y699" s="28">
        <v>1</v>
      </c>
      <c r="Z699" s="28">
        <v>2</v>
      </c>
      <c r="AA699" s="28">
        <v>2</v>
      </c>
      <c r="AB699" s="28">
        <v>1</v>
      </c>
      <c r="AC699" s="28">
        <v>2</v>
      </c>
      <c r="AD699" s="28">
        <v>2</v>
      </c>
      <c r="AE699" s="28">
        <v>4</v>
      </c>
      <c r="AF699" s="28">
        <v>2</v>
      </c>
      <c r="AG699" s="28">
        <v>2</v>
      </c>
      <c r="AH699" s="29" t="s">
        <v>2732</v>
      </c>
      <c r="AI699" s="36">
        <f>if(or(and(K699&lt;32, J699&lt;2), O699=1, P699=1, Q699=1, R699=1, S699=1, T699=1, U699=1, and(W699&lt;&gt;"", W699&lt;&gt;"Oxygen", W699&lt;&gt;"LowFlow")), "Intensive", "Intermediate")</f>
      </c>
      <c r="AJ699" s="37">
        <f>if(or(left(AH699, 1)="X", left(AH699, 1)="Y", left(AH699, 3)="J57M"), "CUSM", "No Match")</f>
      </c>
      <c r="AK699" s="37">
        <f>if(and(or(O699=3, P699=1, Q699=1, T699=1), AJ699="no Match"), "CUSM, CHU SJ, CHUQ", "")</f>
      </c>
      <c r="AL699" s="37">
        <f>IF(AND(O700=2, ISBLANK(P700), ISBLANK(Q700), ISBLANK(R700), ISBLANK(S700), ISBLANK(T700)), "CUSM, CHU SJ, CHUS, CHUQ", "")</f>
      </c>
      <c r="AM699" s="37">
        <f>if(and(AJ699="no match", AK699="", AL699="", K699&lt;26), "CUSM, CHU SJ, HGJ, CHUQ, CHUS", "")</f>
      </c>
      <c r="AN699" s="37">
        <f>if(and(AJ699="no match", AK699="", AL699="", K699&gt;26), "CUSM, CHU SJ, HGJ, CHUQ, CHUS, HMR", "")</f>
      </c>
    </row>
    <row x14ac:dyDescent="0.25" r="700" customHeight="1" ht="17.25">
      <c r="A700" s="27" t="s">
        <v>2733</v>
      </c>
      <c r="B700" s="28">
        <v>2</v>
      </c>
      <c r="C700" s="35">
        <v>730</v>
      </c>
      <c r="D700" s="29" t="s">
        <v>81</v>
      </c>
      <c r="E700" s="30" t="s">
        <v>50</v>
      </c>
      <c r="F700" s="31">
        <v>44560</v>
      </c>
      <c r="G700" s="32">
        <v>4.852083333333333</v>
      </c>
      <c r="H700" s="31">
        <v>44560</v>
      </c>
      <c r="I700" s="32">
        <v>4.75625</v>
      </c>
      <c r="J700" s="33">
        <f>F700-H700</f>
      </c>
      <c r="K700" s="28">
        <v>29</v>
      </c>
      <c r="L700" s="28">
        <v>6</v>
      </c>
      <c r="M700" s="28">
        <v>1</v>
      </c>
      <c r="N700" s="35">
        <v>1</v>
      </c>
      <c r="O700" s="34"/>
      <c r="P700" s="35">
        <v>1</v>
      </c>
      <c r="Q700" s="34"/>
      <c r="R700" s="34"/>
      <c r="S700" s="34"/>
      <c r="T700" s="34"/>
      <c r="U700" s="34"/>
      <c r="V700" s="34"/>
      <c r="W700" s="29" t="s">
        <v>74</v>
      </c>
      <c r="X700" s="28">
        <v>28</v>
      </c>
      <c r="Y700" s="28">
        <v>1</v>
      </c>
      <c r="Z700" s="28">
        <v>2</v>
      </c>
      <c r="AA700" s="28">
        <v>3</v>
      </c>
      <c r="AB700" s="28">
        <v>1</v>
      </c>
      <c r="AC700" s="28">
        <v>2</v>
      </c>
      <c r="AD700" s="28">
        <v>2</v>
      </c>
      <c r="AE700" s="28">
        <v>4</v>
      </c>
      <c r="AF700" s="28">
        <v>2</v>
      </c>
      <c r="AG700" s="28">
        <v>2</v>
      </c>
      <c r="AH700" s="29" t="s">
        <v>2734</v>
      </c>
      <c r="AI700" s="36">
        <f>if(or(and(K700&lt;32, J700&lt;2), O700=1, P700=1, Q700=1, R700=1, S700=1, T700=1, U700=1, and(W700&lt;&gt;"", W700&lt;&gt;"Oxygen", W700&lt;&gt;"LowFlow")), "Intensive", "Intermediate")</f>
      </c>
      <c r="AJ700" s="37">
        <f>if(or(left(AH700, 1)="X", left(AH700, 1)="Y", left(AH700, 3)="J58M"), "CUSM", "No Match")</f>
      </c>
      <c r="AK700" s="37">
        <f>if(and(or(O700=3, P700=1, Q700=1, T700=1), AJ700="no Match"), "CUSM, CHU SJ, CHUQ", "")</f>
      </c>
      <c r="AL700" s="37">
        <f>IF(AND(O701=2, ISBLANK(P701), ISBLANK(Q701), ISBLANK(R701), ISBLANK(S701), ISBLANK(T701)), "CUSM, CHU SJ, CHUS, CHUQ", "")</f>
      </c>
      <c r="AM700" s="37">
        <f>if(and(AJ700="no match", AK700="", AL700="", K700&lt;26), "CUSM, CHU SJ, HGJ, CHUQ, CHUS", "")</f>
      </c>
      <c r="AN700" s="37">
        <f>if(and(AJ700="no match", AK700="", AL700="", K700&gt;26), "CUSM, CHU SJ, HGJ, CHUQ, CHUS, HMR", "")</f>
      </c>
    </row>
    <row x14ac:dyDescent="0.25" r="701" customHeight="1" ht="17.25">
      <c r="A701" s="27" t="s">
        <v>2735</v>
      </c>
      <c r="B701" s="28">
        <v>2</v>
      </c>
      <c r="C701" s="28">
        <v>824</v>
      </c>
      <c r="D701" s="29" t="s">
        <v>57</v>
      </c>
      <c r="E701" s="30" t="s">
        <v>50</v>
      </c>
      <c r="F701" s="31">
        <v>44560</v>
      </c>
      <c r="G701" s="32">
        <v>4.46875</v>
      </c>
      <c r="H701" s="31">
        <v>44558</v>
      </c>
      <c r="I701" s="32">
        <v>4.363194444444444</v>
      </c>
      <c r="J701" s="33">
        <f>F701-H701</f>
      </c>
      <c r="K701" s="28">
        <v>38</v>
      </c>
      <c r="L701" s="28">
        <v>2</v>
      </c>
      <c r="M701" s="28">
        <v>2</v>
      </c>
      <c r="N701" s="34"/>
      <c r="O701" s="34"/>
      <c r="P701" s="34"/>
      <c r="Q701" s="34"/>
      <c r="R701" s="34"/>
      <c r="S701" s="34"/>
      <c r="T701" s="34"/>
      <c r="U701" s="34"/>
      <c r="V701" s="34"/>
      <c r="W701" s="29"/>
      <c r="X701" s="28">
        <v>38</v>
      </c>
      <c r="Y701" s="28">
        <v>1</v>
      </c>
      <c r="Z701" s="28">
        <v>2</v>
      </c>
      <c r="AA701" s="28">
        <v>3</v>
      </c>
      <c r="AB701" s="28">
        <v>1</v>
      </c>
      <c r="AC701" s="28">
        <v>1</v>
      </c>
      <c r="AD701" s="28">
        <v>1</v>
      </c>
      <c r="AE701" s="28">
        <v>4</v>
      </c>
      <c r="AF701" s="28">
        <v>2</v>
      </c>
      <c r="AG701" s="28">
        <v>2</v>
      </c>
      <c r="AH701" s="29" t="s">
        <v>2736</v>
      </c>
      <c r="AI701" s="36">
        <f>if(or(and(K701&lt;32, J701&lt;2), O701=1, P701=1, Q701=1, R701=1, S701=1, T701=1, U701=1, and(W701&lt;&gt;"", W701&lt;&gt;"Oxygen", W701&lt;&gt;"LowFlow")), "Intensive", "Intermediate")</f>
      </c>
      <c r="AJ701" s="37">
        <f>if(or(left(AH701, 1)="X", left(AH701, 1)="Y", left(AH701, 3)="J59M"), "CUSM", "No Match")</f>
      </c>
      <c r="AK701" s="37">
        <f>if(and(or(O701=3, P701=1, Q701=1, T701=1), AJ701="no Match"), "CUSM, CHU SJ, CHUQ", "")</f>
      </c>
      <c r="AL701" s="37">
        <f>IF(AND(O702=2, ISBLANK(P702), ISBLANK(Q702), ISBLANK(R702), ISBLANK(S702), ISBLANK(T702)), "CUSM, CHU SJ, CHUS, CHUQ", "")</f>
      </c>
      <c r="AM701" s="37">
        <f>if(and(AJ701="no match", AK701="", AL701="", K701&lt;26), "CUSM, CHU SJ, HGJ, CHUQ, CHUS", "")</f>
      </c>
      <c r="AN701" s="37">
        <f>if(and(AJ701="no match", AK701="", AL701="", K701&gt;26), "CUSM, CHU SJ, HGJ, CHUQ, CHUS, HMR", "")</f>
      </c>
    </row>
    <row x14ac:dyDescent="0.25" r="702" customHeight="1" ht="17.25">
      <c r="A702" s="27" t="s">
        <v>2737</v>
      </c>
      <c r="B702" s="28">
        <v>2</v>
      </c>
      <c r="C702" s="28">
        <v>782</v>
      </c>
      <c r="D702" s="29" t="s">
        <v>95</v>
      </c>
      <c r="E702" s="30" t="s">
        <v>50</v>
      </c>
      <c r="F702" s="31">
        <v>44561</v>
      </c>
      <c r="G702" s="32">
        <v>4.777777777777778</v>
      </c>
      <c r="H702" s="31">
        <v>44560</v>
      </c>
      <c r="I702" s="32">
        <v>4.424305555555556</v>
      </c>
      <c r="J702" s="33">
        <f>F702-H702</f>
      </c>
      <c r="K702" s="28">
        <v>35</v>
      </c>
      <c r="L702" s="28">
        <v>0</v>
      </c>
      <c r="M702" s="28">
        <v>2</v>
      </c>
      <c r="N702" s="34"/>
      <c r="O702" s="34"/>
      <c r="P702" s="34"/>
      <c r="Q702" s="34"/>
      <c r="R702" s="34"/>
      <c r="S702" s="34"/>
      <c r="T702" s="34"/>
      <c r="U702" s="34"/>
      <c r="V702" s="34"/>
      <c r="W702" s="29"/>
      <c r="X702" s="28">
        <v>29</v>
      </c>
      <c r="Y702" s="28">
        <v>2</v>
      </c>
      <c r="Z702" s="28">
        <v>2</v>
      </c>
      <c r="AA702" s="28">
        <v>2</v>
      </c>
      <c r="AB702" s="28">
        <v>1</v>
      </c>
      <c r="AC702" s="28">
        <v>2</v>
      </c>
      <c r="AD702" s="28">
        <v>2</v>
      </c>
      <c r="AE702" s="28">
        <v>4</v>
      </c>
      <c r="AF702" s="28">
        <v>2</v>
      </c>
      <c r="AG702" s="28">
        <v>2</v>
      </c>
      <c r="AH702" s="29" t="s">
        <v>2730</v>
      </c>
      <c r="AI702" s="36">
        <f>if(or(and(K702&lt;32, J702&lt;2), O702=1, P702=1, Q702=1, R702=1, S702=1, T702=1, U702=1, and(W702&lt;&gt;"", W702&lt;&gt;"Oxygen", W702&lt;&gt;"LowFlow")), "Intensive", "Intermediate")</f>
      </c>
      <c r="AJ702" s="37">
        <f>if(or(left(AH702, 1)="X", left(AH702, 1)="Y", left(AH702, 3)="J60M"), "CUSM", "No Match")</f>
      </c>
      <c r="AK702" s="37">
        <f>if(and(or(O702=3, P702=1, Q702=1, T702=1), AJ702="no Match"), "CUSM, CHU SJ, CHUQ", "")</f>
      </c>
      <c r="AL702" s="37">
        <f>IF(AND(O703=2, ISBLANK(P703), ISBLANK(Q703), ISBLANK(R703), ISBLANK(S703), ISBLANK(T703)), "CUSM, CHU SJ, CHUS, CHUQ", "")</f>
      </c>
      <c r="AM702" s="37">
        <f>if(and(AJ702="no match", AK702="", AL702="", K702&lt;26), "CUSM, CHU SJ, HGJ, CHUQ, CHUS", "")</f>
      </c>
      <c r="AN702" s="37">
        <f>if(and(AJ702="no match", AK702="", AL702="", K702&gt;26), "CUSM, CHU SJ, HGJ, CHUQ, CHUS, HMR", "")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N687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43" width="8.862142857142858" customWidth="1" bestFit="1"/>
    <col min="2" max="2" style="44" width="12.43357142857143" customWidth="1" bestFit="1"/>
    <col min="3" max="3" style="44" width="14.862142857142858" customWidth="1" bestFit="1"/>
    <col min="4" max="4" style="45" width="29.290714285714284" customWidth="1" bestFit="1"/>
    <col min="5" max="5" style="46" width="13.719285714285713" customWidth="1" bestFit="1"/>
    <col min="6" max="6" style="47" width="26.005" customWidth="1" bestFit="1"/>
    <col min="7" max="7" style="48" width="14.290714285714287" customWidth="1" bestFit="1"/>
    <col min="8" max="8" style="47" width="10.147857142857141" customWidth="1" bestFit="1"/>
    <col min="9" max="9" style="48" width="11.005" customWidth="1" bestFit="1"/>
    <col min="10" max="10" style="49" width="11.005" customWidth="1" bestFit="1"/>
    <col min="11" max="11" style="44" width="10.862142857142858" customWidth="1" bestFit="1"/>
    <col min="12" max="12" style="44" width="12.005" customWidth="1" bestFit="1"/>
    <col min="13" max="13" style="44" width="12.43357142857143" customWidth="1" bestFit="1"/>
    <col min="14" max="14" style="50" width="16.719285714285714" customWidth="1" bestFit="1"/>
    <col min="15" max="15" style="50" width="16.576428571428572" customWidth="1" bestFit="1"/>
    <col min="16" max="16" style="50" width="17.14785714285714" customWidth="1" bestFit="1"/>
    <col min="17" max="17" style="50" width="16.576428571428572" customWidth="1" bestFit="1"/>
    <col min="18" max="18" style="50" width="5.2907142857142855" customWidth="1" bestFit="1"/>
    <col min="19" max="19" style="50" width="11.719285714285713" customWidth="1" bestFit="1"/>
    <col min="20" max="20" style="50" width="5.2907142857142855" customWidth="1" bestFit="1"/>
    <col min="21" max="21" style="50" width="16.576428571428572" customWidth="1" bestFit="1"/>
    <col min="22" max="22" style="50" width="13.005" customWidth="1" bestFit="1"/>
    <col min="23" max="23" style="45" width="24.576428571428572" customWidth="1" bestFit="1"/>
    <col min="24" max="24" style="44" width="12.43357142857143" customWidth="1" bestFit="1"/>
    <col min="25" max="25" style="44" width="12.43357142857143" customWidth="1" bestFit="1"/>
    <col min="26" max="26" style="44" width="10.576428571428572" customWidth="1" bestFit="1"/>
    <col min="27" max="27" style="44" width="13.576428571428572" customWidth="1" bestFit="1"/>
    <col min="28" max="28" style="44" width="12.43357142857143" customWidth="1" bestFit="1"/>
    <col min="29" max="29" style="44" width="11.862142857142858" customWidth="1" bestFit="1"/>
    <col min="30" max="30" style="44" width="12.43357142857143" customWidth="1" bestFit="1"/>
    <col min="31" max="31" style="44" width="12.43357142857143" customWidth="1" bestFit="1"/>
    <col min="32" max="32" style="44" width="12.290714285714287" customWidth="1" bestFit="1"/>
    <col min="33" max="33" style="44" width="11.005" customWidth="1" bestFit="1"/>
    <col min="34" max="34" style="45" width="10.862142857142858" customWidth="1" bestFit="1"/>
    <col min="35" max="35" style="45" width="14.862142857142858" customWidth="1" bestFit="1"/>
    <col min="36" max="36" style="51" width="13.576428571428572" customWidth="1" bestFit="1"/>
    <col min="37" max="37" style="51" width="21.576428571428572" customWidth="1" bestFit="1"/>
    <col min="38" max="38" style="51" width="24.576428571428572" customWidth="1" bestFit="1"/>
    <col min="39" max="39" style="51" width="30.290714285714284" customWidth="1" bestFit="1"/>
    <col min="40" max="40" style="51" width="35.005" customWidth="1" bestFit="1"/>
  </cols>
  <sheetData>
    <row x14ac:dyDescent="0.25" r="1" customHeight="1" ht="17.25">
      <c r="A1" s="1"/>
      <c r="B1" s="2"/>
      <c r="C1" s="2"/>
      <c r="D1" s="3"/>
      <c r="E1" s="4"/>
      <c r="F1" s="5"/>
      <c r="G1" s="6"/>
      <c r="H1" s="5"/>
      <c r="I1" s="6"/>
      <c r="J1" s="7"/>
      <c r="K1" s="2"/>
      <c r="L1" s="2"/>
      <c r="M1" s="2"/>
      <c r="N1" s="8" t="s">
        <v>0</v>
      </c>
      <c r="O1" s="8" t="s">
        <v>1</v>
      </c>
      <c r="P1" s="9" t="s">
        <v>0</v>
      </c>
      <c r="Q1" s="9" t="s">
        <v>0</v>
      </c>
      <c r="R1" s="8" t="s">
        <v>0</v>
      </c>
      <c r="S1" s="8" t="s">
        <v>0</v>
      </c>
      <c r="T1" s="8" t="s">
        <v>0</v>
      </c>
      <c r="U1" s="8" t="s">
        <v>0</v>
      </c>
      <c r="V1" s="8" t="s">
        <v>0</v>
      </c>
      <c r="W1" s="10"/>
      <c r="X1" s="8"/>
      <c r="Y1" s="8"/>
      <c r="Z1" s="8"/>
      <c r="AA1" s="8"/>
      <c r="AB1" s="8"/>
      <c r="AC1" s="8"/>
      <c r="AD1" s="8"/>
      <c r="AE1" s="2"/>
      <c r="AF1" s="2"/>
      <c r="AG1" s="2"/>
      <c r="AH1" s="3"/>
      <c r="AI1" s="11" t="s">
        <v>2</v>
      </c>
      <c r="AJ1" s="12" t="s">
        <v>3</v>
      </c>
      <c r="AK1" s="12" t="s">
        <v>4</v>
      </c>
      <c r="AL1" s="12" t="s">
        <v>5</v>
      </c>
      <c r="AM1" s="12" t="s">
        <v>6</v>
      </c>
      <c r="AN1" s="12" t="s">
        <v>7</v>
      </c>
    </row>
    <row x14ac:dyDescent="0.25" r="2" customHeight="1" ht="84" customFormat="1" s="13">
      <c r="A2" s="14" t="s">
        <v>8</v>
      </c>
      <c r="B2" s="15" t="s">
        <v>9</v>
      </c>
      <c r="C2" s="15" t="s">
        <v>10</v>
      </c>
      <c r="D2" s="16" t="s">
        <v>11</v>
      </c>
      <c r="E2" s="17" t="s">
        <v>12</v>
      </c>
      <c r="F2" s="18" t="s">
        <v>13</v>
      </c>
      <c r="G2" s="19" t="s">
        <v>14</v>
      </c>
      <c r="H2" s="18" t="s">
        <v>15</v>
      </c>
      <c r="I2" s="19" t="s">
        <v>16</v>
      </c>
      <c r="J2" s="20" t="s">
        <v>17</v>
      </c>
      <c r="K2" s="15" t="s">
        <v>18</v>
      </c>
      <c r="L2" s="15" t="s">
        <v>19</v>
      </c>
      <c r="M2" s="15" t="s">
        <v>20</v>
      </c>
      <c r="N2" s="21" t="s">
        <v>21</v>
      </c>
      <c r="O2" s="21" t="s">
        <v>22</v>
      </c>
      <c r="P2" s="21" t="s">
        <v>23</v>
      </c>
      <c r="Q2" s="21" t="s">
        <v>24</v>
      </c>
      <c r="R2" s="21" t="s">
        <v>25</v>
      </c>
      <c r="S2" s="21" t="s">
        <v>26</v>
      </c>
      <c r="T2" s="21" t="s">
        <v>27</v>
      </c>
      <c r="U2" s="21" t="s">
        <v>28</v>
      </c>
      <c r="V2" s="21" t="s">
        <v>29</v>
      </c>
      <c r="W2" s="22" t="s">
        <v>30</v>
      </c>
      <c r="X2" s="23" t="s">
        <v>31</v>
      </c>
      <c r="Y2" s="23" t="s">
        <v>32</v>
      </c>
      <c r="Z2" s="23" t="s">
        <v>33</v>
      </c>
      <c r="AA2" s="23" t="s">
        <v>34</v>
      </c>
      <c r="AB2" s="23" t="s">
        <v>35</v>
      </c>
      <c r="AC2" s="23" t="s">
        <v>36</v>
      </c>
      <c r="AD2" s="23" t="s">
        <v>37</v>
      </c>
      <c r="AE2" s="23" t="s">
        <v>38</v>
      </c>
      <c r="AF2" s="23" t="s">
        <v>39</v>
      </c>
      <c r="AG2" s="23" t="s">
        <v>40</v>
      </c>
      <c r="AH2" s="24" t="s">
        <v>41</v>
      </c>
      <c r="AI2" s="25" t="s">
        <v>42</v>
      </c>
      <c r="AJ2" s="12" t="s">
        <v>43</v>
      </c>
      <c r="AK2" s="12" t="s">
        <v>44</v>
      </c>
      <c r="AL2" s="26" t="s">
        <v>45</v>
      </c>
      <c r="AM2" s="26" t="s">
        <v>46</v>
      </c>
      <c r="AN2" s="12" t="s">
        <v>47</v>
      </c>
    </row>
    <row x14ac:dyDescent="0.25" r="3" customHeight="1" ht="17.25">
      <c r="A3" s="27" t="s">
        <v>48</v>
      </c>
      <c r="B3" s="28">
        <v>2</v>
      </c>
      <c r="C3" s="28">
        <v>735</v>
      </c>
      <c r="D3" s="29" t="s">
        <v>49</v>
      </c>
      <c r="E3" s="30" t="s">
        <v>50</v>
      </c>
      <c r="F3" s="31">
        <v>44562</v>
      </c>
      <c r="G3" s="32">
        <v>4.565972222222222</v>
      </c>
      <c r="H3" s="31">
        <v>44553</v>
      </c>
      <c r="I3" s="32">
        <v>4.175</v>
      </c>
      <c r="J3" s="33">
        <f>F3-H3</f>
      </c>
      <c r="K3" s="28">
        <v>37</v>
      </c>
      <c r="L3" s="28">
        <v>2</v>
      </c>
      <c r="M3" s="28">
        <v>2</v>
      </c>
      <c r="N3" s="34"/>
      <c r="O3" s="35">
        <v>2</v>
      </c>
      <c r="P3" s="34"/>
      <c r="Q3" s="35">
        <v>1</v>
      </c>
      <c r="R3" s="34"/>
      <c r="S3" s="34"/>
      <c r="T3" s="34"/>
      <c r="U3" s="34"/>
      <c r="V3" s="34"/>
      <c r="W3" s="29"/>
      <c r="X3" s="28">
        <v>33</v>
      </c>
      <c r="Y3" s="28">
        <v>1</v>
      </c>
      <c r="Z3" s="28">
        <v>2</v>
      </c>
      <c r="AA3" s="28">
        <v>1</v>
      </c>
      <c r="AB3" s="28">
        <v>2</v>
      </c>
      <c r="AC3" s="28">
        <v>2</v>
      </c>
      <c r="AD3" s="28">
        <v>2</v>
      </c>
      <c r="AE3" s="28">
        <v>4</v>
      </c>
      <c r="AF3" s="28">
        <v>3</v>
      </c>
      <c r="AG3" s="28">
        <v>2</v>
      </c>
      <c r="AH3" s="29" t="s">
        <v>51</v>
      </c>
      <c r="AI3" s="36">
        <f>IF(OR(AND(K3&lt;32, J3&lt;2), O3=1, P3=1, Q3=1, R3=1, S3=1, T3=1, U3=1, AND(W3&lt;&gt;"", W3&lt;&gt;"Oxygen", W3&lt;&gt;"LowFlow")), "Intensive", "Intermediate")</f>
      </c>
      <c r="AJ3" s="37">
        <f>IF(OR(LEFT(AH3, 1)="X", LEFT(AH3, 1)="Y", LEFT(AH3, 3)="J0M"), "CUSM", "No Match")</f>
      </c>
      <c r="AK3" s="37">
        <f>IF(AND(OR(O3=3, P3=1, Q3=1, T3=1), AJ3="no Match"), "CUSM, CHU SJ, CHUQ", "")</f>
      </c>
      <c r="AL3" s="37">
        <f>IF(AND(O3=2, ISBLANK(P3), ISBLANK(Q3), ISBLANK(R3), ISBLANK(S3), ISBLANK(T3)), "CUSM, CHU SJ, CHUS, CHUQ", "")</f>
      </c>
      <c r="AM3" s="37">
        <f>IF(AND(AJ3="no match", AK3="", AL3="", K3&lt;26), "CUSM, CHU SJ, HGJ, CHUQ, CHUS", "")</f>
      </c>
      <c r="AN3" s="37">
        <f>IF(AND(AJ3="no match", AK3="", AL3="", K3&gt;26), "CUSM, CHU SJ, HGJ, CHUQ, CHUS, HMR", "")</f>
      </c>
    </row>
    <row x14ac:dyDescent="0.25" r="4" customHeight="1" ht="17.25">
      <c r="A4" s="27" t="s">
        <v>52</v>
      </c>
      <c r="B4" s="28">
        <v>2</v>
      </c>
      <c r="C4" s="35">
        <v>839</v>
      </c>
      <c r="D4" s="29" t="s">
        <v>53</v>
      </c>
      <c r="E4" s="30" t="s">
        <v>54</v>
      </c>
      <c r="F4" s="31">
        <v>44563</v>
      </c>
      <c r="G4" s="32">
        <v>4.365972222222222</v>
      </c>
      <c r="H4" s="31">
        <v>44561</v>
      </c>
      <c r="I4" s="32">
        <v>4.471527777777778</v>
      </c>
      <c r="J4" s="33">
        <f>F4-H4</f>
      </c>
      <c r="K4" s="28">
        <v>39</v>
      </c>
      <c r="L4" s="28">
        <v>5</v>
      </c>
      <c r="M4" s="28">
        <v>2</v>
      </c>
      <c r="N4" s="34"/>
      <c r="O4" s="34"/>
      <c r="P4" s="34"/>
      <c r="Q4" s="34"/>
      <c r="R4" s="34"/>
      <c r="S4" s="34"/>
      <c r="T4" s="34"/>
      <c r="U4" s="34"/>
      <c r="V4" s="34"/>
      <c r="W4" s="29"/>
      <c r="X4" s="28">
        <v>37</v>
      </c>
      <c r="Y4" s="28">
        <v>1</v>
      </c>
      <c r="Z4" s="28">
        <v>2</v>
      </c>
      <c r="AA4" s="28">
        <v>2</v>
      </c>
      <c r="AB4" s="28">
        <v>1</v>
      </c>
      <c r="AC4" s="28">
        <v>2</v>
      </c>
      <c r="AD4" s="28">
        <v>2</v>
      </c>
      <c r="AE4" s="28">
        <v>4</v>
      </c>
      <c r="AF4" s="28">
        <v>2</v>
      </c>
      <c r="AG4" s="28">
        <v>2</v>
      </c>
      <c r="AH4" s="29" t="s">
        <v>55</v>
      </c>
      <c r="AI4" s="36">
        <f>IF(OR(AND(K4&lt;32, J4&lt;2), O4=1, P4=1, Q4=1, R4=1, S4=1, T4=1, U4=1, AND(W4&lt;&gt;"", W4&lt;&gt;"Oxygen", W4&lt;&gt;"LowFlow")), "Intensive", "Intermediate")</f>
      </c>
      <c r="AJ4" s="37">
        <f>IF(OR(LEFT(AH4, 1)="X", LEFT(AH4, 1)="Y", LEFT(AH4, 3)="J0M"), "CUSM", "No Match")</f>
      </c>
      <c r="AK4" s="37">
        <f>IF(AND(OR(O4=3, P4=1, Q4=1, T4=1), AJ4="no Match"), "CUSM, CHU SJ, CHUQ", "")</f>
      </c>
      <c r="AL4" s="37">
        <f>IF(AND(O4=2, ISBLANK(P4), ISBLANK(Q4), ISBLANK(R4), ISBLANK(S4), ISBLANK(T4)), "CUSM, CHU SJ, CHUS, CHUQ", "")</f>
      </c>
      <c r="AM4" s="37">
        <f>IF(AND(AJ4="no match", AK4="", AL4="", K4&lt;26), "CUSM, CHU SJ, HGJ, CHUQ, CHUS", "")</f>
      </c>
      <c r="AN4" s="37">
        <f>IF(AND(AJ4="no match", AK4="", AL4="", K4&gt;26), "CUSM, CHU SJ, HGJ, CHUQ, CHUS, HMR", "")</f>
      </c>
    </row>
    <row x14ac:dyDescent="0.25" r="5" customHeight="1" ht="17.25">
      <c r="A5" s="27" t="s">
        <v>56</v>
      </c>
      <c r="B5" s="28">
        <v>2</v>
      </c>
      <c r="C5" s="35">
        <v>824</v>
      </c>
      <c r="D5" s="29" t="s">
        <v>57</v>
      </c>
      <c r="E5" s="30" t="s">
        <v>50</v>
      </c>
      <c r="F5" s="31">
        <v>44563</v>
      </c>
      <c r="G5" s="32">
        <v>4.209027777777777</v>
      </c>
      <c r="H5" s="31">
        <v>44563</v>
      </c>
      <c r="I5" s="32">
        <v>4.004861111111111</v>
      </c>
      <c r="J5" s="33">
        <f>F5-H5</f>
      </c>
      <c r="K5" s="28">
        <v>39</v>
      </c>
      <c r="L5" s="28">
        <v>5</v>
      </c>
      <c r="M5" s="28">
        <v>2</v>
      </c>
      <c r="N5" s="38"/>
      <c r="O5" s="34"/>
      <c r="P5" s="34"/>
      <c r="Q5" s="34"/>
      <c r="R5" s="34"/>
      <c r="S5" s="34"/>
      <c r="T5" s="35">
        <v>1</v>
      </c>
      <c r="U5" s="34"/>
      <c r="V5" s="38"/>
      <c r="W5" s="29" t="s">
        <v>58</v>
      </c>
      <c r="X5" s="28">
        <v>34</v>
      </c>
      <c r="Y5" s="28">
        <v>1</v>
      </c>
      <c r="Z5" s="28">
        <v>1</v>
      </c>
      <c r="AA5" s="28">
        <v>3</v>
      </c>
      <c r="AB5" s="28">
        <v>1</v>
      </c>
      <c r="AC5" s="28">
        <v>2</v>
      </c>
      <c r="AD5" s="28">
        <v>2</v>
      </c>
      <c r="AE5" s="28">
        <v>2</v>
      </c>
      <c r="AF5" s="28">
        <v>2</v>
      </c>
      <c r="AG5" s="28">
        <v>2</v>
      </c>
      <c r="AH5" s="29" t="s">
        <v>59</v>
      </c>
      <c r="AI5" s="36">
        <f>IF(OR(AND(K5&lt;32, J5&lt;2), O5=1, P5=1, Q5=1, R5=1, S5=1, T5=1, U5=1, AND(W5&lt;&gt;"", W5&lt;&gt;"Oxygen", W5&lt;&gt;"LowFlow")), "Intensive", "Intermediate")</f>
      </c>
      <c r="AJ5" s="37">
        <f>IF(OR(LEFT(AH5, 1)="X", LEFT(AH5, 1)="Y", LEFT(AH5, 3)="J1M"), "CUSM", "No Match")</f>
      </c>
      <c r="AK5" s="37">
        <f>IF(AND(OR(O5=3, P5=1, Q5=1, T5=1), AJ5="no Match"), "CUSM, CHU SJ, CHUQ", "")</f>
      </c>
      <c r="AL5" s="37">
        <f>IF(AND(O5=2, ISBLANK(P5), ISBLANK(Q5), ISBLANK(R5), ISBLANK(S5), ISBLANK(T5)), "CUSM, CHU SJ, CHUS, CHUQ", "")</f>
      </c>
      <c r="AM5" s="37">
        <f>IF(AND(AJ5="no match", AK5="", AL5="", K5&lt;26), "CUSM, CHU SJ, HGJ, CHUQ, CHUS", "")</f>
      </c>
      <c r="AN5" s="37">
        <f>IF(AND(AJ5="no match", AK5="", AL5="", K5&gt;26), "CUSM, CHU SJ, HGJ, CHUQ, CHUS, HMR", "")</f>
      </c>
    </row>
    <row x14ac:dyDescent="0.25" r="6" customHeight="1" ht="17.25">
      <c r="A6" s="27" t="s">
        <v>60</v>
      </c>
      <c r="B6" s="28">
        <v>2</v>
      </c>
      <c r="C6" s="35">
        <v>839</v>
      </c>
      <c r="D6" s="29" t="s">
        <v>53</v>
      </c>
      <c r="E6" s="30" t="s">
        <v>50</v>
      </c>
      <c r="F6" s="31">
        <v>44564</v>
      </c>
      <c r="G6" s="32">
        <v>4.041666666666666</v>
      </c>
      <c r="H6" s="31">
        <v>44561</v>
      </c>
      <c r="I6" s="32">
        <v>4.852083333333333</v>
      </c>
      <c r="J6" s="33">
        <f>F6-H6</f>
      </c>
      <c r="K6" s="28">
        <v>40</v>
      </c>
      <c r="L6" s="28">
        <v>4</v>
      </c>
      <c r="M6" s="28">
        <v>1</v>
      </c>
      <c r="N6" s="34"/>
      <c r="O6" s="34"/>
      <c r="P6" s="34"/>
      <c r="Q6" s="34"/>
      <c r="R6" s="34"/>
      <c r="S6" s="34"/>
      <c r="T6" s="34"/>
      <c r="U6" s="34"/>
      <c r="V6" s="34"/>
      <c r="W6" s="29"/>
      <c r="X6" s="28">
        <v>31</v>
      </c>
      <c r="Y6" s="28">
        <v>1</v>
      </c>
      <c r="Z6" s="28">
        <v>1</v>
      </c>
      <c r="AA6" s="28">
        <v>2</v>
      </c>
      <c r="AB6" s="28">
        <v>1</v>
      </c>
      <c r="AC6" s="28">
        <v>2</v>
      </c>
      <c r="AD6" s="28">
        <v>2</v>
      </c>
      <c r="AE6" s="28">
        <v>2</v>
      </c>
      <c r="AF6" s="28">
        <v>2</v>
      </c>
      <c r="AG6" s="28">
        <v>2</v>
      </c>
      <c r="AH6" s="29" t="s">
        <v>61</v>
      </c>
      <c r="AI6" s="36">
        <f>IF(OR(AND(K6&lt;32, J6&lt;2), O6=1, P6=1, Q6=1, R6=1, S6=1, T6=1, U6=1, AND(W6&lt;&gt;"", W6&lt;&gt;"Oxygen", W6&lt;&gt;"LowFlow")), "Intensive", "Intermediate")</f>
      </c>
      <c r="AJ6" s="37">
        <f>IF(OR(LEFT(AH6, 1)="X", LEFT(AH6, 1)="Y", LEFT(AH6, 3)="J2M"), "CUSM", "No Match")</f>
      </c>
      <c r="AK6" s="37">
        <f>IF(AND(OR(O6=3, P6=1, Q6=1, T6=1), AJ6="no Match"), "CUSM, CHU SJ, CHUQ", "")</f>
      </c>
      <c r="AL6" s="37">
        <f>IF(AND(O6=2, ISBLANK(P6), ISBLANK(Q6), ISBLANK(R6), ISBLANK(S6), ISBLANK(T6)), "CUSM, CHU SJ, CHUS, CHUQ", "")</f>
      </c>
      <c r="AM6" s="37">
        <f>IF(AND(AJ6="no match", AK6="", AL6="", K6&lt;26), "CUSM, CHU SJ, HGJ, CHUQ, CHUS", "")</f>
      </c>
      <c r="AN6" s="37">
        <f>IF(AND(AJ6="no match", AK6="", AL6="", K6&gt;26), "CUSM, CHU SJ, HGJ, CHUQ, CHUS, HMR", "")</f>
      </c>
    </row>
    <row x14ac:dyDescent="0.25" r="7" customHeight="1" ht="17.25">
      <c r="A7" s="27" t="s">
        <v>62</v>
      </c>
      <c r="B7" s="28">
        <v>2</v>
      </c>
      <c r="C7" s="28">
        <v>796</v>
      </c>
      <c r="D7" s="29" t="s">
        <v>63</v>
      </c>
      <c r="E7" s="30" t="s">
        <v>50</v>
      </c>
      <c r="F7" s="31">
        <v>44564</v>
      </c>
      <c r="G7" s="32">
        <v>4.717361111111111</v>
      </c>
      <c r="H7" s="31">
        <v>44564</v>
      </c>
      <c r="I7" s="32">
        <v>4.393055555555556</v>
      </c>
      <c r="J7" s="33">
        <f>F7-H7</f>
      </c>
      <c r="K7" s="28">
        <v>39</v>
      </c>
      <c r="L7" s="28">
        <v>3</v>
      </c>
      <c r="M7" s="28">
        <v>1</v>
      </c>
      <c r="N7" s="34"/>
      <c r="O7" s="34"/>
      <c r="P7" s="34"/>
      <c r="Q7" s="34"/>
      <c r="R7" s="34"/>
      <c r="S7" s="34"/>
      <c r="T7" s="35">
        <v>1</v>
      </c>
      <c r="U7" s="34"/>
      <c r="V7" s="34"/>
      <c r="W7" s="29"/>
      <c r="X7" s="28">
        <v>27</v>
      </c>
      <c r="Y7" s="28">
        <v>1</v>
      </c>
      <c r="Z7" s="28">
        <v>1</v>
      </c>
      <c r="AA7" s="28">
        <v>2</v>
      </c>
      <c r="AB7" s="28">
        <v>1</v>
      </c>
      <c r="AC7" s="28">
        <v>2</v>
      </c>
      <c r="AD7" s="28">
        <v>2</v>
      </c>
      <c r="AE7" s="28">
        <v>2</v>
      </c>
      <c r="AF7" s="28">
        <v>2</v>
      </c>
      <c r="AG7" s="28">
        <v>3</v>
      </c>
      <c r="AH7" s="29" t="s">
        <v>64</v>
      </c>
      <c r="AI7" s="36">
        <f>IF(OR(AND(K7&lt;32, J7&lt;2), O7=1, P7=1, Q7=1, R7=1, S7=1, T7=1, U7=1, AND(W7&lt;&gt;"", W7&lt;&gt;"Oxygen", W7&lt;&gt;"LowFlow")), "Intensive", "Intermediate")</f>
      </c>
      <c r="AJ7" s="37">
        <f>IF(OR(LEFT(AH7, 1)="X", LEFT(AH7, 1)="Y", LEFT(AH7, 3)="J3M"), "CUSM", "No Match")</f>
      </c>
      <c r="AK7" s="37">
        <f>IF(AND(OR(O7=3, P7=1, Q7=1, T7=1), AJ7="no Match"), "CUSM, CHU SJ, CHUQ", "")</f>
      </c>
      <c r="AL7" s="37">
        <f>IF(AND(O7=2, ISBLANK(P7), ISBLANK(Q7), ISBLANK(R7), ISBLANK(S7), ISBLANK(T7)), "CUSM, CHU SJ, CHUS, CHUQ", "")</f>
      </c>
      <c r="AM7" s="37">
        <f>IF(AND(AJ7="no match", AK7="", AL7="", K7&lt;26), "CUSM, CHU SJ, HGJ, CHUQ, CHUS", "")</f>
      </c>
      <c r="AN7" s="37">
        <f>IF(AND(AJ7="no match", AK7="", AL7="", K7&gt;26), "CUSM, CHU SJ, HGJ, CHUQ, CHUS, HMR", "")</f>
      </c>
    </row>
    <row x14ac:dyDescent="0.25" r="8" customHeight="1" ht="17.25">
      <c r="A8" s="27" t="s">
        <v>65</v>
      </c>
      <c r="B8" s="28">
        <v>2</v>
      </c>
      <c r="C8" s="35">
        <v>756</v>
      </c>
      <c r="D8" s="29" t="s">
        <v>66</v>
      </c>
      <c r="E8" s="30" t="s">
        <v>50</v>
      </c>
      <c r="F8" s="31">
        <v>44565</v>
      </c>
      <c r="G8" s="32">
        <v>4.385416666666666</v>
      </c>
      <c r="H8" s="31">
        <v>44563</v>
      </c>
      <c r="I8" s="32">
        <v>4.84375</v>
      </c>
      <c r="J8" s="33">
        <f>F8-H8</f>
      </c>
      <c r="K8" s="28">
        <v>40</v>
      </c>
      <c r="L8" s="28">
        <v>5</v>
      </c>
      <c r="M8" s="28">
        <v>2</v>
      </c>
      <c r="N8" s="35">
        <v>1</v>
      </c>
      <c r="O8" s="34"/>
      <c r="P8" s="35">
        <v>1</v>
      </c>
      <c r="Q8" s="34"/>
      <c r="R8" s="34"/>
      <c r="S8" s="34"/>
      <c r="T8" s="34"/>
      <c r="U8" s="34"/>
      <c r="V8" s="34"/>
      <c r="W8" s="29"/>
      <c r="X8" s="28">
        <v>31</v>
      </c>
      <c r="Y8" s="28">
        <v>1</v>
      </c>
      <c r="Z8" s="28">
        <v>2</v>
      </c>
      <c r="AA8" s="28">
        <v>2</v>
      </c>
      <c r="AB8" s="28">
        <v>1</v>
      </c>
      <c r="AC8" s="28">
        <v>2</v>
      </c>
      <c r="AD8" s="28">
        <v>1</v>
      </c>
      <c r="AE8" s="28">
        <v>3</v>
      </c>
      <c r="AF8" s="28">
        <v>2</v>
      </c>
      <c r="AG8" s="28">
        <v>2</v>
      </c>
      <c r="AH8" s="29" t="s">
        <v>67</v>
      </c>
      <c r="AI8" s="36">
        <f>IF(OR(AND(K8&lt;32, J8&lt;2), O8=1, P8=1, Q8=1, R8=1, S8=1, T8=1, U8=1, AND(W8&lt;&gt;"", W8&lt;&gt;"Oxygen", W8&lt;&gt;"LowFlow")), "Intensive", "Intermediate")</f>
      </c>
      <c r="AJ8" s="37">
        <f>IF(OR(LEFT(AH8, 1)="X", LEFT(AH8, 1)="Y", LEFT(AH8, 3)="J4M"), "CUSM", "No Match")</f>
      </c>
      <c r="AK8" s="37">
        <f>IF(AND(OR(O8=3, P8=1, Q8=1, T8=1), AJ8="no Match"), "CUSM, CHU SJ, CHUQ", "")</f>
      </c>
      <c r="AL8" s="37">
        <f>IF(AND(O8=2, ISBLANK(P8), ISBLANK(Q8), ISBLANK(R8), ISBLANK(S8), ISBLANK(T8)), "CUSM, CHU SJ, CHUS, CHUQ", "")</f>
      </c>
      <c r="AM8" s="37">
        <f>IF(AND(AJ8="no match", AK8="", AL8="", K8&lt;26), "CUSM, CHU SJ, HGJ, CHUQ, CHUS", "")</f>
      </c>
      <c r="AN8" s="37">
        <f>IF(AND(AJ8="no match", AK8="", AL8="", K8&gt;26), "CUSM, CHU SJ, HGJ, CHUQ, CHUS, HMR", "")</f>
      </c>
    </row>
    <row x14ac:dyDescent="0.25" r="9" customHeight="1" ht="17.25">
      <c r="A9" s="27" t="s">
        <v>68</v>
      </c>
      <c r="B9" s="28">
        <v>2</v>
      </c>
      <c r="C9" s="28">
        <v>820</v>
      </c>
      <c r="D9" s="29" t="s">
        <v>69</v>
      </c>
      <c r="E9" s="30" t="s">
        <v>50</v>
      </c>
      <c r="F9" s="31">
        <v>44566</v>
      </c>
      <c r="G9" s="32">
        <v>4.863194444444444</v>
      </c>
      <c r="H9" s="31">
        <v>44566</v>
      </c>
      <c r="I9" s="32">
        <v>4.647916666666667</v>
      </c>
      <c r="J9" s="33">
        <f>F9-H9</f>
      </c>
      <c r="K9" s="28">
        <v>39</v>
      </c>
      <c r="L9" s="28">
        <v>5</v>
      </c>
      <c r="M9" s="28">
        <v>1</v>
      </c>
      <c r="N9" s="34"/>
      <c r="O9" s="34"/>
      <c r="P9" s="34"/>
      <c r="Q9" s="34"/>
      <c r="R9" s="34"/>
      <c r="S9" s="34"/>
      <c r="T9" s="34"/>
      <c r="U9" s="35">
        <v>1</v>
      </c>
      <c r="V9" s="35">
        <v>1</v>
      </c>
      <c r="W9" s="29" t="s">
        <v>70</v>
      </c>
      <c r="X9" s="28">
        <v>29</v>
      </c>
      <c r="Y9" s="28">
        <v>1</v>
      </c>
      <c r="Z9" s="28">
        <v>1</v>
      </c>
      <c r="AA9" s="28">
        <v>1</v>
      </c>
      <c r="AB9" s="28">
        <v>1</v>
      </c>
      <c r="AC9" s="28">
        <v>2</v>
      </c>
      <c r="AD9" s="28">
        <v>2</v>
      </c>
      <c r="AE9" s="28">
        <v>2</v>
      </c>
      <c r="AF9" s="28">
        <v>2</v>
      </c>
      <c r="AG9" s="28">
        <v>2</v>
      </c>
      <c r="AH9" s="29" t="s">
        <v>71</v>
      </c>
      <c r="AI9" s="36">
        <f>IF(OR(AND(K9&lt;32, J9&lt;2), O9=1, P9=1, Q9=1, R9=1, S9=1, T9=1, U9=1, AND(W9&lt;&gt;"", W9&lt;&gt;"Oxygen", W9&lt;&gt;"LowFlow")), "Intensive", "Intermediate")</f>
      </c>
      <c r="AJ9" s="37">
        <f>IF(OR(LEFT(AH9, 1)="X", LEFT(AH9, 1)="Y", LEFT(AH9, 3)="J5M"), "CUSM", "No Match")</f>
      </c>
      <c r="AK9" s="37">
        <f>IF(AND(OR(O9=3, P9=1, Q9=1, T9=1), AJ9="no Match"), "CUSM, CHU SJ, CHUQ", "")</f>
      </c>
      <c r="AL9" s="37">
        <f>IF(AND(O9=2, ISBLANK(P9), ISBLANK(Q9), ISBLANK(R9), ISBLANK(S9), ISBLANK(T9)), "CUSM, CHU SJ, CHUS, CHUQ", "")</f>
      </c>
      <c r="AM9" s="37">
        <f>IF(AND(AJ9="no match", AK9="", AL9="", K9&lt;26), "CUSM, CHU SJ, HGJ, CHUQ, CHUS", "")</f>
      </c>
      <c r="AN9" s="37">
        <f>IF(AND(AJ9="no match", AK9="", AL9="", K9&gt;26), "CUSM, CHU SJ, HGJ, CHUQ, CHUS, HMR", "")</f>
      </c>
    </row>
    <row x14ac:dyDescent="0.25" r="10" customHeight="1" ht="17.25">
      <c r="A10" s="27" t="s">
        <v>72</v>
      </c>
      <c r="B10" s="28">
        <v>2</v>
      </c>
      <c r="C10" s="35">
        <v>795</v>
      </c>
      <c r="D10" s="29" t="s">
        <v>73</v>
      </c>
      <c r="E10" s="30" t="s">
        <v>54</v>
      </c>
      <c r="F10" s="31">
        <v>44567</v>
      </c>
      <c r="G10" s="32">
        <v>4.136805555555556</v>
      </c>
      <c r="H10" s="31">
        <v>44566</v>
      </c>
      <c r="I10" s="32">
        <v>4.68125</v>
      </c>
      <c r="J10" s="33">
        <f>F10-H10</f>
      </c>
      <c r="K10" s="28">
        <v>34</v>
      </c>
      <c r="L10" s="28">
        <v>0</v>
      </c>
      <c r="M10" s="28">
        <v>2</v>
      </c>
      <c r="N10" s="35">
        <v>1</v>
      </c>
      <c r="O10" s="38"/>
      <c r="P10" s="35">
        <v>1</v>
      </c>
      <c r="Q10" s="34"/>
      <c r="R10" s="34"/>
      <c r="S10" s="34"/>
      <c r="T10" s="34"/>
      <c r="U10" s="34"/>
      <c r="V10" s="38"/>
      <c r="W10" s="29" t="s">
        <v>74</v>
      </c>
      <c r="X10" s="28">
        <v>32</v>
      </c>
      <c r="Y10" s="28">
        <v>1</v>
      </c>
      <c r="Z10" s="28">
        <v>2</v>
      </c>
      <c r="AA10" s="28">
        <v>3</v>
      </c>
      <c r="AB10" s="28">
        <v>1</v>
      </c>
      <c r="AC10" s="28">
        <v>2</v>
      </c>
      <c r="AD10" s="28">
        <v>2</v>
      </c>
      <c r="AE10" s="28">
        <v>4</v>
      </c>
      <c r="AF10" s="28">
        <v>3</v>
      </c>
      <c r="AG10" s="28">
        <v>2</v>
      </c>
      <c r="AH10" s="29" t="s">
        <v>75</v>
      </c>
      <c r="AI10" s="36">
        <f>IF(OR(AND(K10&lt;32, J10&lt;2), O10=1, P10=1, Q10=1, R10=1, S10=1, T10=1, U10=1, AND(W10&lt;&gt;"", W10&lt;&gt;"Oxygen", W10&lt;&gt;"LowFlow")), "Intensive", "Intermediate")</f>
      </c>
      <c r="AJ10" s="37">
        <f>IF(OR(LEFT(AH10, 1)="X", LEFT(AH10, 1)="Y", LEFT(AH10, 3)="J6M"), "CUSM", "No Match")</f>
      </c>
      <c r="AK10" s="37">
        <f>IF(AND(OR(O10=3, P10=1, Q10=1, T10=1), AJ10="no Match"), "CUSM, CHU SJ, CHUQ", "")</f>
      </c>
      <c r="AL10" s="37">
        <f>IF(AND(O10=2, ISBLANK(P10), ISBLANK(Q10), ISBLANK(R10), ISBLANK(S10), ISBLANK(T10)), "CUSM, CHU SJ, CHUS, CHUQ", "")</f>
      </c>
      <c r="AM10" s="37">
        <f>IF(AND(AJ10="no match", AK10="", AL10="", K10&lt;26), "CUSM, CHU SJ, HGJ, CHUQ, CHUS", "")</f>
      </c>
      <c r="AN10" s="37">
        <f>IF(AND(AJ10="no match", AK10="", AL10="", K10&gt;26), "CUSM, CHU SJ, HGJ, CHUQ, CHUS, HMR", "")</f>
      </c>
    </row>
    <row x14ac:dyDescent="0.25" r="11" customHeight="1" ht="17.25">
      <c r="A11" s="27" t="s">
        <v>76</v>
      </c>
      <c r="B11" s="28">
        <v>2</v>
      </c>
      <c r="C11" s="28">
        <v>825</v>
      </c>
      <c r="D11" s="29" t="s">
        <v>77</v>
      </c>
      <c r="E11" s="30" t="s">
        <v>78</v>
      </c>
      <c r="F11" s="31">
        <v>44567</v>
      </c>
      <c r="G11" s="32">
        <v>4.770833333333334</v>
      </c>
      <c r="H11" s="31">
        <v>44567</v>
      </c>
      <c r="I11" s="32">
        <v>4.339583333333334</v>
      </c>
      <c r="J11" s="33">
        <f>F11-H11</f>
      </c>
      <c r="K11" s="28">
        <v>34</v>
      </c>
      <c r="L11" s="28">
        <v>6</v>
      </c>
      <c r="M11" s="28">
        <v>2</v>
      </c>
      <c r="N11" s="34"/>
      <c r="O11" s="34"/>
      <c r="P11" s="34"/>
      <c r="Q11" s="34"/>
      <c r="R11" s="34"/>
      <c r="S11" s="34"/>
      <c r="T11" s="38"/>
      <c r="U11" s="34"/>
      <c r="V11" s="34"/>
      <c r="W11" s="29" t="s">
        <v>58</v>
      </c>
      <c r="X11" s="28">
        <v>29</v>
      </c>
      <c r="Y11" s="28">
        <v>1</v>
      </c>
      <c r="Z11" s="28">
        <v>2</v>
      </c>
      <c r="AA11" s="28">
        <v>1</v>
      </c>
      <c r="AB11" s="28">
        <v>1</v>
      </c>
      <c r="AC11" s="28">
        <v>2</v>
      </c>
      <c r="AD11" s="28">
        <v>2</v>
      </c>
      <c r="AE11" s="28">
        <v>2</v>
      </c>
      <c r="AF11" s="28">
        <v>1</v>
      </c>
      <c r="AG11" s="28">
        <v>2</v>
      </c>
      <c r="AH11" s="29" t="s">
        <v>79</v>
      </c>
      <c r="AI11" s="36">
        <f>IF(OR(AND(K11&lt;32, J11&lt;2), O11=1, P11=1, Q11=1, R11=1, S11=1, T11=1, U11=1, AND(W11&lt;&gt;"", W11&lt;&gt;"Oxygen", W11&lt;&gt;"LowFlow")), "Intensive", "Intermediate")</f>
      </c>
      <c r="AJ11" s="37">
        <f>IF(OR(LEFT(AH11, 1)="X", LEFT(AH11, 1)="Y", LEFT(AH11, 3)="J7M"), "CUSM", "No Match")</f>
      </c>
      <c r="AK11" s="37">
        <f>IF(AND(OR(O11=3, P11=1, Q11=1, T11=1), AJ11="no Match"), "CUSM, CHU SJ, CHUQ", "")</f>
      </c>
      <c r="AL11" s="37">
        <f>IF(AND(O11=2, ISBLANK(P11), ISBLANK(Q11), ISBLANK(R11), ISBLANK(S11), ISBLANK(T11)), "CUSM, CHU SJ, CHUS, CHUQ", "")</f>
      </c>
      <c r="AM11" s="37">
        <f>IF(AND(AJ11="no match", AK11="", AL11="", K11&lt;26), "CUSM, CHU SJ, HGJ, CHUQ, CHUS", "")</f>
      </c>
      <c r="AN11" s="37">
        <f>IF(AND(AJ11="no match", AK11="", AL11="", K11&gt;26), "CUSM, CHU SJ, HGJ, CHUQ, CHUS, HMR", "")</f>
      </c>
    </row>
    <row x14ac:dyDescent="0.25" r="12" customHeight="1" ht="17.25">
      <c r="A12" s="27" t="s">
        <v>80</v>
      </c>
      <c r="B12" s="28">
        <v>2</v>
      </c>
      <c r="C12" s="28">
        <v>730</v>
      </c>
      <c r="D12" s="29" t="s">
        <v>81</v>
      </c>
      <c r="E12" s="30" t="s">
        <v>50</v>
      </c>
      <c r="F12" s="31">
        <v>44568</v>
      </c>
      <c r="G12" s="32">
        <v>4.913194444444445</v>
      </c>
      <c r="H12" s="31">
        <v>44567</v>
      </c>
      <c r="I12" s="32">
        <v>4.745833333333334</v>
      </c>
      <c r="J12" s="33">
        <f>F12-H12</f>
      </c>
      <c r="K12" s="28">
        <v>39</v>
      </c>
      <c r="L12" s="28">
        <v>2</v>
      </c>
      <c r="M12" s="28">
        <v>2</v>
      </c>
      <c r="N12" s="34"/>
      <c r="O12" s="34"/>
      <c r="P12" s="34"/>
      <c r="Q12" s="34"/>
      <c r="R12" s="34"/>
      <c r="S12" s="34"/>
      <c r="T12" s="34"/>
      <c r="U12" s="34"/>
      <c r="V12" s="34"/>
      <c r="W12" s="29"/>
      <c r="X12" s="28">
        <v>32</v>
      </c>
      <c r="Y12" s="28">
        <v>1</v>
      </c>
      <c r="Z12" s="28">
        <v>2</v>
      </c>
      <c r="AA12" s="28">
        <v>1</v>
      </c>
      <c r="AB12" s="28">
        <v>1</v>
      </c>
      <c r="AC12" s="28">
        <v>1</v>
      </c>
      <c r="AD12" s="28">
        <v>2</v>
      </c>
      <c r="AE12" s="28">
        <v>4</v>
      </c>
      <c r="AF12" s="28">
        <v>3</v>
      </c>
      <c r="AG12" s="28">
        <v>2</v>
      </c>
      <c r="AH12" s="29" t="s">
        <v>82</v>
      </c>
      <c r="AI12" s="36">
        <f>IF(OR(AND(K12&lt;32, J12&lt;2), O12=1, P12=1, Q12=1, R12=1, S12=1, T12=1, U12=1, AND(W12&lt;&gt;"", W12&lt;&gt;"Oxygen", W12&lt;&gt;"LowFlow")), "Intensive", "Intermediate")</f>
      </c>
      <c r="AJ12" s="37">
        <f>IF(OR(LEFT(AH12, 1)="X", LEFT(AH12, 1)="Y", LEFT(AH12, 3)="J8M"), "CUSM", "No Match")</f>
      </c>
      <c r="AK12" s="37">
        <f>IF(AND(OR(O12=3, P12=1, Q12=1, T12=1), AJ12="no Match"), "CUSM, CHU SJ, CHUQ", "")</f>
      </c>
      <c r="AL12" s="37">
        <f>IF(AND(O12=2, ISBLANK(P12), ISBLANK(Q12), ISBLANK(R12), ISBLANK(S12), ISBLANK(T12)), "CUSM, CHU SJ, CHUS, CHUQ", "")</f>
      </c>
      <c r="AM12" s="37">
        <f>IF(AND(AJ12="no match", AK12="", AL12="", K12&lt;26), "CUSM, CHU SJ, HGJ, CHUQ, CHUS", "")</f>
      </c>
      <c r="AN12" s="37">
        <f>IF(AND(AJ12="no match", AK12="", AL12="", K12&gt;26), "CUSM, CHU SJ, HGJ, CHUQ, CHUS, HMR", "")</f>
      </c>
    </row>
    <row x14ac:dyDescent="0.25" r="13" customHeight="1" ht="17.25">
      <c r="A13" s="27" t="s">
        <v>83</v>
      </c>
      <c r="B13" s="28">
        <v>2</v>
      </c>
      <c r="C13" s="35">
        <v>776</v>
      </c>
      <c r="D13" s="29" t="s">
        <v>84</v>
      </c>
      <c r="E13" s="30" t="s">
        <v>50</v>
      </c>
      <c r="F13" s="31">
        <v>44570</v>
      </c>
      <c r="G13" s="32">
        <v>4.59375</v>
      </c>
      <c r="H13" s="31">
        <v>44568</v>
      </c>
      <c r="I13" s="32">
        <v>4.813194444444445</v>
      </c>
      <c r="J13" s="33">
        <f>F13-H13</f>
      </c>
      <c r="K13" s="28">
        <v>36</v>
      </c>
      <c r="L13" s="28">
        <v>2</v>
      </c>
      <c r="M13" s="28">
        <v>1</v>
      </c>
      <c r="N13" s="34"/>
      <c r="O13" s="34"/>
      <c r="P13" s="34"/>
      <c r="Q13" s="34"/>
      <c r="R13" s="34"/>
      <c r="S13" s="34"/>
      <c r="T13" s="34"/>
      <c r="U13" s="34"/>
      <c r="V13" s="34"/>
      <c r="W13" s="29"/>
      <c r="X13" s="28">
        <v>20</v>
      </c>
      <c r="Y13" s="28">
        <v>1</v>
      </c>
      <c r="Z13" s="28">
        <v>2</v>
      </c>
      <c r="AA13" s="28">
        <v>1</v>
      </c>
      <c r="AB13" s="28">
        <v>4</v>
      </c>
      <c r="AC13" s="28">
        <v>1</v>
      </c>
      <c r="AD13" s="28">
        <v>1</v>
      </c>
      <c r="AE13" s="28">
        <v>4</v>
      </c>
      <c r="AF13" s="28">
        <v>3</v>
      </c>
      <c r="AG13" s="28">
        <v>2</v>
      </c>
      <c r="AH13" s="29" t="s">
        <v>85</v>
      </c>
      <c r="AI13" s="36">
        <f>IF(OR(AND(K13&lt;32, J13&lt;2), O13=1, P13=1, Q13=1, R13=1, S13=1, T13=1, U13=1, AND(W13&lt;&gt;"", W13&lt;&gt;"Oxygen", W13&lt;&gt;"LowFlow")), "Intensive", "Intermediate")</f>
      </c>
      <c r="AJ13" s="37">
        <f>IF(OR(LEFT(AH13, 1)="X", LEFT(AH13, 1)="Y", LEFT(AH13, 3)="J9M"), "CUSM", "No Match")</f>
      </c>
      <c r="AK13" s="37">
        <f>IF(AND(OR(O13=3, P13=1, Q13=1, T13=1), AJ13="no Match"), "CUSM, CHU SJ, CHUQ", "")</f>
      </c>
      <c r="AL13" s="37">
        <f>IF(AND(O13=2, ISBLANK(P13), ISBLANK(Q13), ISBLANK(R13), ISBLANK(S13), ISBLANK(T13)), "CUSM, CHU SJ, CHUS, CHUQ", "")</f>
      </c>
      <c r="AM13" s="37">
        <f>IF(AND(AJ13="no match", AK13="", AL13="", K13&lt;26), "CUSM, CHU SJ, HGJ, CHUQ, CHUS", "")</f>
      </c>
      <c r="AN13" s="37">
        <f>IF(AND(AJ13="no match", AK13="", AL13="", K13&gt;26), "CUSM, CHU SJ, HGJ, CHUQ, CHUS, HMR", "")</f>
      </c>
    </row>
    <row x14ac:dyDescent="0.25" r="14" customHeight="1" ht="17.25">
      <c r="A14" s="27" t="s">
        <v>86</v>
      </c>
      <c r="B14" s="28">
        <v>2</v>
      </c>
      <c r="C14" s="35">
        <v>796</v>
      </c>
      <c r="D14" s="29" t="s">
        <v>63</v>
      </c>
      <c r="E14" s="30" t="s">
        <v>50</v>
      </c>
      <c r="F14" s="31">
        <v>44571</v>
      </c>
      <c r="G14" s="32">
        <v>4.236111111111111</v>
      </c>
      <c r="H14" s="31">
        <v>44571</v>
      </c>
      <c r="I14" s="32">
        <v>4.008333333333333</v>
      </c>
      <c r="J14" s="33">
        <f>F14-H14</f>
      </c>
      <c r="K14" s="28">
        <v>37</v>
      </c>
      <c r="L14" s="28">
        <v>5</v>
      </c>
      <c r="M14" s="28">
        <v>2</v>
      </c>
      <c r="N14" s="35">
        <v>1</v>
      </c>
      <c r="O14" s="34"/>
      <c r="P14" s="35">
        <v>1</v>
      </c>
      <c r="Q14" s="34"/>
      <c r="R14" s="34"/>
      <c r="S14" s="34"/>
      <c r="T14" s="34"/>
      <c r="U14" s="34"/>
      <c r="V14" s="34"/>
      <c r="W14" s="29" t="s">
        <v>58</v>
      </c>
      <c r="X14" s="28">
        <v>25</v>
      </c>
      <c r="Y14" s="28">
        <v>1</v>
      </c>
      <c r="Z14" s="28">
        <v>2</v>
      </c>
      <c r="AA14" s="28">
        <v>1</v>
      </c>
      <c r="AB14" s="28">
        <v>4</v>
      </c>
      <c r="AC14" s="28">
        <v>2</v>
      </c>
      <c r="AD14" s="28">
        <v>1</v>
      </c>
      <c r="AE14" s="28">
        <v>2</v>
      </c>
      <c r="AF14" s="28">
        <v>1</v>
      </c>
      <c r="AG14" s="28">
        <v>2</v>
      </c>
      <c r="AH14" s="29" t="s">
        <v>87</v>
      </c>
      <c r="AI14" s="36">
        <f>IF(OR(AND(K14&lt;32, J14&lt;2), O14=1, P14=1, Q14=1, R14=1, S14=1, T14=1, U14=1, AND(W14&lt;&gt;"", W14&lt;&gt;"Oxygen", W14&lt;&gt;"LowFlow")), "Intensive", "Intermediate")</f>
      </c>
      <c r="AJ14" s="37">
        <f>IF(OR(LEFT(AH14, 1)="X", LEFT(AH14, 1)="Y", LEFT(AH14, 3)="J10M"), "CUSM", "No Match")</f>
      </c>
      <c r="AK14" s="37">
        <f>IF(AND(OR(O14=3, P14=1, Q14=1, T14=1), AJ14="no Match"), "CUSM, CHU SJ, CHUQ", "")</f>
      </c>
      <c r="AL14" s="37">
        <f>IF(AND(O14=2, ISBLANK(P14), ISBLANK(Q14), ISBLANK(R14), ISBLANK(S14), ISBLANK(T14)), "CUSM, CHU SJ, CHUS, CHUQ", "")</f>
      </c>
      <c r="AM14" s="37">
        <f>IF(AND(AJ14="no match", AK14="", AL14="", K14&lt;26), "CUSM, CHU SJ, HGJ, CHUQ, CHUS", "")</f>
      </c>
      <c r="AN14" s="37">
        <f>IF(AND(AJ14="no match", AK14="", AL14="", K14&gt;26), "CUSM, CHU SJ, HGJ, CHUQ, CHUS, HMR", "")</f>
      </c>
    </row>
    <row x14ac:dyDescent="0.25" r="15" customHeight="1" ht="17.25">
      <c r="A15" s="27" t="s">
        <v>88</v>
      </c>
      <c r="B15" s="28">
        <v>2</v>
      </c>
      <c r="C15" s="35">
        <v>796</v>
      </c>
      <c r="D15" s="29" t="s">
        <v>63</v>
      </c>
      <c r="E15" s="30" t="s">
        <v>54</v>
      </c>
      <c r="F15" s="31">
        <v>44572</v>
      </c>
      <c r="G15" s="32">
        <v>4.739583333333334</v>
      </c>
      <c r="H15" s="31">
        <v>44571</v>
      </c>
      <c r="I15" s="32">
        <v>4.581944444444444</v>
      </c>
      <c r="J15" s="33">
        <f>F15-H15</f>
      </c>
      <c r="K15" s="28">
        <v>39</v>
      </c>
      <c r="L15" s="28">
        <v>3</v>
      </c>
      <c r="M15" s="28">
        <v>2</v>
      </c>
      <c r="N15" s="34"/>
      <c r="O15" s="34"/>
      <c r="P15" s="34"/>
      <c r="Q15" s="34"/>
      <c r="R15" s="34"/>
      <c r="S15" s="34"/>
      <c r="T15" s="34"/>
      <c r="U15" s="34"/>
      <c r="V15" s="34"/>
      <c r="W15" s="29"/>
      <c r="X15" s="28">
        <v>30</v>
      </c>
      <c r="Y15" s="28">
        <v>1</v>
      </c>
      <c r="Z15" s="28">
        <v>2</v>
      </c>
      <c r="AA15" s="28">
        <v>2</v>
      </c>
      <c r="AB15" s="28">
        <v>1</v>
      </c>
      <c r="AC15" s="28">
        <v>2</v>
      </c>
      <c r="AD15" s="28">
        <v>2</v>
      </c>
      <c r="AE15" s="28">
        <v>2</v>
      </c>
      <c r="AF15" s="28">
        <v>3</v>
      </c>
      <c r="AG15" s="28">
        <v>2</v>
      </c>
      <c r="AH15" s="29" t="s">
        <v>89</v>
      </c>
      <c r="AI15" s="36">
        <f>IF(OR(AND(K15&lt;32, J15&lt;2), O15=1, P15=1, Q15=1, R15=1, S15=1, T15=1, U15=1, AND(W15&lt;&gt;"", W15&lt;&gt;"Oxygen", W15&lt;&gt;"LowFlow")), "Intensive", "Intermediate")</f>
      </c>
      <c r="AJ15" s="37">
        <f>IF(OR(LEFT(AH15, 1)="X", LEFT(AH15, 1)="Y", LEFT(AH15, 3)="J11M"), "CUSM", "No Match")</f>
      </c>
      <c r="AK15" s="37">
        <f>IF(AND(OR(O15=3, P15=1, Q15=1, T15=1), AJ15="no Match"), "CUSM, CHU SJ, CHUQ", "")</f>
      </c>
      <c r="AL15" s="37">
        <f>IF(AND(O15=2, ISBLANK(P15), ISBLANK(Q15), ISBLANK(R15), ISBLANK(S15), ISBLANK(T15)), "CUSM, CHU SJ, CHUS, CHUQ", "")</f>
      </c>
      <c r="AM15" s="37">
        <f>IF(AND(AJ15="no match", AK15="", AL15="", K15&lt;26), "CUSM, CHU SJ, HGJ, CHUQ, CHUS", "")</f>
      </c>
      <c r="AN15" s="37">
        <f>IF(AND(AJ15="no match", AK15="", AL15="", K15&gt;26), "CUSM, CHU SJ, HGJ, CHUQ, CHUS, HMR", "")</f>
      </c>
    </row>
    <row x14ac:dyDescent="0.25" r="16" customHeight="1" ht="17.25">
      <c r="A16" s="27" t="s">
        <v>90</v>
      </c>
      <c r="B16" s="28">
        <v>2</v>
      </c>
      <c r="C16" s="28">
        <v>756</v>
      </c>
      <c r="D16" s="29" t="s">
        <v>66</v>
      </c>
      <c r="E16" s="30" t="s">
        <v>50</v>
      </c>
      <c r="F16" s="31">
        <v>44572</v>
      </c>
      <c r="G16" s="32">
        <v>4.631944444444445</v>
      </c>
      <c r="H16" s="31">
        <v>44570</v>
      </c>
      <c r="I16" s="32">
        <v>4.575694444444444</v>
      </c>
      <c r="J16" s="33">
        <f>F16-H16</f>
      </c>
      <c r="K16" s="28">
        <v>38</v>
      </c>
      <c r="L16" s="28">
        <v>0</v>
      </c>
      <c r="M16" s="28">
        <v>2</v>
      </c>
      <c r="N16" s="38"/>
      <c r="O16" s="34"/>
      <c r="P16" s="34"/>
      <c r="Q16" s="34"/>
      <c r="R16" s="34"/>
      <c r="S16" s="34"/>
      <c r="T16" s="34"/>
      <c r="U16" s="34"/>
      <c r="V16" s="34"/>
      <c r="W16" s="29"/>
      <c r="X16" s="28">
        <v>29</v>
      </c>
      <c r="Y16" s="28">
        <v>1</v>
      </c>
      <c r="Z16" s="28">
        <v>1</v>
      </c>
      <c r="AA16" s="28">
        <v>1</v>
      </c>
      <c r="AB16" s="28">
        <v>1</v>
      </c>
      <c r="AC16" s="28">
        <v>2</v>
      </c>
      <c r="AD16" s="28">
        <v>2</v>
      </c>
      <c r="AE16" s="28">
        <v>4</v>
      </c>
      <c r="AF16" s="28">
        <v>1</v>
      </c>
      <c r="AG16" s="28">
        <v>2</v>
      </c>
      <c r="AH16" s="29" t="s">
        <v>91</v>
      </c>
      <c r="AI16" s="36">
        <f>IF(OR(AND(K16&lt;32, J16&lt;2), O16=1, P16=1, Q16=1, R16=1, S16=1, T16=1, U16=1, AND(W16&lt;&gt;"", W16&lt;&gt;"Oxygen", W16&lt;&gt;"LowFlow")), "Intensive", "Intermediate")</f>
      </c>
      <c r="AJ16" s="37">
        <f>IF(OR(LEFT(AH16, 1)="X", LEFT(AH16, 1)="Y", LEFT(AH16, 3)="J12M"), "CUSM", "No Match")</f>
      </c>
      <c r="AK16" s="37">
        <f>IF(AND(OR(O16=3, P16=1, Q16=1, T16=1), AJ16="no Match"), "CUSM, CHU SJ, CHUQ", "")</f>
      </c>
      <c r="AL16" s="37">
        <f>IF(AND(O16=2, ISBLANK(P16), ISBLANK(Q16), ISBLANK(R16), ISBLANK(S16), ISBLANK(T16)), "CUSM, CHU SJ, CHUS, CHUQ", "")</f>
      </c>
      <c r="AM16" s="37">
        <f>IF(AND(AJ16="no match", AK16="", AL16="", K16&lt;26), "CUSM, CHU SJ, HGJ, CHUQ, CHUS", "")</f>
      </c>
      <c r="AN16" s="37">
        <f>IF(AND(AJ16="no match", AK16="", AL16="", K16&gt;26), "CUSM, CHU SJ, HGJ, CHUQ, CHUS, HMR", "")</f>
      </c>
    </row>
    <row x14ac:dyDescent="0.25" r="17" customHeight="1" ht="17.25">
      <c r="A17" s="27" t="s">
        <v>92</v>
      </c>
      <c r="B17" s="28">
        <v>2</v>
      </c>
      <c r="C17" s="28">
        <v>820</v>
      </c>
      <c r="D17" s="29" t="s">
        <v>69</v>
      </c>
      <c r="E17" s="30" t="s">
        <v>54</v>
      </c>
      <c r="F17" s="31">
        <v>44573</v>
      </c>
      <c r="G17" s="32">
        <v>4.7652777777777775</v>
      </c>
      <c r="H17" s="31">
        <v>44573</v>
      </c>
      <c r="I17" s="32">
        <v>4.541666666666666</v>
      </c>
      <c r="J17" s="33">
        <f>F17-H17</f>
      </c>
      <c r="K17" s="28">
        <v>35</v>
      </c>
      <c r="L17" s="28">
        <v>1</v>
      </c>
      <c r="M17" s="28">
        <v>1</v>
      </c>
      <c r="N17" s="28">
        <v>1</v>
      </c>
      <c r="O17" s="34"/>
      <c r="P17" s="28">
        <v>1</v>
      </c>
      <c r="Q17" s="34"/>
      <c r="R17" s="34"/>
      <c r="S17" s="34"/>
      <c r="T17" s="35">
        <v>1</v>
      </c>
      <c r="U17" s="34"/>
      <c r="V17" s="34"/>
      <c r="W17" s="29" t="s">
        <v>58</v>
      </c>
      <c r="X17" s="28">
        <v>34</v>
      </c>
      <c r="Y17" s="28">
        <v>1</v>
      </c>
      <c r="Z17" s="28">
        <v>2</v>
      </c>
      <c r="AA17" s="28">
        <v>3</v>
      </c>
      <c r="AB17" s="28">
        <v>3</v>
      </c>
      <c r="AC17" s="28">
        <v>2</v>
      </c>
      <c r="AD17" s="28">
        <v>1</v>
      </c>
      <c r="AE17" s="28">
        <v>4</v>
      </c>
      <c r="AF17" s="28">
        <v>3</v>
      </c>
      <c r="AG17" s="28">
        <v>2</v>
      </c>
      <c r="AH17" s="29" t="s">
        <v>93</v>
      </c>
      <c r="AI17" s="36">
        <f>IF(OR(AND(K17&lt;32, J17&lt;2), O17=1, P17=1, Q17=1, R17=1, S17=1, T17=1, U17=1, AND(W17&lt;&gt;"", W17&lt;&gt;"Oxygen", W17&lt;&gt;"LowFlow")), "Intensive", "Intermediate")</f>
      </c>
      <c r="AJ17" s="37">
        <f>IF(OR(LEFT(AH17, 1)="X", LEFT(AH17, 1)="Y", LEFT(AH17, 3)="J13M"), "CUSM", "No Match")</f>
      </c>
      <c r="AK17" s="37">
        <f>IF(AND(OR(O17=3, P17=1, Q17=1, T17=1), AJ17="no Match"), "CUSM, CHU SJ, CHUQ", "")</f>
      </c>
      <c r="AL17" s="37">
        <f>IF(AND(O17=2, ISBLANK(P17), ISBLANK(Q17), ISBLANK(R17), ISBLANK(S17), ISBLANK(T17)), "CUSM, CHU SJ, CHUS, CHUQ", "")</f>
      </c>
      <c r="AM17" s="37">
        <f>IF(AND(AJ17="no match", AK17="", AL17="", K17&lt;26), "CUSM, CHU SJ, HGJ, CHUQ, CHUS", "")</f>
      </c>
      <c r="AN17" s="37">
        <f>IF(AND(AJ17="no match", AK17="", AL17="", K17&gt;26), "CUSM, CHU SJ, HGJ, CHUQ, CHUS, HMR", "")</f>
      </c>
    </row>
    <row x14ac:dyDescent="0.25" r="18" customHeight="1" ht="17.25">
      <c r="A18" s="27" t="s">
        <v>94</v>
      </c>
      <c r="B18" s="28">
        <v>2</v>
      </c>
      <c r="C18" s="28">
        <v>782</v>
      </c>
      <c r="D18" s="29" t="s">
        <v>95</v>
      </c>
      <c r="E18" s="30" t="s">
        <v>50</v>
      </c>
      <c r="F18" s="31">
        <v>44574</v>
      </c>
      <c r="G18" s="32">
        <v>4.576388888888889</v>
      </c>
      <c r="H18" s="31">
        <v>44570</v>
      </c>
      <c r="I18" s="32">
        <v>4.5784722222222225</v>
      </c>
      <c r="J18" s="33">
        <f>F18-H18</f>
      </c>
      <c r="K18" s="28">
        <v>36</v>
      </c>
      <c r="L18" s="28">
        <v>0</v>
      </c>
      <c r="M18" s="28">
        <v>1</v>
      </c>
      <c r="N18" s="34"/>
      <c r="O18" s="34"/>
      <c r="P18" s="34"/>
      <c r="Q18" s="34"/>
      <c r="R18" s="34"/>
      <c r="S18" s="34"/>
      <c r="T18" s="34"/>
      <c r="U18" s="34"/>
      <c r="V18" s="34"/>
      <c r="W18" s="29"/>
      <c r="X18" s="28">
        <v>29</v>
      </c>
      <c r="Y18" s="28">
        <v>1</v>
      </c>
      <c r="Z18" s="28">
        <v>2</v>
      </c>
      <c r="AA18" s="28">
        <v>2</v>
      </c>
      <c r="AB18" s="28">
        <v>1</v>
      </c>
      <c r="AC18" s="28">
        <v>2</v>
      </c>
      <c r="AD18" s="28">
        <v>1</v>
      </c>
      <c r="AE18" s="28">
        <v>1</v>
      </c>
      <c r="AF18" s="38"/>
      <c r="AG18" s="28">
        <v>2</v>
      </c>
      <c r="AH18" s="29" t="s">
        <v>96</v>
      </c>
      <c r="AI18" s="36">
        <f>IF(OR(AND(K18&lt;32, J18&lt;2), O18=1, P18=1, Q18=1, R18=1, S18=1, T18=1, U18=1, AND(W18&lt;&gt;"", W18&lt;&gt;"Oxygen", W18&lt;&gt;"LowFlow")), "Intensive", "Intermediate")</f>
      </c>
      <c r="AJ18" s="37">
        <f>IF(OR(LEFT(AH18, 1)="X", LEFT(AH18, 1)="Y", LEFT(AH18, 3)="J14M"), "CUSM", "No Match")</f>
      </c>
      <c r="AK18" s="37">
        <f>IF(AND(OR(O18=3, P18=1, Q18=1, T18=1), AJ18="no Match"), "CUSM, CHU SJ, CHUQ", "")</f>
      </c>
      <c r="AL18" s="37">
        <f>IF(AND(O18=2, ISBLANK(P18), ISBLANK(Q18), ISBLANK(R18), ISBLANK(S18), ISBLANK(T18)), "CUSM, CHU SJ, CHUS, CHUQ", "")</f>
      </c>
      <c r="AM18" s="37">
        <f>IF(AND(AJ18="no match", AK18="", AL18="", K18&lt;26), "CUSM, CHU SJ, HGJ, CHUQ, CHUS", "")</f>
      </c>
      <c r="AN18" s="37">
        <f>IF(AND(AJ18="no match", AK18="", AL18="", K18&gt;26), "CUSM, CHU SJ, HGJ, CHUQ, CHUS, HMR", "")</f>
      </c>
    </row>
    <row x14ac:dyDescent="0.25" r="19" customHeight="1" ht="17.25">
      <c r="A19" s="27" t="s">
        <v>97</v>
      </c>
      <c r="B19" s="28">
        <v>2</v>
      </c>
      <c r="C19" s="35">
        <v>839</v>
      </c>
      <c r="D19" s="29" t="s">
        <v>53</v>
      </c>
      <c r="E19" s="30" t="s">
        <v>54</v>
      </c>
      <c r="F19" s="31">
        <v>44575</v>
      </c>
      <c r="G19" s="32">
        <v>4.795138888888889</v>
      </c>
      <c r="H19" s="31">
        <v>44575</v>
      </c>
      <c r="I19" s="32">
        <v>4.302083333333334</v>
      </c>
      <c r="J19" s="33">
        <f>F19-H19</f>
      </c>
      <c r="K19" s="28">
        <v>39</v>
      </c>
      <c r="L19" s="28">
        <v>5</v>
      </c>
      <c r="M19" s="28">
        <v>2</v>
      </c>
      <c r="N19" s="35">
        <v>1</v>
      </c>
      <c r="O19" s="34"/>
      <c r="P19" s="35">
        <v>1</v>
      </c>
      <c r="Q19" s="34"/>
      <c r="R19" s="34"/>
      <c r="S19" s="34"/>
      <c r="T19" s="34"/>
      <c r="U19" s="34"/>
      <c r="V19" s="34"/>
      <c r="W19" s="29"/>
      <c r="X19" s="28">
        <v>26</v>
      </c>
      <c r="Y19" s="28">
        <v>1</v>
      </c>
      <c r="Z19" s="28">
        <v>1</v>
      </c>
      <c r="AA19" s="28">
        <v>2</v>
      </c>
      <c r="AB19" s="28">
        <v>1</v>
      </c>
      <c r="AC19" s="28">
        <v>2</v>
      </c>
      <c r="AD19" s="28">
        <v>2</v>
      </c>
      <c r="AE19" s="28">
        <v>4</v>
      </c>
      <c r="AF19" s="28">
        <v>3</v>
      </c>
      <c r="AG19" s="28">
        <v>2</v>
      </c>
      <c r="AH19" s="29" t="s">
        <v>98</v>
      </c>
      <c r="AI19" s="36">
        <f>IF(OR(AND(K19&lt;32, J19&lt;2), O19=1, P19=1, Q19=1, R19=1, S19=1, T19=1, U19=1, AND(W19&lt;&gt;"", W19&lt;&gt;"Oxygen", W19&lt;&gt;"LowFlow")), "Intensive", "Intermediate")</f>
      </c>
      <c r="AJ19" s="37">
        <f>IF(OR(LEFT(AH19, 1)="X", LEFT(AH19, 1)="Y", LEFT(AH19, 3)="J15M"), "CUSM", "No Match")</f>
      </c>
      <c r="AK19" s="37">
        <f>IF(AND(OR(O19=3, P19=1, Q19=1, T19=1), AJ19="no Match"), "CUSM, CHU SJ, CHUQ", "")</f>
      </c>
      <c r="AL19" s="37">
        <f>IF(AND(O19=2, ISBLANK(P19), ISBLANK(Q19), ISBLANK(R19), ISBLANK(S19), ISBLANK(T19)), "CUSM, CHU SJ, CHUS, CHUQ", "")</f>
      </c>
      <c r="AM19" s="37">
        <f>IF(AND(AJ19="no match", AK19="", AL19="", K19&lt;26), "CUSM, CHU SJ, HGJ, CHUQ, CHUS", "")</f>
      </c>
      <c r="AN19" s="37">
        <f>IF(AND(AJ19="no match", AK19="", AL19="", K19&gt;26), "CUSM, CHU SJ, HGJ, CHUQ, CHUS, HMR", "")</f>
      </c>
    </row>
    <row x14ac:dyDescent="0.25" r="20" customHeight="1" ht="17.25">
      <c r="A20" s="27" t="s">
        <v>99</v>
      </c>
      <c r="B20" s="28">
        <v>2</v>
      </c>
      <c r="C20" s="35">
        <v>815</v>
      </c>
      <c r="D20" s="29" t="s">
        <v>100</v>
      </c>
      <c r="E20" s="30" t="s">
        <v>50</v>
      </c>
      <c r="F20" s="31">
        <v>44576</v>
      </c>
      <c r="G20" s="32">
        <v>4.305555555555555</v>
      </c>
      <c r="H20" s="31">
        <v>44576</v>
      </c>
      <c r="I20" s="32">
        <v>4.1402777777777775</v>
      </c>
      <c r="J20" s="33">
        <f>F20-H20</f>
      </c>
      <c r="K20" s="28">
        <v>40</v>
      </c>
      <c r="L20" s="28">
        <v>3</v>
      </c>
      <c r="M20" s="28">
        <v>1</v>
      </c>
      <c r="N20" s="34"/>
      <c r="O20" s="34"/>
      <c r="P20" s="34"/>
      <c r="Q20" s="34"/>
      <c r="R20" s="34"/>
      <c r="S20" s="34"/>
      <c r="T20" s="35">
        <v>1</v>
      </c>
      <c r="U20" s="35">
        <v>1</v>
      </c>
      <c r="V20" s="35">
        <v>1</v>
      </c>
      <c r="W20" s="29" t="s">
        <v>70</v>
      </c>
      <c r="X20" s="28">
        <v>34</v>
      </c>
      <c r="Y20" s="28">
        <v>1</v>
      </c>
      <c r="Z20" s="28">
        <v>2</v>
      </c>
      <c r="AA20" s="28">
        <v>3</v>
      </c>
      <c r="AB20" s="28">
        <v>4</v>
      </c>
      <c r="AC20" s="28">
        <v>2</v>
      </c>
      <c r="AD20" s="28">
        <v>2</v>
      </c>
      <c r="AE20" s="28">
        <v>4</v>
      </c>
      <c r="AF20" s="28">
        <v>3</v>
      </c>
      <c r="AG20" s="28">
        <v>3</v>
      </c>
      <c r="AH20" s="29" t="s">
        <v>101</v>
      </c>
      <c r="AI20" s="36">
        <f>IF(OR(AND(K20&lt;32, J20&lt;2), O20=1, P20=1, Q20=1, R20=1, S20=1, T20=1, U20=1, AND(W20&lt;&gt;"", W20&lt;&gt;"Oxygen", W20&lt;&gt;"LowFlow")), "Intensive", "Intermediate")</f>
      </c>
      <c r="AJ20" s="37">
        <f>IF(OR(LEFT(AH20, 1)="X", LEFT(AH20, 1)="Y", LEFT(AH20, 3)="J16M"), "CUSM", "No Match")</f>
      </c>
      <c r="AK20" s="37">
        <f>IF(AND(OR(O20=3, P20=1, Q20=1, T20=1), AJ20="no Match"), "CUSM, CHU SJ, CHUQ", "")</f>
      </c>
      <c r="AL20" s="37">
        <f>IF(AND(O20=2, ISBLANK(P20), ISBLANK(Q20), ISBLANK(R20), ISBLANK(S20), ISBLANK(T20)), "CUSM, CHU SJ, CHUS, CHUQ", "")</f>
      </c>
      <c r="AM20" s="37">
        <f>IF(AND(AJ20="no match", AK20="", AL20="", K20&lt;26), "CUSM, CHU SJ, HGJ, CHUQ, CHUS", "")</f>
      </c>
      <c r="AN20" s="37">
        <f>IF(AND(AJ20="no match", AK20="", AL20="", K20&gt;26), "CUSM, CHU SJ, HGJ, CHUQ, CHUS, HMR", "")</f>
      </c>
    </row>
    <row x14ac:dyDescent="0.25" r="21" customHeight="1" ht="17.25">
      <c r="A21" s="27" t="s">
        <v>102</v>
      </c>
      <c r="B21" s="28">
        <v>2</v>
      </c>
      <c r="C21" s="35">
        <v>731</v>
      </c>
      <c r="D21" s="29" t="s">
        <v>103</v>
      </c>
      <c r="E21" s="30" t="s">
        <v>50</v>
      </c>
      <c r="F21" s="31">
        <v>44577</v>
      </c>
      <c r="G21" s="32">
        <v>4.541666666666666</v>
      </c>
      <c r="H21" s="31">
        <v>44577</v>
      </c>
      <c r="I21" s="32">
        <v>4.1819444444444445</v>
      </c>
      <c r="J21" s="33">
        <f>F21-H21</f>
      </c>
      <c r="K21" s="28">
        <v>40</v>
      </c>
      <c r="L21" s="28">
        <v>3</v>
      </c>
      <c r="M21" s="28">
        <v>1</v>
      </c>
      <c r="N21" s="38"/>
      <c r="O21" s="34"/>
      <c r="P21" s="38"/>
      <c r="Q21" s="34"/>
      <c r="R21" s="34"/>
      <c r="S21" s="34"/>
      <c r="T21" s="35">
        <v>1</v>
      </c>
      <c r="U21" s="34"/>
      <c r="V21" s="34"/>
      <c r="W21" s="29" t="s">
        <v>74</v>
      </c>
      <c r="X21" s="28">
        <v>30</v>
      </c>
      <c r="Y21" s="28">
        <v>1</v>
      </c>
      <c r="Z21" s="28">
        <v>2</v>
      </c>
      <c r="AA21" s="28">
        <v>3</v>
      </c>
      <c r="AB21" s="28">
        <v>1</v>
      </c>
      <c r="AC21" s="28">
        <v>2</v>
      </c>
      <c r="AD21" s="28">
        <v>2</v>
      </c>
      <c r="AE21" s="28">
        <v>2</v>
      </c>
      <c r="AF21" s="28">
        <v>2</v>
      </c>
      <c r="AG21" s="28">
        <v>2</v>
      </c>
      <c r="AH21" s="29" t="s">
        <v>104</v>
      </c>
      <c r="AI21" s="36">
        <f>IF(OR(AND(K21&lt;32, J21&lt;2), O21=1, P21=1, Q21=1, R21=1, S21=1, T21=1, U21=1, AND(W21&lt;&gt;"", W21&lt;&gt;"Oxygen", W21&lt;&gt;"LowFlow")), "Intensive", "Intermediate")</f>
      </c>
      <c r="AJ21" s="37">
        <f>IF(OR(LEFT(AH21, 1)="X", LEFT(AH21, 1)="Y", LEFT(AH21, 3)="J17M"), "CUSM", "No Match")</f>
      </c>
      <c r="AK21" s="37">
        <f>IF(AND(OR(O21=3, P21=1, Q21=1, T21=1), AJ21="no Match"), "CUSM, CHU SJ, CHUQ", "")</f>
      </c>
      <c r="AL21" s="37">
        <f>IF(AND(O21=2, ISBLANK(P21), ISBLANK(Q21), ISBLANK(R21), ISBLANK(S21), ISBLANK(T21)), "CUSM, CHU SJ, CHUS, CHUQ", "")</f>
      </c>
      <c r="AM21" s="37">
        <f>IF(AND(AJ21="no match", AK21="", AL21="", K21&lt;26), "CUSM, CHU SJ, HGJ, CHUQ, CHUS", "")</f>
      </c>
      <c r="AN21" s="37">
        <f>IF(AND(AJ21="no match", AK21="", AL21="", K21&gt;26), "CUSM, CHU SJ, HGJ, CHUQ, CHUS, HMR", "")</f>
      </c>
    </row>
    <row x14ac:dyDescent="0.25" r="22" customHeight="1" ht="17.25">
      <c r="A22" s="27" t="s">
        <v>105</v>
      </c>
      <c r="B22" s="28">
        <v>2</v>
      </c>
      <c r="C22" s="35">
        <v>824</v>
      </c>
      <c r="D22" s="29" t="s">
        <v>57</v>
      </c>
      <c r="E22" s="30" t="s">
        <v>50</v>
      </c>
      <c r="F22" s="31">
        <v>44578</v>
      </c>
      <c r="G22" s="32">
        <v>4.71875</v>
      </c>
      <c r="H22" s="31">
        <v>44574</v>
      </c>
      <c r="I22" s="32">
        <v>4.314583333333333</v>
      </c>
      <c r="J22" s="33">
        <f>F22-H22</f>
      </c>
      <c r="K22" s="28">
        <v>36</v>
      </c>
      <c r="L22" s="28">
        <v>0</v>
      </c>
      <c r="M22" s="28">
        <v>1</v>
      </c>
      <c r="N22" s="28">
        <v>1</v>
      </c>
      <c r="O22" s="38"/>
      <c r="P22" s="38"/>
      <c r="Q22" s="34"/>
      <c r="R22" s="34"/>
      <c r="S22" s="34"/>
      <c r="T22" s="34"/>
      <c r="U22" s="34"/>
      <c r="V22" s="34"/>
      <c r="W22" s="29" t="s">
        <v>106</v>
      </c>
      <c r="X22" s="28">
        <v>28</v>
      </c>
      <c r="Y22" s="28">
        <v>1</v>
      </c>
      <c r="Z22" s="28">
        <v>1</v>
      </c>
      <c r="AA22" s="28">
        <v>1</v>
      </c>
      <c r="AB22" s="28">
        <v>2</v>
      </c>
      <c r="AC22" s="28">
        <v>2</v>
      </c>
      <c r="AD22" s="28">
        <v>2</v>
      </c>
      <c r="AE22" s="28">
        <v>4</v>
      </c>
      <c r="AF22" s="28">
        <v>3</v>
      </c>
      <c r="AG22" s="28">
        <v>2</v>
      </c>
      <c r="AH22" s="29" t="s">
        <v>107</v>
      </c>
      <c r="AI22" s="36">
        <f>IF(OR(AND(K22&lt;32, J22&lt;2), O22=1, P22=1, Q22=1, R22=1, S22=1, T22=1, U22=1, AND(W22&lt;&gt;"", W22&lt;&gt;"Oxygen", W22&lt;&gt;"LowFlow")), "Intensive", "Intermediate")</f>
      </c>
      <c r="AJ22" s="37">
        <f>IF(OR(LEFT(AH22, 1)="X", LEFT(AH22, 1)="Y", LEFT(AH22, 3)="J18M"), "CUSM", "No Match")</f>
      </c>
      <c r="AK22" s="37">
        <f>IF(AND(OR(O22=3, P22=1, Q22=1, T22=1), AJ22="no Match"), "CUSM, CHU SJ, CHUQ", "")</f>
      </c>
      <c r="AL22" s="37">
        <f>IF(AND(O22=2, ISBLANK(P22), ISBLANK(Q22), ISBLANK(R22), ISBLANK(S22), ISBLANK(T22)), "CUSM, CHU SJ, CHUS, CHUQ", "")</f>
      </c>
      <c r="AM22" s="37">
        <f>IF(AND(AJ22="no match", AK22="", AL22="", K22&lt;26), "CUSM, CHU SJ, HGJ, CHUQ, CHUS", "")</f>
      </c>
      <c r="AN22" s="37">
        <f>IF(AND(AJ22="no match", AK22="", AL22="", K22&gt;26), "CUSM, CHU SJ, HGJ, CHUQ, CHUS, HMR", "")</f>
      </c>
    </row>
    <row x14ac:dyDescent="0.25" r="23" customHeight="1" ht="17.25">
      <c r="A23" s="27" t="s">
        <v>108</v>
      </c>
      <c r="B23" s="28">
        <v>2</v>
      </c>
      <c r="C23" s="35">
        <v>815</v>
      </c>
      <c r="D23" s="29" t="s">
        <v>100</v>
      </c>
      <c r="E23" s="30" t="s">
        <v>54</v>
      </c>
      <c r="F23" s="31">
        <v>44579</v>
      </c>
      <c r="G23" s="32">
        <v>4.59375</v>
      </c>
      <c r="H23" s="31">
        <v>44539</v>
      </c>
      <c r="I23" s="32">
        <v>4.059027777777778</v>
      </c>
      <c r="J23" s="33">
        <f>F23-H23</f>
      </c>
      <c r="K23" s="28">
        <v>35</v>
      </c>
      <c r="L23" s="28">
        <v>5</v>
      </c>
      <c r="M23" s="28">
        <v>1</v>
      </c>
      <c r="N23" s="34"/>
      <c r="O23" s="34"/>
      <c r="P23" s="34"/>
      <c r="Q23" s="34"/>
      <c r="R23" s="34"/>
      <c r="S23" s="34"/>
      <c r="T23" s="34"/>
      <c r="U23" s="34"/>
      <c r="V23" s="34"/>
      <c r="W23" s="29"/>
      <c r="X23" s="28">
        <v>33</v>
      </c>
      <c r="Y23" s="28">
        <v>2</v>
      </c>
      <c r="Z23" s="28">
        <v>2</v>
      </c>
      <c r="AA23" s="28">
        <v>2</v>
      </c>
      <c r="AB23" s="28">
        <v>1</v>
      </c>
      <c r="AC23" s="28">
        <v>2</v>
      </c>
      <c r="AD23" s="28">
        <v>2</v>
      </c>
      <c r="AE23" s="28">
        <v>4</v>
      </c>
      <c r="AF23" s="28">
        <v>2</v>
      </c>
      <c r="AG23" s="28">
        <v>2</v>
      </c>
      <c r="AH23" s="29" t="s">
        <v>109</v>
      </c>
      <c r="AI23" s="36">
        <f>IF(OR(AND(K23&lt;32, J23&lt;2), O23=1, P23=1, Q23=1, R23=1, S23=1, T23=1, U23=1, AND(W23&lt;&gt;"", W23&lt;&gt;"Oxygen", W23&lt;&gt;"LowFlow")), "Intensive", "Intermediate")</f>
      </c>
      <c r="AJ23" s="37">
        <f>IF(OR(LEFT(AH23, 1)="X", LEFT(AH23, 1)="Y", LEFT(AH23, 3)="J19M"), "CUSM", "No Match")</f>
      </c>
      <c r="AK23" s="37">
        <f>IF(AND(OR(O23=3, P23=1, Q23=1, T23=1), AJ23="no Match"), "CUSM, CHU SJ, CHUQ", "")</f>
      </c>
      <c r="AL23" s="37">
        <f>IF(AND(O23=2, ISBLANK(P23), ISBLANK(Q23), ISBLANK(R23), ISBLANK(S23), ISBLANK(T23)), "CUSM, CHU SJ, CHUS, CHUQ", "")</f>
      </c>
      <c r="AM23" s="37">
        <f>IF(AND(AJ23="no match", AK23="", AL23="", K23&lt;26), "CUSM, CHU SJ, HGJ, CHUQ, CHUS", "")</f>
      </c>
      <c r="AN23" s="37">
        <f>IF(AND(AJ23="no match", AK23="", AL23="", K23&gt;26), "CUSM, CHU SJ, HGJ, CHUQ, CHUS, HMR", "")</f>
      </c>
    </row>
    <row x14ac:dyDescent="0.25" r="24" customHeight="1" ht="17.25">
      <c r="A24" s="27" t="s">
        <v>110</v>
      </c>
      <c r="B24" s="28">
        <v>2</v>
      </c>
      <c r="C24" s="35">
        <v>824</v>
      </c>
      <c r="D24" s="29" t="s">
        <v>57</v>
      </c>
      <c r="E24" s="30" t="s">
        <v>54</v>
      </c>
      <c r="F24" s="31">
        <v>44582</v>
      </c>
      <c r="G24" s="32">
        <v>4.777777777777778</v>
      </c>
      <c r="H24" s="31">
        <v>44580</v>
      </c>
      <c r="I24" s="32">
        <v>4.8590277777777775</v>
      </c>
      <c r="J24" s="33">
        <f>F24-H24</f>
      </c>
      <c r="K24" s="28">
        <v>38</v>
      </c>
      <c r="L24" s="28">
        <v>2</v>
      </c>
      <c r="M24" s="28">
        <v>2</v>
      </c>
      <c r="N24" s="38"/>
      <c r="O24" s="38"/>
      <c r="P24" s="38"/>
      <c r="Q24" s="34"/>
      <c r="R24" s="34"/>
      <c r="S24" s="34"/>
      <c r="T24" s="34"/>
      <c r="U24" s="34"/>
      <c r="V24" s="34"/>
      <c r="W24" s="29"/>
      <c r="X24" s="28">
        <v>23</v>
      </c>
      <c r="Y24" s="28">
        <v>1</v>
      </c>
      <c r="Z24" s="28">
        <v>2</v>
      </c>
      <c r="AA24" s="28">
        <v>2</v>
      </c>
      <c r="AB24" s="28">
        <v>1</v>
      </c>
      <c r="AC24" s="28">
        <v>2</v>
      </c>
      <c r="AD24" s="28">
        <v>1</v>
      </c>
      <c r="AE24" s="28">
        <v>4</v>
      </c>
      <c r="AF24" s="28">
        <v>3</v>
      </c>
      <c r="AG24" s="28">
        <v>2</v>
      </c>
      <c r="AH24" s="29" t="s">
        <v>111</v>
      </c>
      <c r="AI24" s="36">
        <f>IF(OR(AND(K24&lt;32, J24&lt;2), O24=1, P24=1, Q24=1, R24=1, S24=1, T24=1, U24=1, AND(W24&lt;&gt;"", W24&lt;&gt;"Oxygen", W24&lt;&gt;"LowFlow")), "Intensive", "Intermediate")</f>
      </c>
      <c r="AJ24" s="37">
        <f>IF(OR(LEFT(AH24, 1)="X", LEFT(AH24, 1)="Y", LEFT(AH24, 3)="J20M"), "CUSM", "No Match")</f>
      </c>
      <c r="AK24" s="37">
        <f>IF(AND(OR(O24=3, P24=1, Q24=1, T24=1), AJ24="no Match"), "CUSM, CHU SJ, CHUQ", "")</f>
      </c>
      <c r="AL24" s="37">
        <f>IF(AND(O24=2, ISBLANK(P24), ISBLANK(Q24), ISBLANK(R24), ISBLANK(S24), ISBLANK(T24)), "CUSM, CHU SJ, CHUS, CHUQ", "")</f>
      </c>
      <c r="AM24" s="37">
        <f>IF(AND(AJ24="no match", AK24="", AL24="", K24&lt;26), "CUSM, CHU SJ, HGJ, CHUQ, CHUS", "")</f>
      </c>
      <c r="AN24" s="37">
        <f>IF(AND(AJ24="no match", AK24="", AL24="", K24&gt;26), "CUSM, CHU SJ, HGJ, CHUQ, CHUS, HMR", "")</f>
      </c>
    </row>
    <row x14ac:dyDescent="0.25" r="25" customHeight="1" ht="17.25">
      <c r="A25" s="27" t="s">
        <v>112</v>
      </c>
      <c r="B25" s="28">
        <v>2</v>
      </c>
      <c r="C25" s="35">
        <v>730</v>
      </c>
      <c r="D25" s="29" t="s">
        <v>81</v>
      </c>
      <c r="E25" s="30" t="s">
        <v>78</v>
      </c>
      <c r="F25" s="31">
        <v>44582</v>
      </c>
      <c r="G25" s="32">
        <v>4.479166666666666</v>
      </c>
      <c r="H25" s="31">
        <v>44580</v>
      </c>
      <c r="I25" s="32">
        <v>4.716666666666667</v>
      </c>
      <c r="J25" s="33">
        <f>F25-H25</f>
      </c>
      <c r="K25" s="28">
        <v>36</v>
      </c>
      <c r="L25" s="28">
        <v>0</v>
      </c>
      <c r="M25" s="28">
        <v>2</v>
      </c>
      <c r="N25" s="38"/>
      <c r="O25" s="34"/>
      <c r="P25" s="34"/>
      <c r="Q25" s="34"/>
      <c r="R25" s="34"/>
      <c r="S25" s="34"/>
      <c r="T25" s="34"/>
      <c r="U25" s="34"/>
      <c r="V25" s="34"/>
      <c r="W25" s="29"/>
      <c r="X25" s="28">
        <v>45</v>
      </c>
      <c r="Y25" s="28">
        <v>1</v>
      </c>
      <c r="Z25" s="28">
        <v>2</v>
      </c>
      <c r="AA25" s="28">
        <v>1</v>
      </c>
      <c r="AB25" s="28">
        <v>1</v>
      </c>
      <c r="AC25" s="28">
        <v>1</v>
      </c>
      <c r="AD25" s="28">
        <v>1</v>
      </c>
      <c r="AE25" s="28">
        <v>4</v>
      </c>
      <c r="AF25" s="28">
        <v>3</v>
      </c>
      <c r="AG25" s="28">
        <v>2</v>
      </c>
      <c r="AH25" s="29" t="s">
        <v>113</v>
      </c>
      <c r="AI25" s="36">
        <f>IF(OR(AND(K25&lt;32, J25&lt;2), O25=1, P25=1, Q25=1, R25=1, S25=1, T25=1, U25=1, AND(W25&lt;&gt;"", W25&lt;&gt;"Oxygen", W25&lt;&gt;"LowFlow")), "Intensive", "Intermediate")</f>
      </c>
      <c r="AJ25" s="37">
        <f>IF(OR(LEFT(AH25, 1)="X", LEFT(AH25, 1)="Y", LEFT(AH25, 3)="J21M"), "CUSM", "No Match")</f>
      </c>
      <c r="AK25" s="37">
        <f>IF(AND(OR(O25=3, P25=1, Q25=1, T25=1), AJ25="no Match"), "CUSM, CHU SJ, CHUQ", "")</f>
      </c>
      <c r="AL25" s="37">
        <f>IF(AND(O25=2, ISBLANK(P25), ISBLANK(Q25), ISBLANK(R25), ISBLANK(S25), ISBLANK(T25)), "CUSM, CHU SJ, CHUS, CHUQ", "")</f>
      </c>
      <c r="AM25" s="37">
        <f>IF(AND(AJ25="no match", AK25="", AL25="", K25&lt;26), "CUSM, CHU SJ, HGJ, CHUQ, CHUS", "")</f>
      </c>
      <c r="AN25" s="37">
        <f>IF(AND(AJ25="no match", AK25="", AL25="", K25&gt;26), "CUSM, CHU SJ, HGJ, CHUQ, CHUS, HMR", "")</f>
      </c>
    </row>
    <row x14ac:dyDescent="0.25" r="26" customHeight="1" ht="17.25">
      <c r="A26" s="27" t="s">
        <v>114</v>
      </c>
      <c r="B26" s="28">
        <v>2</v>
      </c>
      <c r="C26" s="28">
        <v>839</v>
      </c>
      <c r="D26" s="29" t="s">
        <v>53</v>
      </c>
      <c r="E26" s="30" t="s">
        <v>50</v>
      </c>
      <c r="F26" s="31">
        <v>44582</v>
      </c>
      <c r="G26" s="32">
        <v>4.283333333333333</v>
      </c>
      <c r="H26" s="31">
        <v>44582</v>
      </c>
      <c r="I26" s="32">
        <v>4.105555555555556</v>
      </c>
      <c r="J26" s="33">
        <f>F26-H26</f>
      </c>
      <c r="K26" s="28">
        <v>39</v>
      </c>
      <c r="L26" s="28">
        <v>6</v>
      </c>
      <c r="M26" s="28">
        <v>1</v>
      </c>
      <c r="N26" s="35">
        <v>1</v>
      </c>
      <c r="O26" s="34"/>
      <c r="P26" s="35">
        <v>1</v>
      </c>
      <c r="Q26" s="34"/>
      <c r="R26" s="34"/>
      <c r="S26" s="34"/>
      <c r="T26" s="35">
        <v>1</v>
      </c>
      <c r="U26" s="34"/>
      <c r="V26" s="34"/>
      <c r="W26" s="29" t="s">
        <v>74</v>
      </c>
      <c r="X26" s="28">
        <v>42</v>
      </c>
      <c r="Y26" s="28">
        <v>1</v>
      </c>
      <c r="Z26" s="28">
        <v>1</v>
      </c>
      <c r="AA26" s="28">
        <v>2</v>
      </c>
      <c r="AB26" s="28">
        <v>1</v>
      </c>
      <c r="AC26" s="28">
        <v>2</v>
      </c>
      <c r="AD26" s="28">
        <v>2</v>
      </c>
      <c r="AE26" s="28">
        <v>2</v>
      </c>
      <c r="AF26" s="28">
        <v>2</v>
      </c>
      <c r="AG26" s="28">
        <v>2</v>
      </c>
      <c r="AH26" s="29" t="s">
        <v>115</v>
      </c>
      <c r="AI26" s="36">
        <f>IF(OR(AND(K26&lt;32, J26&lt;2), O26=1, P26=1, Q26=1, R26=1, S26=1, T26=1, U26=1, AND(W26&lt;&gt;"", W26&lt;&gt;"Oxygen", W26&lt;&gt;"LowFlow")), "Intensive", "Intermediate")</f>
      </c>
      <c r="AJ26" s="37">
        <f>IF(OR(LEFT(AH26, 1)="X", LEFT(AH26, 1)="Y", LEFT(AH26, 3)="J22M"), "CUSM", "No Match")</f>
      </c>
      <c r="AK26" s="37">
        <f>IF(AND(OR(O26=3, P26=1, Q26=1, T26=1), AJ26="no Match"), "CUSM, CHU SJ, CHUQ", "")</f>
      </c>
      <c r="AL26" s="37">
        <f>IF(AND(O26=2, ISBLANK(P26), ISBLANK(Q26), ISBLANK(R26), ISBLANK(S26), ISBLANK(T26)), "CUSM, CHU SJ, CHUS, CHUQ", "")</f>
      </c>
      <c r="AM26" s="37">
        <f>IF(AND(AJ26="no match", AK26="", AL26="", K26&lt;26), "CUSM, CHU SJ, HGJ, CHUQ, CHUS", "")</f>
      </c>
      <c r="AN26" s="37">
        <f>IF(AND(AJ26="no match", AK26="", AL26="", K26&gt;26), "CUSM, CHU SJ, HGJ, CHUQ, CHUS, HMR", "")</f>
      </c>
    </row>
    <row x14ac:dyDescent="0.25" r="27" customHeight="1" ht="17.25">
      <c r="A27" s="27" t="s">
        <v>116</v>
      </c>
      <c r="B27" s="28">
        <v>2</v>
      </c>
      <c r="C27" s="28">
        <v>809</v>
      </c>
      <c r="D27" s="29" t="s">
        <v>117</v>
      </c>
      <c r="E27" s="30" t="s">
        <v>118</v>
      </c>
      <c r="F27" s="31">
        <v>44584</v>
      </c>
      <c r="G27" s="32">
        <v>4.336805555555555</v>
      </c>
      <c r="H27" s="31">
        <v>44584</v>
      </c>
      <c r="I27" s="32">
        <v>4.104861111111111</v>
      </c>
      <c r="J27" s="33">
        <f>F27-H27</f>
      </c>
      <c r="K27" s="28">
        <v>29</v>
      </c>
      <c r="L27" s="28">
        <v>0</v>
      </c>
      <c r="M27" s="28">
        <v>1</v>
      </c>
      <c r="N27" s="28">
        <v>1</v>
      </c>
      <c r="O27" s="38"/>
      <c r="P27" s="35">
        <v>1</v>
      </c>
      <c r="Q27" s="34"/>
      <c r="R27" s="34"/>
      <c r="S27" s="34"/>
      <c r="T27" s="34"/>
      <c r="U27" s="34"/>
      <c r="V27" s="34"/>
      <c r="W27" s="29" t="s">
        <v>74</v>
      </c>
      <c r="X27" s="28">
        <v>28</v>
      </c>
      <c r="Y27" s="28">
        <v>2</v>
      </c>
      <c r="Z27" s="28">
        <v>2</v>
      </c>
      <c r="AA27" s="28">
        <v>3</v>
      </c>
      <c r="AB27" s="28">
        <v>1</v>
      </c>
      <c r="AC27" s="28">
        <v>2</v>
      </c>
      <c r="AD27" s="28">
        <v>2</v>
      </c>
      <c r="AE27" s="28">
        <v>4</v>
      </c>
      <c r="AF27" s="28">
        <v>3</v>
      </c>
      <c r="AG27" s="28">
        <v>2</v>
      </c>
      <c r="AH27" s="29" t="s">
        <v>119</v>
      </c>
      <c r="AI27" s="36">
        <f>IF(OR(AND(K27&lt;32, J27&lt;2), O27=1, P27=1, Q27=1, R27=1, S27=1, T27=1, U27=1, AND(W27&lt;&gt;"", W27&lt;&gt;"Oxygen", W27&lt;&gt;"LowFlow")), "Intensive", "Intermediate")</f>
      </c>
      <c r="AJ27" s="37">
        <f>IF(OR(LEFT(AH27, 1)="X", LEFT(AH27, 1)="Y", LEFT(AH27, 3)="J23M"), "CUSM", "No Match")</f>
      </c>
      <c r="AK27" s="37">
        <f>IF(AND(OR(O27=3, P27=1, Q27=1, T27=1), AJ27="no Match"), "CUSM, CHU SJ, CHUQ", "")</f>
      </c>
      <c r="AL27" s="37">
        <f>IF(AND(O27=2, ISBLANK(P27), ISBLANK(Q27), ISBLANK(R27), ISBLANK(S27), ISBLANK(T27)), "CUSM, CHU SJ, CHUS, CHUQ", "")</f>
      </c>
      <c r="AM27" s="37">
        <f>IF(AND(AJ27="no match", AK27="", AL27="", K27&lt;26), "CUSM, CHU SJ, HGJ, CHUQ, CHUS", "")</f>
      </c>
      <c r="AN27" s="37">
        <f>IF(AND(AJ27="no match", AK27="", AL27="", K27&gt;26), "CUSM, CHU SJ, HGJ, CHUQ, CHUS, HMR", "")</f>
      </c>
    </row>
    <row x14ac:dyDescent="0.25" r="28" customHeight="1" ht="17.25">
      <c r="A28" s="27" t="s">
        <v>120</v>
      </c>
      <c r="B28" s="28">
        <v>2</v>
      </c>
      <c r="C28" s="35">
        <v>809</v>
      </c>
      <c r="D28" s="29" t="s">
        <v>117</v>
      </c>
      <c r="E28" s="30" t="s">
        <v>118</v>
      </c>
      <c r="F28" s="31">
        <v>44584</v>
      </c>
      <c r="G28" s="32">
        <v>4.339583333333334</v>
      </c>
      <c r="H28" s="31">
        <v>44584</v>
      </c>
      <c r="I28" s="32">
        <v>4.103472222222223</v>
      </c>
      <c r="J28" s="33">
        <f>F28-H28</f>
      </c>
      <c r="K28" s="28">
        <v>29</v>
      </c>
      <c r="L28" s="28">
        <v>0</v>
      </c>
      <c r="M28" s="28">
        <v>1</v>
      </c>
      <c r="N28" s="35">
        <v>1</v>
      </c>
      <c r="O28" s="34"/>
      <c r="P28" s="35">
        <v>1</v>
      </c>
      <c r="Q28" s="34"/>
      <c r="R28" s="34"/>
      <c r="S28" s="34"/>
      <c r="T28" s="34"/>
      <c r="U28" s="34"/>
      <c r="V28" s="34"/>
      <c r="W28" s="29" t="s">
        <v>74</v>
      </c>
      <c r="X28" s="28">
        <v>28</v>
      </c>
      <c r="Y28" s="28">
        <v>2</v>
      </c>
      <c r="Z28" s="28">
        <v>2</v>
      </c>
      <c r="AA28" s="28">
        <v>3</v>
      </c>
      <c r="AB28" s="28">
        <v>1</v>
      </c>
      <c r="AC28" s="28">
        <v>2</v>
      </c>
      <c r="AD28" s="28">
        <v>2</v>
      </c>
      <c r="AE28" s="28">
        <v>4</v>
      </c>
      <c r="AF28" s="28">
        <v>3</v>
      </c>
      <c r="AG28" s="28">
        <v>2</v>
      </c>
      <c r="AH28" s="29" t="s">
        <v>119</v>
      </c>
      <c r="AI28" s="36">
        <f>IF(OR(AND(K28&lt;32, J28&lt;2), O28=1, P28=1, Q28=1, R28=1, S28=1, T28=1, U28=1, AND(W28&lt;&gt;"", W28&lt;&gt;"Oxygen", W28&lt;&gt;"LowFlow")), "Intensive", "Intermediate")</f>
      </c>
      <c r="AJ28" s="37">
        <f>IF(OR(LEFT(AH28, 1)="X", LEFT(AH28, 1)="Y", LEFT(AH28, 3)="J24M"), "CUSM", "No Match")</f>
      </c>
      <c r="AK28" s="37">
        <f>IF(AND(OR(O28=3, P28=1, Q28=1, T28=1), AJ28="no Match"), "CUSM, CHU SJ, CHUQ", "")</f>
      </c>
      <c r="AL28" s="37">
        <f>IF(AND(O28=2, ISBLANK(P28), ISBLANK(Q28), ISBLANK(R28), ISBLANK(S28), ISBLANK(T28)), "CUSM, CHU SJ, CHUS, CHUQ", "")</f>
      </c>
      <c r="AM28" s="37">
        <f>IF(AND(AJ28="no match", AK28="", AL28="", K28&lt;26), "CUSM, CHU SJ, HGJ, CHUQ, CHUS", "")</f>
      </c>
      <c r="AN28" s="37">
        <f>IF(AND(AJ28="no match", AK28="", AL28="", K28&gt;26), "CUSM, CHU SJ, HGJ, CHUQ, CHUS, HMR", "")</f>
      </c>
    </row>
    <row x14ac:dyDescent="0.25" r="29" customHeight="1" ht="17.25">
      <c r="A29" s="27" t="s">
        <v>121</v>
      </c>
      <c r="B29" s="28">
        <v>2</v>
      </c>
      <c r="C29" s="28">
        <v>730</v>
      </c>
      <c r="D29" s="29" t="s">
        <v>81</v>
      </c>
      <c r="E29" s="30" t="s">
        <v>78</v>
      </c>
      <c r="F29" s="31">
        <v>44584</v>
      </c>
      <c r="G29" s="32">
        <v>4.333333333333334</v>
      </c>
      <c r="H29" s="31">
        <v>44583</v>
      </c>
      <c r="I29" s="32">
        <v>4.7965277777777775</v>
      </c>
      <c r="J29" s="33">
        <f>F29-H29</f>
      </c>
      <c r="K29" s="28">
        <v>41</v>
      </c>
      <c r="L29" s="28">
        <v>6</v>
      </c>
      <c r="M29" s="28">
        <v>1</v>
      </c>
      <c r="N29" s="34"/>
      <c r="O29" s="34"/>
      <c r="P29" s="34"/>
      <c r="Q29" s="34"/>
      <c r="R29" s="34"/>
      <c r="S29" s="34"/>
      <c r="T29" s="34"/>
      <c r="U29" s="34"/>
      <c r="V29" s="34"/>
      <c r="W29" s="29" t="s">
        <v>58</v>
      </c>
      <c r="X29" s="28">
        <v>35</v>
      </c>
      <c r="Y29" s="28">
        <v>1</v>
      </c>
      <c r="Z29" s="28">
        <v>2</v>
      </c>
      <c r="AA29" s="28">
        <v>1</v>
      </c>
      <c r="AB29" s="28">
        <v>1</v>
      </c>
      <c r="AC29" s="28">
        <v>2</v>
      </c>
      <c r="AD29" s="28">
        <v>2</v>
      </c>
      <c r="AE29" s="28">
        <v>2</v>
      </c>
      <c r="AF29" s="28">
        <v>2</v>
      </c>
      <c r="AG29" s="28">
        <v>2</v>
      </c>
      <c r="AH29" s="29" t="s">
        <v>122</v>
      </c>
      <c r="AI29" s="36">
        <f>IF(OR(AND(K29&lt;32, J29&lt;2), O29=1, P29=1, Q29=1, R29=1, S29=1, T29=1, U29=1, AND(W29&lt;&gt;"", W29&lt;&gt;"Oxygen", W29&lt;&gt;"LowFlow")), "Intensive", "Intermediate")</f>
      </c>
      <c r="AJ29" s="37">
        <f>IF(OR(LEFT(AH29, 1)="X", LEFT(AH29, 1)="Y", LEFT(AH29, 3)="J25M"), "CUSM", "No Match")</f>
      </c>
      <c r="AK29" s="37">
        <f>IF(AND(OR(O29=3, P29=1, Q29=1, T29=1), AJ29="no Match"), "CUSM, CHU SJ, CHUQ", "")</f>
      </c>
      <c r="AL29" s="37">
        <f>IF(AND(O29=2, ISBLANK(P29), ISBLANK(Q29), ISBLANK(R29), ISBLANK(S29), ISBLANK(T29)), "CUSM, CHU SJ, CHUS, CHUQ", "")</f>
      </c>
      <c r="AM29" s="37">
        <f>IF(AND(AJ29="no match", AK29="", AL29="", K29&lt;26), "CUSM, CHU SJ, HGJ, CHUQ, CHUS", "")</f>
      </c>
      <c r="AN29" s="37">
        <f>IF(AND(AJ29="no match", AK29="", AL29="", K29&gt;26), "CUSM, CHU SJ, HGJ, CHUQ, CHUS, HMR", "")</f>
      </c>
    </row>
    <row x14ac:dyDescent="0.25" r="30" customHeight="1" ht="17.25">
      <c r="A30" s="27" t="s">
        <v>123</v>
      </c>
      <c r="B30" s="28">
        <v>2</v>
      </c>
      <c r="C30" s="35">
        <v>757</v>
      </c>
      <c r="D30" s="29" t="s">
        <v>124</v>
      </c>
      <c r="E30" s="30" t="s">
        <v>50</v>
      </c>
      <c r="F30" s="31">
        <v>44584</v>
      </c>
      <c r="G30" s="32">
        <v>4.815277777777778</v>
      </c>
      <c r="H30" s="31">
        <v>44582</v>
      </c>
      <c r="I30" s="32">
        <v>4.96875</v>
      </c>
      <c r="J30" s="33">
        <f>F30-H30</f>
      </c>
      <c r="K30" s="28">
        <v>35</v>
      </c>
      <c r="L30" s="28">
        <v>5</v>
      </c>
      <c r="M30" s="28">
        <v>2</v>
      </c>
      <c r="N30" s="38"/>
      <c r="O30" s="34"/>
      <c r="P30" s="38"/>
      <c r="Q30" s="34"/>
      <c r="R30" s="34"/>
      <c r="S30" s="34"/>
      <c r="T30" s="34"/>
      <c r="U30" s="34"/>
      <c r="V30" s="34"/>
      <c r="W30" s="29" t="s">
        <v>74</v>
      </c>
      <c r="X30" s="28">
        <v>29</v>
      </c>
      <c r="Y30" s="28">
        <v>1</v>
      </c>
      <c r="Z30" s="28">
        <v>1</v>
      </c>
      <c r="AA30" s="28">
        <v>1</v>
      </c>
      <c r="AB30" s="28">
        <v>3</v>
      </c>
      <c r="AC30" s="28">
        <v>2</v>
      </c>
      <c r="AD30" s="28">
        <v>2</v>
      </c>
      <c r="AE30" s="28">
        <v>4</v>
      </c>
      <c r="AF30" s="28">
        <v>2</v>
      </c>
      <c r="AG30" s="28">
        <v>2</v>
      </c>
      <c r="AH30" s="29" t="s">
        <v>125</v>
      </c>
      <c r="AI30" s="36">
        <f>IF(OR(AND(K30&lt;32, J30&lt;2), O30=1, P30=1, Q30=1, R30=1, S30=1, T30=1, U30=1, AND(W30&lt;&gt;"", W30&lt;&gt;"Oxygen", W30&lt;&gt;"LowFlow")), "Intensive", "Intermediate")</f>
      </c>
      <c r="AJ30" s="37">
        <f>IF(OR(LEFT(AH30, 1)="X", LEFT(AH30, 1)="Y", LEFT(AH30, 3)="J26M"), "CUSM", "No Match")</f>
      </c>
      <c r="AK30" s="37">
        <f>IF(AND(OR(O30=3, P30=1, Q30=1, T30=1), AJ30="no Match"), "CUSM, CHU SJ, CHUQ", "")</f>
      </c>
      <c r="AL30" s="37">
        <f>IF(AND(O30=2, ISBLANK(P30), ISBLANK(Q30), ISBLANK(R30), ISBLANK(S30), ISBLANK(T30)), "CUSM, CHU SJ, CHUS, CHUQ", "")</f>
      </c>
      <c r="AM30" s="37">
        <f>IF(AND(AJ30="no match", AK30="", AL30="", K30&lt;26), "CUSM, CHU SJ, HGJ, CHUQ, CHUS", "")</f>
      </c>
      <c r="AN30" s="37">
        <f>IF(AND(AJ30="no match", AK30="", AL30="", K30&gt;26), "CUSM, CHU SJ, HGJ, CHUQ, CHUS, HMR", "")</f>
      </c>
    </row>
    <row x14ac:dyDescent="0.25" r="31" customHeight="1" ht="17.25">
      <c r="A31" s="27" t="s">
        <v>126</v>
      </c>
      <c r="B31" s="28">
        <v>2</v>
      </c>
      <c r="C31" s="28">
        <v>757</v>
      </c>
      <c r="D31" s="29" t="s">
        <v>124</v>
      </c>
      <c r="E31" s="30" t="s">
        <v>50</v>
      </c>
      <c r="F31" s="31">
        <v>44584</v>
      </c>
      <c r="G31" s="32">
        <v>4.770833333333334</v>
      </c>
      <c r="H31" s="31">
        <v>44584</v>
      </c>
      <c r="I31" s="32">
        <v>4.482638888888889</v>
      </c>
      <c r="J31" s="33">
        <f>F31-H31</f>
      </c>
      <c r="K31" s="28">
        <v>39</v>
      </c>
      <c r="L31" s="28">
        <v>3</v>
      </c>
      <c r="M31" s="28">
        <v>2</v>
      </c>
      <c r="N31" s="34"/>
      <c r="O31" s="34"/>
      <c r="P31" s="34"/>
      <c r="Q31" s="34"/>
      <c r="R31" s="34"/>
      <c r="S31" s="34"/>
      <c r="T31" s="34"/>
      <c r="U31" s="34"/>
      <c r="V31" s="34"/>
      <c r="W31" s="29"/>
      <c r="X31" s="28">
        <v>39</v>
      </c>
      <c r="Y31" s="28">
        <v>1</v>
      </c>
      <c r="Z31" s="28">
        <v>2</v>
      </c>
      <c r="AA31" s="28">
        <v>1</v>
      </c>
      <c r="AB31" s="28">
        <v>1</v>
      </c>
      <c r="AC31" s="28">
        <v>2</v>
      </c>
      <c r="AD31" s="28">
        <v>2</v>
      </c>
      <c r="AE31" s="28">
        <v>2</v>
      </c>
      <c r="AF31" s="28">
        <v>2</v>
      </c>
      <c r="AG31" s="28">
        <v>2</v>
      </c>
      <c r="AH31" s="29" t="s">
        <v>127</v>
      </c>
      <c r="AI31" s="36">
        <f>IF(OR(AND(K31&lt;32, J31&lt;2), O31=1, P31=1, Q31=1, R31=1, S31=1, T31=1, U31=1, AND(W31&lt;&gt;"", W31&lt;&gt;"Oxygen", W31&lt;&gt;"LowFlow")), "Intensive", "Intermediate")</f>
      </c>
      <c r="AJ31" s="37">
        <f>IF(OR(LEFT(AH31, 1)="X", LEFT(AH31, 1)="Y", LEFT(AH31, 3)="J27M"), "CUSM", "No Match")</f>
      </c>
      <c r="AK31" s="37">
        <f>IF(AND(OR(O31=3, P31=1, Q31=1, T31=1), AJ31="no Match"), "CUSM, CHU SJ, CHUQ", "")</f>
      </c>
      <c r="AL31" s="37">
        <f>IF(AND(O31=2, ISBLANK(P31), ISBLANK(Q31), ISBLANK(R31), ISBLANK(S31), ISBLANK(T31)), "CUSM, CHU SJ, CHUS, CHUQ", "")</f>
      </c>
      <c r="AM31" s="37">
        <f>IF(AND(AJ31="no match", AK31="", AL31="", K31&lt;26), "CUSM, CHU SJ, HGJ, CHUQ, CHUS", "")</f>
      </c>
      <c r="AN31" s="37">
        <f>IF(AND(AJ31="no match", AK31="", AL31="", K31&gt;26), "CUSM, CHU SJ, HGJ, CHUQ, CHUS, HMR", "")</f>
      </c>
    </row>
    <row x14ac:dyDescent="0.25" r="32" customHeight="1" ht="17.25">
      <c r="A32" s="27" t="s">
        <v>128</v>
      </c>
      <c r="B32" s="28">
        <v>2</v>
      </c>
      <c r="C32" s="35">
        <v>824</v>
      </c>
      <c r="D32" s="29" t="s">
        <v>57</v>
      </c>
      <c r="E32" s="30" t="s">
        <v>50</v>
      </c>
      <c r="F32" s="31">
        <v>44585</v>
      </c>
      <c r="G32" s="32">
        <v>4.723611111111111</v>
      </c>
      <c r="H32" s="31">
        <v>44582</v>
      </c>
      <c r="I32" s="32">
        <v>4.949305555555556</v>
      </c>
      <c r="J32" s="33">
        <f>F32-H32</f>
      </c>
      <c r="K32" s="28">
        <v>38</v>
      </c>
      <c r="L32" s="28">
        <v>6</v>
      </c>
      <c r="M32" s="28">
        <v>1</v>
      </c>
      <c r="N32" s="35">
        <v>1</v>
      </c>
      <c r="O32" s="34"/>
      <c r="P32" s="35">
        <v>1</v>
      </c>
      <c r="Q32" s="34"/>
      <c r="R32" s="34"/>
      <c r="S32" s="34"/>
      <c r="T32" s="34"/>
      <c r="U32" s="34"/>
      <c r="V32" s="34"/>
      <c r="W32" s="29"/>
      <c r="X32" s="28">
        <v>18</v>
      </c>
      <c r="Y32" s="28">
        <v>1</v>
      </c>
      <c r="Z32" s="28">
        <v>1</v>
      </c>
      <c r="AA32" s="28">
        <v>2</v>
      </c>
      <c r="AB32" s="28">
        <v>1</v>
      </c>
      <c r="AC32" s="28">
        <v>2</v>
      </c>
      <c r="AD32" s="28">
        <v>2</v>
      </c>
      <c r="AE32" s="28">
        <v>2</v>
      </c>
      <c r="AF32" s="28">
        <v>2</v>
      </c>
      <c r="AG32" s="28">
        <v>2</v>
      </c>
      <c r="AH32" s="29" t="s">
        <v>129</v>
      </c>
      <c r="AI32" s="36">
        <f>IF(OR(AND(K32&lt;32, J32&lt;2), O32=1, P32=1, Q32=1, R32=1, S32=1, T32=1, U32=1, AND(W32&lt;&gt;"", W32&lt;&gt;"Oxygen", W32&lt;&gt;"LowFlow")), "Intensive", "Intermediate")</f>
      </c>
      <c r="AJ32" s="37">
        <f>IF(OR(LEFT(AH32, 1)="X", LEFT(AH32, 1)="Y", LEFT(AH32, 3)="J28M"), "CUSM", "No Match")</f>
      </c>
      <c r="AK32" s="37">
        <f>IF(AND(OR(O32=3, P32=1, Q32=1, T32=1), AJ32="no Match"), "CUSM, CHU SJ, CHUQ", "")</f>
      </c>
      <c r="AL32" s="37">
        <f>IF(AND(O32=2, ISBLANK(P32), ISBLANK(Q32), ISBLANK(R32), ISBLANK(S32), ISBLANK(T32)), "CUSM, CHU SJ, CHUS, CHUQ", "")</f>
      </c>
      <c r="AM32" s="37">
        <f>IF(AND(AJ32="no match", AK32="", AL32="", K32&lt;26), "CUSM, CHU SJ, HGJ, CHUQ, CHUS", "")</f>
      </c>
      <c r="AN32" s="37">
        <f>IF(AND(AJ32="no match", AK32="", AL32="", K32&gt;26), "CUSM, CHU SJ, HGJ, CHUQ, CHUS, HMR", "")</f>
      </c>
    </row>
    <row x14ac:dyDescent="0.25" r="33" customHeight="1" ht="17.25">
      <c r="A33" s="27" t="s">
        <v>130</v>
      </c>
      <c r="B33" s="28">
        <v>2</v>
      </c>
      <c r="C33" s="35">
        <v>6</v>
      </c>
      <c r="D33" s="29" t="s">
        <v>131</v>
      </c>
      <c r="E33" s="30" t="s">
        <v>50</v>
      </c>
      <c r="F33" s="31">
        <v>44586</v>
      </c>
      <c r="G33" s="32">
        <v>4.2340277777777775</v>
      </c>
      <c r="H33" s="31">
        <v>44579</v>
      </c>
      <c r="I33" s="32">
        <v>4.472222222222222</v>
      </c>
      <c r="J33" s="33">
        <f>F33-H33</f>
      </c>
      <c r="K33" s="28">
        <v>37</v>
      </c>
      <c r="L33" s="28">
        <v>4</v>
      </c>
      <c r="M33" s="28">
        <v>1</v>
      </c>
      <c r="N33" s="35">
        <v>1</v>
      </c>
      <c r="O33" s="34"/>
      <c r="P33" s="34"/>
      <c r="Q33" s="34"/>
      <c r="R33" s="34"/>
      <c r="S33" s="34"/>
      <c r="T33" s="34"/>
      <c r="U33" s="34"/>
      <c r="V33" s="34"/>
      <c r="W33" s="29" t="s">
        <v>74</v>
      </c>
      <c r="X33" s="28">
        <v>24</v>
      </c>
      <c r="Y33" s="28">
        <v>1</v>
      </c>
      <c r="Z33" s="28">
        <v>1</v>
      </c>
      <c r="AA33" s="28">
        <v>3</v>
      </c>
      <c r="AB33" s="28">
        <v>4</v>
      </c>
      <c r="AC33" s="28">
        <v>2</v>
      </c>
      <c r="AD33" s="28">
        <v>2</v>
      </c>
      <c r="AE33" s="28">
        <v>4</v>
      </c>
      <c r="AF33" s="28">
        <v>3</v>
      </c>
      <c r="AG33" s="28">
        <v>2</v>
      </c>
      <c r="AH33" s="29" t="s">
        <v>132</v>
      </c>
      <c r="AI33" s="36">
        <f>IF(OR(AND(K33&lt;32, J33&lt;2), O33=1, P33=1, Q33=1, R33=1, S33=1, T33=1, U33=1, AND(W33&lt;&gt;"", W33&lt;&gt;"Oxygen", W33&lt;&gt;"LowFlow")), "Intensive", "Intermediate")</f>
      </c>
      <c r="AJ33" s="37">
        <f>IF(OR(LEFT(AH33, 1)="X", LEFT(AH33, 1)="Y", LEFT(AH33, 3)="J29M"), "CUSM", "No Match")</f>
      </c>
      <c r="AK33" s="37">
        <f>IF(AND(OR(O33=3, P33=1, Q33=1, T33=1), AJ33="no Match"), "CUSM, CHU SJ, CHUQ", "")</f>
      </c>
      <c r="AL33" s="37">
        <f>IF(AND(O33=2, ISBLANK(P33), ISBLANK(Q33), ISBLANK(R33), ISBLANK(S33), ISBLANK(T33)), "CUSM, CHU SJ, CHUS, CHUQ", "")</f>
      </c>
      <c r="AM33" s="37">
        <f>IF(AND(AJ33="no match", AK33="", AL33="", K33&lt;26), "CUSM, CHU SJ, HGJ, CHUQ, CHUS", "")</f>
      </c>
      <c r="AN33" s="37">
        <f>IF(AND(AJ33="no match", AK33="", AL33="", K33&gt;26), "CUSM, CHU SJ, HGJ, CHUQ, CHUS, HMR", "")</f>
      </c>
    </row>
    <row x14ac:dyDescent="0.25" r="34" customHeight="1" ht="17.25">
      <c r="A34" s="27" t="s">
        <v>133</v>
      </c>
      <c r="B34" s="28">
        <v>2</v>
      </c>
      <c r="C34" s="35">
        <v>6</v>
      </c>
      <c r="D34" s="29" t="s">
        <v>131</v>
      </c>
      <c r="E34" s="30" t="s">
        <v>50</v>
      </c>
      <c r="F34" s="31">
        <v>44586</v>
      </c>
      <c r="G34" s="32">
        <v>4.090277777777778</v>
      </c>
      <c r="H34" s="31">
        <v>44582</v>
      </c>
      <c r="I34" s="39"/>
      <c r="J34" s="33">
        <f>F34-H34</f>
      </c>
      <c r="K34" s="28">
        <v>38</v>
      </c>
      <c r="L34" s="28">
        <v>0</v>
      </c>
      <c r="M34" s="28">
        <v>2</v>
      </c>
      <c r="N34" s="34"/>
      <c r="O34" s="34"/>
      <c r="P34" s="34"/>
      <c r="Q34" s="34"/>
      <c r="R34" s="34"/>
      <c r="S34" s="34"/>
      <c r="T34" s="34"/>
      <c r="U34" s="34"/>
      <c r="V34" s="34"/>
      <c r="W34" s="29" t="s">
        <v>58</v>
      </c>
      <c r="X34" s="28">
        <v>27</v>
      </c>
      <c r="Y34" s="28">
        <v>1</v>
      </c>
      <c r="Z34" s="28">
        <v>1</v>
      </c>
      <c r="AA34" s="28">
        <v>3</v>
      </c>
      <c r="AB34" s="28">
        <v>4</v>
      </c>
      <c r="AC34" s="28">
        <v>1</v>
      </c>
      <c r="AD34" s="28">
        <v>2</v>
      </c>
      <c r="AE34" s="28">
        <v>2</v>
      </c>
      <c r="AF34" s="28">
        <v>2</v>
      </c>
      <c r="AG34" s="28">
        <v>2</v>
      </c>
      <c r="AH34" s="29" t="s">
        <v>134</v>
      </c>
      <c r="AI34" s="36">
        <f>IF(OR(AND(K34&lt;32, J34&lt;2), O34=1, P34=1, Q34=1, R34=1, S34=1, T34=1, U34=1, AND(W34&lt;&gt;"", W34&lt;&gt;"Oxygen", W34&lt;&gt;"LowFlow")), "Intensive", "Intermediate")</f>
      </c>
      <c r="AJ34" s="37">
        <f>IF(OR(LEFT(AH34, 1)="X", LEFT(AH34, 1)="Y", LEFT(AH34, 3)="J30M"), "CUSM", "No Match")</f>
      </c>
      <c r="AK34" s="37">
        <f>IF(AND(OR(O34=3, P34=1, Q34=1, T34=1), AJ34="no Match"), "CUSM, CHU SJ, CHUQ", "")</f>
      </c>
      <c r="AL34" s="37">
        <f>IF(AND(O34=2, ISBLANK(P34), ISBLANK(Q34), ISBLANK(R34), ISBLANK(S34), ISBLANK(T34)), "CUSM, CHU SJ, CHUS, CHUQ", "")</f>
      </c>
      <c r="AM34" s="37">
        <f>IF(AND(AJ34="no match", AK34="", AL34="", K34&lt;26), "CUSM, CHU SJ, HGJ, CHUQ, CHUS", "")</f>
      </c>
      <c r="AN34" s="37">
        <f>IF(AND(AJ34="no match", AK34="", AL34="", K34&gt;26), "CUSM, CHU SJ, HGJ, CHUQ, CHUS, HMR", "")</f>
      </c>
    </row>
    <row x14ac:dyDescent="0.25" r="35" customHeight="1" ht="17.25">
      <c r="A35" s="27" t="s">
        <v>135</v>
      </c>
      <c r="B35" s="28">
        <v>2</v>
      </c>
      <c r="C35" s="35">
        <v>779</v>
      </c>
      <c r="D35" s="29" t="s">
        <v>136</v>
      </c>
      <c r="E35" s="30" t="s">
        <v>54</v>
      </c>
      <c r="F35" s="31">
        <v>44587</v>
      </c>
      <c r="G35" s="32">
        <v>4.708333333333334</v>
      </c>
      <c r="H35" s="31">
        <v>44585</v>
      </c>
      <c r="I35" s="32">
        <v>4.299305555555556</v>
      </c>
      <c r="J35" s="33">
        <f>F35-H35</f>
      </c>
      <c r="K35" s="28">
        <v>41</v>
      </c>
      <c r="L35" s="28">
        <v>2</v>
      </c>
      <c r="M35" s="28">
        <v>1</v>
      </c>
      <c r="N35" s="35">
        <v>1</v>
      </c>
      <c r="O35" s="34"/>
      <c r="P35" s="35">
        <v>1</v>
      </c>
      <c r="Q35" s="34"/>
      <c r="R35" s="34"/>
      <c r="S35" s="34"/>
      <c r="T35" s="34"/>
      <c r="U35" s="34"/>
      <c r="V35" s="34"/>
      <c r="W35" s="29"/>
      <c r="X35" s="28">
        <v>30</v>
      </c>
      <c r="Y35" s="28">
        <v>1</v>
      </c>
      <c r="Z35" s="28">
        <v>2</v>
      </c>
      <c r="AA35" s="28">
        <v>1</v>
      </c>
      <c r="AB35" s="28">
        <v>1</v>
      </c>
      <c r="AC35" s="28">
        <v>2</v>
      </c>
      <c r="AD35" s="28">
        <v>2</v>
      </c>
      <c r="AE35" s="28">
        <v>4</v>
      </c>
      <c r="AF35" s="28">
        <v>1</v>
      </c>
      <c r="AG35" s="28">
        <v>2</v>
      </c>
      <c r="AH35" s="29" t="s">
        <v>137</v>
      </c>
      <c r="AI35" s="36">
        <f>IF(OR(AND(K35&lt;32, J35&lt;2), O35=1, P35=1, Q35=1, R35=1, S35=1, T35=1, U35=1, AND(W35&lt;&gt;"", W35&lt;&gt;"Oxygen", W35&lt;&gt;"LowFlow")), "Intensive", "Intermediate")</f>
      </c>
      <c r="AJ35" s="37">
        <f>IF(OR(LEFT(AH35, 1)="X", LEFT(AH35, 1)="Y", LEFT(AH35, 3)="J31M"), "CUSM", "No Match")</f>
      </c>
      <c r="AK35" s="37">
        <f>IF(AND(OR(O35=3, P35=1, Q35=1, T35=1), AJ35="no Match"), "CUSM, CHU SJ, CHUQ", "")</f>
      </c>
      <c r="AL35" s="37">
        <f>IF(AND(O35=2, ISBLANK(P35), ISBLANK(Q35), ISBLANK(R35), ISBLANK(S35), ISBLANK(T35)), "CUSM, CHU SJ, CHUS, CHUQ", "")</f>
      </c>
      <c r="AM35" s="37">
        <f>IF(AND(AJ35="no match", AK35="", AL35="", K35&lt;26), "CUSM, CHU SJ, HGJ, CHUQ, CHUS", "")</f>
      </c>
      <c r="AN35" s="37">
        <f>IF(AND(AJ35="no match", AK35="", AL35="", K35&gt;26), "CUSM, CHU SJ, HGJ, CHUQ, CHUS, HMR", "")</f>
      </c>
    </row>
    <row x14ac:dyDescent="0.25" r="36" customHeight="1" ht="17.25">
      <c r="A36" s="27" t="s">
        <v>138</v>
      </c>
      <c r="B36" s="28">
        <v>2</v>
      </c>
      <c r="C36" s="35">
        <v>746</v>
      </c>
      <c r="D36" s="29" t="s">
        <v>139</v>
      </c>
      <c r="E36" s="30" t="s">
        <v>50</v>
      </c>
      <c r="F36" s="31">
        <v>44587</v>
      </c>
      <c r="G36" s="32">
        <v>4.204861111111111</v>
      </c>
      <c r="H36" s="31">
        <v>44585</v>
      </c>
      <c r="I36" s="32">
        <v>4.478472222222223</v>
      </c>
      <c r="J36" s="33">
        <f>F36-H36</f>
      </c>
      <c r="K36" s="28">
        <v>38</v>
      </c>
      <c r="L36" s="28">
        <v>6</v>
      </c>
      <c r="M36" s="28">
        <v>2</v>
      </c>
      <c r="N36" s="34"/>
      <c r="O36" s="34"/>
      <c r="P36" s="34"/>
      <c r="Q36" s="34"/>
      <c r="R36" s="34"/>
      <c r="S36" s="34"/>
      <c r="T36" s="34"/>
      <c r="U36" s="34"/>
      <c r="V36" s="34"/>
      <c r="W36" s="29" t="s">
        <v>58</v>
      </c>
      <c r="X36" s="28">
        <v>25</v>
      </c>
      <c r="Y36" s="28">
        <v>1</v>
      </c>
      <c r="Z36" s="28">
        <v>2</v>
      </c>
      <c r="AA36" s="28">
        <v>2</v>
      </c>
      <c r="AB36" s="28">
        <v>1</v>
      </c>
      <c r="AC36" s="28">
        <v>2</v>
      </c>
      <c r="AD36" s="28">
        <v>2</v>
      </c>
      <c r="AE36" s="28">
        <v>4</v>
      </c>
      <c r="AF36" s="28">
        <v>3</v>
      </c>
      <c r="AG36" s="28">
        <v>2</v>
      </c>
      <c r="AH36" s="29" t="s">
        <v>140</v>
      </c>
      <c r="AI36" s="36">
        <f>IF(OR(AND(K36&lt;32, J36&lt;2), O36=1, P36=1, Q36=1, R36=1, S36=1, T36=1, U36=1, AND(W36&lt;&gt;"", W36&lt;&gt;"Oxygen", W36&lt;&gt;"LowFlow")), "Intensive", "Intermediate")</f>
      </c>
      <c r="AJ36" s="37">
        <f>IF(OR(LEFT(AH36, 1)="X", LEFT(AH36, 1)="Y", LEFT(AH36, 3)="J32M"), "CUSM", "No Match")</f>
      </c>
      <c r="AK36" s="37">
        <f>IF(AND(OR(O36=3, P36=1, Q36=1, T36=1), AJ36="no Match"), "CUSM, CHU SJ, CHUQ", "")</f>
      </c>
      <c r="AL36" s="37">
        <f>IF(AND(O36=2, ISBLANK(P36), ISBLANK(Q36), ISBLANK(R36), ISBLANK(S36), ISBLANK(T36)), "CUSM, CHU SJ, CHUS, CHUQ", "")</f>
      </c>
      <c r="AM36" s="37">
        <f>IF(AND(AJ36="no match", AK36="", AL36="", K36&lt;26), "CUSM, CHU SJ, HGJ, CHUQ, CHUS", "")</f>
      </c>
      <c r="AN36" s="37">
        <f>IF(AND(AJ36="no match", AK36="", AL36="", K36&gt;26), "CUSM, CHU SJ, HGJ, CHUQ, CHUS, HMR", "")</f>
      </c>
    </row>
    <row x14ac:dyDescent="0.25" r="37" customHeight="1" ht="17.25">
      <c r="A37" s="27" t="s">
        <v>141</v>
      </c>
      <c r="B37" s="28">
        <v>2</v>
      </c>
      <c r="C37" s="35">
        <v>815</v>
      </c>
      <c r="D37" s="29" t="s">
        <v>100</v>
      </c>
      <c r="E37" s="30" t="s">
        <v>54</v>
      </c>
      <c r="F37" s="31">
        <v>44588</v>
      </c>
      <c r="G37" s="32">
        <v>4.607638888888889</v>
      </c>
      <c r="H37" s="31">
        <v>44562</v>
      </c>
      <c r="I37" s="32">
        <v>4.210416666666667</v>
      </c>
      <c r="J37" s="33">
        <f>F37-H37</f>
      </c>
      <c r="K37" s="28">
        <v>31</v>
      </c>
      <c r="L37" s="28">
        <v>2</v>
      </c>
      <c r="M37" s="28">
        <v>2</v>
      </c>
      <c r="N37" s="34"/>
      <c r="O37" s="34"/>
      <c r="P37" s="34"/>
      <c r="Q37" s="34"/>
      <c r="R37" s="34"/>
      <c r="S37" s="34"/>
      <c r="T37" s="34"/>
      <c r="U37" s="34"/>
      <c r="V37" s="34"/>
      <c r="W37" s="29" t="s">
        <v>142</v>
      </c>
      <c r="X37" s="28">
        <v>33</v>
      </c>
      <c r="Y37" s="28">
        <v>1</v>
      </c>
      <c r="Z37" s="28">
        <v>2</v>
      </c>
      <c r="AA37" s="28">
        <v>1</v>
      </c>
      <c r="AB37" s="28">
        <v>1</v>
      </c>
      <c r="AC37" s="28">
        <v>2</v>
      </c>
      <c r="AD37" s="28">
        <v>2</v>
      </c>
      <c r="AE37" s="28">
        <v>4</v>
      </c>
      <c r="AF37" s="35">
        <v>2</v>
      </c>
      <c r="AG37" s="28">
        <v>2</v>
      </c>
      <c r="AH37" s="29" t="s">
        <v>143</v>
      </c>
      <c r="AI37" s="36">
        <f>IF(OR(AND(K37&lt;32, J37&lt;2), O37=1, P37=1, Q37=1, R37=1, S37=1, T37=1, U37=1, AND(W37&lt;&gt;"", W37&lt;&gt;"Oxygen", W37&lt;&gt;"LowFlow")), "Intensive", "Intermediate")</f>
      </c>
      <c r="AJ37" s="37">
        <f>IF(OR(LEFT(AH37, 1)="X", LEFT(AH37, 1)="Y", LEFT(AH37, 3)="J33M"), "CUSM", "No Match")</f>
      </c>
      <c r="AK37" s="37">
        <f>IF(AND(OR(O37=3, P37=1, Q37=1, T37=1), AJ37="no Match"), "CUSM, CHU SJ, CHUQ", "")</f>
      </c>
      <c r="AL37" s="37">
        <f>IF(AND(O37=2, ISBLANK(P37), ISBLANK(Q37), ISBLANK(R37), ISBLANK(S37), ISBLANK(T37)), "CUSM, CHU SJ, CHUS, CHUQ", "")</f>
      </c>
      <c r="AM37" s="37">
        <f>IF(AND(AJ37="no match", AK37="", AL37="", K37&lt;26), "CUSM, CHU SJ, HGJ, CHUQ, CHUS", "")</f>
      </c>
      <c r="AN37" s="37">
        <f>IF(AND(AJ37="no match", AK37="", AL37="", K37&gt;26), "CUSM, CHU SJ, HGJ, CHUQ, CHUS, HMR", "")</f>
      </c>
    </row>
    <row x14ac:dyDescent="0.25" r="38" customHeight="1" ht="17.25">
      <c r="A38" s="27" t="s">
        <v>144</v>
      </c>
      <c r="B38" s="28">
        <v>2</v>
      </c>
      <c r="C38" s="28">
        <v>748</v>
      </c>
      <c r="D38" s="29" t="s">
        <v>145</v>
      </c>
      <c r="E38" s="30" t="s">
        <v>118</v>
      </c>
      <c r="F38" s="31">
        <v>44589</v>
      </c>
      <c r="G38" s="32">
        <v>4.3381944444444445</v>
      </c>
      <c r="H38" s="31">
        <v>44589</v>
      </c>
      <c r="I38" s="32">
        <v>4.1305555555555555</v>
      </c>
      <c r="J38" s="33">
        <f>F38-H38</f>
      </c>
      <c r="K38" s="28">
        <v>32</v>
      </c>
      <c r="L38" s="28">
        <v>0</v>
      </c>
      <c r="M38" s="28">
        <v>1</v>
      </c>
      <c r="N38" s="34"/>
      <c r="O38" s="34"/>
      <c r="P38" s="34"/>
      <c r="Q38" s="34"/>
      <c r="R38" s="34"/>
      <c r="S38" s="34"/>
      <c r="T38" s="34"/>
      <c r="U38" s="34"/>
      <c r="V38" s="34"/>
      <c r="W38" s="29" t="s">
        <v>58</v>
      </c>
      <c r="X38" s="28">
        <v>40</v>
      </c>
      <c r="Y38" s="28">
        <v>1</v>
      </c>
      <c r="Z38" s="28">
        <v>1</v>
      </c>
      <c r="AA38" s="28">
        <v>2</v>
      </c>
      <c r="AB38" s="28">
        <v>1</v>
      </c>
      <c r="AC38" s="28">
        <v>2</v>
      </c>
      <c r="AD38" s="28">
        <v>1</v>
      </c>
      <c r="AE38" s="28">
        <v>4</v>
      </c>
      <c r="AF38" s="28">
        <v>2</v>
      </c>
      <c r="AG38" s="28">
        <v>2</v>
      </c>
      <c r="AH38" s="29" t="s">
        <v>146</v>
      </c>
      <c r="AI38" s="36">
        <f>IF(OR(AND(K38&lt;32, J38&lt;2), O38=1, P38=1, Q38=1, R38=1, S38=1, T38=1, U38=1, AND(W38&lt;&gt;"", W38&lt;&gt;"Oxygen", W38&lt;&gt;"LowFlow")), "Intensive", "Intermediate")</f>
      </c>
      <c r="AJ38" s="37">
        <f>IF(OR(LEFT(AH38, 1)="X", LEFT(AH38, 1)="Y", LEFT(AH38, 3)="J34M"), "CUSM", "No Match")</f>
      </c>
      <c r="AK38" s="37">
        <f>IF(AND(OR(O38=3, P38=1, Q38=1, T38=1), AJ38="no Match"), "CUSM, CHU SJ, CHUQ", "")</f>
      </c>
      <c r="AL38" s="37">
        <f>IF(AND(O38=2, ISBLANK(P38), ISBLANK(Q38), ISBLANK(R38), ISBLANK(S38), ISBLANK(T38)), "CUSM, CHU SJ, CHUS, CHUQ", "")</f>
      </c>
      <c r="AM38" s="37">
        <f>IF(AND(AJ38="no match", AK38="", AL38="", K38&lt;26), "CUSM, CHU SJ, HGJ, CHUQ, CHUS", "")</f>
      </c>
      <c r="AN38" s="37">
        <f>IF(AND(AJ38="no match", AK38="", AL38="", K38&gt;26), "CUSM, CHU SJ, HGJ, CHUQ, CHUS, HMR", "")</f>
      </c>
    </row>
    <row x14ac:dyDescent="0.25" r="39" customHeight="1" ht="17.25">
      <c r="A39" s="27" t="s">
        <v>147</v>
      </c>
      <c r="B39" s="28">
        <v>2</v>
      </c>
      <c r="C39" s="35">
        <v>773</v>
      </c>
      <c r="D39" s="29" t="s">
        <v>148</v>
      </c>
      <c r="E39" s="30" t="s">
        <v>149</v>
      </c>
      <c r="F39" s="31">
        <v>44590</v>
      </c>
      <c r="G39" s="32">
        <v>4.648611111111111</v>
      </c>
      <c r="H39" s="31">
        <v>44590</v>
      </c>
      <c r="I39" s="32">
        <v>4.488888888888889</v>
      </c>
      <c r="J39" s="33">
        <f>F39-H39</f>
      </c>
      <c r="K39" s="28">
        <v>27</v>
      </c>
      <c r="L39" s="28">
        <v>0</v>
      </c>
      <c r="M39" s="28">
        <v>2</v>
      </c>
      <c r="N39" s="38"/>
      <c r="O39" s="34"/>
      <c r="P39" s="38"/>
      <c r="Q39" s="34"/>
      <c r="R39" s="34"/>
      <c r="S39" s="34"/>
      <c r="T39" s="34"/>
      <c r="U39" s="34"/>
      <c r="V39" s="34"/>
      <c r="W39" s="29" t="s">
        <v>74</v>
      </c>
      <c r="X39" s="28">
        <v>32</v>
      </c>
      <c r="Y39" s="28">
        <v>2</v>
      </c>
      <c r="Z39" s="28">
        <v>3</v>
      </c>
      <c r="AA39" s="28">
        <v>3</v>
      </c>
      <c r="AB39" s="28">
        <v>4</v>
      </c>
      <c r="AC39" s="28">
        <v>3</v>
      </c>
      <c r="AD39" s="28">
        <v>3</v>
      </c>
      <c r="AE39" s="28">
        <v>4</v>
      </c>
      <c r="AF39" s="28">
        <v>3</v>
      </c>
      <c r="AG39" s="28">
        <v>2</v>
      </c>
      <c r="AH39" s="29" t="s">
        <v>150</v>
      </c>
      <c r="AI39" s="36">
        <f>IF(OR(AND(K39&lt;32, J39&lt;2), O39=1, P39=1, Q39=1, R39=1, S39=1, T39=1, U39=1, AND(W39&lt;&gt;"", W39&lt;&gt;"Oxygen", W39&lt;&gt;"LowFlow")), "Intensive", "Intermediate")</f>
      </c>
      <c r="AJ39" s="37">
        <f>IF(OR(LEFT(AH39, 1)="X", LEFT(AH39, 1)="Y", LEFT(AH39, 3)="J35M"), "CUSM", "No Match")</f>
      </c>
      <c r="AK39" s="37">
        <f>IF(AND(OR(O39=3, P39=1, Q39=1, T39=1), AJ39="no Match"), "CUSM, CHU SJ, CHUQ", "")</f>
      </c>
      <c r="AL39" s="37">
        <f>IF(AND(O39=2, ISBLANK(P39), ISBLANK(Q39), ISBLANK(R39), ISBLANK(S39), ISBLANK(T39)), "CUSM, CHU SJ, CHUS, CHUQ", "")</f>
      </c>
      <c r="AM39" s="37">
        <f>IF(AND(AJ39="no match", AK39="", AL39="", K39&lt;26), "CUSM, CHU SJ, HGJ, CHUQ, CHUS", "")</f>
      </c>
      <c r="AN39" s="37">
        <f>IF(AND(AJ39="no match", AK39="", AL39="", K39&gt;26), "CUSM, CHU SJ, HGJ, CHUQ, CHUS, HMR", "")</f>
      </c>
    </row>
    <row x14ac:dyDescent="0.25" r="40" customHeight="1" ht="17.25">
      <c r="A40" s="27" t="s">
        <v>151</v>
      </c>
      <c r="B40" s="28">
        <v>2</v>
      </c>
      <c r="C40" s="28">
        <v>773</v>
      </c>
      <c r="D40" s="29" t="s">
        <v>148</v>
      </c>
      <c r="E40" s="30" t="s">
        <v>149</v>
      </c>
      <c r="F40" s="31">
        <v>44590</v>
      </c>
      <c r="G40" s="32">
        <v>4.615277777777777</v>
      </c>
      <c r="H40" s="31">
        <v>44590</v>
      </c>
      <c r="I40" s="32">
        <v>4.489583333333334</v>
      </c>
      <c r="J40" s="33">
        <f>F40-H40</f>
      </c>
      <c r="K40" s="28">
        <v>27</v>
      </c>
      <c r="L40" s="28">
        <v>0</v>
      </c>
      <c r="M40" s="28">
        <v>1</v>
      </c>
      <c r="N40" s="34"/>
      <c r="O40" s="34"/>
      <c r="P40" s="34"/>
      <c r="Q40" s="34"/>
      <c r="R40" s="34"/>
      <c r="S40" s="34"/>
      <c r="T40" s="34"/>
      <c r="U40" s="34"/>
      <c r="V40" s="34"/>
      <c r="W40" s="29" t="s">
        <v>74</v>
      </c>
      <c r="X40" s="28">
        <v>32</v>
      </c>
      <c r="Y40" s="28">
        <v>2</v>
      </c>
      <c r="Z40" s="28">
        <v>2</v>
      </c>
      <c r="AA40" s="28">
        <v>3</v>
      </c>
      <c r="AB40" s="28">
        <v>4</v>
      </c>
      <c r="AC40" s="28">
        <v>3</v>
      </c>
      <c r="AD40" s="28">
        <v>3</v>
      </c>
      <c r="AE40" s="28">
        <v>4</v>
      </c>
      <c r="AF40" s="28">
        <v>3</v>
      </c>
      <c r="AG40" s="28">
        <v>2</v>
      </c>
      <c r="AH40" s="29" t="s">
        <v>150</v>
      </c>
      <c r="AI40" s="36">
        <f>IF(OR(AND(K40&lt;32, J40&lt;2), O40=1, P40=1, Q40=1, R40=1, S40=1, T40=1, U40=1, AND(W40&lt;&gt;"", W40&lt;&gt;"Oxygen", W40&lt;&gt;"LowFlow")), "Intensive", "Intermediate")</f>
      </c>
      <c r="AJ40" s="37">
        <f>IF(OR(LEFT(AH40, 1)="X", LEFT(AH40, 1)="Y", LEFT(AH40, 3)="J36M"), "CUSM", "No Match")</f>
      </c>
      <c r="AK40" s="37">
        <f>IF(AND(OR(O40=3, P40=1, Q40=1, T40=1), AJ40="no Match"), "CUSM, CHU SJ, CHUQ", "")</f>
      </c>
      <c r="AL40" s="37">
        <f>IF(AND(O40=2, ISBLANK(P40), ISBLANK(Q40), ISBLANK(R40), ISBLANK(S40), ISBLANK(T40)), "CUSM, CHU SJ, CHUS, CHUQ", "")</f>
      </c>
      <c r="AM40" s="37">
        <f>IF(AND(AJ40="no match", AK40="", AL40="", K40&lt;26), "CUSM, CHU SJ, HGJ, CHUQ, CHUS", "")</f>
      </c>
      <c r="AN40" s="37">
        <f>IF(AND(AJ40="no match", AK40="", AL40="", K40&gt;26), "CUSM, CHU SJ, HGJ, CHUQ, CHUS, HMR", "")</f>
      </c>
    </row>
    <row x14ac:dyDescent="0.25" r="41" customHeight="1" ht="17.25">
      <c r="A41" s="27" t="s">
        <v>152</v>
      </c>
      <c r="B41" s="28">
        <v>2</v>
      </c>
      <c r="C41" s="28">
        <v>564</v>
      </c>
      <c r="D41" s="29" t="s">
        <v>153</v>
      </c>
      <c r="E41" s="30" t="s">
        <v>78</v>
      </c>
      <c r="F41" s="31">
        <v>44590</v>
      </c>
      <c r="G41" s="32">
        <v>4.510416666666666</v>
      </c>
      <c r="H41" s="31">
        <v>44589</v>
      </c>
      <c r="I41" s="32">
        <v>4.4840277777777775</v>
      </c>
      <c r="J41" s="33">
        <f>F41-H41</f>
      </c>
      <c r="K41" s="28">
        <v>35</v>
      </c>
      <c r="L41" s="28">
        <v>6</v>
      </c>
      <c r="M41" s="28">
        <v>1</v>
      </c>
      <c r="N41" s="34"/>
      <c r="O41" s="34"/>
      <c r="P41" s="34"/>
      <c r="Q41" s="34"/>
      <c r="R41" s="34"/>
      <c r="S41" s="34"/>
      <c r="T41" s="34"/>
      <c r="U41" s="34"/>
      <c r="V41" s="34"/>
      <c r="W41" s="29" t="s">
        <v>74</v>
      </c>
      <c r="X41" s="28">
        <v>26</v>
      </c>
      <c r="Y41" s="28">
        <v>1</v>
      </c>
      <c r="Z41" s="28">
        <v>2</v>
      </c>
      <c r="AA41" s="28">
        <v>2</v>
      </c>
      <c r="AB41" s="28">
        <v>1</v>
      </c>
      <c r="AC41" s="28">
        <v>2</v>
      </c>
      <c r="AD41" s="28">
        <v>2</v>
      </c>
      <c r="AE41" s="28">
        <v>4</v>
      </c>
      <c r="AF41" s="28">
        <v>2</v>
      </c>
      <c r="AG41" s="28">
        <v>2</v>
      </c>
      <c r="AH41" s="29" t="s">
        <v>154</v>
      </c>
      <c r="AI41" s="36">
        <f>IF(OR(AND(K41&lt;32, J41&lt;2), O41=1, P41=1, Q41=1, R41=1, S41=1, T41=1, U41=1, AND(W41&lt;&gt;"", W41&lt;&gt;"Oxygen", W41&lt;&gt;"LowFlow")), "Intensive", "Intermediate")</f>
      </c>
      <c r="AJ41" s="37">
        <f>IF(OR(LEFT(AH41, 1)="X", LEFT(AH41, 1)="Y", LEFT(AH41, 3)="J37M"), "CUSM", "No Match")</f>
      </c>
      <c r="AK41" s="37">
        <f>IF(AND(OR(O41=3, P41=1, Q41=1, T41=1), AJ41="no Match"), "CUSM, CHU SJ, CHUQ", "")</f>
      </c>
      <c r="AL41" s="37">
        <f>IF(AND(O41=2, ISBLANK(P41), ISBLANK(Q41), ISBLANK(R41), ISBLANK(S41), ISBLANK(T41)), "CUSM, CHU SJ, CHUS, CHUQ", "")</f>
      </c>
      <c r="AM41" s="37">
        <f>IF(AND(AJ41="no match", AK41="", AL41="", K41&lt;26), "CUSM, CHU SJ, HGJ, CHUQ, CHUS", "")</f>
      </c>
      <c r="AN41" s="37">
        <f>IF(AND(AJ41="no match", AK41="", AL41="", K41&gt;26), "CUSM, CHU SJ, HGJ, CHUQ, CHUS, HMR", "")</f>
      </c>
    </row>
    <row x14ac:dyDescent="0.25" r="42" customHeight="1" ht="17.25">
      <c r="A42" s="27" t="s">
        <v>155</v>
      </c>
      <c r="B42" s="28">
        <v>2</v>
      </c>
      <c r="C42" s="35">
        <v>730</v>
      </c>
      <c r="D42" s="29" t="s">
        <v>81</v>
      </c>
      <c r="E42" s="30" t="s">
        <v>50</v>
      </c>
      <c r="F42" s="31">
        <v>44591</v>
      </c>
      <c r="G42" s="32">
        <v>4.1875</v>
      </c>
      <c r="H42" s="31">
        <v>44591</v>
      </c>
      <c r="I42" s="32">
        <v>4.017361111111111</v>
      </c>
      <c r="J42" s="33">
        <f>F42-H42</f>
      </c>
      <c r="K42" s="28">
        <v>35</v>
      </c>
      <c r="L42" s="28">
        <v>5</v>
      </c>
      <c r="M42" s="28">
        <v>2</v>
      </c>
      <c r="N42" s="35">
        <v>1</v>
      </c>
      <c r="O42" s="34"/>
      <c r="P42" s="35">
        <v>1</v>
      </c>
      <c r="Q42" s="34"/>
      <c r="R42" s="34"/>
      <c r="S42" s="34"/>
      <c r="T42" s="35">
        <v>1</v>
      </c>
      <c r="U42" s="34"/>
      <c r="V42" s="35">
        <v>1</v>
      </c>
      <c r="W42" s="29" t="s">
        <v>58</v>
      </c>
      <c r="X42" s="28">
        <v>34</v>
      </c>
      <c r="Y42" s="28">
        <v>1</v>
      </c>
      <c r="Z42" s="28">
        <v>2</v>
      </c>
      <c r="AA42" s="28">
        <v>2</v>
      </c>
      <c r="AB42" s="28">
        <v>1</v>
      </c>
      <c r="AC42" s="28">
        <v>2</v>
      </c>
      <c r="AD42" s="28">
        <v>2</v>
      </c>
      <c r="AE42" s="28">
        <v>2</v>
      </c>
      <c r="AF42" s="28">
        <v>3</v>
      </c>
      <c r="AG42" s="28">
        <v>2</v>
      </c>
      <c r="AH42" s="29" t="s">
        <v>156</v>
      </c>
      <c r="AI42" s="36">
        <f>IF(OR(AND(K42&lt;32, J42&lt;2), O42=1, P42=1, Q42=1, R42=1, S42=1, T42=1, U42=1, AND(W42&lt;&gt;"", W42&lt;&gt;"Oxygen", W42&lt;&gt;"LowFlow")), "Intensive", "Intermediate")</f>
      </c>
      <c r="AJ42" s="37">
        <f>IF(OR(LEFT(AH42, 1)="X", LEFT(AH42, 1)="Y", LEFT(AH42, 3)="J38M"), "CUSM", "No Match")</f>
      </c>
      <c r="AK42" s="37">
        <f>IF(AND(OR(O42=3, P42=1, Q42=1, T42=1), AJ42="no Match"), "CUSM, CHU SJ, CHUQ", "")</f>
      </c>
      <c r="AL42" s="37">
        <f>IF(AND(O42=2, ISBLANK(P42), ISBLANK(Q42), ISBLANK(R42), ISBLANK(S42), ISBLANK(T42)), "CUSM, CHU SJ, CHUS, CHUQ", "")</f>
      </c>
      <c r="AM42" s="37">
        <f>IF(AND(AJ42="no match", AK42="", AL42="", K42&lt;26), "CUSM, CHU SJ, HGJ, CHUQ, CHUS", "")</f>
      </c>
      <c r="AN42" s="37">
        <f>IF(AND(AJ42="no match", AK42="", AL42="", K42&gt;26), "CUSM, CHU SJ, HGJ, CHUQ, CHUS, HMR", "")</f>
      </c>
    </row>
    <row x14ac:dyDescent="0.25" r="43" customHeight="1" ht="17.25">
      <c r="A43" s="27" t="s">
        <v>157</v>
      </c>
      <c r="B43" s="28">
        <v>2</v>
      </c>
      <c r="C43" s="35">
        <v>735</v>
      </c>
      <c r="D43" s="29" t="s">
        <v>49</v>
      </c>
      <c r="E43" s="30" t="s">
        <v>50</v>
      </c>
      <c r="F43" s="31">
        <v>44591</v>
      </c>
      <c r="G43" s="32">
        <v>4.673611111111111</v>
      </c>
      <c r="H43" s="31">
        <v>44591</v>
      </c>
      <c r="I43" s="32">
        <v>4.197222222222223</v>
      </c>
      <c r="J43" s="33">
        <f>F43-H43</f>
      </c>
      <c r="K43" s="28">
        <v>40</v>
      </c>
      <c r="L43" s="28">
        <v>6</v>
      </c>
      <c r="M43" s="28">
        <v>2</v>
      </c>
      <c r="N43" s="34"/>
      <c r="O43" s="35">
        <v>2</v>
      </c>
      <c r="P43" s="34"/>
      <c r="Q43" s="35">
        <v>1</v>
      </c>
      <c r="R43" s="34"/>
      <c r="S43" s="34"/>
      <c r="T43" s="34"/>
      <c r="U43" s="34"/>
      <c r="V43" s="34"/>
      <c r="W43" s="29" t="s">
        <v>74</v>
      </c>
      <c r="X43" s="28">
        <v>35</v>
      </c>
      <c r="Y43" s="28">
        <v>1</v>
      </c>
      <c r="Z43" s="28">
        <v>2</v>
      </c>
      <c r="AA43" s="28">
        <v>3</v>
      </c>
      <c r="AB43" s="28">
        <v>1</v>
      </c>
      <c r="AC43" s="28">
        <v>2</v>
      </c>
      <c r="AD43" s="28">
        <v>2</v>
      </c>
      <c r="AE43" s="28">
        <v>4</v>
      </c>
      <c r="AF43" s="28">
        <v>3</v>
      </c>
      <c r="AG43" s="28">
        <v>2</v>
      </c>
      <c r="AH43" s="29" t="s">
        <v>158</v>
      </c>
      <c r="AI43" s="36">
        <f>IF(OR(AND(K43&lt;32, J43&lt;2), O43=1, P43=1, Q43=1, R43=1, S43=1, T43=1, U43=1, AND(W43&lt;&gt;"", W43&lt;&gt;"Oxygen", W43&lt;&gt;"LowFlow")), "Intensive", "Intermediate")</f>
      </c>
      <c r="AJ43" s="37">
        <f>IF(OR(LEFT(AH43, 1)="X", LEFT(AH43, 1)="Y", LEFT(AH43, 3)="J39M"), "CUSM", "No Match")</f>
      </c>
      <c r="AK43" s="37">
        <f>IF(AND(OR(O43=3, P43=1, Q43=1, T43=1), AJ43="no Match"), "CUSM, CHU SJ, CHUQ", "")</f>
      </c>
      <c r="AL43" s="37">
        <f>IF(AND(O43=2, ISBLANK(P43), ISBLANK(Q43), ISBLANK(R43), ISBLANK(S43), ISBLANK(T43)), "CUSM, CHU SJ, CHUS, CHUQ", "")</f>
      </c>
      <c r="AM43" s="37">
        <f>IF(AND(AJ43="no match", AK43="", AL43="", K43&lt;26), "CUSM, CHU SJ, HGJ, CHUQ, CHUS", "")</f>
      </c>
      <c r="AN43" s="37">
        <f>IF(AND(AJ43="no match", AK43="", AL43="", K43&gt;26), "CUSM, CHU SJ, HGJ, CHUQ, CHUS, HMR", "")</f>
      </c>
    </row>
    <row x14ac:dyDescent="0.25" r="44" customHeight="1" ht="17.25">
      <c r="A44" s="27" t="s">
        <v>159</v>
      </c>
      <c r="B44" s="28">
        <v>2</v>
      </c>
      <c r="C44" s="35">
        <v>768</v>
      </c>
      <c r="D44" s="29" t="s">
        <v>160</v>
      </c>
      <c r="E44" s="30" t="s">
        <v>118</v>
      </c>
      <c r="F44" s="31">
        <v>44592</v>
      </c>
      <c r="G44" s="32">
        <v>4.201388888888889</v>
      </c>
      <c r="H44" s="31">
        <v>44592</v>
      </c>
      <c r="I44" s="32">
        <v>4.0375</v>
      </c>
      <c r="J44" s="33">
        <f>F44-H44</f>
      </c>
      <c r="K44" s="28">
        <v>32</v>
      </c>
      <c r="L44" s="28">
        <v>0</v>
      </c>
      <c r="M44" s="28">
        <v>1</v>
      </c>
      <c r="N44" s="34"/>
      <c r="O44" s="34"/>
      <c r="P44" s="34"/>
      <c r="Q44" s="34"/>
      <c r="R44" s="34"/>
      <c r="S44" s="34"/>
      <c r="T44" s="34"/>
      <c r="U44" s="34"/>
      <c r="V44" s="34"/>
      <c r="W44" s="29" t="s">
        <v>58</v>
      </c>
      <c r="X44" s="28">
        <v>23</v>
      </c>
      <c r="Y44" s="28">
        <v>1</v>
      </c>
      <c r="Z44" s="28">
        <v>1</v>
      </c>
      <c r="AA44" s="28">
        <v>2</v>
      </c>
      <c r="AB44" s="28">
        <v>1</v>
      </c>
      <c r="AC44" s="28">
        <v>3</v>
      </c>
      <c r="AD44" s="28">
        <v>3</v>
      </c>
      <c r="AE44" s="28">
        <v>4</v>
      </c>
      <c r="AF44" s="28">
        <v>2</v>
      </c>
      <c r="AG44" s="28">
        <v>2</v>
      </c>
      <c r="AH44" s="29" t="s">
        <v>161</v>
      </c>
      <c r="AI44" s="36">
        <f>IF(OR(AND(K44&lt;32, J44&lt;2), O44=1, P44=1, Q44=1, R44=1, S44=1, T44=1, U44=1, AND(W44&lt;&gt;"", W44&lt;&gt;"Oxygen", W44&lt;&gt;"LowFlow")), "Intensive", "Intermediate")</f>
      </c>
      <c r="AJ44" s="37">
        <f>IF(OR(LEFT(AH44, 1)="X", LEFT(AH44, 1)="Y", LEFT(AH44, 3)="J40M"), "CUSM", "No Match")</f>
      </c>
      <c r="AK44" s="37">
        <f>IF(AND(OR(O44=3, P44=1, Q44=1, T44=1), AJ44="no Match"), "CUSM, CHU SJ, CHUQ", "")</f>
      </c>
      <c r="AL44" s="37">
        <f>IF(AND(O44=2, ISBLANK(P44), ISBLANK(Q44), ISBLANK(R44), ISBLANK(S44), ISBLANK(T44)), "CUSM, CHU SJ, CHUS, CHUQ", "")</f>
      </c>
      <c r="AM44" s="37">
        <f>IF(AND(AJ44="no match", AK44="", AL44="", K44&lt;26), "CUSM, CHU SJ, HGJ, CHUQ, CHUS", "")</f>
      </c>
      <c r="AN44" s="37">
        <f>IF(AND(AJ44="no match", AK44="", AL44="", K44&gt;26), "CUSM, CHU SJ, HGJ, CHUQ, CHUS, HMR", "")</f>
      </c>
    </row>
    <row x14ac:dyDescent="0.25" r="45" customHeight="1" ht="17.25">
      <c r="A45" s="27" t="s">
        <v>162</v>
      </c>
      <c r="B45" s="28">
        <v>2</v>
      </c>
      <c r="C45" s="35">
        <v>817</v>
      </c>
      <c r="D45" s="29" t="s">
        <v>163</v>
      </c>
      <c r="E45" s="30" t="s">
        <v>54</v>
      </c>
      <c r="F45" s="31">
        <v>44593</v>
      </c>
      <c r="G45" s="32">
        <v>4.009027777777778</v>
      </c>
      <c r="H45" s="31">
        <v>44592</v>
      </c>
      <c r="I45" s="32">
        <v>4.776388888888889</v>
      </c>
      <c r="J45" s="33">
        <f>F45-H45</f>
      </c>
      <c r="K45" s="28">
        <v>37</v>
      </c>
      <c r="L45" s="28">
        <v>6</v>
      </c>
      <c r="M45" s="28">
        <v>1</v>
      </c>
      <c r="N45" s="38"/>
      <c r="O45" s="38"/>
      <c r="P45" s="38"/>
      <c r="Q45" s="34"/>
      <c r="R45" s="34"/>
      <c r="S45" s="34"/>
      <c r="T45" s="34"/>
      <c r="U45" s="34"/>
      <c r="V45" s="34"/>
      <c r="W45" s="29" t="s">
        <v>164</v>
      </c>
      <c r="X45" s="28">
        <v>34</v>
      </c>
      <c r="Y45" s="28">
        <v>1</v>
      </c>
      <c r="Z45" s="28">
        <v>1</v>
      </c>
      <c r="AA45" s="28">
        <v>1</v>
      </c>
      <c r="AB45" s="28">
        <v>1</v>
      </c>
      <c r="AC45" s="28">
        <v>2</v>
      </c>
      <c r="AD45" s="28">
        <v>1</v>
      </c>
      <c r="AE45" s="28">
        <v>4</v>
      </c>
      <c r="AF45" s="28">
        <v>2</v>
      </c>
      <c r="AG45" s="28">
        <v>2</v>
      </c>
      <c r="AH45" s="29" t="s">
        <v>165</v>
      </c>
      <c r="AI45" s="36">
        <f>IF(OR(AND(K45&lt;32, J45&lt;2), O45=1, P45=1, Q45=1, R45=1, S45=1, T45=1, U45=1, AND(W45&lt;&gt;"", W45&lt;&gt;"Oxygen", W45&lt;&gt;"LowFlow")), "Intensive", "Intermediate")</f>
      </c>
      <c r="AJ45" s="37">
        <f>IF(OR(LEFT(AH45, 1)="X", LEFT(AH45, 1)="Y", LEFT(AH45, 3)="J41M"), "CUSM", "No Match")</f>
      </c>
      <c r="AK45" s="37">
        <f>IF(AND(OR(O45=3, P45=1, Q45=1, T45=1), AJ45="no Match"), "CUSM, CHU SJ, CHUQ", "")</f>
      </c>
      <c r="AL45" s="37">
        <f>IF(AND(O45=2, ISBLANK(P45), ISBLANK(Q45), ISBLANK(R45), ISBLANK(S45), ISBLANK(T45)), "CUSM, CHU SJ, CHUS, CHUQ", "")</f>
      </c>
      <c r="AM45" s="37">
        <f>IF(AND(AJ45="no match", AK45="", AL45="", K45&lt;26), "CUSM, CHU SJ, HGJ, CHUQ, CHUS", "")</f>
      </c>
      <c r="AN45" s="37">
        <f>IF(AND(AJ45="no match", AK45="", AL45="", K45&gt;26), "CUSM, CHU SJ, HGJ, CHUQ, CHUS, HMR", "")</f>
      </c>
    </row>
    <row x14ac:dyDescent="0.25" r="46" customHeight="1" ht="17.25">
      <c r="A46" s="27" t="s">
        <v>166</v>
      </c>
      <c r="B46" s="28">
        <v>2</v>
      </c>
      <c r="C46" s="35">
        <v>822</v>
      </c>
      <c r="D46" s="29" t="s">
        <v>167</v>
      </c>
      <c r="E46" s="30" t="s">
        <v>78</v>
      </c>
      <c r="F46" s="31">
        <v>44593</v>
      </c>
      <c r="G46" s="32">
        <v>4.166666666666666</v>
      </c>
      <c r="H46" s="31">
        <v>44592</v>
      </c>
      <c r="I46" s="32">
        <v>4.9625</v>
      </c>
      <c r="J46" s="33">
        <f>F46-H46</f>
      </c>
      <c r="K46" s="28">
        <v>35</v>
      </c>
      <c r="L46" s="28">
        <v>0</v>
      </c>
      <c r="M46" s="28">
        <v>1</v>
      </c>
      <c r="N46" s="34"/>
      <c r="O46" s="34"/>
      <c r="P46" s="34"/>
      <c r="Q46" s="34"/>
      <c r="R46" s="34"/>
      <c r="S46" s="34"/>
      <c r="T46" s="34"/>
      <c r="U46" s="34"/>
      <c r="V46" s="34"/>
      <c r="W46" s="29" t="s">
        <v>58</v>
      </c>
      <c r="X46" s="28">
        <v>21</v>
      </c>
      <c r="Y46" s="28">
        <v>1</v>
      </c>
      <c r="Z46" s="28">
        <v>2</v>
      </c>
      <c r="AA46" s="28">
        <v>1</v>
      </c>
      <c r="AB46" s="28">
        <v>3</v>
      </c>
      <c r="AC46" s="28">
        <v>2</v>
      </c>
      <c r="AD46" s="28">
        <v>2</v>
      </c>
      <c r="AE46" s="28">
        <v>4</v>
      </c>
      <c r="AF46" s="28">
        <v>3</v>
      </c>
      <c r="AG46" s="28">
        <v>2</v>
      </c>
      <c r="AH46" s="29" t="s">
        <v>168</v>
      </c>
      <c r="AI46" s="36">
        <f>IF(OR(AND(K46&lt;32, J46&lt;2), O46=1, P46=1, Q46=1, R46=1, S46=1, T46=1, U46=1, AND(W46&lt;&gt;"", W46&lt;&gt;"Oxygen", W46&lt;&gt;"LowFlow")), "Intensive", "Intermediate")</f>
      </c>
      <c r="AJ46" s="37">
        <f>IF(OR(LEFT(AH46, 1)="X", LEFT(AH46, 1)="Y", LEFT(AH46, 3)="J42M"), "CUSM", "No Match")</f>
      </c>
      <c r="AK46" s="37">
        <f>IF(AND(OR(O46=3, P46=1, Q46=1, T46=1), AJ46="no Match"), "CUSM, CHU SJ, CHUQ", "")</f>
      </c>
      <c r="AL46" s="37">
        <f>IF(AND(O46=2, ISBLANK(P46), ISBLANK(Q46), ISBLANK(R46), ISBLANK(S46), ISBLANK(T46)), "CUSM, CHU SJ, CHUS, CHUQ", "")</f>
      </c>
      <c r="AM46" s="37">
        <f>IF(AND(AJ46="no match", AK46="", AL46="", K46&lt;26), "CUSM, CHU SJ, HGJ, CHUQ, CHUS", "")</f>
      </c>
      <c r="AN46" s="37">
        <f>IF(AND(AJ46="no match", AK46="", AL46="", K46&gt;26), "CUSM, CHU SJ, HGJ, CHUQ, CHUS, HMR", "")</f>
      </c>
    </row>
    <row x14ac:dyDescent="0.25" r="47" customHeight="1" ht="17.25">
      <c r="A47" s="27" t="s">
        <v>169</v>
      </c>
      <c r="B47" s="28">
        <v>2</v>
      </c>
      <c r="C47" s="35">
        <v>835</v>
      </c>
      <c r="D47" s="29" t="s">
        <v>170</v>
      </c>
      <c r="E47" s="30" t="s">
        <v>78</v>
      </c>
      <c r="F47" s="31">
        <v>44593</v>
      </c>
      <c r="G47" s="32">
        <v>4.701388888888889</v>
      </c>
      <c r="H47" s="31">
        <v>44593</v>
      </c>
      <c r="I47" s="32">
        <v>4.5256944444444445</v>
      </c>
      <c r="J47" s="33">
        <f>F47-H47</f>
      </c>
      <c r="K47" s="28">
        <v>38</v>
      </c>
      <c r="L47" s="28">
        <v>0</v>
      </c>
      <c r="M47" s="28">
        <v>2</v>
      </c>
      <c r="N47" s="34"/>
      <c r="O47" s="34"/>
      <c r="P47" s="34"/>
      <c r="Q47" s="34"/>
      <c r="R47" s="34"/>
      <c r="S47" s="34"/>
      <c r="T47" s="34"/>
      <c r="U47" s="34"/>
      <c r="V47" s="34"/>
      <c r="W47" s="29" t="s">
        <v>58</v>
      </c>
      <c r="X47" s="28">
        <v>33</v>
      </c>
      <c r="Y47" s="28">
        <v>1</v>
      </c>
      <c r="Z47" s="28">
        <v>2</v>
      </c>
      <c r="AA47" s="28">
        <v>2</v>
      </c>
      <c r="AB47" s="28">
        <v>1</v>
      </c>
      <c r="AC47" s="28">
        <v>2</v>
      </c>
      <c r="AD47" s="28">
        <v>2</v>
      </c>
      <c r="AE47" s="28">
        <v>2</v>
      </c>
      <c r="AF47" s="28">
        <v>2</v>
      </c>
      <c r="AG47" s="28">
        <v>2</v>
      </c>
      <c r="AH47" s="29" t="s">
        <v>171</v>
      </c>
      <c r="AI47" s="36">
        <f>IF(OR(AND(K47&lt;32, J47&lt;2), O47=1, P47=1, Q47=1, R47=1, S47=1, T47=1, U47=1, AND(W47&lt;&gt;"", W47&lt;&gt;"Oxygen", W47&lt;&gt;"LowFlow")), "Intensive", "Intermediate")</f>
      </c>
      <c r="AJ47" s="37">
        <f>IF(OR(LEFT(AH47, 1)="X", LEFT(AH47, 1)="Y", LEFT(AH47, 3)="J43M"), "CUSM", "No Match")</f>
      </c>
      <c r="AK47" s="37">
        <f>IF(AND(OR(O47=3, P47=1, Q47=1, T47=1), AJ47="no Match"), "CUSM, CHU SJ, CHUQ", "")</f>
      </c>
      <c r="AL47" s="37">
        <f>IF(AND(O47=2, ISBLANK(P47), ISBLANK(Q47), ISBLANK(R47), ISBLANK(S47), ISBLANK(T47)), "CUSM, CHU SJ, CHUS, CHUQ", "")</f>
      </c>
      <c r="AM47" s="37">
        <f>IF(AND(AJ47="no match", AK47="", AL47="", K47&lt;26), "CUSM, CHU SJ, HGJ, CHUQ, CHUS", "")</f>
      </c>
      <c r="AN47" s="37">
        <f>IF(AND(AJ47="no match", AK47="", AL47="", K47&gt;26), "CUSM, CHU SJ, HGJ, CHUQ, CHUS, HMR", "")</f>
      </c>
    </row>
    <row x14ac:dyDescent="0.25" r="48" customHeight="1" ht="17.25">
      <c r="A48" s="27" t="s">
        <v>172</v>
      </c>
      <c r="B48" s="28">
        <v>2</v>
      </c>
      <c r="C48" s="28">
        <v>730</v>
      </c>
      <c r="D48" s="29" t="s">
        <v>81</v>
      </c>
      <c r="E48" s="30" t="s">
        <v>50</v>
      </c>
      <c r="F48" s="31">
        <v>44593</v>
      </c>
      <c r="G48" s="32">
        <v>4.604166666666666</v>
      </c>
      <c r="H48" s="31">
        <v>44592</v>
      </c>
      <c r="I48" s="32">
        <v>4.875</v>
      </c>
      <c r="J48" s="33">
        <f>F48-H48</f>
      </c>
      <c r="K48" s="28">
        <v>40</v>
      </c>
      <c r="L48" s="28">
        <v>3</v>
      </c>
      <c r="M48" s="28">
        <v>1</v>
      </c>
      <c r="N48" s="38"/>
      <c r="O48" s="34"/>
      <c r="P48" s="38"/>
      <c r="Q48" s="34"/>
      <c r="R48" s="34"/>
      <c r="S48" s="34"/>
      <c r="T48" s="34"/>
      <c r="U48" s="34"/>
      <c r="V48" s="34"/>
      <c r="W48" s="29" t="s">
        <v>106</v>
      </c>
      <c r="X48" s="28">
        <v>27</v>
      </c>
      <c r="Y48" s="28">
        <v>1</v>
      </c>
      <c r="Z48" s="28">
        <v>2</v>
      </c>
      <c r="AA48" s="28">
        <v>1</v>
      </c>
      <c r="AB48" s="28">
        <v>1</v>
      </c>
      <c r="AC48" s="28">
        <v>2</v>
      </c>
      <c r="AD48" s="28">
        <v>2</v>
      </c>
      <c r="AE48" s="28">
        <v>4</v>
      </c>
      <c r="AF48" s="28">
        <v>2</v>
      </c>
      <c r="AG48" s="28">
        <v>2</v>
      </c>
      <c r="AH48" s="29" t="s">
        <v>173</v>
      </c>
      <c r="AI48" s="36">
        <f>IF(OR(AND(K48&lt;32, J48&lt;2), O48=1, P48=1, Q48=1, R48=1, S48=1, T48=1, U48=1, AND(W48&lt;&gt;"", W48&lt;&gt;"Oxygen", W48&lt;&gt;"LowFlow")), "Intensive", "Intermediate")</f>
      </c>
      <c r="AJ48" s="37">
        <f>IF(OR(LEFT(AH48, 1)="X", LEFT(AH48, 1)="Y", LEFT(AH48, 3)="J44M"), "CUSM", "No Match")</f>
      </c>
      <c r="AK48" s="37">
        <f>IF(AND(OR(O48=3, P48=1, Q48=1, T48=1), AJ48="no Match"), "CUSM, CHU SJ, CHUQ", "")</f>
      </c>
      <c r="AL48" s="37">
        <f>IF(AND(O48=2, ISBLANK(P48), ISBLANK(Q48), ISBLANK(R48), ISBLANK(S48), ISBLANK(T48)), "CUSM, CHU SJ, CHUS, CHUQ", "")</f>
      </c>
      <c r="AM48" s="37">
        <f>IF(AND(AJ48="no match", AK48="", AL48="", K48&lt;26), "CUSM, CHU SJ, HGJ, CHUQ, CHUS", "")</f>
      </c>
      <c r="AN48" s="37">
        <f>IF(AND(AJ48="no match", AK48="", AL48="", K48&gt;26), "CUSM, CHU SJ, HGJ, CHUQ, CHUS, HMR", "")</f>
      </c>
    </row>
    <row x14ac:dyDescent="0.25" r="49" customHeight="1" ht="17.25">
      <c r="A49" s="27" t="s">
        <v>174</v>
      </c>
      <c r="B49" s="28">
        <v>2</v>
      </c>
      <c r="C49" s="35">
        <v>779</v>
      </c>
      <c r="D49" s="29" t="s">
        <v>136</v>
      </c>
      <c r="E49" s="30" t="s">
        <v>54</v>
      </c>
      <c r="F49" s="31">
        <v>44594</v>
      </c>
      <c r="G49" s="32">
        <v>4.65625</v>
      </c>
      <c r="H49" s="31">
        <v>44592</v>
      </c>
      <c r="I49" s="32">
        <v>4.8625</v>
      </c>
      <c r="J49" s="33">
        <f>F49-H49</f>
      </c>
      <c r="K49" s="28">
        <v>39</v>
      </c>
      <c r="L49" s="28">
        <v>2</v>
      </c>
      <c r="M49" s="28">
        <v>1</v>
      </c>
      <c r="N49" s="38"/>
      <c r="O49" s="38"/>
      <c r="P49" s="38"/>
      <c r="Q49" s="34"/>
      <c r="R49" s="34"/>
      <c r="S49" s="34"/>
      <c r="T49" s="34"/>
      <c r="U49" s="34"/>
      <c r="V49" s="34"/>
      <c r="W49" s="29"/>
      <c r="X49" s="28">
        <v>27</v>
      </c>
      <c r="Y49" s="28">
        <v>1</v>
      </c>
      <c r="Z49" s="28">
        <v>1</v>
      </c>
      <c r="AA49" s="28">
        <v>1</v>
      </c>
      <c r="AB49" s="28">
        <v>1</v>
      </c>
      <c r="AC49" s="28">
        <v>2</v>
      </c>
      <c r="AD49" s="28">
        <v>2</v>
      </c>
      <c r="AE49" s="28">
        <v>4</v>
      </c>
      <c r="AF49" s="28">
        <v>2</v>
      </c>
      <c r="AG49" s="28">
        <v>2</v>
      </c>
      <c r="AH49" s="29" t="s">
        <v>175</v>
      </c>
      <c r="AI49" s="36">
        <f>IF(OR(AND(K49&lt;32, J49&lt;2), O49=1, P49=1, Q49=1, R49=1, S49=1, T49=1, U49=1, AND(W49&lt;&gt;"", W49&lt;&gt;"Oxygen", W49&lt;&gt;"LowFlow")), "Intensive", "Intermediate")</f>
      </c>
      <c r="AJ49" s="37">
        <f>IF(OR(LEFT(AH49, 1)="X", LEFT(AH49, 1)="Y", LEFT(AH49, 3)="J45M"), "CUSM", "No Match")</f>
      </c>
      <c r="AK49" s="37">
        <f>IF(AND(OR(O49=3, P49=1, Q49=1, T49=1), AJ49="no Match"), "CUSM, CHU SJ, CHUQ", "")</f>
      </c>
      <c r="AL49" s="37">
        <f>IF(AND(O49=2, ISBLANK(P49), ISBLANK(Q49), ISBLANK(R49), ISBLANK(S49), ISBLANK(T49)), "CUSM, CHU SJ, CHUS, CHUQ", "")</f>
      </c>
      <c r="AM49" s="37">
        <f>IF(AND(AJ49="no match", AK49="", AL49="", K49&lt;26), "CUSM, CHU SJ, HGJ, CHUQ, CHUS", "")</f>
      </c>
      <c r="AN49" s="37">
        <f>IF(AND(AJ49="no match", AK49="", AL49="", K49&gt;26), "CUSM, CHU SJ, HGJ, CHUQ, CHUS, HMR", "")</f>
      </c>
    </row>
    <row x14ac:dyDescent="0.25" r="50" customHeight="1" ht="17.25">
      <c r="A50" s="27" t="s">
        <v>176</v>
      </c>
      <c r="B50" s="28">
        <v>2</v>
      </c>
      <c r="C50" s="35">
        <v>782</v>
      </c>
      <c r="D50" s="29" t="s">
        <v>95</v>
      </c>
      <c r="E50" s="30" t="s">
        <v>50</v>
      </c>
      <c r="F50" s="31">
        <v>44594</v>
      </c>
      <c r="G50" s="32">
        <v>4.3125</v>
      </c>
      <c r="H50" s="31">
        <v>44593</v>
      </c>
      <c r="I50" s="32">
        <v>4.514583333333333</v>
      </c>
      <c r="J50" s="33">
        <f>F50-H50</f>
      </c>
      <c r="K50" s="28">
        <v>40</v>
      </c>
      <c r="L50" s="28">
        <v>2</v>
      </c>
      <c r="M50" s="28">
        <v>1</v>
      </c>
      <c r="N50" s="38"/>
      <c r="O50" s="34"/>
      <c r="P50" s="38"/>
      <c r="Q50" s="34"/>
      <c r="R50" s="34"/>
      <c r="S50" s="34"/>
      <c r="T50" s="34"/>
      <c r="U50" s="34"/>
      <c r="V50" s="34"/>
      <c r="W50" s="29" t="s">
        <v>58</v>
      </c>
      <c r="X50" s="28">
        <v>34</v>
      </c>
      <c r="Y50" s="28">
        <v>1</v>
      </c>
      <c r="Z50" s="28">
        <v>2</v>
      </c>
      <c r="AA50" s="28">
        <v>1</v>
      </c>
      <c r="AB50" s="28">
        <v>1</v>
      </c>
      <c r="AC50" s="28">
        <v>2</v>
      </c>
      <c r="AD50" s="28">
        <v>2</v>
      </c>
      <c r="AE50" s="28">
        <v>4</v>
      </c>
      <c r="AF50" s="35">
        <v>3</v>
      </c>
      <c r="AG50" s="28">
        <v>2</v>
      </c>
      <c r="AH50" s="29" t="s">
        <v>177</v>
      </c>
      <c r="AI50" s="36">
        <f>IF(OR(AND(K50&lt;32, J50&lt;2), O50=1, P50=1, Q50=1, R50=1, S50=1, T50=1, U50=1, AND(W50&lt;&gt;"", W50&lt;&gt;"Oxygen", W50&lt;&gt;"LowFlow")), "Intensive", "Intermediate")</f>
      </c>
      <c r="AJ50" s="37">
        <f>IF(OR(LEFT(AH50, 1)="X", LEFT(AH50, 1)="Y", LEFT(AH50, 3)="J46M"), "CUSM", "No Match")</f>
      </c>
      <c r="AK50" s="37">
        <f>IF(AND(OR(O50=3, P50=1, Q50=1, T50=1), AJ50="no Match"), "CUSM, CHU SJ, CHUQ", "")</f>
      </c>
      <c r="AL50" s="37">
        <f>IF(AND(O50=2, ISBLANK(P50), ISBLANK(Q50), ISBLANK(R50), ISBLANK(S50), ISBLANK(T50)), "CUSM, CHU SJ, CHUS, CHUQ", "")</f>
      </c>
      <c r="AM50" s="37">
        <f>IF(AND(AJ50="no match", AK50="", AL50="", K50&lt;26), "CUSM, CHU SJ, HGJ, CHUQ, CHUS", "")</f>
      </c>
      <c r="AN50" s="37">
        <f>IF(AND(AJ50="no match", AK50="", AL50="", K50&gt;26), "CUSM, CHU SJ, HGJ, CHUQ, CHUS, HMR", "")</f>
      </c>
    </row>
    <row x14ac:dyDescent="0.25" r="51" customHeight="1" ht="17.25">
      <c r="A51" s="27" t="s">
        <v>178</v>
      </c>
      <c r="B51" s="28">
        <v>2</v>
      </c>
      <c r="C51" s="28">
        <v>779</v>
      </c>
      <c r="D51" s="29" t="s">
        <v>136</v>
      </c>
      <c r="E51" s="30" t="s">
        <v>54</v>
      </c>
      <c r="F51" s="31">
        <v>44595</v>
      </c>
      <c r="G51" s="32">
        <v>4.791666666666666</v>
      </c>
      <c r="H51" s="31">
        <v>44585</v>
      </c>
      <c r="I51" s="32">
        <v>4.972916666666666</v>
      </c>
      <c r="J51" s="33">
        <f>F51-H51</f>
      </c>
      <c r="K51" s="28">
        <v>39</v>
      </c>
      <c r="L51" s="28">
        <v>3</v>
      </c>
      <c r="M51" s="28">
        <v>1</v>
      </c>
      <c r="N51" s="34"/>
      <c r="O51" s="34"/>
      <c r="P51" s="34"/>
      <c r="Q51" s="34"/>
      <c r="R51" s="34"/>
      <c r="S51" s="34"/>
      <c r="T51" s="34"/>
      <c r="U51" s="34"/>
      <c r="V51" s="34"/>
      <c r="W51" s="29"/>
      <c r="X51" s="28">
        <v>33</v>
      </c>
      <c r="Y51" s="28">
        <v>1</v>
      </c>
      <c r="Z51" s="28">
        <v>1</v>
      </c>
      <c r="AA51" s="28">
        <v>1</v>
      </c>
      <c r="AB51" s="28">
        <v>1</v>
      </c>
      <c r="AC51" s="28">
        <v>2</v>
      </c>
      <c r="AD51" s="28">
        <v>2</v>
      </c>
      <c r="AE51" s="28">
        <v>4</v>
      </c>
      <c r="AF51" s="28">
        <v>2</v>
      </c>
      <c r="AG51" s="28">
        <v>2</v>
      </c>
      <c r="AH51" s="29" t="s">
        <v>179</v>
      </c>
      <c r="AI51" s="36">
        <f>IF(OR(AND(K51&lt;32, J51&lt;2), O51=1, P51=1, Q51=1, R51=1, S51=1, T51=1, U51=1, AND(W51&lt;&gt;"", W51&lt;&gt;"Oxygen", W51&lt;&gt;"LowFlow")), "Intensive", "Intermediate")</f>
      </c>
      <c r="AJ51" s="37">
        <f>IF(OR(LEFT(AH51, 1)="X", LEFT(AH51, 1)="Y", LEFT(AH51, 3)="J47M"), "CUSM", "No Match")</f>
      </c>
      <c r="AK51" s="37">
        <f>IF(AND(OR(O51=3, P51=1, Q51=1, T51=1), AJ51="no Match"), "CUSM, CHU SJ, CHUQ", "")</f>
      </c>
      <c r="AL51" s="37">
        <f>IF(AND(O51=2, ISBLANK(P51), ISBLANK(Q51), ISBLANK(R51), ISBLANK(S51), ISBLANK(T51)), "CUSM, CHU SJ, CHUS, CHUQ", "")</f>
      </c>
      <c r="AM51" s="37">
        <f>IF(AND(AJ51="no match", AK51="", AL51="", K51&lt;26), "CUSM, CHU SJ, HGJ, CHUQ, CHUS", "")</f>
      </c>
      <c r="AN51" s="37">
        <f>IF(AND(AJ51="no match", AK51="", AL51="", K51&gt;26), "CUSM, CHU SJ, HGJ, CHUQ, CHUS, HMR", "")</f>
      </c>
    </row>
    <row x14ac:dyDescent="0.25" r="52" customHeight="1" ht="17.25">
      <c r="A52" s="27" t="s">
        <v>180</v>
      </c>
      <c r="B52" s="28">
        <v>2</v>
      </c>
      <c r="C52" s="35">
        <v>825</v>
      </c>
      <c r="D52" s="29" t="s">
        <v>77</v>
      </c>
      <c r="E52" s="30" t="s">
        <v>50</v>
      </c>
      <c r="F52" s="31">
        <v>44595</v>
      </c>
      <c r="G52" s="32">
        <v>4.759027777777778</v>
      </c>
      <c r="H52" s="31">
        <v>44594</v>
      </c>
      <c r="I52" s="32">
        <v>4.350694444444445</v>
      </c>
      <c r="J52" s="33">
        <f>F52-H52</f>
      </c>
      <c r="K52" s="28">
        <v>39</v>
      </c>
      <c r="L52" s="28">
        <v>4</v>
      </c>
      <c r="M52" s="28">
        <v>2</v>
      </c>
      <c r="N52" s="38"/>
      <c r="O52" s="38"/>
      <c r="P52" s="34"/>
      <c r="Q52" s="38"/>
      <c r="R52" s="34"/>
      <c r="S52" s="34"/>
      <c r="T52" s="34"/>
      <c r="U52" s="34"/>
      <c r="V52" s="34"/>
      <c r="W52" s="29"/>
      <c r="X52" s="28">
        <v>25</v>
      </c>
      <c r="Y52" s="28">
        <v>1</v>
      </c>
      <c r="Z52" s="28">
        <v>1</v>
      </c>
      <c r="AA52" s="28">
        <v>2</v>
      </c>
      <c r="AB52" s="28">
        <v>1</v>
      </c>
      <c r="AC52" s="28">
        <v>2</v>
      </c>
      <c r="AD52" s="28">
        <v>2</v>
      </c>
      <c r="AE52" s="28">
        <v>4</v>
      </c>
      <c r="AF52" s="28">
        <v>3</v>
      </c>
      <c r="AG52" s="28">
        <v>2</v>
      </c>
      <c r="AH52" s="29" t="s">
        <v>181</v>
      </c>
      <c r="AI52" s="36">
        <f>IF(OR(AND(K52&lt;32, J52&lt;2), O52=1, P52=1, Q52=1, R52=1, S52=1, T52=1, U52=1, AND(W52&lt;&gt;"", W52&lt;&gt;"Oxygen", W52&lt;&gt;"LowFlow")), "Intensive", "Intermediate")</f>
      </c>
      <c r="AJ52" s="37">
        <f>IF(OR(LEFT(AH52, 1)="X", LEFT(AH52, 1)="Y", LEFT(AH52, 3)="J48M"), "CUSM", "No Match")</f>
      </c>
      <c r="AK52" s="37">
        <f>IF(AND(OR(O52=3, P52=1, Q52=1, T52=1), AJ52="no Match"), "CUSM, CHU SJ, CHUQ", "")</f>
      </c>
      <c r="AL52" s="37">
        <f>IF(AND(O52=2, ISBLANK(P52), ISBLANK(Q52), ISBLANK(R52), ISBLANK(S52), ISBLANK(T52)), "CUSM, CHU SJ, CHUS, CHUQ", "")</f>
      </c>
      <c r="AM52" s="37">
        <f>IF(AND(AJ52="no match", AK52="", AL52="", K52&lt;26), "CUSM, CHU SJ, HGJ, CHUQ, CHUS", "")</f>
      </c>
      <c r="AN52" s="37">
        <f>IF(AND(AJ52="no match", AK52="", AL52="", K52&gt;26), "CUSM, CHU SJ, HGJ, CHUQ, CHUS, HMR", "")</f>
      </c>
    </row>
    <row x14ac:dyDescent="0.25" r="53" customHeight="1" ht="17.25">
      <c r="A53" s="27" t="s">
        <v>182</v>
      </c>
      <c r="B53" s="28">
        <v>2</v>
      </c>
      <c r="C53" s="28">
        <v>730</v>
      </c>
      <c r="D53" s="29" t="s">
        <v>81</v>
      </c>
      <c r="E53" s="30" t="s">
        <v>78</v>
      </c>
      <c r="F53" s="31">
        <v>44596</v>
      </c>
      <c r="G53" s="32">
        <v>4.0625</v>
      </c>
      <c r="H53" s="31">
        <v>44595</v>
      </c>
      <c r="I53" s="32">
        <v>4.486111111111111</v>
      </c>
      <c r="J53" s="33">
        <f>F53-H53</f>
      </c>
      <c r="K53" s="28">
        <v>34</v>
      </c>
      <c r="L53" s="28">
        <v>0</v>
      </c>
      <c r="M53" s="28">
        <v>1</v>
      </c>
      <c r="N53" s="34"/>
      <c r="O53" s="34"/>
      <c r="P53" s="34"/>
      <c r="Q53" s="34"/>
      <c r="R53" s="34"/>
      <c r="S53" s="34"/>
      <c r="T53" s="38"/>
      <c r="U53" s="34"/>
      <c r="V53" s="34"/>
      <c r="W53" s="29" t="s">
        <v>58</v>
      </c>
      <c r="X53" s="28">
        <v>42</v>
      </c>
      <c r="Y53" s="28">
        <v>1</v>
      </c>
      <c r="Z53" s="28">
        <v>2</v>
      </c>
      <c r="AA53" s="28">
        <v>1</v>
      </c>
      <c r="AB53" s="28">
        <v>2</v>
      </c>
      <c r="AC53" s="28">
        <v>2</v>
      </c>
      <c r="AD53" s="28">
        <v>2</v>
      </c>
      <c r="AE53" s="28">
        <v>2</v>
      </c>
      <c r="AF53" s="28">
        <v>2</v>
      </c>
      <c r="AG53" s="28">
        <v>2</v>
      </c>
      <c r="AH53" s="29" t="s">
        <v>183</v>
      </c>
      <c r="AI53" s="36">
        <f>IF(OR(AND(K53&lt;32, J53&lt;2), O53=1, P53=1, Q53=1, R53=1, S53=1, T53=1, U53=1, AND(W53&lt;&gt;"", W53&lt;&gt;"Oxygen", W53&lt;&gt;"LowFlow")), "Intensive", "Intermediate")</f>
      </c>
      <c r="AJ53" s="37">
        <f>IF(OR(LEFT(AH53, 1)="X", LEFT(AH53, 1)="Y", LEFT(AH53, 3)="J49M"), "CUSM", "No Match")</f>
      </c>
      <c r="AK53" s="37">
        <f>IF(AND(OR(O53=3, P53=1, Q53=1, T53=1), AJ53="no Match"), "CUSM, CHU SJ, CHUQ", "")</f>
      </c>
      <c r="AL53" s="37">
        <f>IF(AND(O53=2, ISBLANK(P53), ISBLANK(Q53), ISBLANK(R53), ISBLANK(S53), ISBLANK(T53)), "CUSM, CHU SJ, CHUS, CHUQ", "")</f>
      </c>
      <c r="AM53" s="37">
        <f>IF(AND(AJ53="no match", AK53="", AL53="", K53&lt;26), "CUSM, CHU SJ, HGJ, CHUQ, CHUS", "")</f>
      </c>
      <c r="AN53" s="37">
        <f>IF(AND(AJ53="no match", AK53="", AL53="", K53&gt;26), "CUSM, CHU SJ, HGJ, CHUQ, CHUS, HMR", "")</f>
      </c>
    </row>
    <row x14ac:dyDescent="0.25" r="54" customHeight="1" ht="17.25">
      <c r="A54" s="27" t="s">
        <v>184</v>
      </c>
      <c r="B54" s="28">
        <v>2</v>
      </c>
      <c r="C54" s="35">
        <v>756</v>
      </c>
      <c r="D54" s="29" t="s">
        <v>66</v>
      </c>
      <c r="E54" s="30" t="s">
        <v>50</v>
      </c>
      <c r="F54" s="31">
        <v>44596</v>
      </c>
      <c r="G54" s="32">
        <v>4.534722222222222</v>
      </c>
      <c r="H54" s="31">
        <v>44593</v>
      </c>
      <c r="I54" s="32">
        <v>4.717361111111111</v>
      </c>
      <c r="J54" s="33">
        <f>F54-H54</f>
      </c>
      <c r="K54" s="28">
        <v>36</v>
      </c>
      <c r="L54" s="28">
        <v>0</v>
      </c>
      <c r="M54" s="28">
        <v>1</v>
      </c>
      <c r="N54" s="35">
        <v>1</v>
      </c>
      <c r="O54" s="34"/>
      <c r="P54" s="35">
        <v>1</v>
      </c>
      <c r="Q54" s="34"/>
      <c r="R54" s="34"/>
      <c r="S54" s="34"/>
      <c r="T54" s="34"/>
      <c r="U54" s="34"/>
      <c r="V54" s="34"/>
      <c r="W54" s="29" t="s">
        <v>74</v>
      </c>
      <c r="X54" s="28">
        <v>26</v>
      </c>
      <c r="Y54" s="28">
        <v>1</v>
      </c>
      <c r="Z54" s="28">
        <v>1</v>
      </c>
      <c r="AA54" s="28">
        <v>2</v>
      </c>
      <c r="AB54" s="28">
        <v>1</v>
      </c>
      <c r="AC54" s="28">
        <v>2</v>
      </c>
      <c r="AD54" s="28">
        <v>2</v>
      </c>
      <c r="AE54" s="28">
        <v>4</v>
      </c>
      <c r="AF54" s="28">
        <v>2</v>
      </c>
      <c r="AG54" s="28">
        <v>2</v>
      </c>
      <c r="AH54" s="29" t="s">
        <v>185</v>
      </c>
      <c r="AI54" s="36">
        <f>IF(OR(AND(K54&lt;32, J54&lt;2), O54=1, P54=1, Q54=1, R54=1, S54=1, T54=1, U54=1, AND(W54&lt;&gt;"", W54&lt;&gt;"Oxygen", W54&lt;&gt;"LowFlow")), "Intensive", "Intermediate")</f>
      </c>
      <c r="AJ54" s="37">
        <f>IF(OR(LEFT(AH54, 1)="X", LEFT(AH54, 1)="Y", LEFT(AH54, 3)="J50M"), "CUSM", "No Match")</f>
      </c>
      <c r="AK54" s="37">
        <f>IF(AND(OR(O54=3, P54=1, Q54=1, T54=1), AJ54="no Match"), "CUSM, CHU SJ, CHUQ", "")</f>
      </c>
      <c r="AL54" s="37">
        <f>IF(AND(O54=2, ISBLANK(P54), ISBLANK(Q54), ISBLANK(R54), ISBLANK(S54), ISBLANK(T54)), "CUSM, CHU SJ, CHUS, CHUQ", "")</f>
      </c>
      <c r="AM54" s="37">
        <f>IF(AND(AJ54="no match", AK54="", AL54="", K54&lt;26), "CUSM, CHU SJ, HGJ, CHUQ, CHUS", "")</f>
      </c>
      <c r="AN54" s="37">
        <f>IF(AND(AJ54="no match", AK54="", AL54="", K54&gt;26), "CUSM, CHU SJ, HGJ, CHUQ, CHUS, HMR", "")</f>
      </c>
    </row>
    <row x14ac:dyDescent="0.25" r="55" customHeight="1" ht="17.25">
      <c r="A55" s="27" t="s">
        <v>186</v>
      </c>
      <c r="B55" s="28">
        <v>2</v>
      </c>
      <c r="C55" s="28">
        <v>779</v>
      </c>
      <c r="D55" s="29" t="s">
        <v>136</v>
      </c>
      <c r="E55" s="30" t="s">
        <v>54</v>
      </c>
      <c r="F55" s="31">
        <v>44597</v>
      </c>
      <c r="G55" s="32">
        <v>4.569444444444445</v>
      </c>
      <c r="H55" s="31">
        <v>44595</v>
      </c>
      <c r="I55" s="32">
        <v>4.407638888888889</v>
      </c>
      <c r="J55" s="33">
        <f>F55-H55</f>
      </c>
      <c r="K55" s="28">
        <v>40</v>
      </c>
      <c r="L55" s="28">
        <v>3</v>
      </c>
      <c r="M55" s="28">
        <v>2</v>
      </c>
      <c r="N55" s="35">
        <v>1</v>
      </c>
      <c r="O55" s="34"/>
      <c r="P55" s="35">
        <v>1</v>
      </c>
      <c r="Q55" s="34"/>
      <c r="R55" s="34"/>
      <c r="S55" s="34"/>
      <c r="T55" s="34"/>
      <c r="U55" s="34"/>
      <c r="V55" s="34"/>
      <c r="W55" s="29" t="s">
        <v>106</v>
      </c>
      <c r="X55" s="28">
        <v>37</v>
      </c>
      <c r="Y55" s="28">
        <v>1</v>
      </c>
      <c r="Z55" s="28">
        <v>1</v>
      </c>
      <c r="AA55" s="28">
        <v>3</v>
      </c>
      <c r="AB55" s="28">
        <v>1</v>
      </c>
      <c r="AC55" s="28">
        <v>3</v>
      </c>
      <c r="AD55" s="28">
        <v>3</v>
      </c>
      <c r="AE55" s="28">
        <v>4</v>
      </c>
      <c r="AF55" s="28">
        <v>3</v>
      </c>
      <c r="AG55" s="28">
        <v>2</v>
      </c>
      <c r="AH55" s="29"/>
      <c r="AI55" s="36">
        <f>IF(OR(AND(K55&lt;32, J55&lt;2), O55=1, P55=1, Q55=1, R55=1, S55=1, T55=1, U55=1, AND(W55&lt;&gt;"", W55&lt;&gt;"Oxygen", W55&lt;&gt;"LowFlow")), "Intensive", "Intermediate")</f>
      </c>
      <c r="AJ55" s="37">
        <f>IF(OR(LEFT(AH55, 1)="X", LEFT(AH55, 1)="Y", LEFT(AH55, 3)="J51M"), "CUSM", "No Match")</f>
      </c>
      <c r="AK55" s="37">
        <f>IF(AND(OR(O55=3, P55=1, Q55=1, T55=1), AJ55="no Match"), "CUSM, CHU SJ, CHUQ", "")</f>
      </c>
      <c r="AL55" s="37">
        <f>IF(AND(O55=2, ISBLANK(P55), ISBLANK(Q55), ISBLANK(R55), ISBLANK(S55), ISBLANK(T55)), "CUSM, CHU SJ, CHUS, CHUQ", "")</f>
      </c>
      <c r="AM55" s="37">
        <f>IF(AND(AJ55="no match", AK55="", AL55="", K55&lt;26), "CUSM, CHU SJ, HGJ, CHUQ, CHUS", "")</f>
      </c>
      <c r="AN55" s="37">
        <f>IF(AND(AJ55="no match", AK55="", AL55="", K55&gt;26), "CUSM, CHU SJ, HGJ, CHUQ, CHUS, HMR", "")</f>
      </c>
    </row>
    <row x14ac:dyDescent="0.25" r="56" customHeight="1" ht="17.25">
      <c r="A56" s="27" t="s">
        <v>187</v>
      </c>
      <c r="B56" s="28">
        <v>2</v>
      </c>
      <c r="C56" s="35">
        <v>756</v>
      </c>
      <c r="D56" s="29" t="s">
        <v>66</v>
      </c>
      <c r="E56" s="30" t="s">
        <v>50</v>
      </c>
      <c r="F56" s="31">
        <v>44597</v>
      </c>
      <c r="G56" s="32">
        <v>4.6090277777777775</v>
      </c>
      <c r="H56" s="31">
        <v>44596</v>
      </c>
      <c r="I56" s="32">
        <v>4.509027777777778</v>
      </c>
      <c r="J56" s="33">
        <f>F56-H56</f>
      </c>
      <c r="K56" s="28">
        <v>36</v>
      </c>
      <c r="L56" s="28">
        <v>2</v>
      </c>
      <c r="M56" s="28">
        <v>2</v>
      </c>
      <c r="N56" s="28">
        <v>1</v>
      </c>
      <c r="O56" s="38"/>
      <c r="P56" s="38"/>
      <c r="Q56" s="35">
        <v>1</v>
      </c>
      <c r="R56" s="38"/>
      <c r="S56" s="34"/>
      <c r="T56" s="34"/>
      <c r="U56" s="34"/>
      <c r="V56" s="38"/>
      <c r="W56" s="29" t="s">
        <v>74</v>
      </c>
      <c r="X56" s="28">
        <v>35</v>
      </c>
      <c r="Y56" s="28">
        <v>1</v>
      </c>
      <c r="Z56" s="28">
        <v>1</v>
      </c>
      <c r="AA56" s="28">
        <v>2</v>
      </c>
      <c r="AB56" s="28">
        <v>1</v>
      </c>
      <c r="AC56" s="28">
        <v>2</v>
      </c>
      <c r="AD56" s="28">
        <v>2</v>
      </c>
      <c r="AE56" s="28">
        <v>4</v>
      </c>
      <c r="AF56" s="28">
        <v>2</v>
      </c>
      <c r="AG56" s="28">
        <v>2</v>
      </c>
      <c r="AH56" s="29" t="s">
        <v>188</v>
      </c>
      <c r="AI56" s="36">
        <f>IF(OR(AND(K56&lt;32, J56&lt;2), O56=1, P56=1, Q56=1, R56=1, S56=1, T56=1, U56=1, AND(W56&lt;&gt;"", W56&lt;&gt;"Oxygen", W56&lt;&gt;"LowFlow")), "Intensive", "Intermediate")</f>
      </c>
      <c r="AJ56" s="37">
        <f>IF(OR(LEFT(AH56, 1)="X", LEFT(AH56, 1)="Y", LEFT(AH56, 3)="J52M"), "CUSM", "No Match")</f>
      </c>
      <c r="AK56" s="37">
        <f>IF(AND(OR(O56=3, P56=1, Q56=1, T56=1), AJ56="no Match"), "CUSM, CHU SJ, CHUQ", "")</f>
      </c>
      <c r="AL56" s="37">
        <f>IF(AND(O56=2, ISBLANK(P56), ISBLANK(Q56), ISBLANK(R56), ISBLANK(S56), ISBLANK(T56)), "CUSM, CHU SJ, CHUS, CHUQ", "")</f>
      </c>
      <c r="AM56" s="37">
        <f>IF(AND(AJ56="no match", AK56="", AL56="", K56&lt;26), "CUSM, CHU SJ, HGJ, CHUQ, CHUS", "")</f>
      </c>
      <c r="AN56" s="37">
        <f>IF(AND(AJ56="no match", AK56="", AL56="", K56&gt;26), "CUSM, CHU SJ, HGJ, CHUQ, CHUS, HMR", "")</f>
      </c>
    </row>
    <row x14ac:dyDescent="0.25" r="57" customHeight="1" ht="17.25">
      <c r="A57" s="27" t="s">
        <v>189</v>
      </c>
      <c r="B57" s="28">
        <v>2</v>
      </c>
      <c r="C57" s="35">
        <v>780</v>
      </c>
      <c r="D57" s="29" t="s">
        <v>190</v>
      </c>
      <c r="E57" s="30" t="s">
        <v>78</v>
      </c>
      <c r="F57" s="31">
        <v>44598</v>
      </c>
      <c r="G57" s="32">
        <v>4.395833333333334</v>
      </c>
      <c r="H57" s="31">
        <v>44597</v>
      </c>
      <c r="I57" s="32">
        <v>4.961111111111111</v>
      </c>
      <c r="J57" s="33">
        <f>F57-H57</f>
      </c>
      <c r="K57" s="28">
        <v>34</v>
      </c>
      <c r="L57" s="28">
        <v>0</v>
      </c>
      <c r="M57" s="28">
        <v>2</v>
      </c>
      <c r="N57" s="35">
        <v>1</v>
      </c>
      <c r="O57" s="34"/>
      <c r="P57" s="35">
        <v>1</v>
      </c>
      <c r="Q57" s="34"/>
      <c r="R57" s="34"/>
      <c r="S57" s="34"/>
      <c r="T57" s="34"/>
      <c r="U57" s="34"/>
      <c r="V57" s="34"/>
      <c r="W57" s="29" t="s">
        <v>58</v>
      </c>
      <c r="X57" s="28">
        <v>33</v>
      </c>
      <c r="Y57" s="28">
        <v>1</v>
      </c>
      <c r="Z57" s="28">
        <v>2</v>
      </c>
      <c r="AA57" s="28">
        <v>1</v>
      </c>
      <c r="AB57" s="28">
        <v>4</v>
      </c>
      <c r="AC57" s="28">
        <v>2</v>
      </c>
      <c r="AD57" s="28">
        <v>1</v>
      </c>
      <c r="AE57" s="28">
        <v>4</v>
      </c>
      <c r="AF57" s="35">
        <v>2</v>
      </c>
      <c r="AG57" s="28">
        <v>2</v>
      </c>
      <c r="AH57" s="29" t="s">
        <v>191</v>
      </c>
      <c r="AI57" s="36">
        <f>IF(OR(AND(K57&lt;32, J57&lt;2), O57=1, P57=1, Q57=1, R57=1, S57=1, T57=1, U57=1, AND(W57&lt;&gt;"", W57&lt;&gt;"Oxygen", W57&lt;&gt;"LowFlow")), "Intensive", "Intermediate")</f>
      </c>
      <c r="AJ57" s="37">
        <f>IF(OR(LEFT(AH57, 1)="X", LEFT(AH57, 1)="Y", LEFT(AH57, 3)="J53M"), "CUSM", "No Match")</f>
      </c>
      <c r="AK57" s="37">
        <f>IF(AND(OR(O57=3, P57=1, Q57=1, T57=1), AJ57="no Match"), "CUSM, CHU SJ, CHUQ", "")</f>
      </c>
      <c r="AL57" s="37">
        <f>IF(AND(O57=2, ISBLANK(P57), ISBLANK(Q57), ISBLANK(R57), ISBLANK(S57), ISBLANK(T57)), "CUSM, CHU SJ, CHUS, CHUQ", "")</f>
      </c>
      <c r="AM57" s="37">
        <f>IF(AND(AJ57="no match", AK57="", AL57="", K57&lt;26), "CUSM, CHU SJ, HGJ, CHUQ, CHUS", "")</f>
      </c>
      <c r="AN57" s="37">
        <f>IF(AND(AJ57="no match", AK57="", AL57="", K57&gt;26), "CUSM, CHU SJ, HGJ, CHUQ, CHUS, HMR", "")</f>
      </c>
    </row>
    <row x14ac:dyDescent="0.25" r="58" customHeight="1" ht="17.25">
      <c r="A58" s="27" t="s">
        <v>192</v>
      </c>
      <c r="B58" s="28">
        <v>2</v>
      </c>
      <c r="C58" s="35">
        <v>779</v>
      </c>
      <c r="D58" s="29" t="s">
        <v>136</v>
      </c>
      <c r="E58" s="30" t="s">
        <v>50</v>
      </c>
      <c r="F58" s="31">
        <v>44598</v>
      </c>
      <c r="G58" s="32">
        <v>4.270833333333334</v>
      </c>
      <c r="H58" s="31">
        <v>44598</v>
      </c>
      <c r="I58" s="32">
        <v>4.0881944444444445</v>
      </c>
      <c r="J58" s="33">
        <f>F58-H58</f>
      </c>
      <c r="K58" s="28">
        <v>38</v>
      </c>
      <c r="L58" s="28">
        <v>2</v>
      </c>
      <c r="M58" s="28">
        <v>1</v>
      </c>
      <c r="N58" s="28">
        <v>1</v>
      </c>
      <c r="O58" s="38"/>
      <c r="P58" s="34"/>
      <c r="Q58" s="38"/>
      <c r="R58" s="34"/>
      <c r="S58" s="34"/>
      <c r="T58" s="34"/>
      <c r="U58" s="34"/>
      <c r="V58" s="35">
        <v>1</v>
      </c>
      <c r="W58" s="29" t="s">
        <v>58</v>
      </c>
      <c r="X58" s="28">
        <v>25</v>
      </c>
      <c r="Y58" s="28">
        <v>1</v>
      </c>
      <c r="Z58" s="28">
        <v>1</v>
      </c>
      <c r="AA58" s="28">
        <v>2</v>
      </c>
      <c r="AB58" s="28">
        <v>1</v>
      </c>
      <c r="AC58" s="28">
        <v>1</v>
      </c>
      <c r="AD58" s="28">
        <v>2</v>
      </c>
      <c r="AE58" s="28">
        <v>2</v>
      </c>
      <c r="AF58" s="28">
        <v>2</v>
      </c>
      <c r="AG58" s="28">
        <v>2</v>
      </c>
      <c r="AH58" s="29" t="s">
        <v>193</v>
      </c>
      <c r="AI58" s="36">
        <f>IF(OR(AND(K58&lt;32, J58&lt;2), O58=1, P58=1, Q58=1, R58=1, S58=1, T58=1, U58=1, AND(W58&lt;&gt;"", W58&lt;&gt;"Oxygen", W58&lt;&gt;"LowFlow")), "Intensive", "Intermediate")</f>
      </c>
      <c r="AJ58" s="37">
        <f>IF(OR(LEFT(AH58, 1)="X", LEFT(AH58, 1)="Y", LEFT(AH58, 3)="J54M"), "CUSM", "No Match")</f>
      </c>
      <c r="AK58" s="37">
        <f>IF(AND(OR(O58=3, P58=1, Q58=1, T58=1), AJ58="no Match"), "CUSM, CHU SJ, CHUQ", "")</f>
      </c>
      <c r="AL58" s="37">
        <f>IF(AND(O58=2, ISBLANK(P58), ISBLANK(Q58), ISBLANK(R58), ISBLANK(S58), ISBLANK(T58)), "CUSM, CHU SJ, CHUS, CHUQ", "")</f>
      </c>
      <c r="AM58" s="37">
        <f>IF(AND(AJ58="no match", AK58="", AL58="", K58&lt;26), "CUSM, CHU SJ, HGJ, CHUQ, CHUS", "")</f>
      </c>
      <c r="AN58" s="37">
        <f>IF(AND(AJ58="no match", AK58="", AL58="", K58&gt;26), "CUSM, CHU SJ, HGJ, CHUQ, CHUS, HMR", "")</f>
      </c>
    </row>
    <row x14ac:dyDescent="0.25" r="59" customHeight="1" ht="17.25">
      <c r="A59" s="27" t="s">
        <v>194</v>
      </c>
      <c r="B59" s="28">
        <v>2</v>
      </c>
      <c r="C59" s="28">
        <v>532</v>
      </c>
      <c r="D59" s="29" t="s">
        <v>195</v>
      </c>
      <c r="E59" s="30" t="s">
        <v>50</v>
      </c>
      <c r="F59" s="31">
        <v>44598</v>
      </c>
      <c r="G59" s="32">
        <v>4.493055555555555</v>
      </c>
      <c r="H59" s="31">
        <v>44581</v>
      </c>
      <c r="I59" s="32">
        <v>4.49375</v>
      </c>
      <c r="J59" s="33">
        <f>F59-H59</f>
      </c>
      <c r="K59" s="28">
        <v>36</v>
      </c>
      <c r="L59" s="28">
        <v>6</v>
      </c>
      <c r="M59" s="28">
        <v>1</v>
      </c>
      <c r="N59" s="34"/>
      <c r="O59" s="34"/>
      <c r="P59" s="34"/>
      <c r="Q59" s="34"/>
      <c r="R59" s="34"/>
      <c r="S59" s="34"/>
      <c r="T59" s="34"/>
      <c r="U59" s="34"/>
      <c r="V59" s="34"/>
      <c r="W59" s="29"/>
      <c r="X59" s="28">
        <v>24</v>
      </c>
      <c r="Y59" s="28">
        <v>1</v>
      </c>
      <c r="Z59" s="28">
        <v>2</v>
      </c>
      <c r="AA59" s="28">
        <v>2</v>
      </c>
      <c r="AB59" s="28">
        <v>1</v>
      </c>
      <c r="AC59" s="28">
        <v>2</v>
      </c>
      <c r="AD59" s="28">
        <v>2</v>
      </c>
      <c r="AE59" s="28">
        <v>4</v>
      </c>
      <c r="AF59" s="28">
        <v>2</v>
      </c>
      <c r="AG59" s="28">
        <v>2</v>
      </c>
      <c r="AH59" s="29" t="s">
        <v>196</v>
      </c>
      <c r="AI59" s="36">
        <f>IF(OR(AND(K59&lt;32, J59&lt;2), O59=1, P59=1, Q59=1, R59=1, S59=1, T59=1, U59=1, AND(W59&lt;&gt;"", W59&lt;&gt;"Oxygen", W59&lt;&gt;"LowFlow")), "Intensive", "Intermediate")</f>
      </c>
      <c r="AJ59" s="37">
        <f>IF(OR(LEFT(AH59, 1)="X", LEFT(AH59, 1)="Y", LEFT(AH59, 3)="J55M"), "CUSM", "No Match")</f>
      </c>
      <c r="AK59" s="37">
        <f>IF(AND(OR(O59=3, P59=1, Q59=1, T59=1), AJ59="no Match"), "CUSM, CHU SJ, CHUQ", "")</f>
      </c>
      <c r="AL59" s="37">
        <f>IF(AND(O59=2, ISBLANK(P59), ISBLANK(Q59), ISBLANK(R59), ISBLANK(S59), ISBLANK(T59)), "CUSM, CHU SJ, CHUS, CHUQ", "")</f>
      </c>
      <c r="AM59" s="37">
        <f>IF(AND(AJ59="no match", AK59="", AL59="", K59&lt;26), "CUSM, CHU SJ, HGJ, CHUQ, CHUS", "")</f>
      </c>
      <c r="AN59" s="37">
        <f>IF(AND(AJ59="no match", AK59="", AL59="", K59&gt;26), "CUSM, CHU SJ, HGJ, CHUQ, CHUS, HMR", "")</f>
      </c>
    </row>
    <row x14ac:dyDescent="0.25" r="60" customHeight="1" ht="17.25">
      <c r="A60" s="27" t="s">
        <v>197</v>
      </c>
      <c r="B60" s="28">
        <v>2</v>
      </c>
      <c r="C60" s="28">
        <v>748</v>
      </c>
      <c r="D60" s="29" t="s">
        <v>145</v>
      </c>
      <c r="E60" s="30" t="s">
        <v>118</v>
      </c>
      <c r="F60" s="31">
        <v>44599</v>
      </c>
      <c r="G60" s="32">
        <v>4.388888888888889</v>
      </c>
      <c r="H60" s="31">
        <v>44599</v>
      </c>
      <c r="I60" s="32">
        <v>4.188194444444445</v>
      </c>
      <c r="J60" s="33">
        <f>F60-H60</f>
      </c>
      <c r="K60" s="28">
        <v>26</v>
      </c>
      <c r="L60" s="28">
        <v>2</v>
      </c>
      <c r="M60" s="28">
        <v>2</v>
      </c>
      <c r="N60" s="34"/>
      <c r="O60" s="34"/>
      <c r="P60" s="34"/>
      <c r="Q60" s="34"/>
      <c r="R60" s="34"/>
      <c r="S60" s="34"/>
      <c r="T60" s="38"/>
      <c r="U60" s="34"/>
      <c r="V60" s="34"/>
      <c r="W60" s="29" t="s">
        <v>74</v>
      </c>
      <c r="X60" s="28">
        <v>23</v>
      </c>
      <c r="Y60" s="28">
        <v>1</v>
      </c>
      <c r="Z60" s="28">
        <v>1</v>
      </c>
      <c r="AA60" s="28">
        <v>1</v>
      </c>
      <c r="AB60" s="28">
        <v>1</v>
      </c>
      <c r="AC60" s="28">
        <v>2</v>
      </c>
      <c r="AD60" s="28">
        <v>2</v>
      </c>
      <c r="AE60" s="28">
        <v>4</v>
      </c>
      <c r="AF60" s="28">
        <v>2</v>
      </c>
      <c r="AG60" s="28">
        <v>2</v>
      </c>
      <c r="AH60" s="29" t="s">
        <v>198</v>
      </c>
      <c r="AI60" s="36">
        <f>IF(OR(AND(K60&lt;32, J60&lt;2), O60=1, P60=1, Q60=1, R60=1, S60=1, T60=1, U60=1, AND(W60&lt;&gt;"", W60&lt;&gt;"Oxygen", W60&lt;&gt;"LowFlow")), "Intensive", "Intermediate")</f>
      </c>
      <c r="AJ60" s="37">
        <f>IF(OR(LEFT(AH60, 1)="X", LEFT(AH60, 1)="Y", LEFT(AH60, 3)="J56M"), "CUSM", "No Match")</f>
      </c>
      <c r="AK60" s="37">
        <f>IF(AND(OR(O60=3, P60=1, Q60=1, T60=1), AJ60="no Match"), "CUSM, CHU SJ, CHUQ", "")</f>
      </c>
      <c r="AL60" s="37">
        <f>IF(AND(O60=2, ISBLANK(P60), ISBLANK(Q60), ISBLANK(R60), ISBLANK(S60), ISBLANK(T60)), "CUSM, CHU SJ, CHUS, CHUQ", "")</f>
      </c>
      <c r="AM60" s="37">
        <f>IF(AND(AJ60="no match", AK60="", AL60="", K60&lt;26), "CUSM, CHU SJ, HGJ, CHUQ, CHUS", "")</f>
      </c>
      <c r="AN60" s="37">
        <f>IF(AND(AJ60="no match", AK60="", AL60="", K60&gt;26), "CUSM, CHU SJ, HGJ, CHUQ, CHUS, HMR", "")</f>
      </c>
    </row>
    <row x14ac:dyDescent="0.25" r="61" customHeight="1" ht="17.25">
      <c r="A61" s="27" t="s">
        <v>199</v>
      </c>
      <c r="B61" s="28">
        <v>2</v>
      </c>
      <c r="C61" s="35">
        <v>780</v>
      </c>
      <c r="D61" s="29" t="s">
        <v>190</v>
      </c>
      <c r="E61" s="30" t="s">
        <v>54</v>
      </c>
      <c r="F61" s="31">
        <v>44600</v>
      </c>
      <c r="G61" s="32">
        <v>4.822916666666666</v>
      </c>
      <c r="H61" s="31">
        <v>44599</v>
      </c>
      <c r="I61" s="32">
        <v>4.445138888888889</v>
      </c>
      <c r="J61" s="33">
        <f>F61-H61</f>
      </c>
      <c r="K61" s="28">
        <v>38</v>
      </c>
      <c r="L61" s="28">
        <v>6</v>
      </c>
      <c r="M61" s="28">
        <v>1</v>
      </c>
      <c r="N61" s="28">
        <v>1</v>
      </c>
      <c r="O61" s="38"/>
      <c r="P61" s="34"/>
      <c r="Q61" s="38"/>
      <c r="R61" s="34"/>
      <c r="S61" s="34"/>
      <c r="T61" s="34"/>
      <c r="U61" s="34"/>
      <c r="V61" s="34"/>
      <c r="W61" s="29"/>
      <c r="X61" s="28">
        <v>27</v>
      </c>
      <c r="Y61" s="28">
        <v>1</v>
      </c>
      <c r="Z61" s="28">
        <v>2</v>
      </c>
      <c r="AA61" s="28">
        <v>3</v>
      </c>
      <c r="AB61" s="28">
        <v>1</v>
      </c>
      <c r="AC61" s="28">
        <v>1</v>
      </c>
      <c r="AD61" s="28">
        <v>3</v>
      </c>
      <c r="AE61" s="28">
        <v>4</v>
      </c>
      <c r="AF61" s="28">
        <v>3</v>
      </c>
      <c r="AG61" s="28">
        <v>2</v>
      </c>
      <c r="AH61" s="29" t="s">
        <v>200</v>
      </c>
      <c r="AI61" s="36">
        <f>IF(OR(AND(K61&lt;32, J61&lt;2), O61=1, P61=1, Q61=1, R61=1, S61=1, T61=1, U61=1, AND(W61&lt;&gt;"", W61&lt;&gt;"Oxygen", W61&lt;&gt;"LowFlow")), "Intensive", "Intermediate")</f>
      </c>
      <c r="AJ61" s="37">
        <f>IF(OR(LEFT(AH61, 1)="X", LEFT(AH61, 1)="Y", LEFT(AH61, 3)="J57M"), "CUSM", "No Match")</f>
      </c>
      <c r="AK61" s="37">
        <f>IF(AND(OR(O61=3, P61=1, Q61=1, T61=1), AJ61="no Match"), "CUSM, CHU SJ, CHUQ", "")</f>
      </c>
      <c r="AL61" s="37">
        <f>IF(AND(O61=2, ISBLANK(P61), ISBLANK(Q61), ISBLANK(R61), ISBLANK(S61), ISBLANK(T61)), "CUSM, CHU SJ, CHUS, CHUQ", "")</f>
      </c>
      <c r="AM61" s="37">
        <f>IF(AND(AJ61="no match", AK61="", AL61="", K61&lt;26), "CUSM, CHU SJ, HGJ, CHUQ, CHUS", "")</f>
      </c>
      <c r="AN61" s="37">
        <f>IF(AND(AJ61="no match", AK61="", AL61="", K61&gt;26), "CUSM, CHU SJ, HGJ, CHUQ, CHUS, HMR", "")</f>
      </c>
    </row>
    <row x14ac:dyDescent="0.25" r="62" customHeight="1" ht="17.25">
      <c r="A62" s="27" t="s">
        <v>201</v>
      </c>
      <c r="B62" s="28">
        <v>2</v>
      </c>
      <c r="C62" s="35">
        <v>737</v>
      </c>
      <c r="D62" s="29" t="s">
        <v>202</v>
      </c>
      <c r="E62" s="30" t="s">
        <v>54</v>
      </c>
      <c r="F62" s="31">
        <v>44600</v>
      </c>
      <c r="G62" s="32">
        <v>4.75</v>
      </c>
      <c r="H62" s="31">
        <v>44592</v>
      </c>
      <c r="I62" s="32">
        <v>4.004166666666666</v>
      </c>
      <c r="J62" s="33">
        <f>F62-H62</f>
      </c>
      <c r="K62" s="28">
        <v>39</v>
      </c>
      <c r="L62" s="28">
        <v>5</v>
      </c>
      <c r="M62" s="28">
        <v>1</v>
      </c>
      <c r="N62" s="35">
        <v>1</v>
      </c>
      <c r="O62" s="35">
        <v>2</v>
      </c>
      <c r="P62" s="35">
        <v>1</v>
      </c>
      <c r="Q62" s="34"/>
      <c r="R62" s="35">
        <v>1</v>
      </c>
      <c r="S62" s="34"/>
      <c r="T62" s="34"/>
      <c r="U62" s="34"/>
      <c r="V62" s="35">
        <v>1</v>
      </c>
      <c r="W62" s="29" t="s">
        <v>106</v>
      </c>
      <c r="X62" s="28">
        <v>25</v>
      </c>
      <c r="Y62" s="28">
        <v>1</v>
      </c>
      <c r="Z62" s="28">
        <v>1</v>
      </c>
      <c r="AA62" s="28">
        <v>3</v>
      </c>
      <c r="AB62" s="28">
        <v>4</v>
      </c>
      <c r="AC62" s="28">
        <v>2</v>
      </c>
      <c r="AD62" s="28">
        <v>2</v>
      </c>
      <c r="AE62" s="28">
        <v>4</v>
      </c>
      <c r="AF62" s="28">
        <v>3</v>
      </c>
      <c r="AG62" s="28">
        <v>3</v>
      </c>
      <c r="AH62" s="29" t="s">
        <v>203</v>
      </c>
      <c r="AI62" s="36">
        <f>IF(OR(AND(K62&lt;32, J62&lt;2), O62=1, P62=1, Q62=1, R62=1, S62=1, T62=1, U62=1, AND(W62&lt;&gt;"", W62&lt;&gt;"Oxygen", W62&lt;&gt;"LowFlow")), "Intensive", "Intermediate")</f>
      </c>
      <c r="AJ62" s="37">
        <f>IF(OR(LEFT(AH62, 1)="X", LEFT(AH62, 1)="Y", LEFT(AH62, 3)="J58M"), "CUSM", "No Match")</f>
      </c>
      <c r="AK62" s="37">
        <f>IF(AND(OR(O62=3, P62=1, Q62=1, T62=1), AJ62="no Match"), "CUSM, CHU SJ, CHUQ", "")</f>
      </c>
      <c r="AL62" s="37">
        <f>IF(AND(O62=2, ISBLANK(P62), ISBLANK(Q62), ISBLANK(R62), ISBLANK(S62), ISBLANK(T62)), "CUSM, CHU SJ, CHUS, CHUQ", "")</f>
      </c>
      <c r="AM62" s="37">
        <f>IF(AND(AJ62="no match", AK62="", AL62="", K62&lt;26), "CUSM, CHU SJ, HGJ, CHUQ, CHUS", "")</f>
      </c>
      <c r="AN62" s="37">
        <f>IF(AND(AJ62="no match", AK62="", AL62="", K62&gt;26), "CUSM, CHU SJ, HGJ, CHUQ, CHUS, HMR", "")</f>
      </c>
    </row>
    <row x14ac:dyDescent="0.25" r="63" customHeight="1" ht="17.25">
      <c r="A63" s="27" t="s">
        <v>204</v>
      </c>
      <c r="B63" s="28">
        <v>2</v>
      </c>
      <c r="C63" s="35">
        <v>782</v>
      </c>
      <c r="D63" s="29" t="s">
        <v>95</v>
      </c>
      <c r="E63" s="30" t="s">
        <v>50</v>
      </c>
      <c r="F63" s="31">
        <v>44600</v>
      </c>
      <c r="G63" s="32">
        <v>4.791666666666666</v>
      </c>
      <c r="H63" s="31">
        <v>44600</v>
      </c>
      <c r="I63" s="32">
        <v>4.566666666666666</v>
      </c>
      <c r="J63" s="33">
        <f>F63-H63</f>
      </c>
      <c r="K63" s="28">
        <v>38</v>
      </c>
      <c r="L63" s="28">
        <v>4</v>
      </c>
      <c r="M63" s="28">
        <v>2</v>
      </c>
      <c r="N63" s="35">
        <v>1</v>
      </c>
      <c r="O63" s="34"/>
      <c r="P63" s="35">
        <v>1</v>
      </c>
      <c r="Q63" s="34"/>
      <c r="R63" s="34"/>
      <c r="S63" s="34"/>
      <c r="T63" s="34"/>
      <c r="U63" s="34"/>
      <c r="V63" s="34"/>
      <c r="W63" s="29" t="s">
        <v>58</v>
      </c>
      <c r="X63" s="28">
        <v>29</v>
      </c>
      <c r="Y63" s="28">
        <v>1</v>
      </c>
      <c r="Z63" s="28">
        <v>2</v>
      </c>
      <c r="AA63" s="28">
        <v>1</v>
      </c>
      <c r="AB63" s="28">
        <v>1</v>
      </c>
      <c r="AC63" s="28">
        <v>2</v>
      </c>
      <c r="AD63" s="28">
        <v>2</v>
      </c>
      <c r="AE63" s="28">
        <v>4</v>
      </c>
      <c r="AF63" s="28">
        <v>2</v>
      </c>
      <c r="AG63" s="28">
        <v>2</v>
      </c>
      <c r="AH63" s="29" t="s">
        <v>205</v>
      </c>
      <c r="AI63" s="36">
        <f>IF(OR(AND(K63&lt;32, J63&lt;2), O63=1, P63=1, Q63=1, R63=1, S63=1, T63=1, U63=1, AND(W63&lt;&gt;"", W63&lt;&gt;"Oxygen", W63&lt;&gt;"LowFlow")), "Intensive", "Intermediate")</f>
      </c>
      <c r="AJ63" s="37">
        <f>IF(OR(LEFT(AH63, 1)="X", LEFT(AH63, 1)="Y", LEFT(AH63, 3)="J59M"), "CUSM", "No Match")</f>
      </c>
      <c r="AK63" s="37">
        <f>IF(AND(OR(O63=3, P63=1, Q63=1, T63=1), AJ63="no Match"), "CUSM, CHU SJ, CHUQ", "")</f>
      </c>
      <c r="AL63" s="37">
        <f>IF(AND(O63=2, ISBLANK(P63), ISBLANK(Q63), ISBLANK(R63), ISBLANK(S63), ISBLANK(T63)), "CUSM, CHU SJ, CHUS, CHUQ", "")</f>
      </c>
      <c r="AM63" s="37">
        <f>IF(AND(AJ63="no match", AK63="", AL63="", K63&lt;26), "CUSM, CHU SJ, HGJ, CHUQ, CHUS", "")</f>
      </c>
      <c r="AN63" s="37">
        <f>IF(AND(AJ63="no match", AK63="", AL63="", K63&gt;26), "CUSM, CHU SJ, HGJ, CHUQ, CHUS, HMR", "")</f>
      </c>
    </row>
    <row x14ac:dyDescent="0.25" r="64" customHeight="1" ht="17.25">
      <c r="A64" s="27" t="s">
        <v>206</v>
      </c>
      <c r="B64" s="28">
        <v>2</v>
      </c>
      <c r="C64" s="28">
        <v>748</v>
      </c>
      <c r="D64" s="29" t="s">
        <v>145</v>
      </c>
      <c r="E64" s="30" t="s">
        <v>118</v>
      </c>
      <c r="F64" s="31">
        <v>44601</v>
      </c>
      <c r="G64" s="32">
        <v>4.052083333333334</v>
      </c>
      <c r="H64" s="31">
        <v>44600</v>
      </c>
      <c r="I64" s="32">
        <v>4.839583333333334</v>
      </c>
      <c r="J64" s="33">
        <f>F64-H64</f>
      </c>
      <c r="K64" s="28">
        <v>32</v>
      </c>
      <c r="L64" s="28">
        <v>6</v>
      </c>
      <c r="M64" s="28">
        <v>1</v>
      </c>
      <c r="N64" s="34"/>
      <c r="O64" s="34"/>
      <c r="P64" s="34"/>
      <c r="Q64" s="34"/>
      <c r="R64" s="34"/>
      <c r="S64" s="34"/>
      <c r="T64" s="34"/>
      <c r="U64" s="34"/>
      <c r="V64" s="34"/>
      <c r="W64" s="29" t="s">
        <v>58</v>
      </c>
      <c r="X64" s="28">
        <v>31</v>
      </c>
      <c r="Y64" s="28">
        <v>1</v>
      </c>
      <c r="Z64" s="28">
        <v>2</v>
      </c>
      <c r="AA64" s="28">
        <v>1</v>
      </c>
      <c r="AB64" s="28">
        <v>1</v>
      </c>
      <c r="AC64" s="28">
        <v>2</v>
      </c>
      <c r="AD64" s="28">
        <v>2</v>
      </c>
      <c r="AE64" s="28">
        <v>4</v>
      </c>
      <c r="AF64" s="28">
        <v>2</v>
      </c>
      <c r="AG64" s="28">
        <v>2</v>
      </c>
      <c r="AH64" s="29" t="s">
        <v>207</v>
      </c>
      <c r="AI64" s="36">
        <f>IF(OR(AND(K64&lt;32, J64&lt;2), O64=1, P64=1, Q64=1, R64=1, S64=1, T64=1, U64=1, AND(W64&lt;&gt;"", W64&lt;&gt;"Oxygen", W64&lt;&gt;"LowFlow")), "Intensive", "Intermediate")</f>
      </c>
      <c r="AJ64" s="37">
        <f>IF(OR(LEFT(AH64, 1)="X", LEFT(AH64, 1)="Y", LEFT(AH64, 3)="J60M"), "CUSM", "No Match")</f>
      </c>
      <c r="AK64" s="37">
        <f>IF(AND(OR(O64=3, P64=1, Q64=1, T64=1), AJ64="no Match"), "CUSM, CHU SJ, CHUQ", "")</f>
      </c>
      <c r="AL64" s="37">
        <f>IF(AND(O64=2, ISBLANK(P64), ISBLANK(Q64), ISBLANK(R64), ISBLANK(S64), ISBLANK(T64)), "CUSM, CHU SJ, CHUS, CHUQ", "")</f>
      </c>
      <c r="AM64" s="37">
        <f>IF(AND(AJ64="no match", AK64="", AL64="", K64&lt;26), "CUSM, CHU SJ, HGJ, CHUQ, CHUS", "")</f>
      </c>
      <c r="AN64" s="37">
        <f>IF(AND(AJ64="no match", AK64="", AL64="", K64&gt;26), "CUSM, CHU SJ, HGJ, CHUQ, CHUS, HMR", "")</f>
      </c>
    </row>
    <row x14ac:dyDescent="0.25" r="65" customHeight="1" ht="17.25">
      <c r="A65" s="27" t="s">
        <v>208</v>
      </c>
      <c r="B65" s="28">
        <v>2</v>
      </c>
      <c r="C65" s="28">
        <v>735</v>
      </c>
      <c r="D65" s="29" t="s">
        <v>49</v>
      </c>
      <c r="E65" s="30" t="s">
        <v>54</v>
      </c>
      <c r="F65" s="31">
        <v>44601</v>
      </c>
      <c r="G65" s="32">
        <v>4.746527777777778</v>
      </c>
      <c r="H65" s="31">
        <v>44599</v>
      </c>
      <c r="I65" s="32">
        <v>4.188194444444445</v>
      </c>
      <c r="J65" s="33">
        <f>F65-H65</f>
      </c>
      <c r="K65" s="28">
        <v>26</v>
      </c>
      <c r="L65" s="28">
        <v>6</v>
      </c>
      <c r="M65" s="28">
        <v>2</v>
      </c>
      <c r="N65" s="35">
        <v>1</v>
      </c>
      <c r="O65" s="34"/>
      <c r="P65" s="35">
        <v>1</v>
      </c>
      <c r="Q65" s="34"/>
      <c r="R65" s="34"/>
      <c r="S65" s="34"/>
      <c r="T65" s="34"/>
      <c r="U65" s="34"/>
      <c r="V65" s="34"/>
      <c r="W65" s="29" t="s">
        <v>74</v>
      </c>
      <c r="X65" s="28">
        <v>23</v>
      </c>
      <c r="Y65" s="28">
        <v>1</v>
      </c>
      <c r="Z65" s="28">
        <v>1</v>
      </c>
      <c r="AA65" s="28">
        <v>3</v>
      </c>
      <c r="AB65" s="28">
        <v>1</v>
      </c>
      <c r="AC65" s="28">
        <v>3</v>
      </c>
      <c r="AD65" s="28">
        <v>3</v>
      </c>
      <c r="AE65" s="28">
        <v>4</v>
      </c>
      <c r="AF65" s="28">
        <v>3</v>
      </c>
      <c r="AG65" s="28">
        <v>2</v>
      </c>
      <c r="AH65" s="29" t="s">
        <v>198</v>
      </c>
      <c r="AI65" s="36">
        <f>IF(OR(AND(K65&lt;32, J65&lt;2), O65=1, P65=1, Q65=1, R65=1, S65=1, T65=1, U65=1, AND(W65&lt;&gt;"", W65&lt;&gt;"Oxygen", W65&lt;&gt;"LowFlow")), "Intensive", "Intermediate")</f>
      </c>
      <c r="AJ65" s="37">
        <f>IF(OR(LEFT(AH65, 1)="X", LEFT(AH65, 1)="Y", LEFT(AH65, 3)="J61M"), "CUSM", "No Match")</f>
      </c>
      <c r="AK65" s="37">
        <f>IF(AND(OR(O65=3, P65=1, Q65=1, T65=1), AJ65="no Match"), "CUSM, CHU SJ, CHUQ", "")</f>
      </c>
      <c r="AL65" s="37">
        <f>IF(AND(O65=2, ISBLANK(P65), ISBLANK(Q65), ISBLANK(R65), ISBLANK(S65), ISBLANK(T65)), "CUSM, CHU SJ, CHUS, CHUQ", "")</f>
      </c>
      <c r="AM65" s="37">
        <f>IF(AND(AJ65="no match", AK65="", AL65="", K65&lt;26), "CUSM, CHU SJ, HGJ, CHUQ, CHUS", "")</f>
      </c>
      <c r="AN65" s="37">
        <f>IF(AND(AJ65="no match", AK65="", AL65="", K65&gt;26), "CUSM, CHU SJ, HGJ, CHUQ, CHUS, HMR", "")</f>
      </c>
    </row>
    <row x14ac:dyDescent="0.25" r="66" customHeight="1" ht="17.25">
      <c r="A66" s="27" t="s">
        <v>209</v>
      </c>
      <c r="B66" s="28">
        <v>2</v>
      </c>
      <c r="C66" s="28">
        <v>820</v>
      </c>
      <c r="D66" s="29" t="s">
        <v>69</v>
      </c>
      <c r="E66" s="30" t="s">
        <v>54</v>
      </c>
      <c r="F66" s="31">
        <v>44601</v>
      </c>
      <c r="G66" s="32">
        <v>4.020833333333334</v>
      </c>
      <c r="H66" s="31">
        <v>44600</v>
      </c>
      <c r="I66" s="32">
        <v>4.913194444444445</v>
      </c>
      <c r="J66" s="33">
        <f>F66-H66</f>
      </c>
      <c r="K66" s="28">
        <v>24</v>
      </c>
      <c r="L66" s="28">
        <v>5</v>
      </c>
      <c r="M66" s="28">
        <v>1</v>
      </c>
      <c r="N66" s="35">
        <v>1</v>
      </c>
      <c r="O66" s="34"/>
      <c r="P66" s="35">
        <v>1</v>
      </c>
      <c r="Q66" s="34"/>
      <c r="R66" s="34"/>
      <c r="S66" s="34"/>
      <c r="T66" s="38"/>
      <c r="U66" s="34"/>
      <c r="V66" s="34"/>
      <c r="W66" s="29" t="s">
        <v>70</v>
      </c>
      <c r="X66" s="28">
        <v>38</v>
      </c>
      <c r="Y66" s="28">
        <v>1</v>
      </c>
      <c r="Z66" s="28">
        <v>1</v>
      </c>
      <c r="AA66" s="28">
        <v>2</v>
      </c>
      <c r="AB66" s="28">
        <v>1</v>
      </c>
      <c r="AC66" s="28">
        <v>2</v>
      </c>
      <c r="AD66" s="28">
        <v>2</v>
      </c>
      <c r="AE66" s="28">
        <v>4</v>
      </c>
      <c r="AF66" s="28">
        <v>2</v>
      </c>
      <c r="AG66" s="28">
        <v>2</v>
      </c>
      <c r="AH66" s="29" t="s">
        <v>210</v>
      </c>
      <c r="AI66" s="36">
        <f>IF(OR(AND(K66&lt;32, J66&lt;2), O66=1, P66=1, Q66=1, R66=1, S66=1, T66=1, U66=1, AND(W66&lt;&gt;"", W66&lt;&gt;"Oxygen", W66&lt;&gt;"LowFlow")), "Intensive", "Intermediate")</f>
      </c>
      <c r="AJ66" s="37">
        <f>IF(OR(LEFT(AH66, 1)="X", LEFT(AH66, 1)="Y", LEFT(AH66, 3)="J62M"), "CUSM", "No Match")</f>
      </c>
      <c r="AK66" s="37">
        <f>IF(AND(OR(O66=3, P66=1, Q66=1, T66=1), AJ66="no Match"), "CUSM, CHU SJ, CHUQ", "")</f>
      </c>
      <c r="AL66" s="37">
        <f>IF(AND(O66=2, ISBLANK(P66), ISBLANK(Q66), ISBLANK(R66), ISBLANK(S66), ISBLANK(T66)), "CUSM, CHU SJ, CHUS, CHUQ", "")</f>
      </c>
      <c r="AM66" s="37">
        <f>IF(AND(AJ66="no match", AK66="", AL66="", K66&lt;26), "CUSM, CHU SJ, HGJ, CHUQ, CHUS", "")</f>
      </c>
      <c r="AN66" s="37">
        <f>IF(AND(AJ66="no match", AK66="", AL66="", K66&gt;26), "CUSM, CHU SJ, HGJ, CHUQ, CHUS, HMR", "")</f>
      </c>
    </row>
    <row x14ac:dyDescent="0.25" r="67" customHeight="1" ht="17.25">
      <c r="A67" s="27" t="s">
        <v>211</v>
      </c>
      <c r="B67" s="28">
        <v>2</v>
      </c>
      <c r="C67" s="35">
        <v>730</v>
      </c>
      <c r="D67" s="29" t="s">
        <v>81</v>
      </c>
      <c r="E67" s="30" t="s">
        <v>50</v>
      </c>
      <c r="F67" s="31">
        <v>44601</v>
      </c>
      <c r="G67" s="32">
        <v>4.010416666666666</v>
      </c>
      <c r="H67" s="31">
        <v>44600</v>
      </c>
      <c r="I67" s="32">
        <v>4.479166666666666</v>
      </c>
      <c r="J67" s="33">
        <f>F67-H67</f>
      </c>
      <c r="K67" s="28">
        <v>40</v>
      </c>
      <c r="L67" s="28">
        <v>0</v>
      </c>
      <c r="M67" s="28">
        <v>1</v>
      </c>
      <c r="N67" s="34"/>
      <c r="O67" s="34"/>
      <c r="P67" s="34"/>
      <c r="Q67" s="34"/>
      <c r="R67" s="34"/>
      <c r="S67" s="34"/>
      <c r="T67" s="34"/>
      <c r="U67" s="34"/>
      <c r="V67" s="34"/>
      <c r="W67" s="29"/>
      <c r="X67" s="28">
        <v>28</v>
      </c>
      <c r="Y67" s="28">
        <v>1</v>
      </c>
      <c r="Z67" s="28">
        <v>1</v>
      </c>
      <c r="AA67" s="28">
        <v>2</v>
      </c>
      <c r="AB67" s="28">
        <v>1</v>
      </c>
      <c r="AC67" s="28">
        <v>1</v>
      </c>
      <c r="AD67" s="28">
        <v>2</v>
      </c>
      <c r="AE67" s="28">
        <v>4</v>
      </c>
      <c r="AF67" s="35">
        <v>2</v>
      </c>
      <c r="AG67" s="28">
        <v>2</v>
      </c>
      <c r="AH67" s="29" t="s">
        <v>212</v>
      </c>
      <c r="AI67" s="36">
        <f>IF(OR(AND(K67&lt;32, J67&lt;2), O67=1, P67=1, Q67=1, R67=1, S67=1, T67=1, U67=1, AND(W67&lt;&gt;"", W67&lt;&gt;"Oxygen", W67&lt;&gt;"LowFlow")), "Intensive", "Intermediate")</f>
      </c>
      <c r="AJ67" s="37">
        <f>IF(OR(LEFT(AH67, 1)="X", LEFT(AH67, 1)="Y", LEFT(AH67, 3)="J63M"), "CUSM", "No Match")</f>
      </c>
      <c r="AK67" s="37">
        <f>IF(AND(OR(O67=3, P67=1, Q67=1, T67=1), AJ67="no Match"), "CUSM, CHU SJ, CHUQ", "")</f>
      </c>
      <c r="AL67" s="37">
        <f>IF(AND(O67=2, ISBLANK(P67), ISBLANK(Q67), ISBLANK(R67), ISBLANK(S67), ISBLANK(T67)), "CUSM, CHU SJ, CHUS, CHUQ", "")</f>
      </c>
      <c r="AM67" s="37">
        <f>IF(AND(AJ67="no match", AK67="", AL67="", K67&lt;26), "CUSM, CHU SJ, HGJ, CHUQ, CHUS", "")</f>
      </c>
      <c r="AN67" s="37">
        <f>IF(AND(AJ67="no match", AK67="", AL67="", K67&gt;26), "CUSM, CHU SJ, HGJ, CHUQ, CHUS, HMR", "")</f>
      </c>
    </row>
    <row x14ac:dyDescent="0.25" r="68" customHeight="1" ht="17.25">
      <c r="A68" s="27" t="s">
        <v>213</v>
      </c>
      <c r="B68" s="28">
        <v>2</v>
      </c>
      <c r="C68" s="35">
        <v>748</v>
      </c>
      <c r="D68" s="29" t="s">
        <v>145</v>
      </c>
      <c r="E68" s="30" t="s">
        <v>118</v>
      </c>
      <c r="F68" s="31">
        <v>44602</v>
      </c>
      <c r="G68" s="32">
        <v>4.7965277777777775</v>
      </c>
      <c r="H68" s="31">
        <v>44602</v>
      </c>
      <c r="I68" s="32">
        <v>4.574305555555556</v>
      </c>
      <c r="J68" s="33">
        <f>F68-H68</f>
      </c>
      <c r="K68" s="28">
        <v>39</v>
      </c>
      <c r="L68" s="28">
        <v>2</v>
      </c>
      <c r="M68" s="28">
        <v>2</v>
      </c>
      <c r="N68" s="34"/>
      <c r="O68" s="34"/>
      <c r="P68" s="34"/>
      <c r="Q68" s="34"/>
      <c r="R68" s="34"/>
      <c r="S68" s="34"/>
      <c r="T68" s="35">
        <v>1</v>
      </c>
      <c r="U68" s="34"/>
      <c r="V68" s="35">
        <v>1</v>
      </c>
      <c r="W68" s="29" t="s">
        <v>74</v>
      </c>
      <c r="X68" s="28">
        <v>34</v>
      </c>
      <c r="Y68" s="28">
        <v>1</v>
      </c>
      <c r="Z68" s="28">
        <v>1</v>
      </c>
      <c r="AA68" s="28">
        <v>2</v>
      </c>
      <c r="AB68" s="28">
        <v>1</v>
      </c>
      <c r="AC68" s="28">
        <v>2</v>
      </c>
      <c r="AD68" s="28">
        <v>1</v>
      </c>
      <c r="AE68" s="28">
        <v>2</v>
      </c>
      <c r="AF68" s="28">
        <v>2</v>
      </c>
      <c r="AG68" s="28">
        <v>2</v>
      </c>
      <c r="AH68" s="29" t="s">
        <v>214</v>
      </c>
      <c r="AI68" s="36">
        <f>IF(OR(AND(K68&lt;32, J68&lt;2), O68=1, P68=1, Q68=1, R68=1, S68=1, T68=1, U68=1, AND(W68&lt;&gt;"", W68&lt;&gt;"Oxygen", W68&lt;&gt;"LowFlow")), "Intensive", "Intermediate")</f>
      </c>
      <c r="AJ68" s="37">
        <f>IF(OR(LEFT(AH68, 1)="X", LEFT(AH68, 1)="Y", LEFT(AH68, 3)="J0M"), "CUSM", "No Match")</f>
      </c>
      <c r="AK68" s="37">
        <f>IF(AND(OR(O68=3, P68=1, Q68=1, T68=1), AJ68="no Match"), "CUSM, CHU SJ, CHUQ", "")</f>
      </c>
      <c r="AL68" s="37">
        <f>IF(AND(O68=2, ISBLANK(P68), ISBLANK(Q68), ISBLANK(R68), ISBLANK(S68), ISBLANK(T68)), "CUSM, CHU SJ, CHUS, CHUQ", "")</f>
      </c>
      <c r="AM68" s="37">
        <f>IF(AND(AJ68="no match", AK68="", AL68="", K68&lt;26), "CUSM, CHU SJ, HGJ, CHUQ, CHUS", "")</f>
      </c>
      <c r="AN68" s="37">
        <f>IF(AND(AJ68="no match", AK68="", AL68="", K68&gt;26), "CUSM, CHU SJ, HGJ, CHUQ, CHUS, HMR", "")</f>
      </c>
    </row>
    <row x14ac:dyDescent="0.25" r="69" customHeight="1" ht="17.25">
      <c r="A69" s="27" t="s">
        <v>215</v>
      </c>
      <c r="B69" s="28">
        <v>2</v>
      </c>
      <c r="C69" s="28">
        <v>730</v>
      </c>
      <c r="D69" s="29" t="s">
        <v>81</v>
      </c>
      <c r="E69" s="30" t="s">
        <v>50</v>
      </c>
      <c r="F69" s="31">
        <v>44602</v>
      </c>
      <c r="G69" s="32">
        <v>4.729166666666666</v>
      </c>
      <c r="H69" s="31">
        <v>44602</v>
      </c>
      <c r="I69" s="32">
        <v>4.422916666666667</v>
      </c>
      <c r="J69" s="33">
        <f>F69-H69</f>
      </c>
      <c r="K69" s="28">
        <v>39</v>
      </c>
      <c r="L69" s="28">
        <v>3</v>
      </c>
      <c r="M69" s="28">
        <v>2</v>
      </c>
      <c r="N69" s="35">
        <v>1</v>
      </c>
      <c r="O69" s="34"/>
      <c r="P69" s="34"/>
      <c r="Q69" s="34"/>
      <c r="R69" s="34"/>
      <c r="S69" s="34"/>
      <c r="T69" s="34"/>
      <c r="U69" s="34"/>
      <c r="V69" s="34"/>
      <c r="W69" s="29"/>
      <c r="X69" s="28">
        <v>41</v>
      </c>
      <c r="Y69" s="28">
        <v>1</v>
      </c>
      <c r="Z69" s="28">
        <v>2</v>
      </c>
      <c r="AA69" s="28">
        <v>1</v>
      </c>
      <c r="AB69" s="28">
        <v>1</v>
      </c>
      <c r="AC69" s="28">
        <v>2</v>
      </c>
      <c r="AD69" s="28">
        <v>2</v>
      </c>
      <c r="AE69" s="28">
        <v>4</v>
      </c>
      <c r="AF69" s="28">
        <v>2</v>
      </c>
      <c r="AG69" s="28">
        <v>2</v>
      </c>
      <c r="AH69" s="29" t="s">
        <v>216</v>
      </c>
      <c r="AI69" s="36">
        <f>IF(OR(AND(K69&lt;32, J69&lt;2), O69=1, P69=1, Q69=1, R69=1, S69=1, T69=1, U69=1, AND(W69&lt;&gt;"", W69&lt;&gt;"Oxygen", W69&lt;&gt;"LowFlow")), "Intensive", "Intermediate")</f>
      </c>
      <c r="AJ69" s="37">
        <f>IF(OR(LEFT(AH69, 1)="X", LEFT(AH69, 1)="Y", LEFT(AH69, 3)="J1M"), "CUSM", "No Match")</f>
      </c>
      <c r="AK69" s="37">
        <f>IF(AND(OR(O69=3, P69=1, Q69=1, T69=1), AJ69="no Match"), "CUSM, CHU SJ, CHUQ", "")</f>
      </c>
      <c r="AL69" s="37">
        <f>IF(AND(O69=2, ISBLANK(P69), ISBLANK(Q69), ISBLANK(R69), ISBLANK(S69), ISBLANK(T69)), "CUSM, CHU SJ, CHUS, CHUQ", "")</f>
      </c>
      <c r="AM69" s="37">
        <f>IF(AND(AJ69="no match", AK69="", AL69="", K69&lt;26), "CUSM, CHU SJ, HGJ, CHUQ, CHUS", "")</f>
      </c>
      <c r="AN69" s="37">
        <f>IF(AND(AJ69="no match", AK69="", AL69="", K69&gt;26), "CUSM, CHU SJ, HGJ, CHUQ, CHUS, HMR", "")</f>
      </c>
    </row>
    <row x14ac:dyDescent="0.25" r="70" customHeight="1" ht="17.25">
      <c r="A70" s="27" t="s">
        <v>217</v>
      </c>
      <c r="B70" s="28">
        <v>2</v>
      </c>
      <c r="C70" s="28">
        <v>824</v>
      </c>
      <c r="D70" s="29" t="s">
        <v>57</v>
      </c>
      <c r="E70" s="30" t="s">
        <v>50</v>
      </c>
      <c r="F70" s="31">
        <v>44603</v>
      </c>
      <c r="G70" s="32">
        <v>4.815972222222222</v>
      </c>
      <c r="H70" s="31">
        <v>44603</v>
      </c>
      <c r="I70" s="32">
        <v>4.35</v>
      </c>
      <c r="J70" s="33">
        <f>F70-H70</f>
      </c>
      <c r="K70" s="28">
        <v>39</v>
      </c>
      <c r="L70" s="28">
        <v>5</v>
      </c>
      <c r="M70" s="28">
        <v>1</v>
      </c>
      <c r="N70" s="34"/>
      <c r="O70" s="34"/>
      <c r="P70" s="34"/>
      <c r="Q70" s="34"/>
      <c r="R70" s="34"/>
      <c r="S70" s="34"/>
      <c r="T70" s="34"/>
      <c r="U70" s="34"/>
      <c r="V70" s="34"/>
      <c r="W70" s="29"/>
      <c r="X70" s="28">
        <v>40</v>
      </c>
      <c r="Y70" s="28">
        <v>1</v>
      </c>
      <c r="Z70" s="28">
        <v>2</v>
      </c>
      <c r="AA70" s="28">
        <v>2</v>
      </c>
      <c r="AB70" s="28">
        <v>1</v>
      </c>
      <c r="AC70" s="28">
        <v>2</v>
      </c>
      <c r="AD70" s="28">
        <v>2</v>
      </c>
      <c r="AE70" s="28">
        <v>4</v>
      </c>
      <c r="AF70" s="28">
        <v>2</v>
      </c>
      <c r="AG70" s="28">
        <v>2</v>
      </c>
      <c r="AH70" s="29" t="s">
        <v>218</v>
      </c>
      <c r="AI70" s="36">
        <f>IF(OR(AND(K70&lt;32, J70&lt;2), O70=1, P70=1, Q70=1, R70=1, S70=1, T70=1, U70=1, AND(W70&lt;&gt;"", W70&lt;&gt;"Oxygen", W70&lt;&gt;"LowFlow")), "Intensive", "Intermediate")</f>
      </c>
      <c r="AJ70" s="37">
        <f>IF(OR(LEFT(AH70, 1)="X", LEFT(AH70, 1)="Y", LEFT(AH70, 3)="J2M"), "CUSM", "No Match")</f>
      </c>
      <c r="AK70" s="37">
        <f>IF(AND(OR(O70=3, P70=1, Q70=1, T70=1), AJ70="no Match"), "CUSM, CHU SJ, CHUQ", "")</f>
      </c>
      <c r="AL70" s="37">
        <f>IF(AND(O70=2, ISBLANK(P70), ISBLANK(Q70), ISBLANK(R70), ISBLANK(S70), ISBLANK(T70)), "CUSM, CHU SJ, CHUS, CHUQ", "")</f>
      </c>
      <c r="AM70" s="37">
        <f>IF(AND(AJ70="no match", AK70="", AL70="", K70&lt;26), "CUSM, CHU SJ, HGJ, CHUQ, CHUS", "")</f>
      </c>
      <c r="AN70" s="37">
        <f>IF(AND(AJ70="no match", AK70="", AL70="", K70&gt;26), "CUSM, CHU SJ, HGJ, CHUQ, CHUS, HMR", "")</f>
      </c>
    </row>
    <row x14ac:dyDescent="0.25" r="71" customHeight="1" ht="17.25">
      <c r="A71" s="27" t="s">
        <v>219</v>
      </c>
      <c r="B71" s="28">
        <v>2</v>
      </c>
      <c r="C71" s="35">
        <v>564</v>
      </c>
      <c r="D71" s="29" t="s">
        <v>153</v>
      </c>
      <c r="E71" s="30" t="s">
        <v>220</v>
      </c>
      <c r="F71" s="31">
        <v>44603</v>
      </c>
      <c r="G71" s="32">
        <v>4.039583333333333</v>
      </c>
      <c r="H71" s="31">
        <v>44602</v>
      </c>
      <c r="I71" s="32">
        <v>4.902777777777778</v>
      </c>
      <c r="J71" s="33">
        <f>F71-H71</f>
      </c>
      <c r="K71" s="28">
        <v>32</v>
      </c>
      <c r="L71" s="28">
        <v>6</v>
      </c>
      <c r="M71" s="28">
        <v>2</v>
      </c>
      <c r="N71" s="34"/>
      <c r="O71" s="34"/>
      <c r="P71" s="34"/>
      <c r="Q71" s="34"/>
      <c r="R71" s="34"/>
      <c r="S71" s="34"/>
      <c r="T71" s="34"/>
      <c r="U71" s="34"/>
      <c r="V71" s="34"/>
      <c r="W71" s="29" t="s">
        <v>74</v>
      </c>
      <c r="X71" s="28">
        <v>34</v>
      </c>
      <c r="Y71" s="28">
        <v>1</v>
      </c>
      <c r="Z71" s="28">
        <v>1</v>
      </c>
      <c r="AA71" s="28">
        <v>1</v>
      </c>
      <c r="AB71" s="28">
        <v>1</v>
      </c>
      <c r="AC71" s="28">
        <v>2</v>
      </c>
      <c r="AD71" s="28">
        <v>2</v>
      </c>
      <c r="AE71" s="28">
        <v>4</v>
      </c>
      <c r="AF71" s="28">
        <v>2</v>
      </c>
      <c r="AG71" s="28">
        <v>2</v>
      </c>
      <c r="AH71" s="29" t="s">
        <v>221</v>
      </c>
      <c r="AI71" s="36">
        <f>IF(OR(AND(K71&lt;32, J71&lt;2), O71=1, P71=1, Q71=1, R71=1, S71=1, T71=1, U71=1, AND(W71&lt;&gt;"", W71&lt;&gt;"Oxygen", W71&lt;&gt;"LowFlow")), "Intensive", "Intermediate")</f>
      </c>
      <c r="AJ71" s="37">
        <f>IF(OR(LEFT(AH71, 1)="X", LEFT(AH71, 1)="Y", LEFT(AH71, 3)="J3M"), "CUSM", "No Match")</f>
      </c>
      <c r="AK71" s="37">
        <f>IF(AND(OR(O71=3, P71=1, Q71=1, T71=1), AJ71="no Match"), "CUSM, CHU SJ, CHUQ", "")</f>
      </c>
      <c r="AL71" s="37">
        <f>IF(AND(O71=2, ISBLANK(P71), ISBLANK(Q71), ISBLANK(R71), ISBLANK(S71), ISBLANK(T71)), "CUSM, CHU SJ, CHUS, CHUQ", "")</f>
      </c>
      <c r="AM71" s="37">
        <f>IF(AND(AJ71="no match", AK71="", AL71="", K71&lt;26), "CUSM, CHU SJ, HGJ, CHUQ, CHUS", "")</f>
      </c>
      <c r="AN71" s="37">
        <f>IF(AND(AJ71="no match", AK71="", AL71="", K71&gt;26), "CUSM, CHU SJ, HGJ, CHUQ, CHUS, HMR", "")</f>
      </c>
    </row>
    <row x14ac:dyDescent="0.25" r="72" customHeight="1" ht="17.25">
      <c r="A72" s="27" t="s">
        <v>222</v>
      </c>
      <c r="B72" s="28">
        <v>2</v>
      </c>
      <c r="C72" s="28">
        <v>822</v>
      </c>
      <c r="D72" s="29" t="s">
        <v>167</v>
      </c>
      <c r="E72" s="30" t="s">
        <v>54</v>
      </c>
      <c r="F72" s="31">
        <v>44604</v>
      </c>
      <c r="G72" s="32">
        <v>4.243055555555555</v>
      </c>
      <c r="H72" s="31">
        <v>44600</v>
      </c>
      <c r="I72" s="32">
        <v>4.586805555555555</v>
      </c>
      <c r="J72" s="33">
        <f>F72-H72</f>
      </c>
      <c r="K72" s="28">
        <v>40</v>
      </c>
      <c r="L72" s="28">
        <v>3</v>
      </c>
      <c r="M72" s="28">
        <v>1</v>
      </c>
      <c r="N72" s="34"/>
      <c r="O72" s="34"/>
      <c r="P72" s="34"/>
      <c r="Q72" s="34"/>
      <c r="R72" s="34"/>
      <c r="S72" s="34"/>
      <c r="T72" s="34"/>
      <c r="U72" s="34"/>
      <c r="V72" s="34"/>
      <c r="W72" s="29"/>
      <c r="X72" s="28">
        <v>23</v>
      </c>
      <c r="Y72" s="28">
        <v>1</v>
      </c>
      <c r="Z72" s="28">
        <v>1</v>
      </c>
      <c r="AA72" s="28">
        <v>1</v>
      </c>
      <c r="AB72" s="28">
        <v>1</v>
      </c>
      <c r="AC72" s="28">
        <v>2</v>
      </c>
      <c r="AD72" s="28">
        <v>2</v>
      </c>
      <c r="AE72" s="28">
        <v>4</v>
      </c>
      <c r="AF72" s="28">
        <v>3</v>
      </c>
      <c r="AG72" s="28">
        <v>3</v>
      </c>
      <c r="AH72" s="29" t="s">
        <v>223</v>
      </c>
      <c r="AI72" s="36">
        <f>IF(OR(AND(K72&lt;32, J72&lt;2), O72=1, P72=1, Q72=1, R72=1, S72=1, T72=1, U72=1, AND(W72&lt;&gt;"", W72&lt;&gt;"Oxygen", W72&lt;&gt;"LowFlow")), "Intensive", "Intermediate")</f>
      </c>
      <c r="AJ72" s="37">
        <f>IF(OR(LEFT(AH72, 1)="X", LEFT(AH72, 1)="Y", LEFT(AH72, 3)="J4M"), "CUSM", "No Match")</f>
      </c>
      <c r="AK72" s="37">
        <f>IF(AND(OR(O72=3, P72=1, Q72=1, T72=1), AJ72="no Match"), "CUSM, CHU SJ, CHUQ", "")</f>
      </c>
      <c r="AL72" s="37">
        <f>IF(AND(O72=2, ISBLANK(P72), ISBLANK(Q72), ISBLANK(R72), ISBLANK(S72), ISBLANK(T72)), "CUSM, CHU SJ, CHUS, CHUQ", "")</f>
      </c>
      <c r="AM72" s="37">
        <f>IF(AND(AJ72="no match", AK72="", AL72="", K72&lt;26), "CUSM, CHU SJ, HGJ, CHUQ, CHUS", "")</f>
      </c>
      <c r="AN72" s="37">
        <f>IF(AND(AJ72="no match", AK72="", AL72="", K72&gt;26), "CUSM, CHU SJ, HGJ, CHUQ, CHUS, HMR", "")</f>
      </c>
    </row>
    <row x14ac:dyDescent="0.25" r="73" customHeight="1" ht="17.25">
      <c r="A73" s="27" t="s">
        <v>224</v>
      </c>
      <c r="B73" s="28">
        <v>2</v>
      </c>
      <c r="C73" s="35">
        <v>825</v>
      </c>
      <c r="D73" s="29" t="s">
        <v>77</v>
      </c>
      <c r="E73" s="30" t="s">
        <v>78</v>
      </c>
      <c r="F73" s="31">
        <v>44604</v>
      </c>
      <c r="G73" s="32">
        <v>4.690972222222222</v>
      </c>
      <c r="H73" s="31">
        <v>44604</v>
      </c>
      <c r="I73" s="32">
        <v>4.566666666666666</v>
      </c>
      <c r="J73" s="33">
        <f>F73-H73</f>
      </c>
      <c r="K73" s="28">
        <v>30</v>
      </c>
      <c r="L73" s="28">
        <v>0</v>
      </c>
      <c r="M73" s="28">
        <v>2</v>
      </c>
      <c r="N73" s="34"/>
      <c r="O73" s="34"/>
      <c r="P73" s="34"/>
      <c r="Q73" s="34"/>
      <c r="R73" s="34"/>
      <c r="S73" s="34"/>
      <c r="T73" s="34"/>
      <c r="U73" s="34"/>
      <c r="V73" s="34"/>
      <c r="W73" s="29" t="s">
        <v>58</v>
      </c>
      <c r="X73" s="28">
        <v>21</v>
      </c>
      <c r="Y73" s="28">
        <v>1</v>
      </c>
      <c r="Z73" s="28">
        <v>1</v>
      </c>
      <c r="AA73" s="28">
        <v>1</v>
      </c>
      <c r="AB73" s="28">
        <v>1</v>
      </c>
      <c r="AC73" s="28">
        <v>2</v>
      </c>
      <c r="AD73" s="28">
        <v>2</v>
      </c>
      <c r="AE73" s="28">
        <v>4</v>
      </c>
      <c r="AF73" s="28">
        <v>2</v>
      </c>
      <c r="AG73" s="28">
        <v>2</v>
      </c>
      <c r="AH73" s="29" t="s">
        <v>225</v>
      </c>
      <c r="AI73" s="36">
        <f>IF(OR(AND(K73&lt;32, J73&lt;2), O73=1, P73=1, Q73=1, R73=1, S73=1, T73=1, U73=1, AND(W73&lt;&gt;"", W73&lt;&gt;"Oxygen", W73&lt;&gt;"LowFlow")), "Intensive", "Intermediate")</f>
      </c>
      <c r="AJ73" s="37">
        <f>IF(OR(LEFT(AH73, 1)="X", LEFT(AH73, 1)="Y", LEFT(AH73, 3)="J5M"), "CUSM", "No Match")</f>
      </c>
      <c r="AK73" s="37">
        <f>IF(AND(OR(O73=3, P73=1, Q73=1, T73=1), AJ73="no Match"), "CUSM, CHU SJ, CHUQ", "")</f>
      </c>
      <c r="AL73" s="37">
        <f>IF(AND(O73=2, ISBLANK(P73), ISBLANK(Q73), ISBLANK(R73), ISBLANK(S73), ISBLANK(T73)), "CUSM, CHU SJ, CHUS, CHUQ", "")</f>
      </c>
      <c r="AM73" s="37">
        <f>IF(AND(AJ73="no match", AK73="", AL73="", K73&lt;26), "CUSM, CHU SJ, HGJ, CHUQ, CHUS", "")</f>
      </c>
      <c r="AN73" s="37">
        <f>IF(AND(AJ73="no match", AK73="", AL73="", K73&gt;26), "CUSM, CHU SJ, HGJ, CHUQ, CHUS, HMR", "")</f>
      </c>
    </row>
    <row x14ac:dyDescent="0.25" r="74" customHeight="1" ht="17.25">
      <c r="A74" s="27" t="s">
        <v>226</v>
      </c>
      <c r="B74" s="28">
        <v>2</v>
      </c>
      <c r="C74" s="35">
        <v>731</v>
      </c>
      <c r="D74" s="29" t="s">
        <v>103</v>
      </c>
      <c r="E74" s="30" t="s">
        <v>54</v>
      </c>
      <c r="F74" s="31">
        <v>44606</v>
      </c>
      <c r="G74" s="32">
        <v>4.557638888888889</v>
      </c>
      <c r="H74" s="31">
        <v>44606</v>
      </c>
      <c r="I74" s="32">
        <v>4.302777777777777</v>
      </c>
      <c r="J74" s="33">
        <f>F74-H74</f>
      </c>
      <c r="K74" s="28">
        <v>28</v>
      </c>
      <c r="L74" s="28">
        <v>1</v>
      </c>
      <c r="M74" s="28">
        <v>2</v>
      </c>
      <c r="N74" s="35">
        <v>1</v>
      </c>
      <c r="O74" s="34"/>
      <c r="P74" s="35">
        <v>1</v>
      </c>
      <c r="Q74" s="34"/>
      <c r="R74" s="34"/>
      <c r="S74" s="34"/>
      <c r="T74" s="34"/>
      <c r="U74" s="34"/>
      <c r="V74" s="34"/>
      <c r="W74" s="29" t="s">
        <v>74</v>
      </c>
      <c r="X74" s="28">
        <v>27</v>
      </c>
      <c r="Y74" s="28">
        <v>1</v>
      </c>
      <c r="Z74" s="28">
        <v>2</v>
      </c>
      <c r="AA74" s="28">
        <v>3</v>
      </c>
      <c r="AB74" s="28">
        <v>1</v>
      </c>
      <c r="AC74" s="28">
        <v>2</v>
      </c>
      <c r="AD74" s="28">
        <v>2</v>
      </c>
      <c r="AE74" s="28">
        <v>4</v>
      </c>
      <c r="AF74" s="28">
        <v>2</v>
      </c>
      <c r="AG74" s="28">
        <v>2</v>
      </c>
      <c r="AH74" s="29" t="s">
        <v>227</v>
      </c>
      <c r="AI74" s="36">
        <f>IF(OR(AND(K74&lt;32, J74&lt;2), O74=1, P74=1, Q74=1, R74=1, S74=1, T74=1, U74=1, AND(W74&lt;&gt;"", W74&lt;&gt;"Oxygen", W74&lt;&gt;"LowFlow")), "Intensive", "Intermediate")</f>
      </c>
      <c r="AJ74" s="37">
        <f>IF(OR(LEFT(AH74, 1)="X", LEFT(AH74, 1)="Y", LEFT(AH74, 3)="J6M"), "CUSM", "No Match")</f>
      </c>
      <c r="AK74" s="37">
        <f>IF(AND(OR(O74=3, P74=1, Q74=1, T74=1), AJ74="no Match"), "CUSM, CHU SJ, CHUQ", "")</f>
      </c>
      <c r="AL74" s="37">
        <f>IF(AND(O74=2, ISBLANK(P74), ISBLANK(Q74), ISBLANK(R74), ISBLANK(S74), ISBLANK(T74)), "CUSM, CHU SJ, CHUS, CHUQ", "")</f>
      </c>
      <c r="AM74" s="37">
        <f>IF(AND(AJ74="no match", AK74="", AL74="", K74&lt;26), "CUSM, CHU SJ, HGJ, CHUQ, CHUS", "")</f>
      </c>
      <c r="AN74" s="37">
        <f>IF(AND(AJ74="no match", AK74="", AL74="", K74&gt;26), "CUSM, CHU SJ, HGJ, CHUQ, CHUS, HMR", "")</f>
      </c>
    </row>
    <row x14ac:dyDescent="0.25" r="75" customHeight="1" ht="17.25">
      <c r="A75" s="27" t="s">
        <v>228</v>
      </c>
      <c r="B75" s="28">
        <v>2</v>
      </c>
      <c r="C75" s="35">
        <v>779</v>
      </c>
      <c r="D75" s="29" t="s">
        <v>136</v>
      </c>
      <c r="E75" s="30" t="s">
        <v>50</v>
      </c>
      <c r="F75" s="31">
        <v>44606</v>
      </c>
      <c r="G75" s="32">
        <v>4.743055555555555</v>
      </c>
      <c r="H75" s="31">
        <v>44601</v>
      </c>
      <c r="I75" s="32">
        <v>4.8</v>
      </c>
      <c r="J75" s="33">
        <f>F75-H75</f>
      </c>
      <c r="K75" s="28">
        <v>36</v>
      </c>
      <c r="L75" s="28">
        <v>3</v>
      </c>
      <c r="M75" s="28">
        <v>2</v>
      </c>
      <c r="N75" s="35">
        <v>1</v>
      </c>
      <c r="O75" s="34"/>
      <c r="P75" s="34"/>
      <c r="Q75" s="34"/>
      <c r="R75" s="34"/>
      <c r="S75" s="34"/>
      <c r="T75" s="34"/>
      <c r="U75" s="34"/>
      <c r="V75" s="38"/>
      <c r="W75" s="29"/>
      <c r="X75" s="28">
        <v>33</v>
      </c>
      <c r="Y75" s="28">
        <v>1</v>
      </c>
      <c r="Z75" s="28">
        <v>1</v>
      </c>
      <c r="AA75" s="28">
        <v>2</v>
      </c>
      <c r="AB75" s="28">
        <v>1</v>
      </c>
      <c r="AC75" s="28">
        <v>2</v>
      </c>
      <c r="AD75" s="28">
        <v>1</v>
      </c>
      <c r="AE75" s="28">
        <v>4</v>
      </c>
      <c r="AF75" s="28">
        <v>2</v>
      </c>
      <c r="AG75" s="28">
        <v>2</v>
      </c>
      <c r="AH75" s="29" t="s">
        <v>229</v>
      </c>
      <c r="AI75" s="36">
        <f>IF(OR(AND(K75&lt;32, J75&lt;2), O75=1, P75=1, Q75=1, R75=1, S75=1, T75=1, U75=1, AND(W75&lt;&gt;"", W75&lt;&gt;"Oxygen", W75&lt;&gt;"LowFlow")), "Intensive", "Intermediate")</f>
      </c>
      <c r="AJ75" s="37">
        <f>IF(OR(LEFT(AH75, 1)="X", LEFT(AH75, 1)="Y", LEFT(AH75, 3)="J7M"), "CUSM", "No Match")</f>
      </c>
      <c r="AK75" s="37">
        <f>IF(AND(OR(O75=3, P75=1, Q75=1, T75=1), AJ75="no Match"), "CUSM, CHU SJ, CHUQ", "")</f>
      </c>
      <c r="AL75" s="37">
        <f>IF(AND(O75=2, ISBLANK(P75), ISBLANK(Q75), ISBLANK(R75), ISBLANK(S75), ISBLANK(T75)), "CUSM, CHU SJ, CHUS, CHUQ", "")</f>
      </c>
      <c r="AM75" s="37">
        <f>IF(AND(AJ75="no match", AK75="", AL75="", K75&lt;26), "CUSM, CHU SJ, HGJ, CHUQ, CHUS", "")</f>
      </c>
      <c r="AN75" s="37">
        <f>IF(AND(AJ75="no match", AK75="", AL75="", K75&gt;26), "CUSM, CHU SJ, HGJ, CHUQ, CHUS, HMR", "")</f>
      </c>
    </row>
    <row x14ac:dyDescent="0.25" r="76" customHeight="1" ht="17.25">
      <c r="A76" s="27" t="s">
        <v>230</v>
      </c>
      <c r="B76" s="28">
        <v>2</v>
      </c>
      <c r="C76" s="35">
        <v>835</v>
      </c>
      <c r="D76" s="29" t="s">
        <v>170</v>
      </c>
      <c r="E76" s="30" t="s">
        <v>54</v>
      </c>
      <c r="F76" s="31">
        <v>44608</v>
      </c>
      <c r="G76" s="32">
        <v>4.53125</v>
      </c>
      <c r="H76" s="31">
        <v>44605</v>
      </c>
      <c r="I76" s="32">
        <v>4.031944444444445</v>
      </c>
      <c r="J76" s="33">
        <f>F76-H76</f>
      </c>
      <c r="K76" s="28">
        <v>35</v>
      </c>
      <c r="L76" s="28">
        <v>3</v>
      </c>
      <c r="M76" s="28">
        <v>1</v>
      </c>
      <c r="N76" s="35">
        <v>1</v>
      </c>
      <c r="O76" s="34"/>
      <c r="P76" s="35">
        <v>1</v>
      </c>
      <c r="Q76" s="34"/>
      <c r="R76" s="34"/>
      <c r="S76" s="34"/>
      <c r="T76" s="34"/>
      <c r="U76" s="34"/>
      <c r="V76" s="34"/>
      <c r="W76" s="29"/>
      <c r="X76" s="28">
        <v>33</v>
      </c>
      <c r="Y76" s="28">
        <v>1</v>
      </c>
      <c r="Z76" s="28">
        <v>1</v>
      </c>
      <c r="AA76" s="28">
        <v>2</v>
      </c>
      <c r="AB76" s="28">
        <v>1</v>
      </c>
      <c r="AC76" s="28">
        <v>1</v>
      </c>
      <c r="AD76" s="28">
        <v>2</v>
      </c>
      <c r="AE76" s="28">
        <v>4</v>
      </c>
      <c r="AF76" s="28">
        <v>2</v>
      </c>
      <c r="AG76" s="28">
        <v>2</v>
      </c>
      <c r="AH76" s="29" t="s">
        <v>231</v>
      </c>
      <c r="AI76" s="36">
        <f>IF(OR(AND(K76&lt;32, J76&lt;2), O76=1, P76=1, Q76=1, R76=1, S76=1, T76=1, U76=1, AND(W76&lt;&gt;"", W76&lt;&gt;"Oxygen", W76&lt;&gt;"LowFlow")), "Intensive", "Intermediate")</f>
      </c>
      <c r="AJ76" s="37">
        <f>IF(OR(LEFT(AH76, 1)="X", LEFT(AH76, 1)="Y", LEFT(AH76, 3)="J8M"), "CUSM", "No Match")</f>
      </c>
      <c r="AK76" s="37">
        <f>IF(AND(OR(O76=3, P76=1, Q76=1, T76=1), AJ76="no Match"), "CUSM, CHU SJ, CHUQ", "")</f>
      </c>
      <c r="AL76" s="37">
        <f>IF(AND(O76=2, ISBLANK(P76), ISBLANK(Q76), ISBLANK(R76), ISBLANK(S76), ISBLANK(T76)), "CUSM, CHU SJ, CHUS, CHUQ", "")</f>
      </c>
      <c r="AM76" s="37">
        <f>IF(AND(AJ76="no match", AK76="", AL76="", K76&lt;26), "CUSM, CHU SJ, HGJ, CHUQ, CHUS", "")</f>
      </c>
      <c r="AN76" s="37">
        <f>IF(AND(AJ76="no match", AK76="", AL76="", K76&gt;26), "CUSM, CHU SJ, HGJ, CHUQ, CHUS, HMR", "")</f>
      </c>
    </row>
    <row x14ac:dyDescent="0.25" r="77" customHeight="1" ht="17.25">
      <c r="A77" s="27" t="s">
        <v>232</v>
      </c>
      <c r="B77" s="28">
        <v>2</v>
      </c>
      <c r="C77" s="28">
        <v>822</v>
      </c>
      <c r="D77" s="29" t="s">
        <v>167</v>
      </c>
      <c r="E77" s="30" t="s">
        <v>78</v>
      </c>
      <c r="F77" s="31">
        <v>44608</v>
      </c>
      <c r="G77" s="32">
        <v>4.118055555555555</v>
      </c>
      <c r="H77" s="31">
        <v>44607</v>
      </c>
      <c r="I77" s="32">
        <v>4.977083333333333</v>
      </c>
      <c r="J77" s="33">
        <f>F77-H77</f>
      </c>
      <c r="K77" s="28">
        <v>30</v>
      </c>
      <c r="L77" s="28">
        <v>3</v>
      </c>
      <c r="M77" s="28">
        <v>1</v>
      </c>
      <c r="N77" s="34"/>
      <c r="O77" s="34"/>
      <c r="P77" s="34"/>
      <c r="Q77" s="34"/>
      <c r="R77" s="34"/>
      <c r="S77" s="34"/>
      <c r="T77" s="38"/>
      <c r="U77" s="34"/>
      <c r="V77" s="34"/>
      <c r="W77" s="29" t="s">
        <v>74</v>
      </c>
      <c r="X77" s="28">
        <v>24</v>
      </c>
      <c r="Y77" s="28">
        <v>1</v>
      </c>
      <c r="Z77" s="28">
        <v>2</v>
      </c>
      <c r="AA77" s="28">
        <v>1</v>
      </c>
      <c r="AB77" s="28">
        <v>1</v>
      </c>
      <c r="AC77" s="28">
        <v>2</v>
      </c>
      <c r="AD77" s="28">
        <v>2</v>
      </c>
      <c r="AE77" s="28">
        <v>2</v>
      </c>
      <c r="AF77" s="28">
        <v>2</v>
      </c>
      <c r="AG77" s="28">
        <v>2</v>
      </c>
      <c r="AH77" s="29" t="s">
        <v>233</v>
      </c>
      <c r="AI77" s="36">
        <f>IF(OR(AND(K77&lt;32, J77&lt;2), O77=1, P77=1, Q77=1, R77=1, S77=1, T77=1, U77=1, AND(W77&lt;&gt;"", W77&lt;&gt;"Oxygen", W77&lt;&gt;"LowFlow")), "Intensive", "Intermediate")</f>
      </c>
      <c r="AJ77" s="37">
        <f>IF(OR(LEFT(AH77, 1)="X", LEFT(AH77, 1)="Y", LEFT(AH77, 3)="J9M"), "CUSM", "No Match")</f>
      </c>
      <c r="AK77" s="37">
        <f>IF(AND(OR(O77=3, P77=1, Q77=1, T77=1), AJ77="no Match"), "CUSM, CHU SJ, CHUQ", "")</f>
      </c>
      <c r="AL77" s="37">
        <f>IF(AND(O77=2, ISBLANK(P77), ISBLANK(Q77), ISBLANK(R77), ISBLANK(S77), ISBLANK(T77)), "CUSM, CHU SJ, CHUS, CHUQ", "")</f>
      </c>
      <c r="AM77" s="37">
        <f>IF(AND(AJ77="no match", AK77="", AL77="", K77&lt;26), "CUSM, CHU SJ, HGJ, CHUQ, CHUS", "")</f>
      </c>
      <c r="AN77" s="37">
        <f>IF(AND(AJ77="no match", AK77="", AL77="", K77&gt;26), "CUSM, CHU SJ, HGJ, CHUQ, CHUS, HMR", "")</f>
      </c>
    </row>
    <row x14ac:dyDescent="0.25" r="78" customHeight="1" ht="17.25">
      <c r="A78" s="27" t="s">
        <v>234</v>
      </c>
      <c r="B78" s="28">
        <v>2</v>
      </c>
      <c r="C78" s="28">
        <v>756</v>
      </c>
      <c r="D78" s="29" t="s">
        <v>66</v>
      </c>
      <c r="E78" s="30" t="s">
        <v>50</v>
      </c>
      <c r="F78" s="31">
        <v>44608</v>
      </c>
      <c r="G78" s="32">
        <v>4.458333333333334</v>
      </c>
      <c r="H78" s="31">
        <v>44606</v>
      </c>
      <c r="I78" s="32">
        <v>4.593055555555555</v>
      </c>
      <c r="J78" s="33">
        <f>F78-H78</f>
      </c>
      <c r="K78" s="28">
        <v>36</v>
      </c>
      <c r="L78" s="28">
        <v>1</v>
      </c>
      <c r="M78" s="28">
        <v>1</v>
      </c>
      <c r="N78" s="34"/>
      <c r="O78" s="34"/>
      <c r="P78" s="34"/>
      <c r="Q78" s="34"/>
      <c r="R78" s="34"/>
      <c r="S78" s="34"/>
      <c r="T78" s="34"/>
      <c r="U78" s="34"/>
      <c r="V78" s="34"/>
      <c r="W78" s="29" t="s">
        <v>74</v>
      </c>
      <c r="X78" s="28">
        <v>34</v>
      </c>
      <c r="Y78" s="28">
        <v>1</v>
      </c>
      <c r="Z78" s="28">
        <v>2</v>
      </c>
      <c r="AA78" s="28">
        <v>2</v>
      </c>
      <c r="AB78" s="28">
        <v>1</v>
      </c>
      <c r="AC78" s="28">
        <v>2</v>
      </c>
      <c r="AD78" s="28">
        <v>2</v>
      </c>
      <c r="AE78" s="28">
        <v>4</v>
      </c>
      <c r="AF78" s="28">
        <v>2</v>
      </c>
      <c r="AG78" s="28">
        <v>2</v>
      </c>
      <c r="AH78" s="29" t="s">
        <v>235</v>
      </c>
      <c r="AI78" s="36">
        <f>IF(OR(AND(K78&lt;32, J78&lt;2), O78=1, P78=1, Q78=1, R78=1, S78=1, T78=1, U78=1, AND(W78&lt;&gt;"", W78&lt;&gt;"Oxygen", W78&lt;&gt;"LowFlow")), "Intensive", "Intermediate")</f>
      </c>
      <c r="AJ78" s="37">
        <f>IF(OR(LEFT(AH78, 1)="X", LEFT(AH78, 1)="Y", LEFT(AH78, 3)="J10M"), "CUSM", "No Match")</f>
      </c>
      <c r="AK78" s="37">
        <f>IF(AND(OR(O78=3, P78=1, Q78=1, T78=1), AJ78="no Match"), "CUSM, CHU SJ, CHUQ", "")</f>
      </c>
      <c r="AL78" s="37">
        <f>IF(AND(O78=2, ISBLANK(P78), ISBLANK(Q78), ISBLANK(R78), ISBLANK(S78), ISBLANK(T78)), "CUSM, CHU SJ, CHUS, CHUQ", "")</f>
      </c>
      <c r="AM78" s="37">
        <f>IF(AND(AJ78="no match", AK78="", AL78="", K78&lt;26), "CUSM, CHU SJ, HGJ, CHUQ, CHUS", "")</f>
      </c>
      <c r="AN78" s="37">
        <f>IF(AND(AJ78="no match", AK78="", AL78="", K78&gt;26), "CUSM, CHU SJ, HGJ, CHUQ, CHUS, HMR", "")</f>
      </c>
    </row>
    <row x14ac:dyDescent="0.25" r="79" customHeight="1" ht="17.25">
      <c r="A79" s="27" t="s">
        <v>236</v>
      </c>
      <c r="B79" s="28">
        <v>2</v>
      </c>
      <c r="C79" s="35">
        <v>731</v>
      </c>
      <c r="D79" s="29" t="s">
        <v>103</v>
      </c>
      <c r="E79" s="30" t="s">
        <v>54</v>
      </c>
      <c r="F79" s="31">
        <v>44609</v>
      </c>
      <c r="G79" s="32">
        <v>4.597222222222222</v>
      </c>
      <c r="H79" s="31">
        <v>44606</v>
      </c>
      <c r="I79" s="32">
        <v>4.588888888888889</v>
      </c>
      <c r="J79" s="33">
        <f>F79-H79</f>
      </c>
      <c r="K79" s="28">
        <v>32</v>
      </c>
      <c r="L79" s="28">
        <v>3</v>
      </c>
      <c r="M79" s="28">
        <v>2</v>
      </c>
      <c r="N79" s="35">
        <v>1</v>
      </c>
      <c r="O79" s="34"/>
      <c r="P79" s="35">
        <v>1</v>
      </c>
      <c r="Q79" s="34"/>
      <c r="R79" s="34"/>
      <c r="S79" s="34"/>
      <c r="T79" s="34"/>
      <c r="U79" s="34"/>
      <c r="V79" s="34"/>
      <c r="W79" s="29"/>
      <c r="X79" s="28">
        <v>37</v>
      </c>
      <c r="Y79" s="28">
        <v>1</v>
      </c>
      <c r="Z79" s="28">
        <v>2</v>
      </c>
      <c r="AA79" s="28">
        <v>2</v>
      </c>
      <c r="AB79" s="28">
        <v>1</v>
      </c>
      <c r="AC79" s="28">
        <v>2</v>
      </c>
      <c r="AD79" s="28">
        <v>2</v>
      </c>
      <c r="AE79" s="28">
        <v>4</v>
      </c>
      <c r="AF79" s="28">
        <v>2</v>
      </c>
      <c r="AG79" s="28">
        <v>2</v>
      </c>
      <c r="AH79" s="29" t="s">
        <v>237</v>
      </c>
      <c r="AI79" s="36">
        <f>IF(OR(AND(K79&lt;32, J79&lt;2), O79=1, P79=1, Q79=1, R79=1, S79=1, T79=1, U79=1, AND(W79&lt;&gt;"", W79&lt;&gt;"Oxygen", W79&lt;&gt;"LowFlow")), "Intensive", "Intermediate")</f>
      </c>
      <c r="AJ79" s="37">
        <f>IF(OR(LEFT(AH79, 1)="X", LEFT(AH79, 1)="Y", LEFT(AH79, 3)="J11M"), "CUSM", "No Match")</f>
      </c>
      <c r="AK79" s="37">
        <f>IF(AND(OR(O79=3, P79=1, Q79=1, T79=1), AJ79="no Match"), "CUSM, CHU SJ, CHUQ", "")</f>
      </c>
      <c r="AL79" s="37">
        <f>IF(AND(O79=2, ISBLANK(P79), ISBLANK(Q79), ISBLANK(R79), ISBLANK(S79), ISBLANK(T79)), "CUSM, CHU SJ, CHUS, CHUQ", "")</f>
      </c>
      <c r="AM79" s="37">
        <f>IF(AND(AJ79="no match", AK79="", AL79="", K79&lt;26), "CUSM, CHU SJ, HGJ, CHUQ, CHUS", "")</f>
      </c>
      <c r="AN79" s="37">
        <f>IF(AND(AJ79="no match", AK79="", AL79="", K79&gt;26), "CUSM, CHU SJ, HGJ, CHUQ, CHUS, HMR", "")</f>
      </c>
    </row>
    <row x14ac:dyDescent="0.25" r="80" customHeight="1" ht="17.25">
      <c r="A80" s="27" t="s">
        <v>238</v>
      </c>
      <c r="B80" s="28">
        <v>2</v>
      </c>
      <c r="C80" s="35">
        <v>779</v>
      </c>
      <c r="D80" s="29" t="s">
        <v>136</v>
      </c>
      <c r="E80" s="30" t="s">
        <v>50</v>
      </c>
      <c r="F80" s="31">
        <v>44609</v>
      </c>
      <c r="G80" s="32">
        <v>4.190972222222222</v>
      </c>
      <c r="H80" s="31">
        <v>44608</v>
      </c>
      <c r="I80" s="32">
        <v>4.888194444444444</v>
      </c>
      <c r="J80" s="33">
        <f>F80-H80</f>
      </c>
      <c r="K80" s="28">
        <v>38</v>
      </c>
      <c r="L80" s="28">
        <v>4</v>
      </c>
      <c r="M80" s="28">
        <v>2</v>
      </c>
      <c r="N80" s="34"/>
      <c r="O80" s="34"/>
      <c r="P80" s="34"/>
      <c r="Q80" s="34"/>
      <c r="R80" s="34"/>
      <c r="S80" s="34"/>
      <c r="T80" s="34"/>
      <c r="U80" s="34"/>
      <c r="V80" s="34"/>
      <c r="W80" s="29" t="s">
        <v>58</v>
      </c>
      <c r="X80" s="28">
        <v>33</v>
      </c>
      <c r="Y80" s="28">
        <v>1</v>
      </c>
      <c r="Z80" s="28">
        <v>1</v>
      </c>
      <c r="AA80" s="28">
        <v>2</v>
      </c>
      <c r="AB80" s="28">
        <v>1</v>
      </c>
      <c r="AC80" s="28">
        <v>2</v>
      </c>
      <c r="AD80" s="28">
        <v>2</v>
      </c>
      <c r="AE80" s="28">
        <v>4</v>
      </c>
      <c r="AF80" s="28">
        <v>2</v>
      </c>
      <c r="AG80" s="28">
        <v>2</v>
      </c>
      <c r="AH80" s="29" t="s">
        <v>239</v>
      </c>
      <c r="AI80" s="36">
        <f>IF(OR(AND(K80&lt;32, J80&lt;2), O80=1, P80=1, Q80=1, R80=1, S80=1, T80=1, U80=1, AND(W80&lt;&gt;"", W80&lt;&gt;"Oxygen", W80&lt;&gt;"LowFlow")), "Intensive", "Intermediate")</f>
      </c>
      <c r="AJ80" s="37">
        <f>IF(OR(LEFT(AH80, 1)="X", LEFT(AH80, 1)="Y", LEFT(AH80, 3)="J12M"), "CUSM", "No Match")</f>
      </c>
      <c r="AK80" s="37">
        <f>IF(AND(OR(O80=3, P80=1, Q80=1, T80=1), AJ80="no Match"), "CUSM, CHU SJ, CHUQ", "")</f>
      </c>
      <c r="AL80" s="37">
        <f>IF(AND(O80=2, ISBLANK(P80), ISBLANK(Q80), ISBLANK(R80), ISBLANK(S80), ISBLANK(T80)), "CUSM, CHU SJ, CHUS, CHUQ", "")</f>
      </c>
      <c r="AM80" s="37">
        <f>IF(AND(AJ80="no match", AK80="", AL80="", K80&lt;26), "CUSM, CHU SJ, HGJ, CHUQ, CHUS", "")</f>
      </c>
      <c r="AN80" s="37">
        <f>IF(AND(AJ80="no match", AK80="", AL80="", K80&gt;26), "CUSM, CHU SJ, HGJ, CHUQ, CHUS, HMR", "")</f>
      </c>
    </row>
    <row x14ac:dyDescent="0.25" r="81" customHeight="1" ht="17.25">
      <c r="A81" s="27" t="s">
        <v>240</v>
      </c>
      <c r="B81" s="28">
        <v>2</v>
      </c>
      <c r="C81" s="35">
        <v>839</v>
      </c>
      <c r="D81" s="29" t="s">
        <v>53</v>
      </c>
      <c r="E81" s="30" t="s">
        <v>54</v>
      </c>
      <c r="F81" s="31">
        <v>44612</v>
      </c>
      <c r="G81" s="32">
        <v>4.043055555555556</v>
      </c>
      <c r="H81" s="31">
        <v>44611</v>
      </c>
      <c r="I81" s="32">
        <v>4.254861111111111</v>
      </c>
      <c r="J81" s="33">
        <f>F81-H81</f>
      </c>
      <c r="K81" s="28">
        <v>40</v>
      </c>
      <c r="L81" s="28">
        <v>2</v>
      </c>
      <c r="M81" s="28">
        <v>1</v>
      </c>
      <c r="N81" s="38"/>
      <c r="O81" s="34"/>
      <c r="P81" s="34"/>
      <c r="Q81" s="34"/>
      <c r="R81" s="34"/>
      <c r="S81" s="34"/>
      <c r="T81" s="34"/>
      <c r="U81" s="34"/>
      <c r="V81" s="34"/>
      <c r="W81" s="29"/>
      <c r="X81" s="28">
        <v>27</v>
      </c>
      <c r="Y81" s="28">
        <v>1</v>
      </c>
      <c r="Z81" s="28">
        <v>1</v>
      </c>
      <c r="AA81" s="28">
        <v>3</v>
      </c>
      <c r="AB81" s="28">
        <v>1</v>
      </c>
      <c r="AC81" s="28">
        <v>2</v>
      </c>
      <c r="AD81" s="28">
        <v>2</v>
      </c>
      <c r="AE81" s="28">
        <v>4</v>
      </c>
      <c r="AF81" s="28">
        <v>3</v>
      </c>
      <c r="AG81" s="28">
        <v>2</v>
      </c>
      <c r="AH81" s="29" t="s">
        <v>241</v>
      </c>
      <c r="AI81" s="36">
        <f>IF(OR(AND(K81&lt;32, J81&lt;2), O81=1, P81=1, Q81=1, R81=1, S81=1, T81=1, U81=1, AND(W81&lt;&gt;"", W81&lt;&gt;"Oxygen", W81&lt;&gt;"LowFlow")), "Intensive", "Intermediate")</f>
      </c>
      <c r="AJ81" s="37">
        <f>IF(OR(LEFT(AH81, 1)="X", LEFT(AH81, 1)="Y", LEFT(AH81, 3)="J13M"), "CUSM", "No Match")</f>
      </c>
      <c r="AK81" s="37">
        <f>IF(AND(OR(O81=3, P81=1, Q81=1, T81=1), AJ81="no Match"), "CUSM, CHU SJ, CHUQ", "")</f>
      </c>
      <c r="AL81" s="37">
        <f>IF(AND(O81=2, ISBLANK(P81), ISBLANK(Q81), ISBLANK(R81), ISBLANK(S81), ISBLANK(T81)), "CUSM, CHU SJ, CHUS, CHUQ", "")</f>
      </c>
      <c r="AM81" s="37">
        <f>IF(AND(AJ81="no match", AK81="", AL81="", K81&lt;26), "CUSM, CHU SJ, HGJ, CHUQ, CHUS", "")</f>
      </c>
      <c r="AN81" s="37">
        <f>IF(AND(AJ81="no match", AK81="", AL81="", K81&gt;26), "CUSM, CHU SJ, HGJ, CHUQ, CHUS, HMR", "")</f>
      </c>
    </row>
    <row x14ac:dyDescent="0.25" r="82" customHeight="1" ht="17.25">
      <c r="A82" s="27" t="s">
        <v>242</v>
      </c>
      <c r="B82" s="28">
        <v>2</v>
      </c>
      <c r="C82" s="35">
        <v>779</v>
      </c>
      <c r="D82" s="29" t="s">
        <v>136</v>
      </c>
      <c r="E82" s="30" t="s">
        <v>54</v>
      </c>
      <c r="F82" s="31">
        <v>44612</v>
      </c>
      <c r="G82" s="32">
        <v>4.451388888888889</v>
      </c>
      <c r="H82" s="31">
        <v>44610</v>
      </c>
      <c r="I82" s="32">
        <v>4.002083333333333</v>
      </c>
      <c r="J82" s="33">
        <f>F82-H82</f>
      </c>
      <c r="K82" s="28">
        <v>41</v>
      </c>
      <c r="L82" s="28">
        <v>2</v>
      </c>
      <c r="M82" s="28">
        <v>2</v>
      </c>
      <c r="N82" s="38"/>
      <c r="O82" s="34"/>
      <c r="P82" s="34"/>
      <c r="Q82" s="34"/>
      <c r="R82" s="34"/>
      <c r="S82" s="34"/>
      <c r="T82" s="34"/>
      <c r="U82" s="34"/>
      <c r="V82" s="34"/>
      <c r="W82" s="29"/>
      <c r="X82" s="28">
        <v>28</v>
      </c>
      <c r="Y82" s="28">
        <v>1</v>
      </c>
      <c r="Z82" s="28">
        <v>2</v>
      </c>
      <c r="AA82" s="28">
        <v>2</v>
      </c>
      <c r="AB82" s="28">
        <v>1</v>
      </c>
      <c r="AC82" s="28">
        <v>2</v>
      </c>
      <c r="AD82" s="28">
        <v>2</v>
      </c>
      <c r="AE82" s="28">
        <v>4</v>
      </c>
      <c r="AF82" s="28">
        <v>2</v>
      </c>
      <c r="AG82" s="28">
        <v>2</v>
      </c>
      <c r="AH82" s="29" t="s">
        <v>243</v>
      </c>
      <c r="AI82" s="36">
        <f>IF(OR(AND(K82&lt;32, J82&lt;2), O82=1, P82=1, Q82=1, R82=1, S82=1, T82=1, U82=1, AND(W82&lt;&gt;"", W82&lt;&gt;"Oxygen", W82&lt;&gt;"LowFlow")), "Intensive", "Intermediate")</f>
      </c>
      <c r="AJ82" s="37">
        <f>IF(OR(LEFT(AH82, 1)="X", LEFT(AH82, 1)="Y", LEFT(AH82, 3)="J14M"), "CUSM", "No Match")</f>
      </c>
      <c r="AK82" s="37">
        <f>IF(AND(OR(O82=3, P82=1, Q82=1, T82=1), AJ82="no Match"), "CUSM, CHU SJ, CHUQ", "")</f>
      </c>
      <c r="AL82" s="37">
        <f>IF(AND(O82=2, ISBLANK(P82), ISBLANK(Q82), ISBLANK(R82), ISBLANK(S82), ISBLANK(T82)), "CUSM, CHU SJ, CHUS, CHUQ", "")</f>
      </c>
      <c r="AM82" s="37">
        <f>IF(AND(AJ82="no match", AK82="", AL82="", K82&lt;26), "CUSM, CHU SJ, HGJ, CHUQ, CHUS", "")</f>
      </c>
      <c r="AN82" s="37">
        <f>IF(AND(AJ82="no match", AK82="", AL82="", K82&gt;26), "CUSM, CHU SJ, HGJ, CHUQ, CHUS, HMR", "")</f>
      </c>
    </row>
    <row x14ac:dyDescent="0.25" r="83" customHeight="1" ht="17.25">
      <c r="A83" s="27" t="s">
        <v>244</v>
      </c>
      <c r="B83" s="28">
        <v>2</v>
      </c>
      <c r="C83" s="35">
        <v>730</v>
      </c>
      <c r="D83" s="29" t="s">
        <v>81</v>
      </c>
      <c r="E83" s="30" t="s">
        <v>50</v>
      </c>
      <c r="F83" s="31">
        <v>44612</v>
      </c>
      <c r="G83" s="32">
        <v>4.79375</v>
      </c>
      <c r="H83" s="31">
        <v>44610</v>
      </c>
      <c r="I83" s="32">
        <v>4.927083333333334</v>
      </c>
      <c r="J83" s="33">
        <f>F83-H83</f>
      </c>
      <c r="K83" s="28">
        <v>35</v>
      </c>
      <c r="L83" s="28">
        <v>1</v>
      </c>
      <c r="M83" s="28">
        <v>1</v>
      </c>
      <c r="N83" s="28">
        <v>1</v>
      </c>
      <c r="O83" s="34"/>
      <c r="P83" s="38"/>
      <c r="Q83" s="34"/>
      <c r="R83" s="34"/>
      <c r="S83" s="34"/>
      <c r="T83" s="34"/>
      <c r="U83" s="34"/>
      <c r="V83" s="34"/>
      <c r="W83" s="29" t="s">
        <v>74</v>
      </c>
      <c r="X83" s="28">
        <v>38</v>
      </c>
      <c r="Y83" s="28">
        <v>1</v>
      </c>
      <c r="Z83" s="28">
        <v>2</v>
      </c>
      <c r="AA83" s="28">
        <v>1</v>
      </c>
      <c r="AB83" s="28">
        <v>1</v>
      </c>
      <c r="AC83" s="28">
        <v>2</v>
      </c>
      <c r="AD83" s="28">
        <v>2</v>
      </c>
      <c r="AE83" s="28">
        <v>2</v>
      </c>
      <c r="AF83" s="28">
        <v>2</v>
      </c>
      <c r="AG83" s="28">
        <v>2</v>
      </c>
      <c r="AH83" s="29" t="s">
        <v>245</v>
      </c>
      <c r="AI83" s="36">
        <f>IF(OR(AND(K83&lt;32, J83&lt;2), O83=1, P83=1, Q83=1, R83=1, S83=1, T83=1, U83=1, AND(W83&lt;&gt;"", W83&lt;&gt;"Oxygen", W83&lt;&gt;"LowFlow")), "Intensive", "Intermediate")</f>
      </c>
      <c r="AJ83" s="37">
        <f>IF(OR(LEFT(AH83, 1)="X", LEFT(AH83, 1)="Y", LEFT(AH83, 3)="J15M"), "CUSM", "No Match")</f>
      </c>
      <c r="AK83" s="37">
        <f>IF(AND(OR(O83=3, P83=1, Q83=1, T83=1), AJ83="no Match"), "CUSM, CHU SJ, CHUQ", "")</f>
      </c>
      <c r="AL83" s="37">
        <f>IF(AND(O83=2, ISBLANK(P83), ISBLANK(Q83), ISBLANK(R83), ISBLANK(S83), ISBLANK(T83)), "CUSM, CHU SJ, CHUS, CHUQ", "")</f>
      </c>
      <c r="AM83" s="37">
        <f>IF(AND(AJ83="no match", AK83="", AL83="", K83&lt;26), "CUSM, CHU SJ, HGJ, CHUQ, CHUS", "")</f>
      </c>
      <c r="AN83" s="37">
        <f>IF(AND(AJ83="no match", AK83="", AL83="", K83&gt;26), "CUSM, CHU SJ, HGJ, CHUQ, CHUS, HMR", "")</f>
      </c>
    </row>
    <row x14ac:dyDescent="0.25" r="84" customHeight="1" ht="17.25">
      <c r="A84" s="27" t="s">
        <v>246</v>
      </c>
      <c r="B84" s="28">
        <v>2</v>
      </c>
      <c r="C84" s="28">
        <v>809</v>
      </c>
      <c r="D84" s="29" t="s">
        <v>117</v>
      </c>
      <c r="E84" s="30" t="s">
        <v>118</v>
      </c>
      <c r="F84" s="31">
        <v>44613</v>
      </c>
      <c r="G84" s="32">
        <v>4.59375</v>
      </c>
      <c r="H84" s="31">
        <v>44613</v>
      </c>
      <c r="I84" s="32">
        <v>4.395138888888889</v>
      </c>
      <c r="J84" s="33">
        <f>F84-H84</f>
      </c>
      <c r="K84" s="28">
        <v>39</v>
      </c>
      <c r="L84" s="28">
        <v>1</v>
      </c>
      <c r="M84" s="28">
        <v>2</v>
      </c>
      <c r="N84" s="38"/>
      <c r="O84" s="34"/>
      <c r="P84" s="38"/>
      <c r="Q84" s="34"/>
      <c r="R84" s="34"/>
      <c r="S84" s="34"/>
      <c r="T84" s="35">
        <v>1</v>
      </c>
      <c r="U84" s="34"/>
      <c r="V84" s="34"/>
      <c r="W84" s="29" t="s">
        <v>74</v>
      </c>
      <c r="X84" s="28">
        <v>26</v>
      </c>
      <c r="Y84" s="28">
        <v>1</v>
      </c>
      <c r="Z84" s="28">
        <v>1</v>
      </c>
      <c r="AA84" s="28">
        <v>2</v>
      </c>
      <c r="AB84" s="28">
        <v>1</v>
      </c>
      <c r="AC84" s="28">
        <v>2</v>
      </c>
      <c r="AD84" s="28">
        <v>2</v>
      </c>
      <c r="AE84" s="28">
        <v>3</v>
      </c>
      <c r="AF84" s="28">
        <v>2</v>
      </c>
      <c r="AG84" s="28">
        <v>2</v>
      </c>
      <c r="AH84" s="29" t="s">
        <v>247</v>
      </c>
      <c r="AI84" s="36">
        <f>IF(OR(AND(K84&lt;32, J84&lt;2), O84=1, P84=1, Q84=1, R84=1, S84=1, T84=1, U84=1, AND(W84&lt;&gt;"", W84&lt;&gt;"Oxygen", W84&lt;&gt;"LowFlow")), "Intensive", "Intermediate")</f>
      </c>
      <c r="AJ84" s="37">
        <f>IF(OR(LEFT(AH84, 1)="X", LEFT(AH84, 1)="Y", LEFT(AH84, 3)="J16M"), "CUSM", "No Match")</f>
      </c>
      <c r="AK84" s="37">
        <f>IF(AND(OR(O84=3, P84=1, Q84=1, T84=1), AJ84="no Match"), "CUSM, CHU SJ, CHUQ", "")</f>
      </c>
      <c r="AL84" s="37">
        <f>IF(AND(O84=2, ISBLANK(P84), ISBLANK(Q84), ISBLANK(R84), ISBLANK(S84), ISBLANK(T84)), "CUSM, CHU SJ, CHUS, CHUQ", "")</f>
      </c>
      <c r="AM84" s="37">
        <f>IF(AND(AJ84="no match", AK84="", AL84="", K84&lt;26), "CUSM, CHU SJ, HGJ, CHUQ, CHUS", "")</f>
      </c>
      <c r="AN84" s="37">
        <f>IF(AND(AJ84="no match", AK84="", AL84="", K84&gt;26), "CUSM, CHU SJ, HGJ, CHUQ, CHUS, HMR", "")</f>
      </c>
    </row>
    <row x14ac:dyDescent="0.25" r="85" customHeight="1" ht="17.25">
      <c r="A85" s="27" t="s">
        <v>248</v>
      </c>
      <c r="B85" s="28">
        <v>2</v>
      </c>
      <c r="C85" s="35">
        <v>779</v>
      </c>
      <c r="D85" s="29" t="s">
        <v>136</v>
      </c>
      <c r="E85" s="30" t="s">
        <v>54</v>
      </c>
      <c r="F85" s="31">
        <v>44613</v>
      </c>
      <c r="G85" s="32">
        <v>4.916666666666666</v>
      </c>
      <c r="H85" s="31">
        <v>44613</v>
      </c>
      <c r="I85" s="32">
        <v>4.7375</v>
      </c>
      <c r="J85" s="33">
        <f>F85-H85</f>
      </c>
      <c r="K85" s="28">
        <v>37</v>
      </c>
      <c r="L85" s="28">
        <v>2</v>
      </c>
      <c r="M85" s="28">
        <v>1</v>
      </c>
      <c r="N85" s="38"/>
      <c r="O85" s="34"/>
      <c r="P85" s="38"/>
      <c r="Q85" s="34"/>
      <c r="R85" s="34"/>
      <c r="S85" s="34"/>
      <c r="T85" s="35">
        <v>1</v>
      </c>
      <c r="U85" s="34"/>
      <c r="V85" s="34"/>
      <c r="W85" s="29"/>
      <c r="X85" s="28">
        <v>30</v>
      </c>
      <c r="Y85" s="28">
        <v>1</v>
      </c>
      <c r="Z85" s="28">
        <v>1</v>
      </c>
      <c r="AA85" s="28">
        <v>2</v>
      </c>
      <c r="AB85" s="28">
        <v>3</v>
      </c>
      <c r="AC85" s="28">
        <v>2</v>
      </c>
      <c r="AD85" s="28">
        <v>2</v>
      </c>
      <c r="AE85" s="28">
        <v>4</v>
      </c>
      <c r="AF85" s="28">
        <v>2</v>
      </c>
      <c r="AG85" s="28">
        <v>2</v>
      </c>
      <c r="AH85" s="29" t="s">
        <v>249</v>
      </c>
      <c r="AI85" s="36">
        <f>IF(OR(AND(K85&lt;32, J85&lt;2), O85=1, P85=1, Q85=1, R85=1, S85=1, T85=1, U85=1, AND(W85&lt;&gt;"", W85&lt;&gt;"Oxygen", W85&lt;&gt;"LowFlow")), "Intensive", "Intermediate")</f>
      </c>
      <c r="AJ85" s="37">
        <f>IF(OR(LEFT(AH85, 1)="X", LEFT(AH85, 1)="Y", LEFT(AH85, 3)="J17M"), "CUSM", "No Match")</f>
      </c>
      <c r="AK85" s="37">
        <f>IF(AND(OR(O85=3, P85=1, Q85=1, T85=1), AJ85="no Match"), "CUSM, CHU SJ, CHUQ", "")</f>
      </c>
      <c r="AL85" s="37">
        <f>IF(AND(O85=2, ISBLANK(P85), ISBLANK(Q85), ISBLANK(R85), ISBLANK(S85), ISBLANK(T85)), "CUSM, CHU SJ, CHUS, CHUQ", "")</f>
      </c>
      <c r="AM85" s="37">
        <f>IF(AND(AJ85="no match", AK85="", AL85="", K85&lt;26), "CUSM, CHU SJ, HGJ, CHUQ, CHUS", "")</f>
      </c>
      <c r="AN85" s="37">
        <f>IF(AND(AJ85="no match", AK85="", AL85="", K85&gt;26), "CUSM, CHU SJ, HGJ, CHUQ, CHUS, HMR", "")</f>
      </c>
    </row>
    <row x14ac:dyDescent="0.25" r="86" customHeight="1" ht="17.25">
      <c r="A86" s="27" t="s">
        <v>250</v>
      </c>
      <c r="B86" s="28">
        <v>2</v>
      </c>
      <c r="C86" s="35">
        <v>756</v>
      </c>
      <c r="D86" s="29" t="s">
        <v>66</v>
      </c>
      <c r="E86" s="30" t="s">
        <v>50</v>
      </c>
      <c r="F86" s="31">
        <v>44613</v>
      </c>
      <c r="G86" s="32">
        <v>4.614583333333334</v>
      </c>
      <c r="H86" s="31">
        <v>44588</v>
      </c>
      <c r="I86" s="32">
        <v>4.88125</v>
      </c>
      <c r="J86" s="33">
        <f>F86-H86</f>
      </c>
      <c r="K86" s="28">
        <v>32</v>
      </c>
      <c r="L86" s="28">
        <v>6</v>
      </c>
      <c r="M86" s="28">
        <v>1</v>
      </c>
      <c r="N86" s="28">
        <v>1</v>
      </c>
      <c r="O86" s="34"/>
      <c r="P86" s="34"/>
      <c r="Q86" s="34"/>
      <c r="R86" s="34"/>
      <c r="S86" s="34"/>
      <c r="T86" s="34"/>
      <c r="U86" s="34"/>
      <c r="V86" s="34"/>
      <c r="W86" s="29" t="s">
        <v>58</v>
      </c>
      <c r="X86" s="28">
        <v>30</v>
      </c>
      <c r="Y86" s="28">
        <v>1</v>
      </c>
      <c r="Z86" s="28">
        <v>1</v>
      </c>
      <c r="AA86" s="28">
        <v>1</v>
      </c>
      <c r="AB86" s="28">
        <v>1</v>
      </c>
      <c r="AC86" s="28">
        <v>2</v>
      </c>
      <c r="AD86" s="28">
        <v>2</v>
      </c>
      <c r="AE86" s="28">
        <v>2</v>
      </c>
      <c r="AF86" s="28">
        <v>2</v>
      </c>
      <c r="AG86" s="28">
        <v>2</v>
      </c>
      <c r="AH86" s="29" t="s">
        <v>251</v>
      </c>
      <c r="AI86" s="36">
        <f>IF(OR(AND(K86&lt;32, J86&lt;2), O86=1, P86=1, Q86=1, R86=1, S86=1, T86=1, U86=1, AND(W86&lt;&gt;"", W86&lt;&gt;"Oxygen", W86&lt;&gt;"LowFlow")), "Intensive", "Intermediate")</f>
      </c>
      <c r="AJ86" s="37">
        <f>IF(OR(LEFT(AH86, 1)="X", LEFT(AH86, 1)="Y", LEFT(AH86, 3)="J18M"), "CUSM", "No Match")</f>
      </c>
      <c r="AK86" s="37">
        <f>IF(AND(OR(O86=3, P86=1, Q86=1, T86=1), AJ86="no Match"), "CUSM, CHU SJ, CHUQ", "")</f>
      </c>
      <c r="AL86" s="37">
        <f>IF(AND(O86=2, ISBLANK(P86), ISBLANK(Q86), ISBLANK(R86), ISBLANK(S86), ISBLANK(T86)), "CUSM, CHU SJ, CHUS, CHUQ", "")</f>
      </c>
      <c r="AM86" s="37">
        <f>IF(AND(AJ86="no match", AK86="", AL86="", K86&lt;26), "CUSM, CHU SJ, HGJ, CHUQ, CHUS", "")</f>
      </c>
      <c r="AN86" s="37">
        <f>IF(AND(AJ86="no match", AK86="", AL86="", K86&gt;26), "CUSM, CHU SJ, HGJ, CHUQ, CHUS, HMR", "")</f>
      </c>
    </row>
    <row x14ac:dyDescent="0.25" r="87" customHeight="1" ht="17.25">
      <c r="A87" s="27" t="s">
        <v>252</v>
      </c>
      <c r="B87" s="28">
        <v>2</v>
      </c>
      <c r="C87" s="35">
        <v>839</v>
      </c>
      <c r="D87" s="29" t="s">
        <v>53</v>
      </c>
      <c r="E87" s="30" t="s">
        <v>54</v>
      </c>
      <c r="F87" s="31">
        <v>44614</v>
      </c>
      <c r="G87" s="32">
        <v>4.78125</v>
      </c>
      <c r="H87" s="31">
        <v>44614</v>
      </c>
      <c r="I87" s="32">
        <v>4.436111111111111</v>
      </c>
      <c r="J87" s="33">
        <f>F87-H87</f>
      </c>
      <c r="K87" s="28">
        <v>36</v>
      </c>
      <c r="L87" s="28">
        <v>4</v>
      </c>
      <c r="M87" s="28">
        <v>1</v>
      </c>
      <c r="N87" s="28">
        <v>1</v>
      </c>
      <c r="O87" s="34"/>
      <c r="P87" s="35">
        <v>1</v>
      </c>
      <c r="Q87" s="34"/>
      <c r="R87" s="34"/>
      <c r="S87" s="34"/>
      <c r="T87" s="35">
        <v>1</v>
      </c>
      <c r="U87" s="34"/>
      <c r="V87" s="34"/>
      <c r="W87" s="29" t="s">
        <v>164</v>
      </c>
      <c r="X87" s="28">
        <v>29</v>
      </c>
      <c r="Y87" s="28">
        <v>1</v>
      </c>
      <c r="Z87" s="28">
        <v>1</v>
      </c>
      <c r="AA87" s="28">
        <v>2</v>
      </c>
      <c r="AB87" s="28">
        <v>2</v>
      </c>
      <c r="AC87" s="28">
        <v>1</v>
      </c>
      <c r="AD87" s="28">
        <v>1</v>
      </c>
      <c r="AE87" s="28">
        <v>4</v>
      </c>
      <c r="AF87" s="28">
        <v>2</v>
      </c>
      <c r="AG87" s="28">
        <v>2</v>
      </c>
      <c r="AH87" s="29" t="s">
        <v>143</v>
      </c>
      <c r="AI87" s="36">
        <f>IF(OR(AND(K87&lt;32, J87&lt;2), O87=1, P87=1, Q87=1, R87=1, S87=1, T87=1, U87=1, AND(W87&lt;&gt;"", W87&lt;&gt;"Oxygen", W87&lt;&gt;"LowFlow")), "Intensive", "Intermediate")</f>
      </c>
      <c r="AJ87" s="37">
        <f>IF(OR(LEFT(AH87, 1)="X", LEFT(AH87, 1)="Y", LEFT(AH87, 3)="J19M"), "CUSM", "No Match")</f>
      </c>
      <c r="AK87" s="37">
        <f>IF(AND(OR(O87=3, P87=1, Q87=1, T87=1), AJ87="no Match"), "CUSM, CHU SJ, CHUQ", "")</f>
      </c>
      <c r="AL87" s="37">
        <f>IF(AND(O87=2, ISBLANK(P87), ISBLANK(Q87), ISBLANK(R87), ISBLANK(S87), ISBLANK(T87)), "CUSM, CHU SJ, CHUS, CHUQ", "")</f>
      </c>
      <c r="AM87" s="37">
        <f>IF(AND(AJ87="no match", AK87="", AL87="", K87&lt;26), "CUSM, CHU SJ, HGJ, CHUQ, CHUS", "")</f>
      </c>
      <c r="AN87" s="37">
        <f>IF(AND(AJ87="no match", AK87="", AL87="", K87&gt;26), "CUSM, CHU SJ, HGJ, CHUQ, CHUS, HMR", "")</f>
      </c>
    </row>
    <row x14ac:dyDescent="0.25" r="88" customHeight="1" ht="17.25">
      <c r="A88" s="27" t="s">
        <v>253</v>
      </c>
      <c r="B88" s="28">
        <v>2</v>
      </c>
      <c r="C88" s="28">
        <v>824</v>
      </c>
      <c r="D88" s="29" t="s">
        <v>57</v>
      </c>
      <c r="E88" s="30" t="s">
        <v>54</v>
      </c>
      <c r="F88" s="31">
        <v>44614</v>
      </c>
      <c r="G88" s="32">
        <v>4.111111111111111</v>
      </c>
      <c r="H88" s="31">
        <v>44609</v>
      </c>
      <c r="I88" s="32">
        <v>4.7340277777777775</v>
      </c>
      <c r="J88" s="33">
        <f>F88-H88</f>
      </c>
      <c r="K88" s="28">
        <v>38</v>
      </c>
      <c r="L88" s="28">
        <v>0</v>
      </c>
      <c r="M88" s="28">
        <v>1</v>
      </c>
      <c r="N88" s="34"/>
      <c r="O88" s="34"/>
      <c r="P88" s="34"/>
      <c r="Q88" s="34"/>
      <c r="R88" s="34"/>
      <c r="S88" s="34"/>
      <c r="T88" s="34"/>
      <c r="U88" s="34"/>
      <c r="V88" s="34"/>
      <c r="W88" s="29" t="s">
        <v>74</v>
      </c>
      <c r="X88" s="28">
        <v>27</v>
      </c>
      <c r="Y88" s="28">
        <v>1</v>
      </c>
      <c r="Z88" s="28">
        <v>1</v>
      </c>
      <c r="AA88" s="28">
        <v>3</v>
      </c>
      <c r="AB88" s="28">
        <v>1</v>
      </c>
      <c r="AC88" s="28">
        <v>2</v>
      </c>
      <c r="AD88" s="28">
        <v>2</v>
      </c>
      <c r="AE88" s="28">
        <v>4</v>
      </c>
      <c r="AF88" s="28">
        <v>3</v>
      </c>
      <c r="AG88" s="28">
        <v>2</v>
      </c>
      <c r="AH88" s="29" t="s">
        <v>254</v>
      </c>
      <c r="AI88" s="36">
        <f>IF(OR(AND(K88&lt;32, J88&lt;2), O88=1, P88=1, Q88=1, R88=1, S88=1, T88=1, U88=1, AND(W88&lt;&gt;"", W88&lt;&gt;"Oxygen", W88&lt;&gt;"LowFlow")), "Intensive", "Intermediate")</f>
      </c>
      <c r="AJ88" s="37">
        <f>IF(OR(LEFT(AH88, 1)="X", LEFT(AH88, 1)="Y", LEFT(AH88, 3)="J20M"), "CUSM", "No Match")</f>
      </c>
      <c r="AK88" s="37">
        <f>IF(AND(OR(O88=3, P88=1, Q88=1, T88=1), AJ88="no Match"), "CUSM, CHU SJ, CHUQ", "")</f>
      </c>
      <c r="AL88" s="37">
        <f>IF(AND(O88=2, ISBLANK(P88), ISBLANK(Q88), ISBLANK(R88), ISBLANK(S88), ISBLANK(T88)), "CUSM, CHU SJ, CHUS, CHUQ", "")</f>
      </c>
      <c r="AM88" s="37">
        <f>IF(AND(AJ88="no match", AK88="", AL88="", K88&lt;26), "CUSM, CHU SJ, HGJ, CHUQ, CHUS", "")</f>
      </c>
      <c r="AN88" s="37">
        <f>IF(AND(AJ88="no match", AK88="", AL88="", K88&gt;26), "CUSM, CHU SJ, HGJ, CHUQ, CHUS, HMR", "")</f>
      </c>
    </row>
    <row x14ac:dyDescent="0.25" r="89" customHeight="1" ht="17.25">
      <c r="A89" s="27" t="s">
        <v>255</v>
      </c>
      <c r="B89" s="28">
        <v>2</v>
      </c>
      <c r="C89" s="35">
        <v>779</v>
      </c>
      <c r="D89" s="29" t="s">
        <v>136</v>
      </c>
      <c r="E89" s="30" t="s">
        <v>54</v>
      </c>
      <c r="F89" s="31">
        <v>44614</v>
      </c>
      <c r="G89" s="32">
        <v>4.534722222222222</v>
      </c>
      <c r="H89" s="31">
        <v>44614</v>
      </c>
      <c r="I89" s="32">
        <v>4.420138888888889</v>
      </c>
      <c r="J89" s="33">
        <f>F89-H89</f>
      </c>
      <c r="K89" s="28">
        <v>23</v>
      </c>
      <c r="L89" s="28">
        <v>5</v>
      </c>
      <c r="M89" s="28">
        <v>2</v>
      </c>
      <c r="N89" s="35">
        <v>1</v>
      </c>
      <c r="O89" s="34"/>
      <c r="P89" s="35">
        <v>1</v>
      </c>
      <c r="Q89" s="34"/>
      <c r="R89" s="34"/>
      <c r="S89" s="34"/>
      <c r="T89" s="34"/>
      <c r="U89" s="35">
        <v>1</v>
      </c>
      <c r="V89" s="35">
        <v>1</v>
      </c>
      <c r="W89" s="29" t="s">
        <v>70</v>
      </c>
      <c r="X89" s="28">
        <v>28</v>
      </c>
      <c r="Y89" s="28">
        <v>1</v>
      </c>
      <c r="Z89" s="28">
        <v>2</v>
      </c>
      <c r="AA89" s="28">
        <v>3</v>
      </c>
      <c r="AB89" s="28">
        <v>1</v>
      </c>
      <c r="AC89" s="28">
        <v>2</v>
      </c>
      <c r="AD89" s="28">
        <v>2</v>
      </c>
      <c r="AE89" s="28">
        <v>4</v>
      </c>
      <c r="AF89" s="35">
        <v>3</v>
      </c>
      <c r="AG89" s="28">
        <v>2</v>
      </c>
      <c r="AH89" s="29" t="s">
        <v>256</v>
      </c>
      <c r="AI89" s="36">
        <f>IF(OR(AND(K89&lt;32, J89&lt;2), O89=1, P89=1, Q89=1, R89=1, S89=1, T89=1, U89=1, AND(W89&lt;&gt;"", W89&lt;&gt;"Oxygen", W89&lt;&gt;"LowFlow")), "Intensive", "Intermediate")</f>
      </c>
      <c r="AJ89" s="37">
        <f>IF(OR(LEFT(AH89, 1)="X", LEFT(AH89, 1)="Y", LEFT(AH89, 3)="J21M"), "CUSM", "No Match")</f>
      </c>
      <c r="AK89" s="37">
        <f>IF(AND(OR(O89=3, P89=1, Q89=1, T89=1), AJ89="no Match"), "CUSM, CHU SJ, CHUQ", "")</f>
      </c>
      <c r="AL89" s="37">
        <f>IF(AND(O89=2, ISBLANK(P89), ISBLANK(Q89), ISBLANK(R89), ISBLANK(S89), ISBLANK(T89)), "CUSM, CHU SJ, CHUS, CHUQ", "")</f>
      </c>
      <c r="AM89" s="37">
        <f>IF(AND(AJ89="no match", AK89="", AL89="", K89&lt;26), "CUSM, CHU SJ, HGJ, CHUQ, CHUS", "")</f>
      </c>
      <c r="AN89" s="37">
        <f>IF(AND(AJ89="no match", AK89="", AL89="", K89&gt;26), "CUSM, CHU SJ, HGJ, CHUQ, CHUS, HMR", "")</f>
      </c>
    </row>
    <row x14ac:dyDescent="0.25" r="90" customHeight="1" ht="17.25">
      <c r="A90" s="27" t="s">
        <v>257</v>
      </c>
      <c r="B90" s="28">
        <v>2</v>
      </c>
      <c r="C90" s="35">
        <v>756</v>
      </c>
      <c r="D90" s="29" t="s">
        <v>66</v>
      </c>
      <c r="E90" s="30" t="s">
        <v>50</v>
      </c>
      <c r="F90" s="31">
        <v>44614</v>
      </c>
      <c r="G90" s="32">
        <v>4.678472222222222</v>
      </c>
      <c r="H90" s="31">
        <v>44612</v>
      </c>
      <c r="I90" s="32">
        <v>4.604861111111111</v>
      </c>
      <c r="J90" s="33">
        <f>F90-H90</f>
      </c>
      <c r="K90" s="28">
        <v>36</v>
      </c>
      <c r="L90" s="28">
        <v>2</v>
      </c>
      <c r="M90" s="28">
        <v>2</v>
      </c>
      <c r="N90" s="34"/>
      <c r="O90" s="34"/>
      <c r="P90" s="34"/>
      <c r="Q90" s="34"/>
      <c r="R90" s="34"/>
      <c r="S90" s="34"/>
      <c r="T90" s="34"/>
      <c r="U90" s="34"/>
      <c r="V90" s="34"/>
      <c r="W90" s="29"/>
      <c r="X90" s="28">
        <v>35</v>
      </c>
      <c r="Y90" s="28">
        <v>1</v>
      </c>
      <c r="Z90" s="28">
        <v>1</v>
      </c>
      <c r="AA90" s="28">
        <v>2</v>
      </c>
      <c r="AB90" s="28">
        <v>1</v>
      </c>
      <c r="AC90" s="28">
        <v>2</v>
      </c>
      <c r="AD90" s="28">
        <v>2</v>
      </c>
      <c r="AE90" s="28">
        <v>4</v>
      </c>
      <c r="AF90" s="28">
        <v>2</v>
      </c>
      <c r="AG90" s="28">
        <v>2</v>
      </c>
      <c r="AH90" s="29" t="s">
        <v>258</v>
      </c>
      <c r="AI90" s="36">
        <f>IF(OR(AND(K90&lt;32, J90&lt;2), O90=1, P90=1, Q90=1, R90=1, S90=1, T90=1, U90=1, AND(W90&lt;&gt;"", W90&lt;&gt;"Oxygen", W90&lt;&gt;"LowFlow")), "Intensive", "Intermediate")</f>
      </c>
      <c r="AJ90" s="37">
        <f>IF(OR(LEFT(AH90, 1)="X", LEFT(AH90, 1)="Y", LEFT(AH90, 3)="J22M"), "CUSM", "No Match")</f>
      </c>
      <c r="AK90" s="37">
        <f>IF(AND(OR(O90=3, P90=1, Q90=1, T90=1), AJ90="no Match"), "CUSM, CHU SJ, CHUQ", "")</f>
      </c>
      <c r="AL90" s="37">
        <f>IF(AND(O90=2, ISBLANK(P90), ISBLANK(Q90), ISBLANK(R90), ISBLANK(S90), ISBLANK(T90)), "CUSM, CHU SJ, CHUS, CHUQ", "")</f>
      </c>
      <c r="AM90" s="37">
        <f>IF(AND(AJ90="no match", AK90="", AL90="", K90&lt;26), "CUSM, CHU SJ, HGJ, CHUQ, CHUS", "")</f>
      </c>
      <c r="AN90" s="37">
        <f>IF(AND(AJ90="no match", AK90="", AL90="", K90&gt;26), "CUSM, CHU SJ, HGJ, CHUQ, CHUS, HMR", "")</f>
      </c>
    </row>
    <row x14ac:dyDescent="0.25" r="91" customHeight="1" ht="17.25">
      <c r="A91" s="27" t="s">
        <v>259</v>
      </c>
      <c r="B91" s="28">
        <v>2</v>
      </c>
      <c r="C91" s="35">
        <v>731</v>
      </c>
      <c r="D91" s="29" t="s">
        <v>103</v>
      </c>
      <c r="E91" s="30" t="s">
        <v>149</v>
      </c>
      <c r="F91" s="31">
        <v>44615</v>
      </c>
      <c r="G91" s="32">
        <v>4.835416666666667</v>
      </c>
      <c r="H91" s="31">
        <v>44615</v>
      </c>
      <c r="I91" s="32">
        <v>4.420833333333333</v>
      </c>
      <c r="J91" s="33">
        <f>F91-H91</f>
      </c>
      <c r="K91" s="28">
        <v>32</v>
      </c>
      <c r="L91" s="28">
        <v>0</v>
      </c>
      <c r="M91" s="28">
        <v>1</v>
      </c>
      <c r="N91" s="34"/>
      <c r="O91" s="34"/>
      <c r="P91" s="34"/>
      <c r="Q91" s="34"/>
      <c r="R91" s="34"/>
      <c r="S91" s="34"/>
      <c r="T91" s="34"/>
      <c r="U91" s="34"/>
      <c r="V91" s="34"/>
      <c r="W91" s="29" t="s">
        <v>58</v>
      </c>
      <c r="X91" s="28">
        <v>25</v>
      </c>
      <c r="Y91" s="28">
        <v>1</v>
      </c>
      <c r="Z91" s="28">
        <v>2</v>
      </c>
      <c r="AA91" s="28">
        <v>3</v>
      </c>
      <c r="AB91" s="28">
        <v>4</v>
      </c>
      <c r="AC91" s="28">
        <v>3</v>
      </c>
      <c r="AD91" s="28">
        <v>3</v>
      </c>
      <c r="AE91" s="28">
        <v>4</v>
      </c>
      <c r="AF91" s="28">
        <v>3</v>
      </c>
      <c r="AG91" s="28">
        <v>2</v>
      </c>
      <c r="AH91" s="29" t="s">
        <v>260</v>
      </c>
      <c r="AI91" s="36">
        <f>IF(OR(AND(K91&lt;32, J91&lt;2), O91=1, P91=1, Q91=1, R91=1, S91=1, T91=1, U91=1, AND(W91&lt;&gt;"", W91&lt;&gt;"Oxygen", W91&lt;&gt;"LowFlow")), "Intensive", "Intermediate")</f>
      </c>
      <c r="AJ91" s="37">
        <f>IF(OR(LEFT(AH91, 1)="X", LEFT(AH91, 1)="Y", LEFT(AH91, 3)="J23M"), "CUSM", "No Match")</f>
      </c>
      <c r="AK91" s="37">
        <f>IF(AND(OR(O91=3, P91=1, Q91=1, T91=1), AJ91="no Match"), "CUSM, CHU SJ, CHUQ", "")</f>
      </c>
      <c r="AL91" s="37">
        <f>IF(AND(O91=2, ISBLANK(P91), ISBLANK(Q91), ISBLANK(R91), ISBLANK(S91), ISBLANK(T91)), "CUSM, CHU SJ, CHUS, CHUQ", "")</f>
      </c>
      <c r="AM91" s="37">
        <f>IF(AND(AJ91="no match", AK91="", AL91="", K91&lt;26), "CUSM, CHU SJ, HGJ, CHUQ, CHUS", "")</f>
      </c>
      <c r="AN91" s="37">
        <f>IF(AND(AJ91="no match", AK91="", AL91="", K91&gt;26), "CUSM, CHU SJ, HGJ, CHUQ, CHUS, HMR", "")</f>
      </c>
    </row>
    <row x14ac:dyDescent="0.25" r="92" customHeight="1" ht="17.25">
      <c r="A92" s="27" t="s">
        <v>261</v>
      </c>
      <c r="B92" s="28">
        <v>2</v>
      </c>
      <c r="C92" s="35">
        <v>731</v>
      </c>
      <c r="D92" s="29" t="s">
        <v>103</v>
      </c>
      <c r="E92" s="30" t="s">
        <v>54</v>
      </c>
      <c r="F92" s="31">
        <v>44616</v>
      </c>
      <c r="G92" s="32">
        <v>4.795138888888889</v>
      </c>
      <c r="H92" s="31">
        <v>44616</v>
      </c>
      <c r="I92" s="32">
        <v>4.448611111111111</v>
      </c>
      <c r="J92" s="33">
        <f>F92-H92</f>
      </c>
      <c r="K92" s="28">
        <v>37</v>
      </c>
      <c r="L92" s="28">
        <v>0</v>
      </c>
      <c r="M92" s="28">
        <v>1</v>
      </c>
      <c r="N92" s="34"/>
      <c r="O92" s="34"/>
      <c r="P92" s="34"/>
      <c r="Q92" s="34"/>
      <c r="R92" s="34"/>
      <c r="S92" s="34"/>
      <c r="T92" s="35">
        <v>1</v>
      </c>
      <c r="U92" s="34"/>
      <c r="V92" s="34"/>
      <c r="W92" s="29" t="s">
        <v>74</v>
      </c>
      <c r="X92" s="28">
        <v>36</v>
      </c>
      <c r="Y92" s="28">
        <v>1</v>
      </c>
      <c r="Z92" s="28">
        <v>2</v>
      </c>
      <c r="AA92" s="28">
        <v>2</v>
      </c>
      <c r="AB92" s="28">
        <v>1</v>
      </c>
      <c r="AC92" s="28">
        <v>1</v>
      </c>
      <c r="AD92" s="28">
        <v>2</v>
      </c>
      <c r="AE92" s="28">
        <v>4</v>
      </c>
      <c r="AF92" s="28">
        <v>2</v>
      </c>
      <c r="AG92" s="28">
        <v>2</v>
      </c>
      <c r="AH92" s="29" t="s">
        <v>262</v>
      </c>
      <c r="AI92" s="36">
        <f>IF(OR(AND(K92&lt;32, J92&lt;2), O92=1, P92=1, Q92=1, R92=1, S92=1, T92=1, U92=1, AND(W92&lt;&gt;"", W92&lt;&gt;"Oxygen", W92&lt;&gt;"LowFlow")), "Intensive", "Intermediate")</f>
      </c>
      <c r="AJ92" s="37">
        <f>IF(OR(LEFT(AH92, 1)="X", LEFT(AH92, 1)="Y", LEFT(AH92, 3)="J24M"), "CUSM", "No Match")</f>
      </c>
      <c r="AK92" s="37">
        <f>IF(AND(OR(O92=3, P92=1, Q92=1, T92=1), AJ92="no Match"), "CUSM, CHU SJ, CHUQ", "")</f>
      </c>
      <c r="AL92" s="37">
        <f>IF(AND(O92=2, ISBLANK(P92), ISBLANK(Q92), ISBLANK(R92), ISBLANK(S92), ISBLANK(T92)), "CUSM, CHU SJ, CHUS, CHUQ", "")</f>
      </c>
      <c r="AM92" s="37">
        <f>IF(AND(AJ92="no match", AK92="", AL92="", K92&lt;26), "CUSM, CHU SJ, HGJ, CHUQ, CHUS", "")</f>
      </c>
      <c r="AN92" s="37">
        <f>IF(AND(AJ92="no match", AK92="", AL92="", K92&gt;26), "CUSM, CHU SJ, HGJ, CHUQ, CHUS, HMR", "")</f>
      </c>
    </row>
    <row x14ac:dyDescent="0.25" r="93" customHeight="1" ht="17.25">
      <c r="A93" s="27" t="s">
        <v>263</v>
      </c>
      <c r="B93" s="28">
        <v>2</v>
      </c>
      <c r="C93" s="35">
        <v>734</v>
      </c>
      <c r="D93" s="29" t="s">
        <v>264</v>
      </c>
      <c r="E93" s="30" t="s">
        <v>54</v>
      </c>
      <c r="F93" s="31">
        <v>44616</v>
      </c>
      <c r="G93" s="32">
        <v>4.069444444444445</v>
      </c>
      <c r="H93" s="31">
        <v>44615</v>
      </c>
      <c r="I93" s="32">
        <v>4.865972222222222</v>
      </c>
      <c r="J93" s="33">
        <f>F93-H93</f>
      </c>
      <c r="K93" s="28">
        <v>39</v>
      </c>
      <c r="L93" s="28">
        <v>4</v>
      </c>
      <c r="M93" s="28">
        <v>1</v>
      </c>
      <c r="N93" s="35">
        <v>1</v>
      </c>
      <c r="O93" s="34"/>
      <c r="P93" s="35">
        <v>1</v>
      </c>
      <c r="Q93" s="34"/>
      <c r="R93" s="34"/>
      <c r="S93" s="34"/>
      <c r="T93" s="35">
        <v>1</v>
      </c>
      <c r="U93" s="34"/>
      <c r="V93" s="34"/>
      <c r="W93" s="29" t="s">
        <v>58</v>
      </c>
      <c r="X93" s="28">
        <v>38</v>
      </c>
      <c r="Y93" s="28">
        <v>1</v>
      </c>
      <c r="Z93" s="28">
        <v>1</v>
      </c>
      <c r="AA93" s="28">
        <v>1</v>
      </c>
      <c r="AB93" s="28">
        <v>1</v>
      </c>
      <c r="AC93" s="28">
        <v>1</v>
      </c>
      <c r="AD93" s="28">
        <v>2</v>
      </c>
      <c r="AE93" s="28">
        <v>4</v>
      </c>
      <c r="AF93" s="35">
        <v>1</v>
      </c>
      <c r="AG93" s="28">
        <v>2</v>
      </c>
      <c r="AH93" s="29" t="s">
        <v>132</v>
      </c>
      <c r="AI93" s="36">
        <f>IF(OR(AND(K93&lt;32, J93&lt;2), O93=1, P93=1, Q93=1, R93=1, S93=1, T93=1, U93=1, AND(W93&lt;&gt;"", W93&lt;&gt;"Oxygen", W93&lt;&gt;"LowFlow")), "Intensive", "Intermediate")</f>
      </c>
      <c r="AJ93" s="37">
        <f>IF(OR(LEFT(AH93, 1)="X", LEFT(AH93, 1)="Y", LEFT(AH93, 3)="J25M"), "CUSM", "No Match")</f>
      </c>
      <c r="AK93" s="37">
        <f>IF(AND(OR(O93=3, P93=1, Q93=1, T93=1), AJ93="no Match"), "CUSM, CHU SJ, CHUQ", "")</f>
      </c>
      <c r="AL93" s="37">
        <f>IF(AND(O93=2, ISBLANK(P93), ISBLANK(Q93), ISBLANK(R93), ISBLANK(S93), ISBLANK(T93)), "CUSM, CHU SJ, CHUS, CHUQ", "")</f>
      </c>
      <c r="AM93" s="37">
        <f>IF(AND(AJ93="no match", AK93="", AL93="", K93&lt;26), "CUSM, CHU SJ, HGJ, CHUQ, CHUS", "")</f>
      </c>
      <c r="AN93" s="37">
        <f>IF(AND(AJ93="no match", AK93="", AL93="", K93&gt;26), "CUSM, CHU SJ, HGJ, CHUQ, CHUS, HMR", "")</f>
      </c>
    </row>
    <row x14ac:dyDescent="0.25" r="94" customHeight="1" ht="17.25">
      <c r="A94" s="27" t="s">
        <v>265</v>
      </c>
      <c r="B94" s="28">
        <v>2</v>
      </c>
      <c r="C94" s="35">
        <v>793</v>
      </c>
      <c r="D94" s="29" t="s">
        <v>266</v>
      </c>
      <c r="E94" s="30" t="s">
        <v>149</v>
      </c>
      <c r="F94" s="31">
        <v>44617</v>
      </c>
      <c r="G94" s="32">
        <v>4.277777777777778</v>
      </c>
      <c r="H94" s="31">
        <v>44616</v>
      </c>
      <c r="I94" s="32">
        <v>4.229166666666666</v>
      </c>
      <c r="J94" s="33">
        <f>F94-H94</f>
      </c>
      <c r="K94" s="28">
        <v>31</v>
      </c>
      <c r="L94" s="28">
        <v>0</v>
      </c>
      <c r="M94" s="28">
        <v>2</v>
      </c>
      <c r="N94" s="34"/>
      <c r="O94" s="34"/>
      <c r="P94" s="34"/>
      <c r="Q94" s="34"/>
      <c r="R94" s="34"/>
      <c r="S94" s="34"/>
      <c r="T94" s="34"/>
      <c r="U94" s="34"/>
      <c r="V94" s="34"/>
      <c r="W94" s="29" t="s">
        <v>74</v>
      </c>
      <c r="X94" s="28">
        <v>23</v>
      </c>
      <c r="Y94" s="28">
        <v>1</v>
      </c>
      <c r="Z94" s="28">
        <v>2</v>
      </c>
      <c r="AA94" s="28">
        <v>1</v>
      </c>
      <c r="AB94" s="28">
        <v>1</v>
      </c>
      <c r="AC94" s="28">
        <v>2</v>
      </c>
      <c r="AD94" s="28">
        <v>1</v>
      </c>
      <c r="AE94" s="28">
        <v>4</v>
      </c>
      <c r="AF94" s="28">
        <v>3</v>
      </c>
      <c r="AG94" s="28">
        <v>2</v>
      </c>
      <c r="AH94" s="29" t="s">
        <v>267</v>
      </c>
      <c r="AI94" s="36">
        <f>IF(OR(AND(K94&lt;32, J94&lt;2), O94=1, P94=1, Q94=1, R94=1, S94=1, T94=1, U94=1, AND(W94&lt;&gt;"", W94&lt;&gt;"Oxygen", W94&lt;&gt;"LowFlow")), "Intensive", "Intermediate")</f>
      </c>
      <c r="AJ94" s="37">
        <f>IF(OR(LEFT(AH94, 1)="X", LEFT(AH94, 1)="Y", LEFT(AH94, 3)="J26M"), "CUSM", "No Match")</f>
      </c>
      <c r="AK94" s="37">
        <f>IF(AND(OR(O94=3, P94=1, Q94=1, T94=1), AJ94="no Match"), "CUSM, CHU SJ, CHUQ", "")</f>
      </c>
      <c r="AL94" s="37">
        <f>IF(AND(O94=2, ISBLANK(P94), ISBLANK(Q94), ISBLANK(R94), ISBLANK(S94), ISBLANK(T94)), "CUSM, CHU SJ, CHUS, CHUQ", "")</f>
      </c>
      <c r="AM94" s="37">
        <f>IF(AND(AJ94="no match", AK94="", AL94="", K94&lt;26), "CUSM, CHU SJ, HGJ, CHUQ, CHUS", "")</f>
      </c>
      <c r="AN94" s="37">
        <f>IF(AND(AJ94="no match", AK94="", AL94="", K94&gt;26), "CUSM, CHU SJ, HGJ, CHUQ, CHUS, HMR", "")</f>
      </c>
    </row>
    <row x14ac:dyDescent="0.25" r="95" customHeight="1" ht="17.25">
      <c r="A95" s="27" t="s">
        <v>268</v>
      </c>
      <c r="B95" s="28">
        <v>2</v>
      </c>
      <c r="C95" s="35">
        <v>2</v>
      </c>
      <c r="D95" s="29" t="s">
        <v>269</v>
      </c>
      <c r="E95" s="30" t="s">
        <v>54</v>
      </c>
      <c r="F95" s="31">
        <v>44617</v>
      </c>
      <c r="G95" s="32">
        <v>4.885416666666666</v>
      </c>
      <c r="H95" s="31">
        <v>44617</v>
      </c>
      <c r="I95" s="32">
        <v>4.759027777777778</v>
      </c>
      <c r="J95" s="33">
        <f>F95-H95</f>
      </c>
      <c r="K95" s="28">
        <v>39</v>
      </c>
      <c r="L95" s="28">
        <v>6</v>
      </c>
      <c r="M95" s="28">
        <v>2</v>
      </c>
      <c r="N95" s="34"/>
      <c r="O95" s="34"/>
      <c r="P95" s="34"/>
      <c r="Q95" s="34"/>
      <c r="R95" s="34"/>
      <c r="S95" s="34"/>
      <c r="T95" s="34"/>
      <c r="U95" s="38"/>
      <c r="V95" s="38"/>
      <c r="W95" s="29"/>
      <c r="X95" s="28">
        <v>29</v>
      </c>
      <c r="Y95" s="28">
        <v>1</v>
      </c>
      <c r="Z95" s="28">
        <v>1</v>
      </c>
      <c r="AA95" s="28">
        <v>1</v>
      </c>
      <c r="AB95" s="28">
        <v>1</v>
      </c>
      <c r="AC95" s="28">
        <v>3</v>
      </c>
      <c r="AD95" s="28">
        <v>3</v>
      </c>
      <c r="AE95" s="28">
        <v>4</v>
      </c>
      <c r="AF95" s="28">
        <v>3</v>
      </c>
      <c r="AG95" s="28">
        <v>2</v>
      </c>
      <c r="AH95" s="29" t="s">
        <v>270</v>
      </c>
      <c r="AI95" s="36">
        <f>IF(OR(AND(K95&lt;32, J95&lt;2), O95=1, P95=1, Q95=1, R95=1, S95=1, T95=1, U95=1, AND(W95&lt;&gt;"", W95&lt;&gt;"Oxygen", W95&lt;&gt;"LowFlow")), "Intensive", "Intermediate")</f>
      </c>
      <c r="AJ95" s="37">
        <f>IF(OR(LEFT(AH95, 1)="X", LEFT(AH95, 1)="Y", LEFT(AH95, 3)="J27M"), "CUSM", "No Match")</f>
      </c>
      <c r="AK95" s="37">
        <f>IF(AND(OR(O95=3, P95=1, Q95=1, T95=1), AJ95="no Match"), "CUSM, CHU SJ, CHUQ", "")</f>
      </c>
      <c r="AL95" s="37">
        <f>IF(AND(O95=2, ISBLANK(P95), ISBLANK(Q95), ISBLANK(R95), ISBLANK(S95), ISBLANK(T95)), "CUSM, CHU SJ, CHUS, CHUQ", "")</f>
      </c>
      <c r="AM95" s="37">
        <f>IF(AND(AJ95="no match", AK95="", AL95="", K95&lt;26), "CUSM, CHU SJ, HGJ, CHUQ, CHUS", "")</f>
      </c>
      <c r="AN95" s="37">
        <f>IF(AND(AJ95="no match", AK95="", AL95="", K95&gt;26), "CUSM, CHU SJ, HGJ, CHUQ, CHUS, HMR", "")</f>
      </c>
    </row>
    <row x14ac:dyDescent="0.25" r="96" customHeight="1" ht="17.25">
      <c r="A96" s="27" t="s">
        <v>271</v>
      </c>
      <c r="B96" s="28">
        <v>2</v>
      </c>
      <c r="C96" s="28">
        <v>822</v>
      </c>
      <c r="D96" s="29" t="s">
        <v>167</v>
      </c>
      <c r="E96" s="30" t="s">
        <v>50</v>
      </c>
      <c r="F96" s="31">
        <v>44617</v>
      </c>
      <c r="G96" s="32">
        <v>4.041666666666666</v>
      </c>
      <c r="H96" s="31">
        <v>44616</v>
      </c>
      <c r="I96" s="32">
        <v>4.00625</v>
      </c>
      <c r="J96" s="33">
        <f>F96-H96</f>
      </c>
      <c r="K96" s="28">
        <v>40</v>
      </c>
      <c r="L96" s="28">
        <v>0</v>
      </c>
      <c r="M96" s="28">
        <v>1</v>
      </c>
      <c r="N96" s="34"/>
      <c r="O96" s="34"/>
      <c r="P96" s="34"/>
      <c r="Q96" s="34"/>
      <c r="R96" s="34"/>
      <c r="S96" s="34"/>
      <c r="T96" s="34"/>
      <c r="U96" s="34"/>
      <c r="V96" s="34"/>
      <c r="W96" s="29" t="s">
        <v>106</v>
      </c>
      <c r="X96" s="28">
        <v>36</v>
      </c>
      <c r="Y96" s="28">
        <v>1</v>
      </c>
      <c r="Z96" s="28">
        <v>1</v>
      </c>
      <c r="AA96" s="28">
        <v>1</v>
      </c>
      <c r="AB96" s="28">
        <v>1</v>
      </c>
      <c r="AC96" s="28">
        <v>2</v>
      </c>
      <c r="AD96" s="28">
        <v>2</v>
      </c>
      <c r="AE96" s="28">
        <v>4</v>
      </c>
      <c r="AF96" s="28">
        <v>2</v>
      </c>
      <c r="AG96" s="28">
        <v>2</v>
      </c>
      <c r="AH96" s="29" t="s">
        <v>272</v>
      </c>
      <c r="AI96" s="36">
        <f>IF(OR(AND(K96&lt;32, J96&lt;2), O96=1, P96=1, Q96=1, R96=1, S96=1, T96=1, U96=1, AND(W96&lt;&gt;"", W96&lt;&gt;"Oxygen", W96&lt;&gt;"LowFlow")), "Intensive", "Intermediate")</f>
      </c>
      <c r="AJ96" s="37">
        <f>IF(OR(LEFT(AH96, 1)="X", LEFT(AH96, 1)="Y", LEFT(AH96, 3)="J28M"), "CUSM", "No Match")</f>
      </c>
      <c r="AK96" s="37">
        <f>IF(AND(OR(O96=3, P96=1, Q96=1, T96=1), AJ96="no Match"), "CUSM, CHU SJ, CHUQ", "")</f>
      </c>
      <c r="AL96" s="37">
        <f>IF(AND(O96=2, ISBLANK(P96), ISBLANK(Q96), ISBLANK(R96), ISBLANK(S96), ISBLANK(T96)), "CUSM, CHU SJ, CHUS, CHUQ", "")</f>
      </c>
      <c r="AM96" s="37">
        <f>IF(AND(AJ96="no match", AK96="", AL96="", K96&lt;26), "CUSM, CHU SJ, HGJ, CHUQ, CHUS", "")</f>
      </c>
      <c r="AN96" s="37">
        <f>IF(AND(AJ96="no match", AK96="", AL96="", K96&gt;26), "CUSM, CHU SJ, HGJ, CHUQ, CHUS, HMR", "")</f>
      </c>
    </row>
    <row x14ac:dyDescent="0.25" r="97" customHeight="1" ht="17.25">
      <c r="A97" s="27" t="s">
        <v>273</v>
      </c>
      <c r="B97" s="28">
        <v>2</v>
      </c>
      <c r="C97" s="28">
        <v>730</v>
      </c>
      <c r="D97" s="29" t="s">
        <v>81</v>
      </c>
      <c r="E97" s="30" t="s">
        <v>50</v>
      </c>
      <c r="F97" s="31">
        <v>44617</v>
      </c>
      <c r="G97" s="32">
        <v>4.332638888888889</v>
      </c>
      <c r="H97" s="31">
        <v>44617</v>
      </c>
      <c r="I97" s="32">
        <v>4.200694444444444</v>
      </c>
      <c r="J97" s="33">
        <f>F97-H97</f>
      </c>
      <c r="K97" s="28">
        <v>39</v>
      </c>
      <c r="L97" s="28">
        <v>0</v>
      </c>
      <c r="M97" s="28">
        <v>1</v>
      </c>
      <c r="N97" s="34"/>
      <c r="O97" s="34"/>
      <c r="P97" s="34"/>
      <c r="Q97" s="34"/>
      <c r="R97" s="34"/>
      <c r="S97" s="34"/>
      <c r="T97" s="35">
        <v>1</v>
      </c>
      <c r="U97" s="34"/>
      <c r="V97" s="34"/>
      <c r="W97" s="29" t="s">
        <v>74</v>
      </c>
      <c r="X97" s="28">
        <v>40</v>
      </c>
      <c r="Y97" s="28">
        <v>1</v>
      </c>
      <c r="Z97" s="28">
        <v>2</v>
      </c>
      <c r="AA97" s="28">
        <v>2</v>
      </c>
      <c r="AB97" s="28">
        <v>1</v>
      </c>
      <c r="AC97" s="28">
        <v>2</v>
      </c>
      <c r="AD97" s="28">
        <v>2</v>
      </c>
      <c r="AE97" s="28">
        <v>4</v>
      </c>
      <c r="AF97" s="28">
        <v>2</v>
      </c>
      <c r="AG97" s="28">
        <v>2</v>
      </c>
      <c r="AH97" s="29" t="s">
        <v>274</v>
      </c>
      <c r="AI97" s="36">
        <f>IF(OR(AND(K97&lt;32, J97&lt;2), O97=1, P97=1, Q97=1, R97=1, S97=1, T97=1, U97=1, AND(W97&lt;&gt;"", W97&lt;&gt;"Oxygen", W97&lt;&gt;"LowFlow")), "Intensive", "Intermediate")</f>
      </c>
      <c r="AJ97" s="37">
        <f>IF(OR(LEFT(AH97, 1)="X", LEFT(AH97, 1)="Y", LEFT(AH97, 3)="J29M"), "CUSM", "No Match")</f>
      </c>
      <c r="AK97" s="37">
        <f>IF(AND(OR(O97=3, P97=1, Q97=1, T97=1), AJ97="no Match"), "CUSM, CHU SJ, CHUQ", "")</f>
      </c>
      <c r="AL97" s="37">
        <f>IF(AND(O97=2, ISBLANK(P97), ISBLANK(Q97), ISBLANK(R97), ISBLANK(S97), ISBLANK(T97)), "CUSM, CHU SJ, CHUS, CHUQ", "")</f>
      </c>
      <c r="AM97" s="37">
        <f>IF(AND(AJ97="no match", AK97="", AL97="", K97&lt;26), "CUSM, CHU SJ, HGJ, CHUQ, CHUS", "")</f>
      </c>
      <c r="AN97" s="37">
        <f>IF(AND(AJ97="no match", AK97="", AL97="", K97&gt;26), "CUSM, CHU SJ, HGJ, CHUQ, CHUS, HMR", "")</f>
      </c>
    </row>
    <row x14ac:dyDescent="0.25" r="98" customHeight="1" ht="17.25">
      <c r="A98" s="27" t="s">
        <v>275</v>
      </c>
      <c r="B98" s="28">
        <v>2</v>
      </c>
      <c r="C98" s="35">
        <v>839</v>
      </c>
      <c r="D98" s="29" t="s">
        <v>53</v>
      </c>
      <c r="E98" s="30" t="s">
        <v>50</v>
      </c>
      <c r="F98" s="31">
        <v>44620</v>
      </c>
      <c r="G98" s="32">
        <v>4.913194444444445</v>
      </c>
      <c r="H98" s="31">
        <v>44620</v>
      </c>
      <c r="I98" s="32">
        <v>4.7</v>
      </c>
      <c r="J98" s="33">
        <f>F98-H98</f>
      </c>
      <c r="K98" s="28">
        <v>36</v>
      </c>
      <c r="L98" s="28">
        <v>5</v>
      </c>
      <c r="M98" s="28">
        <v>2</v>
      </c>
      <c r="N98" s="35">
        <v>1</v>
      </c>
      <c r="O98" s="35">
        <v>2</v>
      </c>
      <c r="P98" s="35">
        <v>1</v>
      </c>
      <c r="Q98" s="34"/>
      <c r="R98" s="34"/>
      <c r="S98" s="34"/>
      <c r="T98" s="34"/>
      <c r="U98" s="34"/>
      <c r="V98" s="34"/>
      <c r="W98" s="29"/>
      <c r="X98" s="28">
        <v>28</v>
      </c>
      <c r="Y98" s="28">
        <v>1</v>
      </c>
      <c r="Z98" s="28">
        <v>1</v>
      </c>
      <c r="AA98" s="28">
        <v>2</v>
      </c>
      <c r="AB98" s="28">
        <v>1</v>
      </c>
      <c r="AC98" s="28">
        <v>2</v>
      </c>
      <c r="AD98" s="28">
        <v>1</v>
      </c>
      <c r="AE98" s="28">
        <v>4</v>
      </c>
      <c r="AF98" s="28">
        <v>2</v>
      </c>
      <c r="AG98" s="28">
        <v>2</v>
      </c>
      <c r="AH98" s="29" t="s">
        <v>276</v>
      </c>
      <c r="AI98" s="36">
        <f>IF(OR(AND(K98&lt;32, J98&lt;2), O98=1, P98=1, Q98=1, R98=1, S98=1, T98=1, U98=1, AND(W98&lt;&gt;"", W98&lt;&gt;"Oxygen", W98&lt;&gt;"LowFlow")), "Intensive", "Intermediate")</f>
      </c>
      <c r="AJ98" s="37">
        <f>IF(OR(LEFT(AH98, 1)="X", LEFT(AH98, 1)="Y", LEFT(AH98, 3)="J30M"), "CUSM", "No Match")</f>
      </c>
      <c r="AK98" s="37">
        <f>IF(AND(OR(O98=3, P98=1, Q98=1, T98=1), AJ98="no Match"), "CUSM, CHU SJ, CHUQ", "")</f>
      </c>
      <c r="AL98" s="37">
        <f>IF(AND(O98=2, ISBLANK(P98), ISBLANK(Q98), ISBLANK(R98), ISBLANK(S98), ISBLANK(T98)), "CUSM, CHU SJ, CHUS, CHUQ", "")</f>
      </c>
      <c r="AM98" s="37">
        <f>IF(AND(AJ98="no match", AK98="", AL98="", K98&lt;26), "CUSM, CHU SJ, HGJ, CHUQ, CHUS", "")</f>
      </c>
      <c r="AN98" s="37">
        <f>IF(AND(AJ98="no match", AK98="", AL98="", K98&gt;26), "CUSM, CHU SJ, HGJ, CHUQ, CHUS, HMR", "")</f>
      </c>
    </row>
    <row x14ac:dyDescent="0.25" r="99" customHeight="1" ht="17.25">
      <c r="A99" s="27" t="s">
        <v>277</v>
      </c>
      <c r="B99" s="28">
        <v>2</v>
      </c>
      <c r="C99" s="28">
        <v>825</v>
      </c>
      <c r="D99" s="29" t="s">
        <v>77</v>
      </c>
      <c r="E99" s="30" t="s">
        <v>78</v>
      </c>
      <c r="F99" s="31">
        <v>44621</v>
      </c>
      <c r="G99" s="32">
        <v>4.041666666666666</v>
      </c>
      <c r="H99" s="31">
        <v>44620</v>
      </c>
      <c r="I99" s="32">
        <v>4.1194444444444445</v>
      </c>
      <c r="J99" s="33">
        <f>F99-H99</f>
      </c>
      <c r="K99" s="28">
        <v>38</v>
      </c>
      <c r="L99" s="28">
        <v>6</v>
      </c>
      <c r="M99" s="28">
        <v>2</v>
      </c>
      <c r="N99" s="38"/>
      <c r="O99" s="38"/>
      <c r="P99" s="38"/>
      <c r="Q99" s="34"/>
      <c r="R99" s="34"/>
      <c r="S99" s="34"/>
      <c r="T99" s="34"/>
      <c r="U99" s="34"/>
      <c r="V99" s="34"/>
      <c r="W99" s="29"/>
      <c r="X99" s="28">
        <v>28</v>
      </c>
      <c r="Y99" s="28">
        <v>1</v>
      </c>
      <c r="Z99" s="28">
        <v>1</v>
      </c>
      <c r="AA99" s="28">
        <v>2</v>
      </c>
      <c r="AB99" s="28">
        <v>1</v>
      </c>
      <c r="AC99" s="28">
        <v>2</v>
      </c>
      <c r="AD99" s="28">
        <v>2</v>
      </c>
      <c r="AE99" s="28">
        <v>2</v>
      </c>
      <c r="AF99" s="28">
        <v>2</v>
      </c>
      <c r="AG99" s="28">
        <v>2</v>
      </c>
      <c r="AH99" s="29" t="s">
        <v>278</v>
      </c>
      <c r="AI99" s="36">
        <f>IF(OR(AND(K99&lt;32, J99&lt;2), O99=1, P99=1, Q99=1, R99=1, S99=1, T99=1, U99=1, AND(W99&lt;&gt;"", W99&lt;&gt;"Oxygen", W99&lt;&gt;"LowFlow")), "Intensive", "Intermediate")</f>
      </c>
      <c r="AJ99" s="37">
        <f>IF(OR(LEFT(AH99, 1)="X", LEFT(AH99, 1)="Y", LEFT(AH99, 3)="J31M"), "CUSM", "No Match")</f>
      </c>
      <c r="AK99" s="37">
        <f>IF(AND(OR(O99=3, P99=1, Q99=1, T99=1), AJ99="no Match"), "CUSM, CHU SJ, CHUQ", "")</f>
      </c>
      <c r="AL99" s="37">
        <f>IF(AND(O99=2, ISBLANK(P99), ISBLANK(Q99), ISBLANK(R99), ISBLANK(S99), ISBLANK(T99)), "CUSM, CHU SJ, CHUS, CHUQ", "")</f>
      </c>
      <c r="AM99" s="37">
        <f>IF(AND(AJ99="no match", AK99="", AL99="", K99&lt;26), "CUSM, CHU SJ, HGJ, CHUQ, CHUS", "")</f>
      </c>
      <c r="AN99" s="37">
        <f>IF(AND(AJ99="no match", AK99="", AL99="", K99&gt;26), "CUSM, CHU SJ, HGJ, CHUQ, CHUS, HMR", "")</f>
      </c>
    </row>
    <row x14ac:dyDescent="0.25" r="100" customHeight="1" ht="17.25">
      <c r="A100" s="27" t="s">
        <v>279</v>
      </c>
      <c r="B100" s="28">
        <v>2</v>
      </c>
      <c r="C100" s="28">
        <v>731</v>
      </c>
      <c r="D100" s="29" t="s">
        <v>103</v>
      </c>
      <c r="E100" s="30" t="s">
        <v>78</v>
      </c>
      <c r="F100" s="31">
        <v>44622</v>
      </c>
      <c r="G100" s="32">
        <v>4.090277777777778</v>
      </c>
      <c r="H100" s="31">
        <v>44621</v>
      </c>
      <c r="I100" s="32">
        <v>4.782638888888889</v>
      </c>
      <c r="J100" s="33">
        <f>F100-H100</f>
      </c>
      <c r="K100" s="28">
        <v>30</v>
      </c>
      <c r="L100" s="28">
        <v>0</v>
      </c>
      <c r="M100" s="28">
        <v>2</v>
      </c>
      <c r="N100" s="38"/>
      <c r="O100" s="34"/>
      <c r="P100" s="38"/>
      <c r="Q100" s="34"/>
      <c r="R100" s="34"/>
      <c r="S100" s="34"/>
      <c r="T100" s="34"/>
      <c r="U100" s="34"/>
      <c r="V100" s="34"/>
      <c r="W100" s="29" t="s">
        <v>74</v>
      </c>
      <c r="X100" s="28">
        <v>28</v>
      </c>
      <c r="Y100" s="28">
        <v>2</v>
      </c>
      <c r="Z100" s="28">
        <v>2</v>
      </c>
      <c r="AA100" s="28">
        <v>2</v>
      </c>
      <c r="AB100" s="28">
        <v>1</v>
      </c>
      <c r="AC100" s="28">
        <v>2</v>
      </c>
      <c r="AD100" s="28">
        <v>2</v>
      </c>
      <c r="AE100" s="28">
        <v>4</v>
      </c>
      <c r="AF100" s="28">
        <v>3</v>
      </c>
      <c r="AG100" s="28">
        <v>2</v>
      </c>
      <c r="AH100" s="29" t="s">
        <v>280</v>
      </c>
      <c r="AI100" s="36">
        <f>IF(OR(AND(K100&lt;32, J100&lt;2), O100=1, P100=1, Q100=1, R100=1, S100=1, T100=1, U100=1, AND(W100&lt;&gt;"", W100&lt;&gt;"Oxygen", W100&lt;&gt;"LowFlow")), "Intensive", "Intermediate")</f>
      </c>
      <c r="AJ100" s="37">
        <f>IF(OR(LEFT(AH100, 1)="X", LEFT(AH100, 1)="Y", LEFT(AH100, 3)="J32M"), "CUSM", "No Match")</f>
      </c>
      <c r="AK100" s="37">
        <f>IF(AND(OR(O100=3, P100=1, Q100=1, T100=1), AJ100="no Match"), "CUSM, CHU SJ, CHUQ", "")</f>
      </c>
      <c r="AL100" s="37">
        <f>IF(AND(O100=2, ISBLANK(P100), ISBLANK(Q100), ISBLANK(R100), ISBLANK(S100), ISBLANK(T100)), "CUSM, CHU SJ, CHUS, CHUQ", "")</f>
      </c>
      <c r="AM100" s="37">
        <f>IF(AND(AJ100="no match", AK100="", AL100="", K100&lt;26), "CUSM, CHU SJ, HGJ, CHUQ, CHUS", "")</f>
      </c>
      <c r="AN100" s="37">
        <f>IF(AND(AJ100="no match", AK100="", AL100="", K100&gt;26), "CUSM, CHU SJ, HGJ, CHUQ, CHUS, HMR", "")</f>
      </c>
    </row>
    <row x14ac:dyDescent="0.25" r="101" customHeight="1" ht="17.25">
      <c r="A101" s="27" t="s">
        <v>281</v>
      </c>
      <c r="B101" s="28">
        <v>2</v>
      </c>
      <c r="C101" s="35">
        <v>731</v>
      </c>
      <c r="D101" s="29" t="s">
        <v>103</v>
      </c>
      <c r="E101" s="30" t="s">
        <v>78</v>
      </c>
      <c r="F101" s="31">
        <v>44622</v>
      </c>
      <c r="G101" s="32">
        <v>4.013888888888889</v>
      </c>
      <c r="H101" s="31">
        <v>44621</v>
      </c>
      <c r="I101" s="32">
        <v>4.782638888888889</v>
      </c>
      <c r="J101" s="33">
        <f>F101-H101</f>
      </c>
      <c r="K101" s="28">
        <v>30</v>
      </c>
      <c r="L101" s="28">
        <v>0</v>
      </c>
      <c r="M101" s="28">
        <v>2</v>
      </c>
      <c r="N101" s="34"/>
      <c r="O101" s="38"/>
      <c r="P101" s="38"/>
      <c r="Q101" s="34"/>
      <c r="R101" s="34"/>
      <c r="S101" s="34"/>
      <c r="T101" s="34"/>
      <c r="U101" s="34"/>
      <c r="V101" s="34"/>
      <c r="W101" s="29" t="s">
        <v>74</v>
      </c>
      <c r="X101" s="28">
        <v>28</v>
      </c>
      <c r="Y101" s="28">
        <v>2</v>
      </c>
      <c r="Z101" s="28">
        <v>2</v>
      </c>
      <c r="AA101" s="28">
        <v>2</v>
      </c>
      <c r="AB101" s="28">
        <v>1</v>
      </c>
      <c r="AC101" s="28">
        <v>2</v>
      </c>
      <c r="AD101" s="28">
        <v>2</v>
      </c>
      <c r="AE101" s="28">
        <v>4</v>
      </c>
      <c r="AF101" s="28">
        <v>3</v>
      </c>
      <c r="AG101" s="28">
        <v>2</v>
      </c>
      <c r="AH101" s="29" t="s">
        <v>280</v>
      </c>
      <c r="AI101" s="36">
        <f>IF(OR(AND(K101&lt;32, J101&lt;2), O101=1, P101=1, Q101=1, R101=1, S101=1, T101=1, U101=1, AND(W101&lt;&gt;"", W101&lt;&gt;"Oxygen", W101&lt;&gt;"LowFlow")), "Intensive", "Intermediate")</f>
      </c>
      <c r="AJ101" s="37">
        <f>IF(OR(LEFT(AH101, 1)="X", LEFT(AH101, 1)="Y", LEFT(AH101, 3)="J33M"), "CUSM", "No Match")</f>
      </c>
      <c r="AK101" s="37">
        <f>IF(AND(OR(O101=3, P101=1, Q101=1, T101=1), AJ101="no Match"), "CUSM, CHU SJ, CHUQ", "")</f>
      </c>
      <c r="AL101" s="37">
        <f>IF(AND(O101=2, ISBLANK(P101), ISBLANK(Q101), ISBLANK(R101), ISBLANK(S101), ISBLANK(T101)), "CUSM, CHU SJ, CHUS, CHUQ", "")</f>
      </c>
      <c r="AM101" s="37">
        <f>IF(AND(AJ101="no match", AK101="", AL101="", K101&lt;26), "CUSM, CHU SJ, HGJ, CHUQ, CHUS", "")</f>
      </c>
      <c r="AN101" s="37">
        <f>IF(AND(AJ101="no match", AK101="", AL101="", K101&gt;26), "CUSM, CHU SJ, HGJ, CHUQ, CHUS, HMR", "")</f>
      </c>
    </row>
    <row x14ac:dyDescent="0.25" r="102" customHeight="1" ht="17.25">
      <c r="A102" s="27" t="s">
        <v>282</v>
      </c>
      <c r="B102" s="28">
        <v>2</v>
      </c>
      <c r="C102" s="28">
        <v>822</v>
      </c>
      <c r="D102" s="29" t="s">
        <v>167</v>
      </c>
      <c r="E102" s="30" t="s">
        <v>50</v>
      </c>
      <c r="F102" s="31">
        <v>44622</v>
      </c>
      <c r="G102" s="32">
        <v>4.5</v>
      </c>
      <c r="H102" s="31">
        <v>44620</v>
      </c>
      <c r="I102" s="32">
        <v>4.740972222222222</v>
      </c>
      <c r="J102" s="33">
        <f>F102-H102</f>
      </c>
      <c r="K102" s="28">
        <v>37</v>
      </c>
      <c r="L102" s="28">
        <v>3</v>
      </c>
      <c r="M102" s="28">
        <v>2</v>
      </c>
      <c r="N102" s="35">
        <v>1</v>
      </c>
      <c r="O102" s="38"/>
      <c r="P102" s="38"/>
      <c r="Q102" s="35">
        <v>1</v>
      </c>
      <c r="R102" s="34"/>
      <c r="S102" s="34"/>
      <c r="T102" s="34"/>
      <c r="U102" s="34"/>
      <c r="V102" s="34"/>
      <c r="W102" s="29"/>
      <c r="X102" s="28">
        <v>31</v>
      </c>
      <c r="Y102" s="28">
        <v>1</v>
      </c>
      <c r="Z102" s="28">
        <v>1</v>
      </c>
      <c r="AA102" s="28">
        <v>2</v>
      </c>
      <c r="AB102" s="28">
        <v>1</v>
      </c>
      <c r="AC102" s="28">
        <v>2</v>
      </c>
      <c r="AD102" s="28">
        <v>2</v>
      </c>
      <c r="AE102" s="28">
        <v>4</v>
      </c>
      <c r="AF102" s="28">
        <v>2</v>
      </c>
      <c r="AG102" s="28">
        <v>2</v>
      </c>
      <c r="AH102" s="29" t="s">
        <v>283</v>
      </c>
      <c r="AI102" s="36">
        <f>IF(OR(AND(K102&lt;32, J102&lt;2), O102=1, P102=1, Q102=1, R102=1, S102=1, T102=1, U102=1, AND(W102&lt;&gt;"", W102&lt;&gt;"Oxygen", W102&lt;&gt;"LowFlow")), "Intensive", "Intermediate")</f>
      </c>
      <c r="AJ102" s="37">
        <f>IF(OR(LEFT(AH102, 1)="X", LEFT(AH102, 1)="Y", LEFT(AH102, 3)="J34M"), "CUSM", "No Match")</f>
      </c>
      <c r="AK102" s="37">
        <f>IF(AND(OR(O102=3, P102=1, Q102=1, T102=1), AJ102="no Match"), "CUSM, CHU SJ, CHUQ", "")</f>
      </c>
      <c r="AL102" s="37">
        <f>IF(AND(O102=2, ISBLANK(P102), ISBLANK(Q102), ISBLANK(R102), ISBLANK(S102), ISBLANK(T102)), "CUSM, CHU SJ, CHUS, CHUQ", "")</f>
      </c>
      <c r="AM102" s="37">
        <f>IF(AND(AJ102="no match", AK102="", AL102="", K102&lt;26), "CUSM, CHU SJ, HGJ, CHUQ, CHUS", "")</f>
      </c>
      <c r="AN102" s="37">
        <f>IF(AND(AJ102="no match", AK102="", AL102="", K102&gt;26), "CUSM, CHU SJ, HGJ, CHUQ, CHUS, HMR", "")</f>
      </c>
    </row>
    <row x14ac:dyDescent="0.25" r="103" customHeight="1" ht="17.25">
      <c r="A103" s="27" t="s">
        <v>284</v>
      </c>
      <c r="B103" s="28">
        <v>2</v>
      </c>
      <c r="C103" s="35">
        <v>814</v>
      </c>
      <c r="D103" s="29" t="s">
        <v>285</v>
      </c>
      <c r="E103" s="30" t="s">
        <v>54</v>
      </c>
      <c r="F103" s="31">
        <v>44623</v>
      </c>
      <c r="G103" s="32">
        <v>4.708333333333334</v>
      </c>
      <c r="H103" s="31">
        <v>44622</v>
      </c>
      <c r="I103" s="32">
        <v>4.1618055555555555</v>
      </c>
      <c r="J103" s="33">
        <f>F103-H103</f>
      </c>
      <c r="K103" s="28">
        <v>38</v>
      </c>
      <c r="L103" s="28">
        <v>6</v>
      </c>
      <c r="M103" s="28">
        <v>3</v>
      </c>
      <c r="N103" s="28">
        <v>1</v>
      </c>
      <c r="O103" s="35">
        <v>2</v>
      </c>
      <c r="P103" s="28">
        <v>1</v>
      </c>
      <c r="Q103" s="34"/>
      <c r="R103" s="34"/>
      <c r="S103" s="34"/>
      <c r="T103" s="34"/>
      <c r="U103" s="34"/>
      <c r="V103" s="38"/>
      <c r="W103" s="29"/>
      <c r="X103" s="28">
        <v>23</v>
      </c>
      <c r="Y103" s="28">
        <v>1</v>
      </c>
      <c r="Z103" s="28">
        <v>1</v>
      </c>
      <c r="AA103" s="28">
        <v>2</v>
      </c>
      <c r="AB103" s="28">
        <v>1</v>
      </c>
      <c r="AC103" s="28">
        <v>2</v>
      </c>
      <c r="AD103" s="28">
        <v>2</v>
      </c>
      <c r="AE103" s="28">
        <v>4</v>
      </c>
      <c r="AF103" s="28">
        <v>2</v>
      </c>
      <c r="AG103" s="28">
        <v>2</v>
      </c>
      <c r="AH103" s="29" t="s">
        <v>286</v>
      </c>
      <c r="AI103" s="36">
        <f>IF(OR(AND(K103&lt;32, J103&lt;2), O103=1, P103=1, Q103=1, R103=1, S103=1, T103=1, U103=1, AND(W103&lt;&gt;"", W103&lt;&gt;"Oxygen", W103&lt;&gt;"LowFlow")), "Intensive", "Intermediate")</f>
      </c>
      <c r="AJ103" s="37">
        <f>IF(OR(LEFT(AH103, 1)="X", LEFT(AH103, 1)="Y", LEFT(AH103, 3)="J35M"), "CUSM", "No Match")</f>
      </c>
      <c r="AK103" s="37">
        <f>IF(AND(OR(O103=3, P103=1, Q103=1, T103=1), AJ103="no Match"), "CUSM, CHU SJ, CHUQ", "")</f>
      </c>
      <c r="AL103" s="37">
        <f>IF(AND(O103=2, ISBLANK(P103), ISBLANK(Q103), ISBLANK(R103), ISBLANK(S103), ISBLANK(T103)), "CUSM, CHU SJ, CHUS, CHUQ", "")</f>
      </c>
      <c r="AM103" s="37">
        <f>IF(AND(AJ103="no match", AK103="", AL103="", K103&lt;26), "CUSM, CHU SJ, HGJ, CHUQ, CHUS", "")</f>
      </c>
      <c r="AN103" s="37">
        <f>IF(AND(AJ103="no match", AK103="", AL103="", K103&gt;26), "CUSM, CHU SJ, HGJ, CHUQ, CHUS, HMR", "")</f>
      </c>
    </row>
    <row x14ac:dyDescent="0.25" r="104" customHeight="1" ht="17.25">
      <c r="A104" s="27" t="s">
        <v>287</v>
      </c>
      <c r="B104" s="28">
        <v>2</v>
      </c>
      <c r="C104" s="35">
        <v>730</v>
      </c>
      <c r="D104" s="29" t="s">
        <v>81</v>
      </c>
      <c r="E104" s="30" t="s">
        <v>78</v>
      </c>
      <c r="F104" s="31">
        <v>44623</v>
      </c>
      <c r="G104" s="32">
        <v>4.875</v>
      </c>
      <c r="H104" s="31">
        <v>44623</v>
      </c>
      <c r="I104" s="32">
        <v>4.697222222222223</v>
      </c>
      <c r="J104" s="33">
        <f>F104-H104</f>
      </c>
      <c r="K104" s="28">
        <v>30</v>
      </c>
      <c r="L104" s="28">
        <v>2</v>
      </c>
      <c r="M104" s="28">
        <v>2</v>
      </c>
      <c r="N104" s="34"/>
      <c r="O104" s="34"/>
      <c r="P104" s="34"/>
      <c r="Q104" s="34"/>
      <c r="R104" s="34"/>
      <c r="S104" s="34"/>
      <c r="T104" s="34"/>
      <c r="U104" s="34"/>
      <c r="V104" s="34"/>
      <c r="W104" s="29" t="s">
        <v>164</v>
      </c>
      <c r="X104" s="28">
        <v>27</v>
      </c>
      <c r="Y104" s="28">
        <v>1</v>
      </c>
      <c r="Z104" s="28">
        <v>2</v>
      </c>
      <c r="AA104" s="28">
        <v>1</v>
      </c>
      <c r="AB104" s="28">
        <v>1</v>
      </c>
      <c r="AC104" s="28">
        <v>2</v>
      </c>
      <c r="AD104" s="28">
        <v>2</v>
      </c>
      <c r="AE104" s="28">
        <v>2</v>
      </c>
      <c r="AF104" s="28">
        <v>2</v>
      </c>
      <c r="AG104" s="28">
        <v>2</v>
      </c>
      <c r="AH104" s="29" t="s">
        <v>288</v>
      </c>
      <c r="AI104" s="36">
        <f>IF(OR(AND(K104&lt;32, J104&lt;2), O104=1, P104=1, Q104=1, R104=1, S104=1, T104=1, U104=1, AND(W104&lt;&gt;"", W104&lt;&gt;"Oxygen", W104&lt;&gt;"LowFlow")), "Intensive", "Intermediate")</f>
      </c>
      <c r="AJ104" s="37">
        <f>IF(OR(LEFT(AH104, 1)="X", LEFT(AH104, 1)="Y", LEFT(AH104, 3)="J36M"), "CUSM", "No Match")</f>
      </c>
      <c r="AK104" s="37">
        <f>IF(AND(OR(O104=3, P104=1, Q104=1, T104=1), AJ104="no Match"), "CUSM, CHU SJ, CHUQ", "")</f>
      </c>
      <c r="AL104" s="37">
        <f>IF(AND(O104=2, ISBLANK(P104), ISBLANK(Q104), ISBLANK(R104), ISBLANK(S104), ISBLANK(T104)), "CUSM, CHU SJ, CHUS, CHUQ", "")</f>
      </c>
      <c r="AM104" s="37">
        <f>IF(AND(AJ104="no match", AK104="", AL104="", K104&lt;26), "CUSM, CHU SJ, HGJ, CHUQ, CHUS", "")</f>
      </c>
      <c r="AN104" s="37">
        <f>IF(AND(AJ104="no match", AK104="", AL104="", K104&gt;26), "CUSM, CHU SJ, HGJ, CHUQ, CHUS, HMR", "")</f>
      </c>
    </row>
    <row x14ac:dyDescent="0.25" r="105" customHeight="1" ht="17.25">
      <c r="A105" s="27" t="s">
        <v>289</v>
      </c>
      <c r="B105" s="28">
        <v>2</v>
      </c>
      <c r="C105" s="35">
        <v>817</v>
      </c>
      <c r="D105" s="29" t="s">
        <v>163</v>
      </c>
      <c r="E105" s="30" t="s">
        <v>50</v>
      </c>
      <c r="F105" s="31">
        <v>44623</v>
      </c>
      <c r="G105" s="32">
        <v>4.583333333333334</v>
      </c>
      <c r="H105" s="31">
        <v>44623</v>
      </c>
      <c r="I105" s="32">
        <v>4.366666666666667</v>
      </c>
      <c r="J105" s="33">
        <f>F105-H105</f>
      </c>
      <c r="K105" s="28">
        <v>31</v>
      </c>
      <c r="L105" s="28">
        <v>3</v>
      </c>
      <c r="M105" s="28">
        <v>1</v>
      </c>
      <c r="N105" s="35">
        <v>1</v>
      </c>
      <c r="O105" s="34"/>
      <c r="P105" s="34"/>
      <c r="Q105" s="34"/>
      <c r="R105" s="34"/>
      <c r="S105" s="34"/>
      <c r="T105" s="35">
        <v>1</v>
      </c>
      <c r="U105" s="34"/>
      <c r="V105" s="34"/>
      <c r="W105" s="29" t="s">
        <v>74</v>
      </c>
      <c r="X105" s="28">
        <v>30</v>
      </c>
      <c r="Y105" s="28">
        <v>1</v>
      </c>
      <c r="Z105" s="28">
        <v>2</v>
      </c>
      <c r="AA105" s="28">
        <v>2</v>
      </c>
      <c r="AB105" s="28">
        <v>1</v>
      </c>
      <c r="AC105" s="28">
        <v>2</v>
      </c>
      <c r="AD105" s="28">
        <v>2</v>
      </c>
      <c r="AE105" s="28">
        <v>3</v>
      </c>
      <c r="AF105" s="28">
        <v>2</v>
      </c>
      <c r="AG105" s="28">
        <v>2</v>
      </c>
      <c r="AH105" s="29" t="s">
        <v>290</v>
      </c>
      <c r="AI105" s="36">
        <f>IF(OR(AND(K105&lt;32, J105&lt;2), O105=1, P105=1, Q105=1, R105=1, S105=1, T105=1, U105=1, AND(W105&lt;&gt;"", W105&lt;&gt;"Oxygen", W105&lt;&gt;"LowFlow")), "Intensive", "Intermediate")</f>
      </c>
      <c r="AJ105" s="37">
        <f>IF(OR(LEFT(AH105, 1)="X", LEFT(AH105, 1)="Y", LEFT(AH105, 3)="J37M"), "CUSM", "No Match")</f>
      </c>
      <c r="AK105" s="37">
        <f>IF(AND(OR(O105=3, P105=1, Q105=1, T105=1), AJ105="no Match"), "CUSM, CHU SJ, CHUQ", "")</f>
      </c>
      <c r="AL105" s="37">
        <f>IF(AND(O105=2, ISBLANK(P105), ISBLANK(Q105), ISBLANK(R105), ISBLANK(S105), ISBLANK(T105)), "CUSM, CHU SJ, CHUS, CHUQ", "")</f>
      </c>
      <c r="AM105" s="37">
        <f>IF(AND(AJ105="no match", AK105="", AL105="", K105&lt;26), "CUSM, CHU SJ, HGJ, CHUQ, CHUS", "")</f>
      </c>
      <c r="AN105" s="37">
        <f>IF(AND(AJ105="no match", AK105="", AL105="", K105&gt;26), "CUSM, CHU SJ, HGJ, CHUQ, CHUS, HMR", "")</f>
      </c>
    </row>
    <row x14ac:dyDescent="0.25" r="106" customHeight="1" ht="17.25">
      <c r="A106" s="27" t="s">
        <v>291</v>
      </c>
      <c r="B106" s="28">
        <v>2</v>
      </c>
      <c r="C106" s="35">
        <v>737</v>
      </c>
      <c r="D106" s="29" t="s">
        <v>202</v>
      </c>
      <c r="E106" s="30" t="s">
        <v>54</v>
      </c>
      <c r="F106" s="31">
        <v>44624</v>
      </c>
      <c r="G106" s="32">
        <v>4.055555555555555</v>
      </c>
      <c r="H106" s="31">
        <v>44622</v>
      </c>
      <c r="I106" s="39"/>
      <c r="J106" s="33">
        <f>F106-H106</f>
      </c>
      <c r="K106" s="28">
        <v>39</v>
      </c>
      <c r="L106" s="28">
        <v>5</v>
      </c>
      <c r="M106" s="28">
        <v>1</v>
      </c>
      <c r="N106" s="34"/>
      <c r="O106" s="34"/>
      <c r="P106" s="34"/>
      <c r="Q106" s="34"/>
      <c r="R106" s="34"/>
      <c r="S106" s="34"/>
      <c r="T106" s="34"/>
      <c r="U106" s="34"/>
      <c r="V106" s="34"/>
      <c r="W106" s="29"/>
      <c r="X106" s="28">
        <v>38</v>
      </c>
      <c r="Y106" s="28">
        <v>1</v>
      </c>
      <c r="Z106" s="28">
        <v>1</v>
      </c>
      <c r="AA106" s="28">
        <v>3</v>
      </c>
      <c r="AB106" s="28">
        <v>4</v>
      </c>
      <c r="AC106" s="28">
        <v>2</v>
      </c>
      <c r="AD106" s="28">
        <v>2</v>
      </c>
      <c r="AE106" s="28">
        <v>4</v>
      </c>
      <c r="AF106" s="28">
        <v>1</v>
      </c>
      <c r="AG106" s="28">
        <v>2</v>
      </c>
      <c r="AH106" s="29" t="s">
        <v>143</v>
      </c>
      <c r="AI106" s="36">
        <f>IF(OR(AND(K106&lt;32, J106&lt;2), O106=1, P106=1, Q106=1, R106=1, S106=1, T106=1, U106=1, AND(W106&lt;&gt;"", W106&lt;&gt;"Oxygen", W106&lt;&gt;"LowFlow")), "Intensive", "Intermediate")</f>
      </c>
      <c r="AJ106" s="37">
        <f>IF(OR(LEFT(AH106, 1)="X", LEFT(AH106, 1)="Y", LEFT(AH106, 3)="J38M"), "CUSM", "No Match")</f>
      </c>
      <c r="AK106" s="37">
        <f>IF(AND(OR(O106=3, P106=1, Q106=1, T106=1), AJ106="no Match"), "CUSM, CHU SJ, CHUQ", "")</f>
      </c>
      <c r="AL106" s="37">
        <f>IF(AND(O106=2, ISBLANK(P106), ISBLANK(Q106), ISBLANK(R106), ISBLANK(S106), ISBLANK(T106)), "CUSM, CHU SJ, CHUS, CHUQ", "")</f>
      </c>
      <c r="AM106" s="37">
        <f>IF(AND(AJ106="no match", AK106="", AL106="", K106&lt;26), "CUSM, CHU SJ, HGJ, CHUQ, CHUS", "")</f>
      </c>
      <c r="AN106" s="37">
        <f>IF(AND(AJ106="no match", AK106="", AL106="", K106&gt;26), "CUSM, CHU SJ, HGJ, CHUQ, CHUS, HMR", "")</f>
      </c>
    </row>
    <row x14ac:dyDescent="0.25" r="107" customHeight="1" ht="17.25">
      <c r="A107" s="27" t="s">
        <v>292</v>
      </c>
      <c r="B107" s="28">
        <v>2</v>
      </c>
      <c r="C107" s="35">
        <v>782</v>
      </c>
      <c r="D107" s="29" t="s">
        <v>95</v>
      </c>
      <c r="E107" s="30" t="s">
        <v>50</v>
      </c>
      <c r="F107" s="31">
        <v>44624</v>
      </c>
      <c r="G107" s="32">
        <v>4.645833333333334</v>
      </c>
      <c r="H107" s="31">
        <v>44623</v>
      </c>
      <c r="I107" s="32">
        <v>4.042361111111111</v>
      </c>
      <c r="J107" s="33">
        <f>F107-H107</f>
      </c>
      <c r="K107" s="28">
        <v>40</v>
      </c>
      <c r="L107" s="28">
        <v>0</v>
      </c>
      <c r="M107" s="28">
        <v>1</v>
      </c>
      <c r="N107" s="35">
        <v>1</v>
      </c>
      <c r="O107" s="34"/>
      <c r="P107" s="34"/>
      <c r="Q107" s="34"/>
      <c r="R107" s="34"/>
      <c r="S107" s="34"/>
      <c r="T107" s="34"/>
      <c r="U107" s="34"/>
      <c r="V107" s="34"/>
      <c r="W107" s="29"/>
      <c r="X107" s="28">
        <v>37</v>
      </c>
      <c r="Y107" s="28">
        <v>1</v>
      </c>
      <c r="Z107" s="28">
        <v>1</v>
      </c>
      <c r="AA107" s="28">
        <v>2</v>
      </c>
      <c r="AB107" s="28">
        <v>1</v>
      </c>
      <c r="AC107" s="28">
        <v>2</v>
      </c>
      <c r="AD107" s="28">
        <v>2</v>
      </c>
      <c r="AE107" s="28">
        <v>3</v>
      </c>
      <c r="AF107" s="28">
        <v>2</v>
      </c>
      <c r="AG107" s="28">
        <v>2</v>
      </c>
      <c r="AH107" s="29" t="s">
        <v>293</v>
      </c>
      <c r="AI107" s="36">
        <f>IF(OR(AND(K107&lt;32, J107&lt;2), O107=1, P107=1, Q107=1, R107=1, S107=1, T107=1, U107=1, AND(W107&lt;&gt;"", W107&lt;&gt;"Oxygen", W107&lt;&gt;"LowFlow")), "Intensive", "Intermediate")</f>
      </c>
      <c r="AJ107" s="37">
        <f>IF(OR(LEFT(AH107, 1)="X", LEFT(AH107, 1)="Y", LEFT(AH107, 3)="J39M"), "CUSM", "No Match")</f>
      </c>
      <c r="AK107" s="37">
        <f>IF(AND(OR(O107=3, P107=1, Q107=1, T107=1), AJ107="no Match"), "CUSM, CHU SJ, CHUQ", "")</f>
      </c>
      <c r="AL107" s="37">
        <f>IF(AND(O107=2, ISBLANK(P107), ISBLANK(Q107), ISBLANK(R107), ISBLANK(S107), ISBLANK(T107)), "CUSM, CHU SJ, CHUS, CHUQ", "")</f>
      </c>
      <c r="AM107" s="37">
        <f>IF(AND(AJ107="no match", AK107="", AL107="", K107&lt;26), "CUSM, CHU SJ, HGJ, CHUQ, CHUS", "")</f>
      </c>
      <c r="AN107" s="37">
        <f>IF(AND(AJ107="no match", AK107="", AL107="", K107&gt;26), "CUSM, CHU SJ, HGJ, CHUQ, CHUS, HMR", "")</f>
      </c>
    </row>
    <row x14ac:dyDescent="0.25" r="108" customHeight="1" ht="17.25">
      <c r="A108" s="27" t="s">
        <v>294</v>
      </c>
      <c r="B108" s="28">
        <v>2</v>
      </c>
      <c r="C108" s="35">
        <v>839</v>
      </c>
      <c r="D108" s="29" t="s">
        <v>53</v>
      </c>
      <c r="E108" s="30" t="s">
        <v>50</v>
      </c>
      <c r="F108" s="31">
        <v>44625</v>
      </c>
      <c r="G108" s="32">
        <v>4.770833333333334</v>
      </c>
      <c r="H108" s="31">
        <v>44623</v>
      </c>
      <c r="I108" s="32">
        <v>4.276388888888889</v>
      </c>
      <c r="J108" s="33">
        <f>F108-H108</f>
      </c>
      <c r="K108" s="28">
        <v>40</v>
      </c>
      <c r="L108" s="28">
        <v>4</v>
      </c>
      <c r="M108" s="28">
        <v>2</v>
      </c>
      <c r="N108" s="35">
        <v>1</v>
      </c>
      <c r="O108" s="35">
        <v>2</v>
      </c>
      <c r="P108" s="34"/>
      <c r="Q108" s="35">
        <v>1</v>
      </c>
      <c r="R108" s="35">
        <v>1</v>
      </c>
      <c r="S108" s="34"/>
      <c r="T108" s="34"/>
      <c r="U108" s="34"/>
      <c r="V108" s="34"/>
      <c r="W108" s="29"/>
      <c r="X108" s="28">
        <v>34</v>
      </c>
      <c r="Y108" s="28">
        <v>1</v>
      </c>
      <c r="Z108" s="28">
        <v>1</v>
      </c>
      <c r="AA108" s="28">
        <v>1</v>
      </c>
      <c r="AB108" s="28">
        <v>3</v>
      </c>
      <c r="AC108" s="28">
        <v>2</v>
      </c>
      <c r="AD108" s="28">
        <v>2</v>
      </c>
      <c r="AE108" s="28">
        <v>4</v>
      </c>
      <c r="AF108" s="28">
        <v>2</v>
      </c>
      <c r="AG108" s="28">
        <v>2</v>
      </c>
      <c r="AH108" s="29" t="s">
        <v>295</v>
      </c>
      <c r="AI108" s="36">
        <f>IF(OR(AND(K108&lt;32, J108&lt;2), O108=1, P108=1, Q108=1, R108=1, S108=1, T108=1, U108=1, AND(W108&lt;&gt;"", W108&lt;&gt;"Oxygen", W108&lt;&gt;"LowFlow")), "Intensive", "Intermediate")</f>
      </c>
      <c r="AJ108" s="37">
        <f>IF(OR(LEFT(AH108, 1)="X", LEFT(AH108, 1)="Y", LEFT(AH108, 3)="J40M"), "CUSM", "No Match")</f>
      </c>
      <c r="AK108" s="37">
        <f>IF(AND(OR(O108=3, P108=1, Q108=1, T108=1), AJ108="no Match"), "CUSM, CHU SJ, CHUQ", "")</f>
      </c>
      <c r="AL108" s="37">
        <f>IF(AND(O108=2, ISBLANK(P108), ISBLANK(Q108), ISBLANK(R108), ISBLANK(S108), ISBLANK(T108)), "CUSM, CHU SJ, CHUS, CHUQ", "")</f>
      </c>
      <c r="AM108" s="37">
        <f>IF(AND(AJ108="no match", AK108="", AL108="", K108&lt;26), "CUSM, CHU SJ, HGJ, CHUQ, CHUS", "")</f>
      </c>
      <c r="AN108" s="37">
        <f>IF(AND(AJ108="no match", AK108="", AL108="", K108&gt;26), "CUSM, CHU SJ, HGJ, CHUQ, CHUS, HMR", "")</f>
      </c>
    </row>
    <row x14ac:dyDescent="0.25" r="109" customHeight="1" ht="17.25">
      <c r="A109" s="27" t="s">
        <v>296</v>
      </c>
      <c r="B109" s="28">
        <v>2</v>
      </c>
      <c r="C109" s="35">
        <v>794</v>
      </c>
      <c r="D109" s="29" t="s">
        <v>297</v>
      </c>
      <c r="E109" s="30" t="s">
        <v>149</v>
      </c>
      <c r="F109" s="31">
        <v>44626</v>
      </c>
      <c r="G109" s="32">
        <v>4.197916666666666</v>
      </c>
      <c r="H109" s="31">
        <v>44625</v>
      </c>
      <c r="I109" s="32">
        <v>4.4375</v>
      </c>
      <c r="J109" s="33">
        <f>F109-H109</f>
      </c>
      <c r="K109" s="28">
        <v>32</v>
      </c>
      <c r="L109" s="28">
        <v>0</v>
      </c>
      <c r="M109" s="28">
        <v>1</v>
      </c>
      <c r="N109" s="34"/>
      <c r="O109" s="34"/>
      <c r="P109" s="34"/>
      <c r="Q109" s="34"/>
      <c r="R109" s="34"/>
      <c r="S109" s="34"/>
      <c r="T109" s="34"/>
      <c r="U109" s="34"/>
      <c r="V109" s="34"/>
      <c r="W109" s="29" t="s">
        <v>164</v>
      </c>
      <c r="X109" s="28">
        <v>31</v>
      </c>
      <c r="Y109" s="28">
        <v>1</v>
      </c>
      <c r="Z109" s="28">
        <v>2</v>
      </c>
      <c r="AA109" s="28">
        <v>3</v>
      </c>
      <c r="AB109" s="28">
        <v>4</v>
      </c>
      <c r="AC109" s="28">
        <v>2</v>
      </c>
      <c r="AD109" s="28">
        <v>2</v>
      </c>
      <c r="AE109" s="28">
        <v>4</v>
      </c>
      <c r="AF109" s="28">
        <v>3</v>
      </c>
      <c r="AG109" s="28">
        <v>2</v>
      </c>
      <c r="AH109" s="29" t="s">
        <v>298</v>
      </c>
      <c r="AI109" s="36">
        <f>IF(OR(AND(K109&lt;32, J109&lt;2), O109=1, P109=1, Q109=1, R109=1, S109=1, T109=1, U109=1, AND(W109&lt;&gt;"", W109&lt;&gt;"Oxygen", W109&lt;&gt;"LowFlow")), "Intensive", "Intermediate")</f>
      </c>
      <c r="AJ109" s="37">
        <f>IF(OR(LEFT(AH109, 1)="X", LEFT(AH109, 1)="Y", LEFT(AH109, 3)="J41M"), "CUSM", "No Match")</f>
      </c>
      <c r="AK109" s="37">
        <f>IF(AND(OR(O109=3, P109=1, Q109=1, T109=1), AJ109="no Match"), "CUSM, CHU SJ, CHUQ", "")</f>
      </c>
      <c r="AL109" s="37">
        <f>IF(AND(O109=2, ISBLANK(P109), ISBLANK(Q109), ISBLANK(R109), ISBLANK(S109), ISBLANK(T109)), "CUSM, CHU SJ, CHUS, CHUQ", "")</f>
      </c>
      <c r="AM109" s="37">
        <f>IF(AND(AJ109="no match", AK109="", AL109="", K109&lt;26), "CUSM, CHU SJ, HGJ, CHUQ, CHUS", "")</f>
      </c>
      <c r="AN109" s="37">
        <f>IF(AND(AJ109="no match", AK109="", AL109="", K109&gt;26), "CUSM, CHU SJ, HGJ, CHUQ, CHUS, HMR", "")</f>
      </c>
    </row>
    <row x14ac:dyDescent="0.25" r="110" customHeight="1" ht="17.25">
      <c r="A110" s="27" t="s">
        <v>299</v>
      </c>
      <c r="B110" s="28">
        <v>2</v>
      </c>
      <c r="C110" s="28">
        <v>820</v>
      </c>
      <c r="D110" s="29" t="s">
        <v>69</v>
      </c>
      <c r="E110" s="30" t="s">
        <v>54</v>
      </c>
      <c r="F110" s="31">
        <v>44626</v>
      </c>
      <c r="G110" s="32">
        <v>4.977777777777778</v>
      </c>
      <c r="H110" s="31">
        <v>44626</v>
      </c>
      <c r="I110" s="32">
        <v>4.736111111111111</v>
      </c>
      <c r="J110" s="33">
        <f>F110-H110</f>
      </c>
      <c r="K110" s="28">
        <v>36</v>
      </c>
      <c r="L110" s="28">
        <v>2</v>
      </c>
      <c r="M110" s="28">
        <v>2</v>
      </c>
      <c r="N110" s="34"/>
      <c r="O110" s="34"/>
      <c r="P110" s="34"/>
      <c r="Q110" s="34"/>
      <c r="R110" s="34"/>
      <c r="S110" s="34"/>
      <c r="T110" s="34"/>
      <c r="U110" s="34"/>
      <c r="V110" s="34"/>
      <c r="W110" s="29"/>
      <c r="X110" s="28">
        <v>27</v>
      </c>
      <c r="Y110" s="28">
        <v>1</v>
      </c>
      <c r="Z110" s="28">
        <v>2</v>
      </c>
      <c r="AA110" s="28">
        <v>2</v>
      </c>
      <c r="AB110" s="28">
        <v>1</v>
      </c>
      <c r="AC110" s="28">
        <v>2</v>
      </c>
      <c r="AD110" s="28">
        <v>2</v>
      </c>
      <c r="AE110" s="28">
        <v>4</v>
      </c>
      <c r="AF110" s="28">
        <v>2</v>
      </c>
      <c r="AG110" s="28">
        <v>2</v>
      </c>
      <c r="AH110" s="29" t="s">
        <v>300</v>
      </c>
      <c r="AI110" s="36">
        <f>IF(OR(AND(K110&lt;32, J110&lt;2), O110=1, P110=1, Q110=1, R110=1, S110=1, T110=1, U110=1, AND(W110&lt;&gt;"", W110&lt;&gt;"Oxygen", W110&lt;&gt;"LowFlow")), "Intensive", "Intermediate")</f>
      </c>
      <c r="AJ110" s="37">
        <f>IF(OR(LEFT(AH110, 1)="X", LEFT(AH110, 1)="Y", LEFT(AH110, 3)="J42M"), "CUSM", "No Match")</f>
      </c>
      <c r="AK110" s="37">
        <f>IF(AND(OR(O110=3, P110=1, Q110=1, T110=1), AJ110="no Match"), "CUSM, CHU SJ, CHUQ", "")</f>
      </c>
      <c r="AL110" s="37">
        <f>IF(AND(O110=2, ISBLANK(P110), ISBLANK(Q110), ISBLANK(R110), ISBLANK(S110), ISBLANK(T110)), "CUSM, CHU SJ, CHUS, CHUQ", "")</f>
      </c>
      <c r="AM110" s="37">
        <f>IF(AND(AJ110="no match", AK110="", AL110="", K110&lt;26), "CUSM, CHU SJ, HGJ, CHUQ, CHUS", "")</f>
      </c>
      <c r="AN110" s="37">
        <f>IF(AND(AJ110="no match", AK110="", AL110="", K110&gt;26), "CUSM, CHU SJ, HGJ, CHUQ, CHUS, HMR", "")</f>
      </c>
    </row>
    <row x14ac:dyDescent="0.25" r="111" customHeight="1" ht="17.25">
      <c r="A111" s="27" t="s">
        <v>301</v>
      </c>
      <c r="B111" s="28">
        <v>2</v>
      </c>
      <c r="C111" s="35">
        <v>734</v>
      </c>
      <c r="D111" s="29" t="s">
        <v>264</v>
      </c>
      <c r="E111" s="30" t="s">
        <v>50</v>
      </c>
      <c r="F111" s="31">
        <v>44626</v>
      </c>
      <c r="G111" s="32">
        <v>4.9</v>
      </c>
      <c r="H111" s="31">
        <v>44626</v>
      </c>
      <c r="I111" s="32">
        <v>4.733333333333333</v>
      </c>
      <c r="J111" s="33">
        <f>F111-H111</f>
      </c>
      <c r="K111" s="28">
        <v>41</v>
      </c>
      <c r="L111" s="28">
        <v>2</v>
      </c>
      <c r="M111" s="28">
        <v>1</v>
      </c>
      <c r="N111" s="34"/>
      <c r="O111" s="34"/>
      <c r="P111" s="34"/>
      <c r="Q111" s="34"/>
      <c r="R111" s="34"/>
      <c r="S111" s="34"/>
      <c r="T111" s="35">
        <v>1</v>
      </c>
      <c r="U111" s="34"/>
      <c r="V111" s="34"/>
      <c r="W111" s="29" t="s">
        <v>74</v>
      </c>
      <c r="X111" s="28">
        <v>32</v>
      </c>
      <c r="Y111" s="28">
        <v>1</v>
      </c>
      <c r="Z111" s="28">
        <v>1</v>
      </c>
      <c r="AA111" s="28">
        <v>2</v>
      </c>
      <c r="AB111" s="28">
        <v>1</v>
      </c>
      <c r="AC111" s="28">
        <v>2</v>
      </c>
      <c r="AD111" s="28">
        <v>2</v>
      </c>
      <c r="AE111" s="28">
        <v>4</v>
      </c>
      <c r="AF111" s="28">
        <v>2</v>
      </c>
      <c r="AG111" s="28">
        <v>2</v>
      </c>
      <c r="AH111" s="29" t="s">
        <v>302</v>
      </c>
      <c r="AI111" s="36">
        <f>IF(OR(AND(K111&lt;32, J111&lt;2), O111=1, P111=1, Q111=1, R111=1, S111=1, T111=1, U111=1, AND(W111&lt;&gt;"", W111&lt;&gt;"Oxygen", W111&lt;&gt;"LowFlow")), "Intensive", "Intermediate")</f>
      </c>
      <c r="AJ111" s="37">
        <f>IF(OR(LEFT(AH111, 1)="X", LEFT(AH111, 1)="Y", LEFT(AH111, 3)="J43M"), "CUSM", "No Match")</f>
      </c>
      <c r="AK111" s="37">
        <f>IF(AND(OR(O111=3, P111=1, Q111=1, T111=1), AJ111="no Match"), "CUSM, CHU SJ, CHUQ", "")</f>
      </c>
      <c r="AL111" s="37">
        <f>IF(AND(O111=2, ISBLANK(P111), ISBLANK(Q111), ISBLANK(R111), ISBLANK(S111), ISBLANK(T111)), "CUSM, CHU SJ, CHUS, CHUQ", "")</f>
      </c>
      <c r="AM111" s="37">
        <f>IF(AND(AJ111="no match", AK111="", AL111="", K111&lt;26), "CUSM, CHU SJ, HGJ, CHUQ, CHUS", "")</f>
      </c>
      <c r="AN111" s="37">
        <f>IF(AND(AJ111="no match", AK111="", AL111="", K111&gt;26), "CUSM, CHU SJ, HGJ, CHUQ, CHUS, HMR", "")</f>
      </c>
    </row>
    <row x14ac:dyDescent="0.25" r="112" customHeight="1" ht="17.25">
      <c r="A112" s="27" t="s">
        <v>303</v>
      </c>
      <c r="B112" s="28">
        <v>2</v>
      </c>
      <c r="C112" s="28">
        <v>730</v>
      </c>
      <c r="D112" s="29" t="s">
        <v>81</v>
      </c>
      <c r="E112" s="30" t="s">
        <v>78</v>
      </c>
      <c r="F112" s="31">
        <v>44628</v>
      </c>
      <c r="G112" s="32">
        <v>4.520833333333334</v>
      </c>
      <c r="H112" s="31">
        <v>44628</v>
      </c>
      <c r="I112" s="32">
        <v>4.375</v>
      </c>
      <c r="J112" s="33">
        <f>F112-H112</f>
      </c>
      <c r="K112" s="28">
        <v>36</v>
      </c>
      <c r="L112" s="28">
        <v>0</v>
      </c>
      <c r="M112" s="28">
        <v>1</v>
      </c>
      <c r="N112" s="28">
        <v>1</v>
      </c>
      <c r="O112" s="34"/>
      <c r="P112" s="38"/>
      <c r="Q112" s="34"/>
      <c r="R112" s="34"/>
      <c r="S112" s="34"/>
      <c r="T112" s="34"/>
      <c r="U112" s="34"/>
      <c r="V112" s="34"/>
      <c r="W112" s="29" t="s">
        <v>58</v>
      </c>
      <c r="X112" s="28">
        <v>36</v>
      </c>
      <c r="Y112" s="28">
        <v>1</v>
      </c>
      <c r="Z112" s="28">
        <v>2</v>
      </c>
      <c r="AA112" s="28">
        <v>2</v>
      </c>
      <c r="AB112" s="28">
        <v>1</v>
      </c>
      <c r="AC112" s="28">
        <v>2</v>
      </c>
      <c r="AD112" s="28">
        <v>2</v>
      </c>
      <c r="AE112" s="28">
        <v>4</v>
      </c>
      <c r="AF112" s="28">
        <v>2</v>
      </c>
      <c r="AG112" s="28">
        <v>2</v>
      </c>
      <c r="AH112" s="29" t="s">
        <v>304</v>
      </c>
      <c r="AI112" s="36">
        <f>IF(OR(AND(K112&lt;32, J112&lt;2), O112=1, P112=1, Q112=1, R112=1, S112=1, T112=1, U112=1, AND(W112&lt;&gt;"", W112&lt;&gt;"Oxygen", W112&lt;&gt;"LowFlow")), "Intensive", "Intermediate")</f>
      </c>
      <c r="AJ112" s="37">
        <f>IF(OR(LEFT(AH112, 1)="X", LEFT(AH112, 1)="Y", LEFT(AH112, 3)="J44M"), "CUSM", "No Match")</f>
      </c>
      <c r="AK112" s="37">
        <f>IF(AND(OR(O112=3, P112=1, Q112=1, T112=1), AJ112="no Match"), "CUSM, CHU SJ, CHUQ", "")</f>
      </c>
      <c r="AL112" s="37">
        <f>IF(AND(O112=2, ISBLANK(P112), ISBLANK(Q112), ISBLANK(R112), ISBLANK(S112), ISBLANK(T112)), "CUSM, CHU SJ, CHUS, CHUQ", "")</f>
      </c>
      <c r="AM112" s="37">
        <f>IF(AND(AJ112="no match", AK112="", AL112="", K112&lt;26), "CUSM, CHU SJ, HGJ, CHUQ, CHUS", "")</f>
      </c>
      <c r="AN112" s="37">
        <f>IF(AND(AJ112="no match", AK112="", AL112="", K112&gt;26), "CUSM, CHU SJ, HGJ, CHUQ, CHUS, HMR", "")</f>
      </c>
    </row>
    <row x14ac:dyDescent="0.25" r="113" customHeight="1" ht="17.25">
      <c r="A113" s="27" t="s">
        <v>305</v>
      </c>
      <c r="B113" s="28">
        <v>2</v>
      </c>
      <c r="C113" s="35">
        <v>768</v>
      </c>
      <c r="D113" s="29" t="s">
        <v>160</v>
      </c>
      <c r="E113" s="30" t="s">
        <v>118</v>
      </c>
      <c r="F113" s="31">
        <v>44630</v>
      </c>
      <c r="G113" s="32">
        <v>4.743055555555555</v>
      </c>
      <c r="H113" s="31">
        <v>44628</v>
      </c>
      <c r="I113" s="32">
        <v>4.90625</v>
      </c>
      <c r="J113" s="33">
        <f>F113-H113</f>
      </c>
      <c r="K113" s="28">
        <v>40</v>
      </c>
      <c r="L113" s="28">
        <v>1</v>
      </c>
      <c r="M113" s="28">
        <v>2</v>
      </c>
      <c r="N113" s="34"/>
      <c r="O113" s="34"/>
      <c r="P113" s="34"/>
      <c r="Q113" s="34"/>
      <c r="R113" s="34"/>
      <c r="S113" s="34"/>
      <c r="T113" s="35">
        <v>1</v>
      </c>
      <c r="U113" s="34"/>
      <c r="V113" s="34"/>
      <c r="W113" s="29"/>
      <c r="X113" s="28">
        <v>20</v>
      </c>
      <c r="Y113" s="28">
        <v>1</v>
      </c>
      <c r="Z113" s="28">
        <v>1</v>
      </c>
      <c r="AA113" s="28">
        <v>2</v>
      </c>
      <c r="AB113" s="28">
        <v>2</v>
      </c>
      <c r="AC113" s="28">
        <v>2</v>
      </c>
      <c r="AD113" s="28">
        <v>2</v>
      </c>
      <c r="AE113" s="28">
        <v>4</v>
      </c>
      <c r="AF113" s="28">
        <v>3</v>
      </c>
      <c r="AG113" s="28">
        <v>2</v>
      </c>
      <c r="AH113" s="29" t="s">
        <v>306</v>
      </c>
      <c r="AI113" s="36">
        <f>IF(OR(AND(K113&lt;32, J113&lt;2), O113=1, P113=1, Q113=1, R113=1, S113=1, T113=1, U113=1, AND(W113&lt;&gt;"", W113&lt;&gt;"Oxygen", W113&lt;&gt;"LowFlow")), "Intensive", "Intermediate")</f>
      </c>
      <c r="AJ113" s="37">
        <f>IF(OR(LEFT(AH113, 1)="X", LEFT(AH113, 1)="Y", LEFT(AH113, 3)="J45M"), "CUSM", "No Match")</f>
      </c>
      <c r="AK113" s="37">
        <f>IF(AND(OR(O113=3, P113=1, Q113=1, T113=1), AJ113="no Match"), "CUSM, CHU SJ, CHUQ", "")</f>
      </c>
      <c r="AL113" s="37">
        <f>IF(AND(O113=2, ISBLANK(P113), ISBLANK(Q113), ISBLANK(R113), ISBLANK(S113), ISBLANK(T113)), "CUSM, CHU SJ, CHUS, CHUQ", "")</f>
      </c>
      <c r="AM113" s="37">
        <f>IF(AND(AJ113="no match", AK113="", AL113="", K113&lt;26), "CUSM, CHU SJ, HGJ, CHUQ, CHUS", "")</f>
      </c>
      <c r="AN113" s="37">
        <f>IF(AND(AJ113="no match", AK113="", AL113="", K113&gt;26), "CUSM, CHU SJ, HGJ, CHUQ, CHUS, HMR", "")</f>
      </c>
    </row>
    <row x14ac:dyDescent="0.25" r="114" customHeight="1" ht="17.25">
      <c r="A114" s="27" t="s">
        <v>307</v>
      </c>
      <c r="B114" s="28">
        <v>2</v>
      </c>
      <c r="C114" s="35">
        <v>832</v>
      </c>
      <c r="D114" s="29" t="s">
        <v>308</v>
      </c>
      <c r="E114" s="30" t="s">
        <v>54</v>
      </c>
      <c r="F114" s="31">
        <v>44631</v>
      </c>
      <c r="G114" s="32">
        <v>4.041666666666666</v>
      </c>
      <c r="H114" s="31">
        <v>44630</v>
      </c>
      <c r="I114" s="32">
        <v>4.757638888888889</v>
      </c>
      <c r="J114" s="33">
        <f>F114-H114</f>
      </c>
      <c r="K114" s="28">
        <v>38</v>
      </c>
      <c r="L114" s="28">
        <v>6</v>
      </c>
      <c r="M114" s="28">
        <v>1</v>
      </c>
      <c r="N114" s="35">
        <v>1</v>
      </c>
      <c r="O114" s="34"/>
      <c r="P114" s="35">
        <v>1</v>
      </c>
      <c r="Q114" s="34"/>
      <c r="R114" s="34"/>
      <c r="S114" s="34"/>
      <c r="T114" s="35">
        <v>1</v>
      </c>
      <c r="U114" s="34"/>
      <c r="V114" s="34"/>
      <c r="W114" s="29" t="s">
        <v>74</v>
      </c>
      <c r="X114" s="28">
        <v>26</v>
      </c>
      <c r="Y114" s="28">
        <v>1</v>
      </c>
      <c r="Z114" s="28">
        <v>2</v>
      </c>
      <c r="AA114" s="28">
        <v>1</v>
      </c>
      <c r="AB114" s="28">
        <v>1</v>
      </c>
      <c r="AC114" s="28">
        <v>2</v>
      </c>
      <c r="AD114" s="28">
        <v>1</v>
      </c>
      <c r="AE114" s="28">
        <v>4</v>
      </c>
      <c r="AF114" s="28">
        <v>1</v>
      </c>
      <c r="AG114" s="28">
        <v>2</v>
      </c>
      <c r="AH114" s="29" t="s">
        <v>309</v>
      </c>
      <c r="AI114" s="36">
        <f>IF(OR(AND(K114&lt;32, J114&lt;2), O114=1, P114=1, Q114=1, R114=1, S114=1, T114=1, U114=1, AND(W114&lt;&gt;"", W114&lt;&gt;"Oxygen", W114&lt;&gt;"LowFlow")), "Intensive", "Intermediate")</f>
      </c>
      <c r="AJ114" s="37">
        <f>IF(OR(LEFT(AH114, 1)="X", LEFT(AH114, 1)="Y", LEFT(AH114, 3)="J46M"), "CUSM", "No Match")</f>
      </c>
      <c r="AK114" s="37">
        <f>IF(AND(OR(O114=3, P114=1, Q114=1, T114=1), AJ114="no Match"), "CUSM, CHU SJ, CHUQ", "")</f>
      </c>
      <c r="AL114" s="37">
        <f>IF(AND(O114=2, ISBLANK(P114), ISBLANK(Q114), ISBLANK(R114), ISBLANK(S114), ISBLANK(T114)), "CUSM, CHU SJ, CHUS, CHUQ", "")</f>
      </c>
      <c r="AM114" s="37">
        <f>IF(AND(AJ114="no match", AK114="", AL114="", K114&lt;26), "CUSM, CHU SJ, HGJ, CHUQ, CHUS", "")</f>
      </c>
      <c r="AN114" s="37">
        <f>IF(AND(AJ114="no match", AK114="", AL114="", K114&gt;26), "CUSM, CHU SJ, HGJ, CHUQ, CHUS, HMR", "")</f>
      </c>
    </row>
    <row x14ac:dyDescent="0.25" r="115" customHeight="1" ht="17.25">
      <c r="A115" s="27" t="s">
        <v>310</v>
      </c>
      <c r="B115" s="28">
        <v>2</v>
      </c>
      <c r="C115" s="35">
        <v>839</v>
      </c>
      <c r="D115" s="29" t="s">
        <v>53</v>
      </c>
      <c r="E115" s="30" t="s">
        <v>50</v>
      </c>
      <c r="F115" s="31">
        <v>44631</v>
      </c>
      <c r="G115" s="32">
        <v>4.496527777777778</v>
      </c>
      <c r="H115" s="31">
        <v>44629</v>
      </c>
      <c r="I115" s="32">
        <v>4.6305555555555555</v>
      </c>
      <c r="J115" s="33">
        <f>F115-H115</f>
      </c>
      <c r="K115" s="28">
        <v>40</v>
      </c>
      <c r="L115" s="28">
        <v>5</v>
      </c>
      <c r="M115" s="28">
        <v>1</v>
      </c>
      <c r="N115" s="34"/>
      <c r="O115" s="34"/>
      <c r="P115" s="34"/>
      <c r="Q115" s="34"/>
      <c r="R115" s="34"/>
      <c r="S115" s="34"/>
      <c r="T115" s="34"/>
      <c r="U115" s="34"/>
      <c r="V115" s="34"/>
      <c r="W115" s="29"/>
      <c r="X115" s="28">
        <v>25</v>
      </c>
      <c r="Y115" s="28">
        <v>1</v>
      </c>
      <c r="Z115" s="28">
        <v>1</v>
      </c>
      <c r="AA115" s="28">
        <v>2</v>
      </c>
      <c r="AB115" s="28">
        <v>1</v>
      </c>
      <c r="AC115" s="28">
        <v>2</v>
      </c>
      <c r="AD115" s="28">
        <v>2</v>
      </c>
      <c r="AE115" s="28">
        <v>4</v>
      </c>
      <c r="AF115" s="28">
        <v>2</v>
      </c>
      <c r="AG115" s="28">
        <v>2</v>
      </c>
      <c r="AH115" s="29" t="s">
        <v>311</v>
      </c>
      <c r="AI115" s="36">
        <f>IF(OR(AND(K115&lt;32, J115&lt;2), O115=1, P115=1, Q115=1, R115=1, S115=1, T115=1, U115=1, AND(W115&lt;&gt;"", W115&lt;&gt;"Oxygen", W115&lt;&gt;"LowFlow")), "Intensive", "Intermediate")</f>
      </c>
      <c r="AJ115" s="37">
        <f>IF(OR(LEFT(AH115, 1)="X", LEFT(AH115, 1)="Y", LEFT(AH115, 3)="J47M"), "CUSM", "No Match")</f>
      </c>
      <c r="AK115" s="37">
        <f>IF(AND(OR(O115=3, P115=1, Q115=1, T115=1), AJ115="no Match"), "CUSM, CHU SJ, CHUQ", "")</f>
      </c>
      <c r="AL115" s="37">
        <f>IF(AND(O115=2, ISBLANK(P115), ISBLANK(Q115), ISBLANK(R115), ISBLANK(S115), ISBLANK(T115)), "CUSM, CHU SJ, CHUS, CHUQ", "")</f>
      </c>
      <c r="AM115" s="37">
        <f>IF(AND(AJ115="no match", AK115="", AL115="", K115&lt;26), "CUSM, CHU SJ, HGJ, CHUQ, CHUS", "")</f>
      </c>
      <c r="AN115" s="37">
        <f>IF(AND(AJ115="no match", AK115="", AL115="", K115&gt;26), "CUSM, CHU SJ, HGJ, CHUQ, CHUS, HMR", "")</f>
      </c>
    </row>
    <row x14ac:dyDescent="0.25" r="116" customHeight="1" ht="17.25">
      <c r="A116" s="27" t="s">
        <v>312</v>
      </c>
      <c r="B116" s="28">
        <v>2</v>
      </c>
      <c r="C116" s="28">
        <v>831</v>
      </c>
      <c r="D116" s="29" t="s">
        <v>313</v>
      </c>
      <c r="E116" s="30" t="s">
        <v>54</v>
      </c>
      <c r="F116" s="31">
        <v>44632</v>
      </c>
      <c r="G116" s="32">
        <v>4.7027777777777775</v>
      </c>
      <c r="H116" s="31">
        <v>44631</v>
      </c>
      <c r="I116" s="32">
        <v>4.766666666666667</v>
      </c>
      <c r="J116" s="33">
        <f>F116-H116</f>
      </c>
      <c r="K116" s="28">
        <v>33</v>
      </c>
      <c r="L116" s="28">
        <v>0</v>
      </c>
      <c r="M116" s="28">
        <v>2</v>
      </c>
      <c r="N116" s="34"/>
      <c r="O116" s="34"/>
      <c r="P116" s="34"/>
      <c r="Q116" s="34"/>
      <c r="R116" s="34"/>
      <c r="S116" s="34"/>
      <c r="T116" s="34"/>
      <c r="U116" s="34"/>
      <c r="V116" s="34"/>
      <c r="W116" s="29"/>
      <c r="X116" s="28">
        <v>31</v>
      </c>
      <c r="Y116" s="28">
        <v>1</v>
      </c>
      <c r="Z116" s="28">
        <v>1</v>
      </c>
      <c r="AA116" s="28">
        <v>3</v>
      </c>
      <c r="AB116" s="28">
        <v>4</v>
      </c>
      <c r="AC116" s="28">
        <v>3</v>
      </c>
      <c r="AD116" s="28">
        <v>3</v>
      </c>
      <c r="AE116" s="28">
        <v>4</v>
      </c>
      <c r="AF116" s="28">
        <v>3</v>
      </c>
      <c r="AG116" s="28">
        <v>2</v>
      </c>
      <c r="AH116" s="29" t="s">
        <v>314</v>
      </c>
      <c r="AI116" s="36">
        <f>IF(OR(AND(K116&lt;32, J116&lt;2), O116=1, P116=1, Q116=1, R116=1, S116=1, T116=1, U116=1, AND(W116&lt;&gt;"", W116&lt;&gt;"Oxygen", W116&lt;&gt;"LowFlow")), "Intensive", "Intermediate")</f>
      </c>
      <c r="AJ116" s="37">
        <f>IF(OR(LEFT(AH116, 1)="X", LEFT(AH116, 1)="Y", LEFT(AH116, 3)="J48M"), "CUSM", "No Match")</f>
      </c>
      <c r="AK116" s="37">
        <f>IF(AND(OR(O116=3, P116=1, Q116=1, T116=1), AJ116="no Match"), "CUSM, CHU SJ, CHUQ", "")</f>
      </c>
      <c r="AL116" s="37">
        <f>IF(AND(O116=2, ISBLANK(P116), ISBLANK(Q116), ISBLANK(R116), ISBLANK(S116), ISBLANK(T116)), "CUSM, CHU SJ, CHUS, CHUQ", "")</f>
      </c>
      <c r="AM116" s="37">
        <f>IF(AND(AJ116="no match", AK116="", AL116="", K116&lt;26), "CUSM, CHU SJ, HGJ, CHUQ, CHUS", "")</f>
      </c>
      <c r="AN116" s="37">
        <f>IF(AND(AJ116="no match", AK116="", AL116="", K116&gt;26), "CUSM, CHU SJ, HGJ, CHUQ, CHUS, HMR", "")</f>
      </c>
    </row>
    <row x14ac:dyDescent="0.25" r="117" customHeight="1" ht="17.25">
      <c r="A117" s="27" t="s">
        <v>315</v>
      </c>
      <c r="B117" s="28">
        <v>2</v>
      </c>
      <c r="C117" s="35">
        <v>737</v>
      </c>
      <c r="D117" s="29" t="s">
        <v>202</v>
      </c>
      <c r="E117" s="30" t="s">
        <v>54</v>
      </c>
      <c r="F117" s="31">
        <v>44633</v>
      </c>
      <c r="G117" s="32">
        <v>4.944444444444445</v>
      </c>
      <c r="H117" s="31">
        <v>44631</v>
      </c>
      <c r="I117" s="32">
        <v>4.2125</v>
      </c>
      <c r="J117" s="33">
        <f>F117-H117</f>
      </c>
      <c r="K117" s="28">
        <v>39</v>
      </c>
      <c r="L117" s="28">
        <v>4</v>
      </c>
      <c r="M117" s="28">
        <v>1</v>
      </c>
      <c r="N117" s="35">
        <v>1</v>
      </c>
      <c r="O117" s="34"/>
      <c r="P117" s="34"/>
      <c r="Q117" s="34"/>
      <c r="R117" s="34"/>
      <c r="S117" s="34"/>
      <c r="T117" s="34"/>
      <c r="U117" s="34"/>
      <c r="V117" s="34"/>
      <c r="W117" s="29"/>
      <c r="X117" s="28">
        <v>25</v>
      </c>
      <c r="Y117" s="28">
        <v>1</v>
      </c>
      <c r="Z117" s="28">
        <v>2</v>
      </c>
      <c r="AA117" s="28">
        <v>2</v>
      </c>
      <c r="AB117" s="28">
        <v>1</v>
      </c>
      <c r="AC117" s="28">
        <v>2</v>
      </c>
      <c r="AD117" s="28">
        <v>2</v>
      </c>
      <c r="AE117" s="28">
        <v>4</v>
      </c>
      <c r="AF117" s="28">
        <v>2</v>
      </c>
      <c r="AG117" s="28">
        <v>2</v>
      </c>
      <c r="AH117" s="29" t="s">
        <v>316</v>
      </c>
      <c r="AI117" s="36">
        <f>IF(OR(AND(K117&lt;32, J117&lt;2), O117=1, P117=1, Q117=1, R117=1, S117=1, T117=1, U117=1, AND(W117&lt;&gt;"", W117&lt;&gt;"Oxygen", W117&lt;&gt;"LowFlow")), "Intensive", "Intermediate")</f>
      </c>
      <c r="AJ117" s="37">
        <f>IF(OR(LEFT(AH117, 1)="X", LEFT(AH117, 1)="Y", LEFT(AH117, 3)="J49M"), "CUSM", "No Match")</f>
      </c>
      <c r="AK117" s="37">
        <f>IF(AND(OR(O117=3, P117=1, Q117=1, T117=1), AJ117="no Match"), "CUSM, CHU SJ, CHUQ", "")</f>
      </c>
      <c r="AL117" s="37">
        <f>IF(AND(O117=2, ISBLANK(P117), ISBLANK(Q117), ISBLANK(R117), ISBLANK(S117), ISBLANK(T117)), "CUSM, CHU SJ, CHUS, CHUQ", "")</f>
      </c>
      <c r="AM117" s="37">
        <f>IF(AND(AJ117="no match", AK117="", AL117="", K117&lt;26), "CUSM, CHU SJ, HGJ, CHUQ, CHUS", "")</f>
      </c>
      <c r="AN117" s="37">
        <f>IF(AND(AJ117="no match", AK117="", AL117="", K117&gt;26), "CUSM, CHU SJ, HGJ, CHUQ, CHUS, HMR", "")</f>
      </c>
    </row>
    <row x14ac:dyDescent="0.25" r="118" customHeight="1" ht="17.25">
      <c r="A118" s="27" t="s">
        <v>317</v>
      </c>
      <c r="B118" s="28">
        <v>2</v>
      </c>
      <c r="C118" s="28">
        <v>730</v>
      </c>
      <c r="D118" s="29" t="s">
        <v>81</v>
      </c>
      <c r="E118" s="30" t="s">
        <v>50</v>
      </c>
      <c r="F118" s="31">
        <v>44633</v>
      </c>
      <c r="G118" s="32">
        <v>4.745138888888889</v>
      </c>
      <c r="H118" s="31">
        <v>44633</v>
      </c>
      <c r="I118" s="32">
        <v>4.624305555555555</v>
      </c>
      <c r="J118" s="33">
        <f>F118-H118</f>
      </c>
      <c r="K118" s="28">
        <v>35</v>
      </c>
      <c r="L118" s="28">
        <v>5</v>
      </c>
      <c r="M118" s="28">
        <v>2</v>
      </c>
      <c r="N118" s="34"/>
      <c r="O118" s="34"/>
      <c r="P118" s="34"/>
      <c r="Q118" s="34"/>
      <c r="R118" s="34"/>
      <c r="S118" s="34"/>
      <c r="T118" s="34"/>
      <c r="U118" s="34"/>
      <c r="V118" s="34"/>
      <c r="W118" s="29" t="s">
        <v>58</v>
      </c>
      <c r="X118" s="28">
        <v>35</v>
      </c>
      <c r="Y118" s="28">
        <v>1</v>
      </c>
      <c r="Z118" s="28">
        <v>1</v>
      </c>
      <c r="AA118" s="28">
        <v>2</v>
      </c>
      <c r="AB118" s="28">
        <v>1</v>
      </c>
      <c r="AC118" s="28">
        <v>2</v>
      </c>
      <c r="AD118" s="28">
        <v>2</v>
      </c>
      <c r="AE118" s="28">
        <v>4</v>
      </c>
      <c r="AF118" s="28">
        <v>2</v>
      </c>
      <c r="AG118" s="28">
        <v>2</v>
      </c>
      <c r="AH118" s="29" t="s">
        <v>318</v>
      </c>
      <c r="AI118" s="36">
        <f>IF(OR(AND(K118&lt;32, J118&lt;2), O118=1, P118=1, Q118=1, R118=1, S118=1, T118=1, U118=1, AND(W118&lt;&gt;"", W118&lt;&gt;"Oxygen", W118&lt;&gt;"LowFlow")), "Intensive", "Intermediate")</f>
      </c>
      <c r="AJ118" s="37">
        <f>IF(OR(LEFT(AH118, 1)="X", LEFT(AH118, 1)="Y", LEFT(AH118, 3)="J50M"), "CUSM", "No Match")</f>
      </c>
      <c r="AK118" s="37">
        <f>IF(AND(OR(O118=3, P118=1, Q118=1, T118=1), AJ118="no Match"), "CUSM, CHU SJ, CHUQ", "")</f>
      </c>
      <c r="AL118" s="37">
        <f>IF(AND(O118=2, ISBLANK(P118), ISBLANK(Q118), ISBLANK(R118), ISBLANK(S118), ISBLANK(T118)), "CUSM, CHU SJ, CHUS, CHUQ", "")</f>
      </c>
      <c r="AM118" s="37">
        <f>IF(AND(AJ118="no match", AK118="", AL118="", K118&lt;26), "CUSM, CHU SJ, HGJ, CHUQ, CHUS", "")</f>
      </c>
      <c r="AN118" s="37">
        <f>IF(AND(AJ118="no match", AK118="", AL118="", K118&gt;26), "CUSM, CHU SJ, HGJ, CHUQ, CHUS, HMR", "")</f>
      </c>
    </row>
    <row x14ac:dyDescent="0.25" r="119" customHeight="1" ht="17.25">
      <c r="A119" s="27" t="s">
        <v>319</v>
      </c>
      <c r="B119" s="28">
        <v>2</v>
      </c>
      <c r="C119" s="28">
        <v>832</v>
      </c>
      <c r="D119" s="29" t="s">
        <v>308</v>
      </c>
      <c r="E119" s="30" t="s">
        <v>54</v>
      </c>
      <c r="F119" s="31">
        <v>44634</v>
      </c>
      <c r="G119" s="32">
        <v>4.75</v>
      </c>
      <c r="H119" s="31">
        <v>44632</v>
      </c>
      <c r="I119" s="32">
        <v>4.816666666666666</v>
      </c>
      <c r="J119" s="33">
        <f>F119-H119</f>
      </c>
      <c r="K119" s="28">
        <v>40</v>
      </c>
      <c r="L119" s="28">
        <v>3</v>
      </c>
      <c r="M119" s="28">
        <v>1</v>
      </c>
      <c r="N119" s="38"/>
      <c r="O119" s="38"/>
      <c r="P119" s="38"/>
      <c r="Q119" s="34"/>
      <c r="R119" s="34"/>
      <c r="S119" s="34"/>
      <c r="T119" s="34"/>
      <c r="U119" s="34"/>
      <c r="V119" s="34"/>
      <c r="W119" s="29"/>
      <c r="X119" s="28">
        <v>20</v>
      </c>
      <c r="Y119" s="28">
        <v>1</v>
      </c>
      <c r="Z119" s="28">
        <v>1</v>
      </c>
      <c r="AA119" s="28">
        <v>2</v>
      </c>
      <c r="AB119" s="28">
        <v>1</v>
      </c>
      <c r="AC119" s="28">
        <v>2</v>
      </c>
      <c r="AD119" s="28">
        <v>2</v>
      </c>
      <c r="AE119" s="28">
        <v>4</v>
      </c>
      <c r="AF119" s="28">
        <v>2</v>
      </c>
      <c r="AG119" s="28">
        <v>2</v>
      </c>
      <c r="AH119" s="29" t="s">
        <v>320</v>
      </c>
      <c r="AI119" s="36">
        <f>IF(OR(AND(K119&lt;32, J119&lt;2), O119=1, P119=1, Q119=1, R119=1, S119=1, T119=1, U119=1, AND(W119&lt;&gt;"", W119&lt;&gt;"Oxygen", W119&lt;&gt;"LowFlow")), "Intensive", "Intermediate")</f>
      </c>
      <c r="AJ119" s="37">
        <f>IF(OR(LEFT(AH119, 1)="X", LEFT(AH119, 1)="Y", LEFT(AH119, 3)="J51M"), "CUSM", "No Match")</f>
      </c>
      <c r="AK119" s="37">
        <f>IF(AND(OR(O119=3, P119=1, Q119=1, T119=1), AJ119="no Match"), "CUSM, CHU SJ, CHUQ", "")</f>
      </c>
      <c r="AL119" s="37">
        <f>IF(AND(O119=2, ISBLANK(P119), ISBLANK(Q119), ISBLANK(R119), ISBLANK(S119), ISBLANK(T119)), "CUSM, CHU SJ, CHUS, CHUQ", "")</f>
      </c>
      <c r="AM119" s="37">
        <f>IF(AND(AJ119="no match", AK119="", AL119="", K119&lt;26), "CUSM, CHU SJ, HGJ, CHUQ, CHUS", "")</f>
      </c>
      <c r="AN119" s="37">
        <f>IF(AND(AJ119="no match", AK119="", AL119="", K119&gt;26), "CUSM, CHU SJ, HGJ, CHUQ, CHUS, HMR", "")</f>
      </c>
    </row>
    <row x14ac:dyDescent="0.25" r="120" customHeight="1" ht="17.25">
      <c r="A120" s="27" t="s">
        <v>321</v>
      </c>
      <c r="B120" s="28">
        <v>2</v>
      </c>
      <c r="C120" s="28">
        <v>756</v>
      </c>
      <c r="D120" s="29" t="s">
        <v>66</v>
      </c>
      <c r="E120" s="30" t="s">
        <v>50</v>
      </c>
      <c r="F120" s="31">
        <v>44634</v>
      </c>
      <c r="G120" s="32">
        <v>4.236111111111111</v>
      </c>
      <c r="H120" s="31">
        <v>44634</v>
      </c>
      <c r="I120" s="32">
        <v>4.143055555555556</v>
      </c>
      <c r="J120" s="33">
        <f>F120-H120</f>
      </c>
      <c r="K120" s="28">
        <v>31</v>
      </c>
      <c r="L120" s="28">
        <v>4</v>
      </c>
      <c r="M120" s="28">
        <v>1</v>
      </c>
      <c r="N120" s="34"/>
      <c r="O120" s="34"/>
      <c r="P120" s="34"/>
      <c r="Q120" s="34"/>
      <c r="R120" s="34"/>
      <c r="S120" s="34"/>
      <c r="T120" s="34"/>
      <c r="U120" s="34"/>
      <c r="V120" s="34"/>
      <c r="W120" s="29" t="s">
        <v>58</v>
      </c>
      <c r="X120" s="28">
        <v>26</v>
      </c>
      <c r="Y120" s="28">
        <v>1</v>
      </c>
      <c r="Z120" s="28">
        <v>2</v>
      </c>
      <c r="AA120" s="28">
        <v>3</v>
      </c>
      <c r="AB120" s="28">
        <v>1</v>
      </c>
      <c r="AC120" s="28">
        <v>2</v>
      </c>
      <c r="AD120" s="28">
        <v>2</v>
      </c>
      <c r="AE120" s="28">
        <v>4</v>
      </c>
      <c r="AF120" s="28">
        <v>3</v>
      </c>
      <c r="AG120" s="28">
        <v>2</v>
      </c>
      <c r="AH120" s="29" t="s">
        <v>322</v>
      </c>
      <c r="AI120" s="36">
        <f>IF(OR(AND(K120&lt;32, J120&lt;2), O120=1, P120=1, Q120=1, R120=1, S120=1, T120=1, U120=1, AND(W120&lt;&gt;"", W120&lt;&gt;"Oxygen", W120&lt;&gt;"LowFlow")), "Intensive", "Intermediate")</f>
      </c>
      <c r="AJ120" s="37">
        <f>IF(OR(LEFT(AH120, 1)="X", LEFT(AH120, 1)="Y", LEFT(AH120, 3)="J52M"), "CUSM", "No Match")</f>
      </c>
      <c r="AK120" s="37">
        <f>IF(AND(OR(O120=3, P120=1, Q120=1, T120=1), AJ120="no Match"), "CUSM, CHU SJ, CHUQ", "")</f>
      </c>
      <c r="AL120" s="37">
        <f>IF(AND(O120=2, ISBLANK(P120), ISBLANK(Q120), ISBLANK(R120), ISBLANK(S120), ISBLANK(T120)), "CUSM, CHU SJ, CHUS, CHUQ", "")</f>
      </c>
      <c r="AM120" s="37">
        <f>IF(AND(AJ120="no match", AK120="", AL120="", K120&lt;26), "CUSM, CHU SJ, HGJ, CHUQ, CHUS", "")</f>
      </c>
      <c r="AN120" s="37">
        <f>IF(AND(AJ120="no match", AK120="", AL120="", K120&gt;26), "CUSM, CHU SJ, HGJ, CHUQ, CHUS, HMR", "")</f>
      </c>
    </row>
    <row x14ac:dyDescent="0.25" r="121" customHeight="1" ht="17.25">
      <c r="A121" s="27" t="s">
        <v>323</v>
      </c>
      <c r="B121" s="28">
        <v>2</v>
      </c>
      <c r="C121" s="35">
        <v>756</v>
      </c>
      <c r="D121" s="29" t="s">
        <v>66</v>
      </c>
      <c r="E121" s="30" t="s">
        <v>220</v>
      </c>
      <c r="F121" s="31">
        <v>44634</v>
      </c>
      <c r="G121" s="32">
        <v>4.267361111111111</v>
      </c>
      <c r="H121" s="31">
        <v>44634</v>
      </c>
      <c r="I121" s="32">
        <v>4.103472222222223</v>
      </c>
      <c r="J121" s="33">
        <f>F121-H121</f>
      </c>
      <c r="K121" s="28">
        <v>29</v>
      </c>
      <c r="L121" s="28">
        <v>0</v>
      </c>
      <c r="M121" s="28">
        <v>2</v>
      </c>
      <c r="N121" s="34"/>
      <c r="O121" s="34"/>
      <c r="P121" s="34"/>
      <c r="Q121" s="34"/>
      <c r="R121" s="34"/>
      <c r="S121" s="34"/>
      <c r="T121" s="34"/>
      <c r="U121" s="34"/>
      <c r="V121" s="34"/>
      <c r="W121" s="29" t="s">
        <v>58</v>
      </c>
      <c r="X121" s="28">
        <v>33</v>
      </c>
      <c r="Y121" s="28">
        <v>1</v>
      </c>
      <c r="Z121" s="28">
        <v>1</v>
      </c>
      <c r="AA121" s="28">
        <v>1</v>
      </c>
      <c r="AB121" s="28">
        <v>1</v>
      </c>
      <c r="AC121" s="28">
        <v>2</v>
      </c>
      <c r="AD121" s="28">
        <v>1</v>
      </c>
      <c r="AE121" s="28">
        <v>4</v>
      </c>
      <c r="AF121" s="28">
        <v>2</v>
      </c>
      <c r="AG121" s="28">
        <v>2</v>
      </c>
      <c r="AH121" s="29" t="s">
        <v>324</v>
      </c>
      <c r="AI121" s="36">
        <f>IF(OR(AND(K121&lt;32, J121&lt;2), O121=1, P121=1, Q121=1, R121=1, S121=1, T121=1, U121=1, AND(W121&lt;&gt;"", W121&lt;&gt;"Oxygen", W121&lt;&gt;"LowFlow")), "Intensive", "Intermediate")</f>
      </c>
      <c r="AJ121" s="37">
        <f>IF(OR(LEFT(AH121, 1)="X", LEFT(AH121, 1)="Y", LEFT(AH121, 3)="J53M"), "CUSM", "No Match")</f>
      </c>
      <c r="AK121" s="37">
        <f>IF(AND(OR(O121=3, P121=1, Q121=1, T121=1), AJ121="no Match"), "CUSM, CHU SJ, CHUQ", "")</f>
      </c>
      <c r="AL121" s="37">
        <f>IF(AND(O121=2, ISBLANK(P121), ISBLANK(Q121), ISBLANK(R121), ISBLANK(S121), ISBLANK(T121)), "CUSM, CHU SJ, CHUS, CHUQ", "")</f>
      </c>
      <c r="AM121" s="37">
        <f>IF(AND(AJ121="no match", AK121="", AL121="", K121&lt;26), "CUSM, CHU SJ, HGJ, CHUQ, CHUS", "")</f>
      </c>
      <c r="AN121" s="37">
        <f>IF(AND(AJ121="no match", AK121="", AL121="", K121&gt;26), "CUSM, CHU SJ, HGJ, CHUQ, CHUS, HMR", "")</f>
      </c>
    </row>
    <row x14ac:dyDescent="0.25" r="122" customHeight="1" ht="17.25">
      <c r="A122" s="27" t="s">
        <v>325</v>
      </c>
      <c r="B122" s="28">
        <v>2</v>
      </c>
      <c r="C122" s="35">
        <v>768</v>
      </c>
      <c r="D122" s="29" t="s">
        <v>160</v>
      </c>
      <c r="E122" s="30" t="s">
        <v>118</v>
      </c>
      <c r="F122" s="31">
        <v>44635</v>
      </c>
      <c r="G122" s="32">
        <v>4.854166666666666</v>
      </c>
      <c r="H122" s="31">
        <v>44635</v>
      </c>
      <c r="I122" s="32">
        <v>4.593055555555555</v>
      </c>
      <c r="J122" s="33">
        <f>F122-H122</f>
      </c>
      <c r="K122" s="28">
        <v>36</v>
      </c>
      <c r="L122" s="28">
        <v>0</v>
      </c>
      <c r="M122" s="28">
        <v>1</v>
      </c>
      <c r="N122" s="34"/>
      <c r="O122" s="34"/>
      <c r="P122" s="34"/>
      <c r="Q122" s="34"/>
      <c r="R122" s="34"/>
      <c r="S122" s="34"/>
      <c r="T122" s="35">
        <v>1</v>
      </c>
      <c r="U122" s="34"/>
      <c r="V122" s="34"/>
      <c r="W122" s="29"/>
      <c r="X122" s="28">
        <v>23</v>
      </c>
      <c r="Y122" s="28">
        <v>1</v>
      </c>
      <c r="Z122" s="28">
        <v>2</v>
      </c>
      <c r="AA122" s="28">
        <v>1</v>
      </c>
      <c r="AB122" s="28">
        <v>1</v>
      </c>
      <c r="AC122" s="28">
        <v>2</v>
      </c>
      <c r="AD122" s="28">
        <v>2</v>
      </c>
      <c r="AE122" s="28">
        <v>4</v>
      </c>
      <c r="AF122" s="28">
        <v>3</v>
      </c>
      <c r="AG122" s="28">
        <v>2</v>
      </c>
      <c r="AH122" s="29" t="s">
        <v>326</v>
      </c>
      <c r="AI122" s="36">
        <f>IF(OR(AND(K122&lt;32, J122&lt;2), O122=1, P122=1, Q122=1, R122=1, S122=1, T122=1, U122=1, AND(W122&lt;&gt;"", W122&lt;&gt;"Oxygen", W122&lt;&gt;"LowFlow")), "Intensive", "Intermediate")</f>
      </c>
      <c r="AJ122" s="37">
        <f>IF(OR(LEFT(AH122, 1)="X", LEFT(AH122, 1)="Y", LEFT(AH122, 3)="J54M"), "CUSM", "No Match")</f>
      </c>
      <c r="AK122" s="37">
        <f>IF(AND(OR(O122=3, P122=1, Q122=1, T122=1), AJ122="no Match"), "CUSM, CHU SJ, CHUQ", "")</f>
      </c>
      <c r="AL122" s="37">
        <f>IF(AND(O122=2, ISBLANK(P122), ISBLANK(Q122), ISBLANK(R122), ISBLANK(S122), ISBLANK(T122)), "CUSM, CHU SJ, CHUS, CHUQ", "")</f>
      </c>
      <c r="AM122" s="37">
        <f>IF(AND(AJ122="no match", AK122="", AL122="", K122&lt;26), "CUSM, CHU SJ, HGJ, CHUQ, CHUS", "")</f>
      </c>
      <c r="AN122" s="37">
        <f>IF(AND(AJ122="no match", AK122="", AL122="", K122&gt;26), "CUSM, CHU SJ, HGJ, CHUQ, CHUS, HMR", "")</f>
      </c>
    </row>
    <row x14ac:dyDescent="0.25" r="123" customHeight="1" ht="17.25">
      <c r="A123" s="27" t="s">
        <v>327</v>
      </c>
      <c r="B123" s="28">
        <v>2</v>
      </c>
      <c r="C123" s="35">
        <v>734</v>
      </c>
      <c r="D123" s="29" t="s">
        <v>264</v>
      </c>
      <c r="E123" s="30" t="s">
        <v>54</v>
      </c>
      <c r="F123" s="31">
        <v>44635</v>
      </c>
      <c r="G123" s="32">
        <v>4.75</v>
      </c>
      <c r="H123" s="31">
        <v>44635</v>
      </c>
      <c r="I123" s="32">
        <v>4.298611111111111</v>
      </c>
      <c r="J123" s="33">
        <f>F123-H123</f>
      </c>
      <c r="K123" s="28">
        <v>37</v>
      </c>
      <c r="L123" s="28">
        <v>3</v>
      </c>
      <c r="M123" s="28">
        <v>1</v>
      </c>
      <c r="N123" s="35">
        <v>1</v>
      </c>
      <c r="O123" s="34"/>
      <c r="P123" s="35">
        <v>1</v>
      </c>
      <c r="Q123" s="34"/>
      <c r="R123" s="34"/>
      <c r="S123" s="34"/>
      <c r="T123" s="34"/>
      <c r="U123" s="34"/>
      <c r="V123" s="34"/>
      <c r="W123" s="29"/>
      <c r="X123" s="28">
        <v>32</v>
      </c>
      <c r="Y123" s="28">
        <v>1</v>
      </c>
      <c r="Z123" s="28">
        <v>1</v>
      </c>
      <c r="AA123" s="28">
        <v>2</v>
      </c>
      <c r="AB123" s="28">
        <v>4</v>
      </c>
      <c r="AC123" s="28">
        <v>1</v>
      </c>
      <c r="AD123" s="28">
        <v>2</v>
      </c>
      <c r="AE123" s="28">
        <v>4</v>
      </c>
      <c r="AF123" s="28">
        <v>2</v>
      </c>
      <c r="AG123" s="28">
        <v>2</v>
      </c>
      <c r="AH123" s="29" t="s">
        <v>328</v>
      </c>
      <c r="AI123" s="36">
        <f>IF(OR(AND(K123&lt;32, J123&lt;2), O123=1, P123=1, Q123=1, R123=1, S123=1, T123=1, U123=1, AND(W123&lt;&gt;"", W123&lt;&gt;"Oxygen", W123&lt;&gt;"LowFlow")), "Intensive", "Intermediate")</f>
      </c>
      <c r="AJ123" s="37">
        <f>IF(OR(LEFT(AH123, 1)="X", LEFT(AH123, 1)="Y", LEFT(AH123, 3)="J55M"), "CUSM", "No Match")</f>
      </c>
      <c r="AK123" s="37">
        <f>IF(AND(OR(O123=3, P123=1, Q123=1, T123=1), AJ123="no Match"), "CUSM, CHU SJ, CHUQ", "")</f>
      </c>
      <c r="AL123" s="37">
        <f>IF(AND(O123=2, ISBLANK(P123), ISBLANK(Q123), ISBLANK(R123), ISBLANK(S123), ISBLANK(T123)), "CUSM, CHU SJ, CHUS, CHUQ", "")</f>
      </c>
      <c r="AM123" s="37">
        <f>IF(AND(AJ123="no match", AK123="", AL123="", K123&lt;26), "CUSM, CHU SJ, HGJ, CHUQ, CHUS", "")</f>
      </c>
      <c r="AN123" s="37">
        <f>IF(AND(AJ123="no match", AK123="", AL123="", K123&gt;26), "CUSM, CHU SJ, HGJ, CHUQ, CHUS, HMR", "")</f>
      </c>
    </row>
    <row x14ac:dyDescent="0.25" r="124" customHeight="1" ht="17.25">
      <c r="A124" s="27" t="s">
        <v>329</v>
      </c>
      <c r="B124" s="28">
        <v>2</v>
      </c>
      <c r="C124" s="28">
        <v>731</v>
      </c>
      <c r="D124" s="29" t="s">
        <v>103</v>
      </c>
      <c r="E124" s="30" t="s">
        <v>50</v>
      </c>
      <c r="F124" s="31">
        <v>44635</v>
      </c>
      <c r="G124" s="32">
        <v>4.052083333333334</v>
      </c>
      <c r="H124" s="31">
        <v>44634</v>
      </c>
      <c r="I124" s="32">
        <v>4.761805555555556</v>
      </c>
      <c r="J124" s="33">
        <f>F124-H124</f>
      </c>
      <c r="K124" s="28">
        <v>38</v>
      </c>
      <c r="L124" s="28">
        <v>0</v>
      </c>
      <c r="M124" s="28">
        <v>2</v>
      </c>
      <c r="N124" s="34"/>
      <c r="O124" s="34"/>
      <c r="P124" s="34"/>
      <c r="Q124" s="34"/>
      <c r="R124" s="34"/>
      <c r="S124" s="34"/>
      <c r="T124" s="34"/>
      <c r="U124" s="34"/>
      <c r="V124" s="34"/>
      <c r="W124" s="29"/>
      <c r="X124" s="28">
        <v>28</v>
      </c>
      <c r="Y124" s="28">
        <v>1</v>
      </c>
      <c r="Z124" s="28">
        <v>2</v>
      </c>
      <c r="AA124" s="28">
        <v>1</v>
      </c>
      <c r="AB124" s="28">
        <v>1</v>
      </c>
      <c r="AC124" s="28">
        <v>2</v>
      </c>
      <c r="AD124" s="28">
        <v>1</v>
      </c>
      <c r="AE124" s="28">
        <v>4</v>
      </c>
      <c r="AF124" s="28">
        <v>2</v>
      </c>
      <c r="AG124" s="28">
        <v>2</v>
      </c>
      <c r="AH124" s="29" t="s">
        <v>330</v>
      </c>
      <c r="AI124" s="36">
        <f>IF(OR(AND(K124&lt;32, J124&lt;2), O124=1, P124=1, Q124=1, R124=1, S124=1, T124=1, U124=1, AND(W124&lt;&gt;"", W124&lt;&gt;"Oxygen", W124&lt;&gt;"LowFlow")), "Intensive", "Intermediate")</f>
      </c>
      <c r="AJ124" s="37">
        <f>IF(OR(LEFT(AH124, 1)="X", LEFT(AH124, 1)="Y", LEFT(AH124, 3)="J56M"), "CUSM", "No Match")</f>
      </c>
      <c r="AK124" s="37">
        <f>IF(AND(OR(O124=3, P124=1, Q124=1, T124=1), AJ124="no Match"), "CUSM, CHU SJ, CHUQ", "")</f>
      </c>
      <c r="AL124" s="37">
        <f>IF(AND(O124=2, ISBLANK(P124), ISBLANK(Q124), ISBLANK(R124), ISBLANK(S124), ISBLANK(T124)), "CUSM, CHU SJ, CHUS, CHUQ", "")</f>
      </c>
      <c r="AM124" s="37">
        <f>IF(AND(AJ124="no match", AK124="", AL124="", K124&lt;26), "CUSM, CHU SJ, HGJ, CHUQ, CHUS", "")</f>
      </c>
      <c r="AN124" s="37">
        <f>IF(AND(AJ124="no match", AK124="", AL124="", K124&gt;26), "CUSM, CHU SJ, HGJ, CHUQ, CHUS, HMR", "")</f>
      </c>
    </row>
    <row x14ac:dyDescent="0.25" r="125" customHeight="1" ht="17.25">
      <c r="A125" s="27" t="s">
        <v>331</v>
      </c>
      <c r="B125" s="28">
        <v>2</v>
      </c>
      <c r="C125" s="28">
        <v>825</v>
      </c>
      <c r="D125" s="29" t="s">
        <v>77</v>
      </c>
      <c r="E125" s="30" t="s">
        <v>50</v>
      </c>
      <c r="F125" s="31">
        <v>44635</v>
      </c>
      <c r="G125" s="32">
        <v>4.84375</v>
      </c>
      <c r="H125" s="31">
        <v>44635</v>
      </c>
      <c r="I125" s="32">
        <v>4.4375</v>
      </c>
      <c r="J125" s="33">
        <f>F125-H125</f>
      </c>
      <c r="K125" s="28">
        <v>40</v>
      </c>
      <c r="L125" s="28">
        <v>5</v>
      </c>
      <c r="M125" s="28">
        <v>2</v>
      </c>
      <c r="N125" s="34"/>
      <c r="O125" s="34"/>
      <c r="P125" s="34"/>
      <c r="Q125" s="34"/>
      <c r="R125" s="34"/>
      <c r="S125" s="34"/>
      <c r="T125" s="34"/>
      <c r="U125" s="34"/>
      <c r="V125" s="34"/>
      <c r="W125" s="29"/>
      <c r="X125" s="28">
        <v>28</v>
      </c>
      <c r="Y125" s="28">
        <v>1</v>
      </c>
      <c r="Z125" s="28">
        <v>1</v>
      </c>
      <c r="AA125" s="28">
        <v>3</v>
      </c>
      <c r="AB125" s="28">
        <v>1</v>
      </c>
      <c r="AC125" s="28">
        <v>2</v>
      </c>
      <c r="AD125" s="28">
        <v>2</v>
      </c>
      <c r="AE125" s="28">
        <v>4</v>
      </c>
      <c r="AF125" s="28">
        <v>2</v>
      </c>
      <c r="AG125" s="28">
        <v>2</v>
      </c>
      <c r="AH125" s="29" t="s">
        <v>332</v>
      </c>
      <c r="AI125" s="36">
        <f>IF(OR(AND(K125&lt;32, J125&lt;2), O125=1, P125=1, Q125=1, R125=1, S125=1, T125=1, U125=1, AND(W125&lt;&gt;"", W125&lt;&gt;"Oxygen", W125&lt;&gt;"LowFlow")), "Intensive", "Intermediate")</f>
      </c>
      <c r="AJ125" s="37">
        <f>IF(OR(LEFT(AH125, 1)="X", LEFT(AH125, 1)="Y", LEFT(AH125, 3)="J57M"), "CUSM", "No Match")</f>
      </c>
      <c r="AK125" s="37">
        <f>IF(AND(OR(O125=3, P125=1, Q125=1, T125=1), AJ125="no Match"), "CUSM, CHU SJ, CHUQ", "")</f>
      </c>
      <c r="AL125" s="37">
        <f>IF(AND(O125=2, ISBLANK(P125), ISBLANK(Q125), ISBLANK(R125), ISBLANK(S125), ISBLANK(T125)), "CUSM, CHU SJ, CHUS, CHUQ", "")</f>
      </c>
      <c r="AM125" s="37">
        <f>IF(AND(AJ125="no match", AK125="", AL125="", K125&lt;26), "CUSM, CHU SJ, HGJ, CHUQ, CHUS", "")</f>
      </c>
      <c r="AN125" s="37">
        <f>IF(AND(AJ125="no match", AK125="", AL125="", K125&gt;26), "CUSM, CHU SJ, HGJ, CHUQ, CHUS, HMR", "")</f>
      </c>
    </row>
    <row x14ac:dyDescent="0.25" r="126" customHeight="1" ht="17.25">
      <c r="A126" s="27" t="s">
        <v>333</v>
      </c>
      <c r="B126" s="28">
        <v>2</v>
      </c>
      <c r="C126" s="28">
        <v>809</v>
      </c>
      <c r="D126" s="29" t="s">
        <v>117</v>
      </c>
      <c r="E126" s="30" t="s">
        <v>118</v>
      </c>
      <c r="F126" s="31">
        <v>44636</v>
      </c>
      <c r="G126" s="32">
        <v>4.951388888888889</v>
      </c>
      <c r="H126" s="31">
        <v>44636</v>
      </c>
      <c r="I126" s="32">
        <v>4.684027777777778</v>
      </c>
      <c r="J126" s="33">
        <f>F126-H126</f>
      </c>
      <c r="K126" s="28">
        <v>41</v>
      </c>
      <c r="L126" s="28">
        <v>0</v>
      </c>
      <c r="M126" s="28">
        <v>1</v>
      </c>
      <c r="N126" s="34"/>
      <c r="O126" s="34"/>
      <c r="P126" s="34"/>
      <c r="Q126" s="34"/>
      <c r="R126" s="34"/>
      <c r="S126" s="34"/>
      <c r="T126" s="28">
        <v>1</v>
      </c>
      <c r="U126" s="38"/>
      <c r="V126" s="28">
        <v>1</v>
      </c>
      <c r="W126" s="29" t="s">
        <v>74</v>
      </c>
      <c r="X126" s="28">
        <v>23</v>
      </c>
      <c r="Y126" s="28">
        <v>1</v>
      </c>
      <c r="Z126" s="28">
        <v>1</v>
      </c>
      <c r="AA126" s="28">
        <v>1</v>
      </c>
      <c r="AB126" s="28">
        <v>1</v>
      </c>
      <c r="AC126" s="28">
        <v>2</v>
      </c>
      <c r="AD126" s="28">
        <v>2</v>
      </c>
      <c r="AE126" s="28">
        <v>3</v>
      </c>
      <c r="AF126" s="28">
        <v>2</v>
      </c>
      <c r="AG126" s="28">
        <v>2</v>
      </c>
      <c r="AH126" s="29" t="s">
        <v>334</v>
      </c>
      <c r="AI126" s="36">
        <f>IF(OR(AND(K126&lt;32, J126&lt;2), O126=1, P126=1, Q126=1, R126=1, S126=1, T126=1, U126=1, AND(W126&lt;&gt;"", W126&lt;&gt;"Oxygen", W126&lt;&gt;"LowFlow")), "Intensive", "Intermediate")</f>
      </c>
      <c r="AJ126" s="37">
        <f>IF(OR(LEFT(AH126, 1)="X", LEFT(AH126, 1)="Y", LEFT(AH126, 3)="J58M"), "CUSM", "No Match")</f>
      </c>
      <c r="AK126" s="37">
        <f>IF(AND(OR(O126=3, P126=1, Q126=1, T126=1), AJ126="no Match"), "CUSM, CHU SJ, CHUQ", "")</f>
      </c>
      <c r="AL126" s="37">
        <f>IF(AND(O126=2, ISBLANK(P126), ISBLANK(Q126), ISBLANK(R126), ISBLANK(S126), ISBLANK(T126)), "CUSM, CHU SJ, CHUS, CHUQ", "")</f>
      </c>
      <c r="AM126" s="37">
        <f>IF(AND(AJ126="no match", AK126="", AL126="", K126&lt;26), "CUSM, CHU SJ, HGJ, CHUQ, CHUS", "")</f>
      </c>
      <c r="AN126" s="37">
        <f>IF(AND(AJ126="no match", AK126="", AL126="", K126&gt;26), "CUSM, CHU SJ, HGJ, CHUQ, CHUS, HMR", "")</f>
      </c>
    </row>
    <row x14ac:dyDescent="0.25" r="127" customHeight="1" ht="17.25">
      <c r="A127" s="27" t="s">
        <v>335</v>
      </c>
      <c r="B127" s="28">
        <v>2</v>
      </c>
      <c r="C127" s="35">
        <v>779</v>
      </c>
      <c r="D127" s="29" t="s">
        <v>136</v>
      </c>
      <c r="E127" s="30" t="s">
        <v>50</v>
      </c>
      <c r="F127" s="31">
        <v>44638</v>
      </c>
      <c r="G127" s="32">
        <v>4.402777777777778</v>
      </c>
      <c r="H127" s="31">
        <v>44638</v>
      </c>
      <c r="I127" s="32">
        <v>4.186805555555555</v>
      </c>
      <c r="J127" s="33">
        <f>F127-H127</f>
      </c>
      <c r="K127" s="28">
        <v>40</v>
      </c>
      <c r="L127" s="28">
        <v>0</v>
      </c>
      <c r="M127" s="28">
        <v>1</v>
      </c>
      <c r="N127" s="34"/>
      <c r="O127" s="34"/>
      <c r="P127" s="34"/>
      <c r="Q127" s="34"/>
      <c r="R127" s="34"/>
      <c r="S127" s="34"/>
      <c r="T127" s="35">
        <v>1</v>
      </c>
      <c r="U127" s="34"/>
      <c r="V127" s="34"/>
      <c r="W127" s="29" t="s">
        <v>58</v>
      </c>
      <c r="X127" s="28">
        <v>34</v>
      </c>
      <c r="Y127" s="28">
        <v>1</v>
      </c>
      <c r="Z127" s="28">
        <v>1</v>
      </c>
      <c r="AA127" s="28">
        <v>2</v>
      </c>
      <c r="AB127" s="28">
        <v>1</v>
      </c>
      <c r="AC127" s="28">
        <v>2</v>
      </c>
      <c r="AD127" s="28">
        <v>2</v>
      </c>
      <c r="AE127" s="28">
        <v>1</v>
      </c>
      <c r="AF127" s="28">
        <v>2</v>
      </c>
      <c r="AG127" s="28">
        <v>2</v>
      </c>
      <c r="AH127" s="29" t="s">
        <v>336</v>
      </c>
      <c r="AI127" s="36">
        <f>IF(OR(AND(K127&lt;32, J127&lt;2), O127=1, P127=1, Q127=1, R127=1, S127=1, T127=1, U127=1, AND(W127&lt;&gt;"", W127&lt;&gt;"Oxygen", W127&lt;&gt;"LowFlow")), "Intensive", "Intermediate")</f>
      </c>
      <c r="AJ127" s="37">
        <f>IF(OR(LEFT(AH127, 1)="X", LEFT(AH127, 1)="Y", LEFT(AH127, 3)="J59M"), "CUSM", "No Match")</f>
      </c>
      <c r="AK127" s="37">
        <f>IF(AND(OR(O127=3, P127=1, Q127=1, T127=1), AJ127="no Match"), "CUSM, CHU SJ, CHUQ", "")</f>
      </c>
      <c r="AL127" s="37">
        <f>IF(AND(O127=2, ISBLANK(P127), ISBLANK(Q127), ISBLANK(R127), ISBLANK(S127), ISBLANK(T127)), "CUSM, CHU SJ, CHUS, CHUQ", "")</f>
      </c>
      <c r="AM127" s="37">
        <f>IF(AND(AJ127="no match", AK127="", AL127="", K127&lt;26), "CUSM, CHU SJ, HGJ, CHUQ, CHUS", "")</f>
      </c>
      <c r="AN127" s="37">
        <f>IF(AND(AJ127="no match", AK127="", AL127="", K127&gt;26), "CUSM, CHU SJ, HGJ, CHUQ, CHUS, HMR", "")</f>
      </c>
    </row>
    <row x14ac:dyDescent="0.25" r="128" customHeight="1" ht="17.25">
      <c r="A128" s="27" t="s">
        <v>337</v>
      </c>
      <c r="B128" s="28">
        <v>2</v>
      </c>
      <c r="C128" s="28">
        <v>782</v>
      </c>
      <c r="D128" s="29" t="s">
        <v>95</v>
      </c>
      <c r="E128" s="30" t="s">
        <v>50</v>
      </c>
      <c r="F128" s="31">
        <v>44639</v>
      </c>
      <c r="G128" s="32">
        <v>4.802083333333334</v>
      </c>
      <c r="H128" s="31">
        <v>44639</v>
      </c>
      <c r="I128" s="32">
        <v>4.642361111111111</v>
      </c>
      <c r="J128" s="33">
        <f>F128-H128</f>
      </c>
      <c r="K128" s="28">
        <v>41</v>
      </c>
      <c r="L128" s="28">
        <v>1</v>
      </c>
      <c r="M128" s="28">
        <v>1</v>
      </c>
      <c r="N128" s="34"/>
      <c r="O128" s="34"/>
      <c r="P128" s="34"/>
      <c r="Q128" s="34"/>
      <c r="R128" s="34"/>
      <c r="S128" s="34"/>
      <c r="T128" s="34"/>
      <c r="U128" s="34"/>
      <c r="V128" s="34"/>
      <c r="W128" s="29" t="s">
        <v>58</v>
      </c>
      <c r="X128" s="28">
        <v>34</v>
      </c>
      <c r="Y128" s="28">
        <v>1</v>
      </c>
      <c r="Z128" s="28">
        <v>1</v>
      </c>
      <c r="AA128" s="28">
        <v>2</v>
      </c>
      <c r="AB128" s="28">
        <v>1</v>
      </c>
      <c r="AC128" s="28">
        <v>2</v>
      </c>
      <c r="AD128" s="28">
        <v>2</v>
      </c>
      <c r="AE128" s="28">
        <v>4</v>
      </c>
      <c r="AF128" s="28">
        <v>3</v>
      </c>
      <c r="AG128" s="28">
        <v>2</v>
      </c>
      <c r="AH128" s="29" t="s">
        <v>338</v>
      </c>
      <c r="AI128" s="36">
        <f>IF(OR(AND(K128&lt;32, J128&lt;2), O128=1, P128=1, Q128=1, R128=1, S128=1, T128=1, U128=1, AND(W128&lt;&gt;"", W128&lt;&gt;"Oxygen", W128&lt;&gt;"LowFlow")), "Intensive", "Intermediate")</f>
      </c>
      <c r="AJ128" s="37">
        <f>IF(OR(LEFT(AH128, 1)="X", LEFT(AH128, 1)="Y", LEFT(AH128, 3)="J60M"), "CUSM", "No Match")</f>
      </c>
      <c r="AK128" s="37">
        <f>IF(AND(OR(O128=3, P128=1, Q128=1, T128=1), AJ128="no Match"), "CUSM, CHU SJ, CHUQ", "")</f>
      </c>
      <c r="AL128" s="37">
        <f>IF(AND(O128=2, ISBLANK(P128), ISBLANK(Q128), ISBLANK(R128), ISBLANK(S128), ISBLANK(T128)), "CUSM, CHU SJ, CHUS, CHUQ", "")</f>
      </c>
      <c r="AM128" s="37">
        <f>IF(AND(AJ128="no match", AK128="", AL128="", K128&lt;26), "CUSM, CHU SJ, HGJ, CHUQ, CHUS", "")</f>
      </c>
      <c r="AN128" s="37">
        <f>IF(AND(AJ128="no match", AK128="", AL128="", K128&gt;26), "CUSM, CHU SJ, HGJ, CHUQ, CHUS, HMR", "")</f>
      </c>
    </row>
    <row x14ac:dyDescent="0.25" r="129" customHeight="1" ht="17.25">
      <c r="A129" s="27" t="s">
        <v>339</v>
      </c>
      <c r="B129" s="28">
        <v>2</v>
      </c>
      <c r="C129" s="35">
        <v>832</v>
      </c>
      <c r="D129" s="29" t="s">
        <v>308</v>
      </c>
      <c r="E129" s="30" t="s">
        <v>50</v>
      </c>
      <c r="F129" s="31">
        <v>44642</v>
      </c>
      <c r="G129" s="32">
        <v>4.076388888888889</v>
      </c>
      <c r="H129" s="31">
        <v>44638</v>
      </c>
      <c r="I129" s="32">
        <v>4.735416666666667</v>
      </c>
      <c r="J129" s="33">
        <f>F129-H129</f>
      </c>
      <c r="K129" s="28">
        <v>36</v>
      </c>
      <c r="L129" s="28">
        <v>3</v>
      </c>
      <c r="M129" s="28">
        <v>1</v>
      </c>
      <c r="N129" s="35">
        <v>1</v>
      </c>
      <c r="O129" s="34"/>
      <c r="P129" s="34"/>
      <c r="Q129" s="34"/>
      <c r="R129" s="34"/>
      <c r="S129" s="34"/>
      <c r="T129" s="34"/>
      <c r="U129" s="34"/>
      <c r="V129" s="34"/>
      <c r="W129" s="29"/>
      <c r="X129" s="28">
        <v>34</v>
      </c>
      <c r="Y129" s="28">
        <v>1</v>
      </c>
      <c r="Z129" s="28">
        <v>2</v>
      </c>
      <c r="AA129" s="28">
        <v>3</v>
      </c>
      <c r="AB129" s="28">
        <v>1</v>
      </c>
      <c r="AC129" s="28">
        <v>1</v>
      </c>
      <c r="AD129" s="28">
        <v>1</v>
      </c>
      <c r="AE129" s="28">
        <v>4</v>
      </c>
      <c r="AF129" s="28">
        <v>3</v>
      </c>
      <c r="AG129" s="28">
        <v>2</v>
      </c>
      <c r="AH129" s="29" t="s">
        <v>340</v>
      </c>
      <c r="AI129" s="36">
        <f>IF(OR(AND(K129&lt;32, J129&lt;2), O129=1, P129=1, Q129=1, R129=1, S129=1, T129=1, U129=1, AND(W129&lt;&gt;"", W129&lt;&gt;"Oxygen", W129&lt;&gt;"LowFlow")), "Intensive", "Intermediate")</f>
      </c>
      <c r="AJ129" s="37">
        <f>IF(OR(LEFT(AH129, 1)="X", LEFT(AH129, 1)="Y", LEFT(AH129, 3)="J61M"), "CUSM", "No Match")</f>
      </c>
      <c r="AK129" s="37">
        <f>IF(AND(OR(O129=3, P129=1, Q129=1, T129=1), AJ129="no Match"), "CUSM, CHU SJ, CHUQ", "")</f>
      </c>
      <c r="AL129" s="37">
        <f>IF(AND(O129=2, ISBLANK(P129), ISBLANK(Q129), ISBLANK(R129), ISBLANK(S129), ISBLANK(T129)), "CUSM, CHU SJ, CHUS, CHUQ", "")</f>
      </c>
      <c r="AM129" s="37">
        <f>IF(AND(AJ129="no match", AK129="", AL129="", K129&lt;26), "CUSM, CHU SJ, HGJ, CHUQ, CHUS", "")</f>
      </c>
      <c r="AN129" s="37">
        <f>IF(AND(AJ129="no match", AK129="", AL129="", K129&gt;26), "CUSM, CHU SJ, HGJ, CHUQ, CHUS, HMR", "")</f>
      </c>
    </row>
    <row x14ac:dyDescent="0.25" r="130" customHeight="1" ht="17.25">
      <c r="A130" s="27" t="s">
        <v>341</v>
      </c>
      <c r="B130" s="28">
        <v>2</v>
      </c>
      <c r="C130" s="28">
        <v>835</v>
      </c>
      <c r="D130" s="29" t="s">
        <v>170</v>
      </c>
      <c r="E130" s="30" t="s">
        <v>50</v>
      </c>
      <c r="F130" s="31">
        <v>44643</v>
      </c>
      <c r="G130" s="32">
        <v>4.916666666666666</v>
      </c>
      <c r="H130" s="31">
        <v>44643</v>
      </c>
      <c r="I130" s="32">
        <v>4.825</v>
      </c>
      <c r="J130" s="33">
        <f>F130-H130</f>
      </c>
      <c r="K130" s="28">
        <v>24</v>
      </c>
      <c r="L130" s="28">
        <v>2</v>
      </c>
      <c r="M130" s="28">
        <v>2</v>
      </c>
      <c r="N130" s="28">
        <v>1</v>
      </c>
      <c r="O130" s="38"/>
      <c r="P130" s="34"/>
      <c r="Q130" s="34"/>
      <c r="R130" s="34"/>
      <c r="S130" s="34"/>
      <c r="T130" s="34"/>
      <c r="U130" s="34"/>
      <c r="V130" s="34"/>
      <c r="W130" s="29" t="s">
        <v>74</v>
      </c>
      <c r="X130" s="28">
        <v>24</v>
      </c>
      <c r="Y130" s="28">
        <v>1</v>
      </c>
      <c r="Z130" s="28">
        <v>1</v>
      </c>
      <c r="AA130" s="28">
        <v>2</v>
      </c>
      <c r="AB130" s="28">
        <v>1</v>
      </c>
      <c r="AC130" s="28">
        <v>2</v>
      </c>
      <c r="AD130" s="28">
        <v>3</v>
      </c>
      <c r="AE130" s="28">
        <v>1</v>
      </c>
      <c r="AF130" s="28">
        <v>1</v>
      </c>
      <c r="AG130" s="28">
        <v>1</v>
      </c>
      <c r="AH130" s="29" t="s">
        <v>342</v>
      </c>
      <c r="AI130" s="36">
        <f>IF(OR(AND(K130&lt;32, J130&lt;2), O130=1, P130=1, Q130=1, R130=1, S130=1, T130=1, U130=1, AND(W130&lt;&gt;"", W130&lt;&gt;"Oxygen", W130&lt;&gt;"LowFlow")), "Intensive", "Intermediate")</f>
      </c>
      <c r="AJ130" s="37">
        <f>IF(OR(LEFT(AH130, 1)="X", LEFT(AH130, 1)="Y", LEFT(AH130, 3)="J62M"), "CUSM", "No Match")</f>
      </c>
      <c r="AK130" s="37">
        <f>IF(AND(OR(O130=3, P130=1, Q130=1, T130=1), AJ130="no Match"), "CUSM, CHU SJ, CHUQ", "")</f>
      </c>
      <c r="AL130" s="37">
        <f>IF(AND(O130=2, ISBLANK(P130), ISBLANK(Q130), ISBLANK(R130), ISBLANK(S130), ISBLANK(T130)), "CUSM, CHU SJ, CHUS, CHUQ", "")</f>
      </c>
      <c r="AM130" s="37">
        <f>IF(AND(AJ130="no match", AK130="", AL130="", K130&lt;26), "CUSM, CHU SJ, HGJ, CHUQ, CHUS", "")</f>
      </c>
      <c r="AN130" s="37">
        <f>IF(AND(AJ130="no match", AK130="", AL130="", K130&gt;26), "CUSM, CHU SJ, HGJ, CHUQ, CHUS, HMR", "")</f>
      </c>
    </row>
    <row x14ac:dyDescent="0.25" r="131" customHeight="1" ht="17.25">
      <c r="A131" s="27" t="s">
        <v>343</v>
      </c>
      <c r="B131" s="28">
        <v>2</v>
      </c>
      <c r="C131" s="35">
        <v>779</v>
      </c>
      <c r="D131" s="29" t="s">
        <v>136</v>
      </c>
      <c r="E131" s="30" t="s">
        <v>50</v>
      </c>
      <c r="F131" s="31">
        <v>44644</v>
      </c>
      <c r="G131" s="32">
        <v>4.708333333333334</v>
      </c>
      <c r="H131" s="31">
        <v>44642</v>
      </c>
      <c r="I131" s="32">
        <v>4.782638888888889</v>
      </c>
      <c r="J131" s="33">
        <f>F131-H131</f>
      </c>
      <c r="K131" s="28">
        <v>37</v>
      </c>
      <c r="L131" s="28">
        <v>5</v>
      </c>
      <c r="M131" s="28">
        <v>2</v>
      </c>
      <c r="N131" s="34"/>
      <c r="O131" s="34"/>
      <c r="P131" s="34"/>
      <c r="Q131" s="34"/>
      <c r="R131" s="34"/>
      <c r="S131" s="34"/>
      <c r="T131" s="34"/>
      <c r="U131" s="34"/>
      <c r="V131" s="34"/>
      <c r="W131" s="29" t="s">
        <v>58</v>
      </c>
      <c r="X131" s="28">
        <v>29</v>
      </c>
      <c r="Y131" s="28">
        <v>1</v>
      </c>
      <c r="Z131" s="28">
        <v>1</v>
      </c>
      <c r="AA131" s="28">
        <v>1</v>
      </c>
      <c r="AB131" s="28">
        <v>1</v>
      </c>
      <c r="AC131" s="28">
        <v>2</v>
      </c>
      <c r="AD131" s="28">
        <v>2</v>
      </c>
      <c r="AE131" s="28">
        <v>4</v>
      </c>
      <c r="AF131" s="28">
        <v>2</v>
      </c>
      <c r="AG131" s="28">
        <v>2</v>
      </c>
      <c r="AH131" s="29" t="s">
        <v>344</v>
      </c>
      <c r="AI131" s="36">
        <f>IF(OR(AND(K131&lt;32, J131&lt;2), O131=1, P131=1, Q131=1, R131=1, S131=1, T131=1, U131=1, AND(W131&lt;&gt;"", W131&lt;&gt;"Oxygen", W131&lt;&gt;"LowFlow")), "Intensive", "Intermediate")</f>
      </c>
      <c r="AJ131" s="37">
        <f>IF(OR(LEFT(AH131, 1)="X", LEFT(AH131, 1)="Y", LEFT(AH131, 3)="J63M"), "CUSM", "No Match")</f>
      </c>
      <c r="AK131" s="37">
        <f>IF(AND(OR(O131=3, P131=1, Q131=1, T131=1), AJ131="no Match"), "CUSM, CHU SJ, CHUQ", "")</f>
      </c>
      <c r="AL131" s="37">
        <f>IF(AND(O131=2, ISBLANK(P131), ISBLANK(Q131), ISBLANK(R131), ISBLANK(S131), ISBLANK(T131)), "CUSM, CHU SJ, CHUS, CHUQ", "")</f>
      </c>
      <c r="AM131" s="37">
        <f>IF(AND(AJ131="no match", AK131="", AL131="", K131&lt;26), "CUSM, CHU SJ, HGJ, CHUQ, CHUS", "")</f>
      </c>
      <c r="AN131" s="37">
        <f>IF(AND(AJ131="no match", AK131="", AL131="", K131&gt;26), "CUSM, CHU SJ, HGJ, CHUQ, CHUS, HMR", "")</f>
      </c>
    </row>
    <row x14ac:dyDescent="0.25" r="132" customHeight="1" ht="17.25">
      <c r="A132" s="27" t="s">
        <v>345</v>
      </c>
      <c r="B132" s="28">
        <v>2</v>
      </c>
      <c r="C132" s="35">
        <v>824</v>
      </c>
      <c r="D132" s="29" t="s">
        <v>57</v>
      </c>
      <c r="E132" s="30" t="s">
        <v>54</v>
      </c>
      <c r="F132" s="31">
        <v>44645</v>
      </c>
      <c r="G132" s="32">
        <v>4.545138888888889</v>
      </c>
      <c r="H132" s="31">
        <v>44644</v>
      </c>
      <c r="I132" s="32">
        <v>4.205555555555556</v>
      </c>
      <c r="J132" s="33">
        <f>F132-H132</f>
      </c>
      <c r="K132" s="28">
        <v>37</v>
      </c>
      <c r="L132" s="28">
        <v>0</v>
      </c>
      <c r="M132" s="28">
        <v>2</v>
      </c>
      <c r="N132" s="35">
        <v>1</v>
      </c>
      <c r="O132" s="34"/>
      <c r="P132" s="35">
        <v>1</v>
      </c>
      <c r="Q132" s="34"/>
      <c r="R132" s="34"/>
      <c r="S132" s="34"/>
      <c r="T132" s="34"/>
      <c r="U132" s="34"/>
      <c r="V132" s="34"/>
      <c r="W132" s="29"/>
      <c r="X132" s="28">
        <v>29</v>
      </c>
      <c r="Y132" s="28">
        <v>1</v>
      </c>
      <c r="Z132" s="28">
        <v>1</v>
      </c>
      <c r="AA132" s="28">
        <v>2</v>
      </c>
      <c r="AB132" s="28">
        <v>1</v>
      </c>
      <c r="AC132" s="28">
        <v>2</v>
      </c>
      <c r="AD132" s="28">
        <v>2</v>
      </c>
      <c r="AE132" s="28">
        <v>4</v>
      </c>
      <c r="AF132" s="28">
        <v>2</v>
      </c>
      <c r="AG132" s="28">
        <v>2</v>
      </c>
      <c r="AH132" s="29" t="s">
        <v>346</v>
      </c>
      <c r="AI132" s="36">
        <f>IF(OR(AND(K132&lt;32, J132&lt;2), O132=1, P132=1, Q132=1, R132=1, S132=1, T132=1, U132=1, AND(W132&lt;&gt;"", W132&lt;&gt;"Oxygen", W132&lt;&gt;"LowFlow")), "Intensive", "Intermediate")</f>
      </c>
      <c r="AJ132" s="37">
        <f>IF(OR(LEFT(AH132, 1)="X", LEFT(AH132, 1)="Y", LEFT(AH132, 3)="J0M"), "CUSM", "No Match")</f>
      </c>
      <c r="AK132" s="37">
        <f>IF(AND(OR(O132=3, P132=1, Q132=1, T132=1), AJ132="no Match"), "CUSM, CHU SJ, CHUQ", "")</f>
      </c>
      <c r="AL132" s="37">
        <f>IF(AND(O132=2, ISBLANK(P132), ISBLANK(Q132), ISBLANK(R132), ISBLANK(S132), ISBLANK(T132)), "CUSM, CHU SJ, CHUS, CHUQ", "")</f>
      </c>
      <c r="AM132" s="37">
        <f>IF(AND(AJ132="no match", AK132="", AL132="", K132&lt;26), "CUSM, CHU SJ, HGJ, CHUQ, CHUS", "")</f>
      </c>
      <c r="AN132" s="37">
        <f>IF(AND(AJ132="no match", AK132="", AL132="", K132&gt;26), "CUSM, CHU SJ, HGJ, CHUQ, CHUS, HMR", "")</f>
      </c>
    </row>
    <row x14ac:dyDescent="0.25" r="133" customHeight="1" ht="17.25">
      <c r="A133" s="27" t="s">
        <v>347</v>
      </c>
      <c r="B133" s="28">
        <v>2</v>
      </c>
      <c r="C133" s="28">
        <v>796</v>
      </c>
      <c r="D133" s="29" t="s">
        <v>63</v>
      </c>
      <c r="E133" s="30" t="s">
        <v>54</v>
      </c>
      <c r="F133" s="31">
        <v>44645</v>
      </c>
      <c r="G133" s="32">
        <v>4.701388888888889</v>
      </c>
      <c r="H133" s="31">
        <v>44643</v>
      </c>
      <c r="I133" s="32">
        <v>4.922916666666667</v>
      </c>
      <c r="J133" s="33">
        <f>F133-H133</f>
      </c>
      <c r="K133" s="28">
        <v>39</v>
      </c>
      <c r="L133" s="28">
        <v>0</v>
      </c>
      <c r="M133" s="28">
        <v>1</v>
      </c>
      <c r="N133" s="34"/>
      <c r="O133" s="34"/>
      <c r="P133" s="34"/>
      <c r="Q133" s="34"/>
      <c r="R133" s="34"/>
      <c r="S133" s="34"/>
      <c r="T133" s="34"/>
      <c r="U133" s="34"/>
      <c r="V133" s="34"/>
      <c r="W133" s="29"/>
      <c r="X133" s="28">
        <v>44</v>
      </c>
      <c r="Y133" s="28">
        <v>1</v>
      </c>
      <c r="Z133" s="28">
        <v>1</v>
      </c>
      <c r="AA133" s="28">
        <v>2</v>
      </c>
      <c r="AB133" s="28">
        <v>1</v>
      </c>
      <c r="AC133" s="28">
        <v>2</v>
      </c>
      <c r="AD133" s="28">
        <v>2</v>
      </c>
      <c r="AE133" s="28">
        <v>4</v>
      </c>
      <c r="AF133" s="28">
        <v>2</v>
      </c>
      <c r="AG133" s="28">
        <v>2</v>
      </c>
      <c r="AH133" s="29" t="s">
        <v>348</v>
      </c>
      <c r="AI133" s="36">
        <f>IF(OR(AND(K133&lt;32, J133&lt;2), O133=1, P133=1, Q133=1, R133=1, S133=1, T133=1, U133=1, AND(W133&lt;&gt;"", W133&lt;&gt;"Oxygen", W133&lt;&gt;"LowFlow")), "Intensive", "Intermediate")</f>
      </c>
      <c r="AJ133" s="37">
        <f>IF(OR(LEFT(AH133, 1)="X", LEFT(AH133, 1)="Y", LEFT(AH133, 3)="J1M"), "CUSM", "No Match")</f>
      </c>
      <c r="AK133" s="37">
        <f>IF(AND(OR(O133=3, P133=1, Q133=1, T133=1), AJ133="no Match"), "CUSM, CHU SJ, CHUQ", "")</f>
      </c>
      <c r="AL133" s="37">
        <f>IF(AND(O133=2, ISBLANK(P133), ISBLANK(Q133), ISBLANK(R133), ISBLANK(S133), ISBLANK(T133)), "CUSM, CHU SJ, CHUS, CHUQ", "")</f>
      </c>
      <c r="AM133" s="37">
        <f>IF(AND(AJ133="no match", AK133="", AL133="", K133&lt;26), "CUSM, CHU SJ, HGJ, CHUQ, CHUS", "")</f>
      </c>
      <c r="AN133" s="37">
        <f>IF(AND(AJ133="no match", AK133="", AL133="", K133&gt;26), "CUSM, CHU SJ, HGJ, CHUQ, CHUS, HMR", "")</f>
      </c>
    </row>
    <row x14ac:dyDescent="0.25" r="134" customHeight="1" ht="17.25">
      <c r="A134" s="27" t="s">
        <v>349</v>
      </c>
      <c r="B134" s="28">
        <v>2</v>
      </c>
      <c r="C134" s="35">
        <v>779</v>
      </c>
      <c r="D134" s="29" t="s">
        <v>136</v>
      </c>
      <c r="E134" s="30" t="s">
        <v>78</v>
      </c>
      <c r="F134" s="31">
        <v>44645</v>
      </c>
      <c r="G134" s="32">
        <v>4.958333333333334</v>
      </c>
      <c r="H134" s="31">
        <v>44645</v>
      </c>
      <c r="I134" s="32">
        <v>4.80625</v>
      </c>
      <c r="J134" s="33">
        <f>F134-H134</f>
      </c>
      <c r="K134" s="28">
        <v>35</v>
      </c>
      <c r="L134" s="28">
        <v>5</v>
      </c>
      <c r="M134" s="28">
        <v>1</v>
      </c>
      <c r="N134" s="38"/>
      <c r="O134" s="38"/>
      <c r="P134" s="38"/>
      <c r="Q134" s="34"/>
      <c r="R134" s="34"/>
      <c r="S134" s="34"/>
      <c r="T134" s="34"/>
      <c r="U134" s="34"/>
      <c r="V134" s="34"/>
      <c r="W134" s="29" t="s">
        <v>74</v>
      </c>
      <c r="X134" s="28">
        <v>25</v>
      </c>
      <c r="Y134" s="28">
        <v>1</v>
      </c>
      <c r="Z134" s="28">
        <v>2</v>
      </c>
      <c r="AA134" s="28">
        <v>2</v>
      </c>
      <c r="AB134" s="28">
        <v>1</v>
      </c>
      <c r="AC134" s="28">
        <v>2</v>
      </c>
      <c r="AD134" s="28">
        <v>2</v>
      </c>
      <c r="AE134" s="28">
        <v>4</v>
      </c>
      <c r="AF134" s="35">
        <v>2</v>
      </c>
      <c r="AG134" s="28">
        <v>2</v>
      </c>
      <c r="AH134" s="29" t="s">
        <v>350</v>
      </c>
      <c r="AI134" s="36">
        <f>IF(OR(AND(K134&lt;32, J134&lt;2), O134=1, P134=1, Q134=1, R134=1, S134=1, T134=1, U134=1, AND(W134&lt;&gt;"", W134&lt;&gt;"Oxygen", W134&lt;&gt;"LowFlow")), "Intensive", "Intermediate")</f>
      </c>
      <c r="AJ134" s="37">
        <f>IF(OR(LEFT(AH134, 1)="X", LEFT(AH134, 1)="Y", LEFT(AH134, 3)="J2M"), "CUSM", "No Match")</f>
      </c>
      <c r="AK134" s="37">
        <f>IF(AND(OR(O134=3, P134=1, Q134=1, T134=1), AJ134="no Match"), "CUSM, CHU SJ, CHUQ", "")</f>
      </c>
      <c r="AL134" s="37">
        <f>IF(AND(O134=2, ISBLANK(P134), ISBLANK(Q134), ISBLANK(R134), ISBLANK(S134), ISBLANK(T134)), "CUSM, CHU SJ, CHUS, CHUQ", "")</f>
      </c>
      <c r="AM134" s="37">
        <f>IF(AND(AJ134="no match", AK134="", AL134="", K134&lt;26), "CUSM, CHU SJ, HGJ, CHUQ, CHUS", "")</f>
      </c>
      <c r="AN134" s="37">
        <f>IF(AND(AJ134="no match", AK134="", AL134="", K134&gt;26), "CUSM, CHU SJ, HGJ, CHUQ, CHUS, HMR", "")</f>
      </c>
    </row>
    <row x14ac:dyDescent="0.25" r="135" customHeight="1" ht="17.25">
      <c r="A135" s="27" t="s">
        <v>351</v>
      </c>
      <c r="B135" s="28">
        <v>2</v>
      </c>
      <c r="C135" s="35">
        <v>839</v>
      </c>
      <c r="D135" s="29" t="s">
        <v>53</v>
      </c>
      <c r="E135" s="30" t="s">
        <v>50</v>
      </c>
      <c r="F135" s="31">
        <v>44645</v>
      </c>
      <c r="G135" s="32">
        <v>4.642361111111111</v>
      </c>
      <c r="H135" s="31">
        <v>44645</v>
      </c>
      <c r="I135" s="32">
        <v>4.489583333333334</v>
      </c>
      <c r="J135" s="33">
        <f>F135-H135</f>
      </c>
      <c r="K135" s="28">
        <v>41</v>
      </c>
      <c r="L135" s="28">
        <v>1</v>
      </c>
      <c r="M135" s="28">
        <v>1</v>
      </c>
      <c r="N135" s="34"/>
      <c r="O135" s="34"/>
      <c r="P135" s="34"/>
      <c r="Q135" s="34"/>
      <c r="R135" s="34"/>
      <c r="S135" s="34"/>
      <c r="T135" s="35">
        <v>1</v>
      </c>
      <c r="U135" s="34"/>
      <c r="V135" s="34"/>
      <c r="W135" s="29"/>
      <c r="X135" s="28">
        <v>33</v>
      </c>
      <c r="Y135" s="28">
        <v>1</v>
      </c>
      <c r="Z135" s="28">
        <v>1</v>
      </c>
      <c r="AA135" s="28">
        <v>2</v>
      </c>
      <c r="AB135" s="28">
        <v>1</v>
      </c>
      <c r="AC135" s="28">
        <v>2</v>
      </c>
      <c r="AD135" s="28">
        <v>2</v>
      </c>
      <c r="AE135" s="28">
        <v>1</v>
      </c>
      <c r="AF135" s="38"/>
      <c r="AG135" s="28">
        <v>2</v>
      </c>
      <c r="AH135" s="29" t="s">
        <v>352</v>
      </c>
      <c r="AI135" s="36">
        <f>IF(OR(AND(K135&lt;32, J135&lt;2), O135=1, P135=1, Q135=1, R135=1, S135=1, T135=1, U135=1, AND(W135&lt;&gt;"", W135&lt;&gt;"Oxygen", W135&lt;&gt;"LowFlow")), "Intensive", "Intermediate")</f>
      </c>
      <c r="AJ135" s="37">
        <f>IF(OR(LEFT(AH135, 1)="X", LEFT(AH135, 1)="Y", LEFT(AH135, 3)="J3M"), "CUSM", "No Match")</f>
      </c>
      <c r="AK135" s="37">
        <f>IF(AND(OR(O135=3, P135=1, Q135=1, T135=1), AJ135="no Match"), "CUSM, CHU SJ, CHUQ", "")</f>
      </c>
      <c r="AL135" s="37">
        <f>IF(AND(O135=2, ISBLANK(P135), ISBLANK(Q135), ISBLANK(R135), ISBLANK(S135), ISBLANK(T135)), "CUSM, CHU SJ, CHUS, CHUQ", "")</f>
      </c>
      <c r="AM135" s="37">
        <f>IF(AND(AJ135="no match", AK135="", AL135="", K135&lt;26), "CUSM, CHU SJ, HGJ, CHUQ, CHUS", "")</f>
      </c>
      <c r="AN135" s="37">
        <f>IF(AND(AJ135="no match", AK135="", AL135="", K135&gt;26), "CUSM, CHU SJ, HGJ, CHUQ, CHUS, HMR", "")</f>
      </c>
    </row>
    <row x14ac:dyDescent="0.25" r="136" customHeight="1" ht="17.25">
      <c r="A136" s="27" t="s">
        <v>353</v>
      </c>
      <c r="B136" s="28">
        <v>2</v>
      </c>
      <c r="C136" s="28">
        <v>1019</v>
      </c>
      <c r="D136" s="29" t="s">
        <v>354</v>
      </c>
      <c r="E136" s="30" t="s">
        <v>54</v>
      </c>
      <c r="F136" s="31">
        <v>44646</v>
      </c>
      <c r="G136" s="32">
        <v>4.350694444444445</v>
      </c>
      <c r="H136" s="31">
        <v>44646</v>
      </c>
      <c r="I136" s="32">
        <v>4.177083333333334</v>
      </c>
      <c r="J136" s="33">
        <f>F136-H136</f>
      </c>
      <c r="K136" s="28">
        <v>39</v>
      </c>
      <c r="L136" s="28">
        <v>6</v>
      </c>
      <c r="M136" s="28">
        <v>2</v>
      </c>
      <c r="N136" s="34"/>
      <c r="O136" s="34"/>
      <c r="P136" s="34"/>
      <c r="Q136" s="34"/>
      <c r="R136" s="34"/>
      <c r="S136" s="34"/>
      <c r="T136" s="35">
        <v>1</v>
      </c>
      <c r="U136" s="34"/>
      <c r="V136" s="34"/>
      <c r="W136" s="29" t="s">
        <v>74</v>
      </c>
      <c r="X136" s="28">
        <v>40</v>
      </c>
      <c r="Y136" s="28">
        <v>1</v>
      </c>
      <c r="Z136" s="28">
        <v>1</v>
      </c>
      <c r="AA136" s="28">
        <v>2</v>
      </c>
      <c r="AB136" s="28">
        <v>1</v>
      </c>
      <c r="AC136" s="28">
        <v>2</v>
      </c>
      <c r="AD136" s="28">
        <v>1</v>
      </c>
      <c r="AE136" s="28">
        <v>4</v>
      </c>
      <c r="AF136" s="28">
        <v>2</v>
      </c>
      <c r="AG136" s="28">
        <v>2</v>
      </c>
      <c r="AH136" s="29" t="s">
        <v>355</v>
      </c>
      <c r="AI136" s="36">
        <f>IF(OR(AND(K136&lt;32, J136&lt;2), O136=1, P136=1, Q136=1, R136=1, S136=1, T136=1, U136=1, AND(W136&lt;&gt;"", W136&lt;&gt;"Oxygen", W136&lt;&gt;"LowFlow")), "Intensive", "Intermediate")</f>
      </c>
      <c r="AJ136" s="37">
        <f>IF(OR(LEFT(AH136, 1)="X", LEFT(AH136, 1)="Y", LEFT(AH136, 3)="J4M"), "CUSM", "No Match")</f>
      </c>
      <c r="AK136" s="37">
        <f>IF(AND(OR(O136=3, P136=1, Q136=1, T136=1), AJ136="no Match"), "CUSM, CHU SJ, CHUQ", "")</f>
      </c>
      <c r="AL136" s="37">
        <f>IF(AND(O136=2, ISBLANK(P136), ISBLANK(Q136), ISBLANK(R136), ISBLANK(S136), ISBLANK(T136)), "CUSM, CHU SJ, CHUS, CHUQ", "")</f>
      </c>
      <c r="AM136" s="37">
        <f>IF(AND(AJ136="no match", AK136="", AL136="", K136&lt;26), "CUSM, CHU SJ, HGJ, CHUQ, CHUS", "")</f>
      </c>
      <c r="AN136" s="37">
        <f>IF(AND(AJ136="no match", AK136="", AL136="", K136&gt;26), "CUSM, CHU SJ, HGJ, CHUQ, CHUS, HMR", "")</f>
      </c>
    </row>
    <row x14ac:dyDescent="0.25" r="137" customHeight="1" ht="17.25">
      <c r="A137" s="27" t="s">
        <v>356</v>
      </c>
      <c r="B137" s="28">
        <v>2</v>
      </c>
      <c r="C137" s="28">
        <v>757</v>
      </c>
      <c r="D137" s="29" t="s">
        <v>124</v>
      </c>
      <c r="E137" s="30" t="s">
        <v>50</v>
      </c>
      <c r="F137" s="31">
        <v>44646</v>
      </c>
      <c r="G137" s="32">
        <v>4.798611111111111</v>
      </c>
      <c r="H137" s="31">
        <v>44644</v>
      </c>
      <c r="I137" s="32">
        <v>4.697916666666666</v>
      </c>
      <c r="J137" s="33">
        <f>F137-H137</f>
      </c>
      <c r="K137" s="28">
        <v>38</v>
      </c>
      <c r="L137" s="28">
        <v>4</v>
      </c>
      <c r="M137" s="28">
        <v>2</v>
      </c>
      <c r="N137" s="28">
        <v>1</v>
      </c>
      <c r="O137" s="34"/>
      <c r="P137" s="28">
        <v>1</v>
      </c>
      <c r="Q137" s="34"/>
      <c r="R137" s="34"/>
      <c r="S137" s="34"/>
      <c r="T137" s="34"/>
      <c r="U137" s="34"/>
      <c r="V137" s="34"/>
      <c r="W137" s="29" t="s">
        <v>164</v>
      </c>
      <c r="X137" s="28">
        <v>14</v>
      </c>
      <c r="Y137" s="28">
        <v>1</v>
      </c>
      <c r="Z137" s="28">
        <v>1</v>
      </c>
      <c r="AA137" s="28">
        <v>2</v>
      </c>
      <c r="AB137" s="28">
        <v>2</v>
      </c>
      <c r="AC137" s="28">
        <v>2</v>
      </c>
      <c r="AD137" s="28">
        <v>2</v>
      </c>
      <c r="AE137" s="28">
        <v>4</v>
      </c>
      <c r="AF137" s="28">
        <v>2</v>
      </c>
      <c r="AG137" s="28">
        <v>2</v>
      </c>
      <c r="AH137" s="29" t="s">
        <v>357</v>
      </c>
      <c r="AI137" s="36">
        <f>IF(OR(AND(K137&lt;32, J137&lt;2), O137=1, P137=1, Q137=1, R137=1, S137=1, T137=1, U137=1, AND(W137&lt;&gt;"", W137&lt;&gt;"Oxygen", W137&lt;&gt;"LowFlow")), "Intensive", "Intermediate")</f>
      </c>
      <c r="AJ137" s="37">
        <f>IF(OR(LEFT(AH137, 1)="X", LEFT(AH137, 1)="Y", LEFT(AH137, 3)="J5M"), "CUSM", "No Match")</f>
      </c>
      <c r="AK137" s="37">
        <f>IF(AND(OR(O137=3, P137=1, Q137=1, T137=1), AJ137="no Match"), "CUSM, CHU SJ, CHUQ", "")</f>
      </c>
      <c r="AL137" s="37">
        <f>IF(AND(O137=2, ISBLANK(P137), ISBLANK(Q137), ISBLANK(R137), ISBLANK(S137), ISBLANK(T137)), "CUSM, CHU SJ, CHUS, CHUQ", "")</f>
      </c>
      <c r="AM137" s="37">
        <f>IF(AND(AJ137="no match", AK137="", AL137="", K137&lt;26), "CUSM, CHU SJ, HGJ, CHUQ, CHUS", "")</f>
      </c>
      <c r="AN137" s="37">
        <f>IF(AND(AJ137="no match", AK137="", AL137="", K137&gt;26), "CUSM, CHU SJ, HGJ, CHUQ, CHUS, HMR", "")</f>
      </c>
    </row>
    <row x14ac:dyDescent="0.25" r="138" customHeight="1" ht="17.25">
      <c r="A138" s="27" t="s">
        <v>358</v>
      </c>
      <c r="B138" s="28">
        <v>2</v>
      </c>
      <c r="C138" s="28">
        <v>831</v>
      </c>
      <c r="D138" s="29" t="s">
        <v>313</v>
      </c>
      <c r="E138" s="30" t="s">
        <v>220</v>
      </c>
      <c r="F138" s="31">
        <v>44646</v>
      </c>
      <c r="G138" s="32">
        <v>4.850694444444445</v>
      </c>
      <c r="H138" s="31">
        <v>44646</v>
      </c>
      <c r="I138" s="32">
        <v>4.7131944444444445</v>
      </c>
      <c r="J138" s="33">
        <f>F138-H138</f>
      </c>
      <c r="K138" s="28">
        <v>29</v>
      </c>
      <c r="L138" s="28">
        <v>0</v>
      </c>
      <c r="M138" s="28">
        <v>2</v>
      </c>
      <c r="N138" s="34"/>
      <c r="O138" s="34"/>
      <c r="P138" s="34"/>
      <c r="Q138" s="34"/>
      <c r="R138" s="34"/>
      <c r="S138" s="34"/>
      <c r="T138" s="38"/>
      <c r="U138" s="34"/>
      <c r="V138" s="34"/>
      <c r="W138" s="29" t="s">
        <v>70</v>
      </c>
      <c r="X138" s="28">
        <v>33</v>
      </c>
      <c r="Y138" s="28">
        <v>1</v>
      </c>
      <c r="Z138" s="28">
        <v>1</v>
      </c>
      <c r="AA138" s="28">
        <v>2</v>
      </c>
      <c r="AB138" s="28">
        <v>1</v>
      </c>
      <c r="AC138" s="28">
        <v>2</v>
      </c>
      <c r="AD138" s="28">
        <v>2</v>
      </c>
      <c r="AE138" s="28">
        <v>4</v>
      </c>
      <c r="AF138" s="28">
        <v>2</v>
      </c>
      <c r="AG138" s="28">
        <v>2</v>
      </c>
      <c r="AH138" s="29" t="s">
        <v>359</v>
      </c>
      <c r="AI138" s="36">
        <f>IF(OR(AND(K138&lt;32, J138&lt;2), O138=1, P138=1, Q138=1, R138=1, S138=1, T138=1, U138=1, AND(W138&lt;&gt;"", W138&lt;&gt;"Oxygen", W138&lt;&gt;"LowFlow")), "Intensive", "Intermediate")</f>
      </c>
      <c r="AJ138" s="37">
        <f>IF(OR(LEFT(AH138, 1)="X", LEFT(AH138, 1)="Y", LEFT(AH138, 3)="J6M"), "CUSM", "No Match")</f>
      </c>
      <c r="AK138" s="37">
        <f>IF(AND(OR(O138=3, P138=1, Q138=1, T138=1), AJ138="no Match"), "CUSM, CHU SJ, CHUQ", "")</f>
      </c>
      <c r="AL138" s="37">
        <f>IF(AND(O138=2, ISBLANK(P138), ISBLANK(Q138), ISBLANK(R138), ISBLANK(S138), ISBLANK(T138)), "CUSM, CHU SJ, CHUS, CHUQ", "")</f>
      </c>
      <c r="AM138" s="37">
        <f>IF(AND(AJ138="no match", AK138="", AL138="", K138&lt;26), "CUSM, CHU SJ, HGJ, CHUQ, CHUS", "")</f>
      </c>
      <c r="AN138" s="37">
        <f>IF(AND(AJ138="no match", AK138="", AL138="", K138&gt;26), "CUSM, CHU SJ, HGJ, CHUQ, CHUS, HMR", "")</f>
      </c>
    </row>
    <row x14ac:dyDescent="0.25" r="139" customHeight="1" ht="17.25">
      <c r="A139" s="27" t="s">
        <v>360</v>
      </c>
      <c r="B139" s="28">
        <v>2</v>
      </c>
      <c r="C139" s="28">
        <v>796</v>
      </c>
      <c r="D139" s="29" t="s">
        <v>63</v>
      </c>
      <c r="E139" s="30" t="s">
        <v>54</v>
      </c>
      <c r="F139" s="31">
        <v>44647</v>
      </c>
      <c r="G139" s="32">
        <v>4.395833333333334</v>
      </c>
      <c r="H139" s="31">
        <v>44630</v>
      </c>
      <c r="I139" s="32">
        <v>4.425694444444444</v>
      </c>
      <c r="J139" s="33">
        <f>F139-H139</f>
      </c>
      <c r="K139" s="28">
        <v>34</v>
      </c>
      <c r="L139" s="28">
        <v>1</v>
      </c>
      <c r="M139" s="28">
        <v>2</v>
      </c>
      <c r="N139" s="38"/>
      <c r="O139" s="34"/>
      <c r="P139" s="38"/>
      <c r="Q139" s="34"/>
      <c r="R139" s="34"/>
      <c r="S139" s="34"/>
      <c r="T139" s="34"/>
      <c r="U139" s="34"/>
      <c r="V139" s="34"/>
      <c r="W139" s="29" t="s">
        <v>164</v>
      </c>
      <c r="X139" s="28">
        <v>24</v>
      </c>
      <c r="Y139" s="28">
        <v>1</v>
      </c>
      <c r="Z139" s="28">
        <v>1</v>
      </c>
      <c r="AA139" s="28">
        <v>1</v>
      </c>
      <c r="AB139" s="28">
        <v>3</v>
      </c>
      <c r="AC139" s="28">
        <v>2</v>
      </c>
      <c r="AD139" s="28">
        <v>2</v>
      </c>
      <c r="AE139" s="28">
        <v>4</v>
      </c>
      <c r="AF139" s="28">
        <v>2</v>
      </c>
      <c r="AG139" s="28">
        <v>2</v>
      </c>
      <c r="AH139" s="29" t="s">
        <v>361</v>
      </c>
      <c r="AI139" s="36">
        <f>IF(OR(AND(K139&lt;32, J139&lt;2), O139=1, P139=1, Q139=1, R139=1, S139=1, T139=1, U139=1, AND(W139&lt;&gt;"", W139&lt;&gt;"Oxygen", W139&lt;&gt;"LowFlow")), "Intensive", "Intermediate")</f>
      </c>
      <c r="AJ139" s="37">
        <f>IF(OR(LEFT(AH139, 1)="X", LEFT(AH139, 1)="Y", LEFT(AH139, 3)="J7M"), "CUSM", "No Match")</f>
      </c>
      <c r="AK139" s="37">
        <f>IF(AND(OR(O139=3, P139=1, Q139=1, T139=1), AJ139="no Match"), "CUSM, CHU SJ, CHUQ", "")</f>
      </c>
      <c r="AL139" s="37">
        <f>IF(AND(O139=2, ISBLANK(P139), ISBLANK(Q139), ISBLANK(R139), ISBLANK(S139), ISBLANK(T139)), "CUSM, CHU SJ, CHUS, CHUQ", "")</f>
      </c>
      <c r="AM139" s="37">
        <f>IF(AND(AJ139="no match", AK139="", AL139="", K139&lt;26), "CUSM, CHU SJ, HGJ, CHUQ, CHUS", "")</f>
      </c>
      <c r="AN139" s="37">
        <f>IF(AND(AJ139="no match", AK139="", AL139="", K139&gt;26), "CUSM, CHU SJ, HGJ, CHUQ, CHUS, HMR", "")</f>
      </c>
    </row>
    <row x14ac:dyDescent="0.25" r="140" customHeight="1" ht="17.25">
      <c r="A140" s="27" t="s">
        <v>362</v>
      </c>
      <c r="B140" s="28">
        <v>2</v>
      </c>
      <c r="C140" s="28">
        <v>824</v>
      </c>
      <c r="D140" s="29" t="s">
        <v>57</v>
      </c>
      <c r="E140" s="30" t="s">
        <v>78</v>
      </c>
      <c r="F140" s="31">
        <v>44647</v>
      </c>
      <c r="G140" s="32">
        <v>4.333333333333334</v>
      </c>
      <c r="H140" s="31">
        <v>44647</v>
      </c>
      <c r="I140" s="32">
        <v>4.248611111111111</v>
      </c>
      <c r="J140" s="33">
        <f>F140-H140</f>
      </c>
      <c r="K140" s="28">
        <v>30</v>
      </c>
      <c r="L140" s="28">
        <v>0</v>
      </c>
      <c r="M140" s="28">
        <v>2</v>
      </c>
      <c r="N140" s="38"/>
      <c r="O140" s="34"/>
      <c r="P140" s="34"/>
      <c r="Q140" s="34"/>
      <c r="R140" s="34"/>
      <c r="S140" s="34"/>
      <c r="T140" s="34"/>
      <c r="U140" s="34"/>
      <c r="V140" s="34"/>
      <c r="W140" s="29" t="s">
        <v>164</v>
      </c>
      <c r="X140" s="28">
        <v>32</v>
      </c>
      <c r="Y140" s="28">
        <v>1</v>
      </c>
      <c r="Z140" s="28">
        <v>2</v>
      </c>
      <c r="AA140" s="28">
        <v>2</v>
      </c>
      <c r="AB140" s="28">
        <v>1</v>
      </c>
      <c r="AC140" s="28">
        <v>2</v>
      </c>
      <c r="AD140" s="28">
        <v>1</v>
      </c>
      <c r="AE140" s="28">
        <v>4</v>
      </c>
      <c r="AF140" s="28">
        <v>3</v>
      </c>
      <c r="AG140" s="28">
        <v>2</v>
      </c>
      <c r="AH140" s="29" t="s">
        <v>363</v>
      </c>
      <c r="AI140" s="36">
        <f>IF(OR(AND(K140&lt;32, J140&lt;2), O140=1, P140=1, Q140=1, R140=1, S140=1, T140=1, U140=1, AND(W140&lt;&gt;"", W140&lt;&gt;"Oxygen", W140&lt;&gt;"LowFlow")), "Intensive", "Intermediate")</f>
      </c>
      <c r="AJ140" s="37">
        <f>IF(OR(LEFT(AH140, 1)="X", LEFT(AH140, 1)="Y", LEFT(AH140, 3)="J8M"), "CUSM", "No Match")</f>
      </c>
      <c r="AK140" s="37">
        <f>IF(AND(OR(O140=3, P140=1, Q140=1, T140=1), AJ140="no Match"), "CUSM, CHU SJ, CHUQ", "")</f>
      </c>
      <c r="AL140" s="37">
        <f>IF(AND(O140=2, ISBLANK(P140), ISBLANK(Q140), ISBLANK(R140), ISBLANK(S140), ISBLANK(T140)), "CUSM, CHU SJ, CHUS, CHUQ", "")</f>
      </c>
      <c r="AM140" s="37">
        <f>IF(AND(AJ140="no match", AK140="", AL140="", K140&lt;26), "CUSM, CHU SJ, HGJ, CHUQ, CHUS", "")</f>
      </c>
      <c r="AN140" s="37">
        <f>IF(AND(AJ140="no match", AK140="", AL140="", K140&gt;26), "CUSM, CHU SJ, HGJ, CHUQ, CHUS, HMR", "")</f>
      </c>
    </row>
    <row x14ac:dyDescent="0.25" r="141" customHeight="1" ht="17.25">
      <c r="A141" s="27" t="s">
        <v>364</v>
      </c>
      <c r="B141" s="28">
        <v>2</v>
      </c>
      <c r="C141" s="35">
        <v>730</v>
      </c>
      <c r="D141" s="29" t="s">
        <v>81</v>
      </c>
      <c r="E141" s="30" t="s">
        <v>50</v>
      </c>
      <c r="F141" s="31">
        <v>44647</v>
      </c>
      <c r="G141" s="32">
        <v>4.510416666666666</v>
      </c>
      <c r="H141" s="31">
        <v>44644</v>
      </c>
      <c r="I141" s="32">
        <v>4.370833333333334</v>
      </c>
      <c r="J141" s="33">
        <f>F141-H141</f>
      </c>
      <c r="K141" s="28">
        <v>39</v>
      </c>
      <c r="L141" s="28">
        <v>3</v>
      </c>
      <c r="M141" s="28">
        <v>1</v>
      </c>
      <c r="N141" s="35">
        <v>1</v>
      </c>
      <c r="O141" s="38"/>
      <c r="P141" s="34"/>
      <c r="Q141" s="34"/>
      <c r="R141" s="34"/>
      <c r="S141" s="34"/>
      <c r="T141" s="34"/>
      <c r="U141" s="34"/>
      <c r="V141" s="34"/>
      <c r="W141" s="29"/>
      <c r="X141" s="28">
        <v>34</v>
      </c>
      <c r="Y141" s="28">
        <v>1</v>
      </c>
      <c r="Z141" s="28">
        <v>1</v>
      </c>
      <c r="AA141" s="28">
        <v>3</v>
      </c>
      <c r="AB141" s="28">
        <v>1</v>
      </c>
      <c r="AC141" s="28">
        <v>2</v>
      </c>
      <c r="AD141" s="28">
        <v>2</v>
      </c>
      <c r="AE141" s="28">
        <v>4</v>
      </c>
      <c r="AF141" s="28">
        <v>3</v>
      </c>
      <c r="AG141" s="28">
        <v>3</v>
      </c>
      <c r="AH141" s="29" t="s">
        <v>365</v>
      </c>
      <c r="AI141" s="36">
        <f>IF(OR(AND(K141&lt;32, J141&lt;2), O141=1, P141=1, Q141=1, R141=1, S141=1, T141=1, U141=1, AND(W141&lt;&gt;"", W141&lt;&gt;"Oxygen", W141&lt;&gt;"LowFlow")), "Intensive", "Intermediate")</f>
      </c>
      <c r="AJ141" s="37">
        <f>IF(OR(LEFT(AH141, 1)="X", LEFT(AH141, 1)="Y", LEFT(AH141, 3)="J9M"), "CUSM", "No Match")</f>
      </c>
      <c r="AK141" s="37">
        <f>IF(AND(OR(O141=3, P141=1, Q141=1, T141=1), AJ141="no Match"), "CUSM, CHU SJ, CHUQ", "")</f>
      </c>
      <c r="AL141" s="37">
        <f>IF(AND(O141=2, ISBLANK(P141), ISBLANK(Q141), ISBLANK(R141), ISBLANK(S141), ISBLANK(T141)), "CUSM, CHU SJ, CHUS, CHUQ", "")</f>
      </c>
      <c r="AM141" s="37">
        <f>IF(AND(AJ141="no match", AK141="", AL141="", K141&lt;26), "CUSM, CHU SJ, HGJ, CHUQ, CHUS", "")</f>
      </c>
      <c r="AN141" s="37">
        <f>IF(AND(AJ141="no match", AK141="", AL141="", K141&gt;26), "CUSM, CHU SJ, HGJ, CHUQ, CHUS, HMR", "")</f>
      </c>
    </row>
    <row x14ac:dyDescent="0.25" r="142" customHeight="1" ht="17.25">
      <c r="A142" s="27" t="s">
        <v>366</v>
      </c>
      <c r="B142" s="28">
        <v>2</v>
      </c>
      <c r="C142" s="28">
        <v>721</v>
      </c>
      <c r="D142" s="29" t="s">
        <v>367</v>
      </c>
      <c r="E142" s="30" t="s">
        <v>50</v>
      </c>
      <c r="F142" s="31">
        <v>44647</v>
      </c>
      <c r="G142" s="32">
        <v>4.440972222222222</v>
      </c>
      <c r="H142" s="31">
        <v>44647</v>
      </c>
      <c r="I142" s="32">
        <v>4.042361111111111</v>
      </c>
      <c r="J142" s="33">
        <f>F142-H142</f>
      </c>
      <c r="K142" s="28">
        <v>29</v>
      </c>
      <c r="L142" s="28">
        <v>0</v>
      </c>
      <c r="M142" s="28">
        <v>1</v>
      </c>
      <c r="N142" s="35">
        <v>1</v>
      </c>
      <c r="O142" s="34"/>
      <c r="P142" s="34"/>
      <c r="Q142" s="34"/>
      <c r="R142" s="34"/>
      <c r="S142" s="34"/>
      <c r="T142" s="34"/>
      <c r="U142" s="34"/>
      <c r="V142" s="34"/>
      <c r="W142" s="29" t="s">
        <v>164</v>
      </c>
      <c r="X142" s="28">
        <v>30</v>
      </c>
      <c r="Y142" s="28">
        <v>1</v>
      </c>
      <c r="Z142" s="28">
        <v>1</v>
      </c>
      <c r="AA142" s="28">
        <v>1</v>
      </c>
      <c r="AB142" s="28">
        <v>1</v>
      </c>
      <c r="AC142" s="28">
        <v>2</v>
      </c>
      <c r="AD142" s="28">
        <v>2</v>
      </c>
      <c r="AE142" s="28">
        <v>4</v>
      </c>
      <c r="AF142" s="28">
        <v>3</v>
      </c>
      <c r="AG142" s="28">
        <v>2</v>
      </c>
      <c r="AH142" s="29" t="s">
        <v>368</v>
      </c>
      <c r="AI142" s="36">
        <f>IF(OR(AND(K142&lt;32, J142&lt;2), O142=1, P142=1, Q142=1, R142=1, S142=1, T142=1, U142=1, AND(W142&lt;&gt;"", W142&lt;&gt;"Oxygen", W142&lt;&gt;"LowFlow")), "Intensive", "Intermediate")</f>
      </c>
      <c r="AJ142" s="37">
        <f>IF(OR(LEFT(AH142, 1)="X", LEFT(AH142, 1)="Y", LEFT(AH142, 3)="J10M"), "CUSM", "No Match")</f>
      </c>
      <c r="AK142" s="37">
        <f>IF(AND(OR(O142=3, P142=1, Q142=1, T142=1), AJ142="no Match"), "CUSM, CHU SJ, CHUQ", "")</f>
      </c>
      <c r="AL142" s="37">
        <f>IF(AND(O142=2, ISBLANK(P142), ISBLANK(Q142), ISBLANK(R142), ISBLANK(S142), ISBLANK(T142)), "CUSM, CHU SJ, CHUS, CHUQ", "")</f>
      </c>
      <c r="AM142" s="37">
        <f>IF(AND(AJ142="no match", AK142="", AL142="", K142&lt;26), "CUSM, CHU SJ, HGJ, CHUQ, CHUS", "")</f>
      </c>
      <c r="AN142" s="37">
        <f>IF(AND(AJ142="no match", AK142="", AL142="", K142&gt;26), "CUSM, CHU SJ, HGJ, CHUQ, CHUS, HMR", "")</f>
      </c>
    </row>
    <row x14ac:dyDescent="0.25" r="143" customHeight="1" ht="17.25">
      <c r="A143" s="27" t="s">
        <v>369</v>
      </c>
      <c r="B143" s="28">
        <v>2</v>
      </c>
      <c r="C143" s="35">
        <v>831</v>
      </c>
      <c r="D143" s="29" t="s">
        <v>313</v>
      </c>
      <c r="E143" s="30" t="s">
        <v>54</v>
      </c>
      <c r="F143" s="31">
        <v>44648</v>
      </c>
      <c r="G143" s="40">
        <v>4.739583333333334</v>
      </c>
      <c r="H143" s="31">
        <v>44646</v>
      </c>
      <c r="I143" s="40">
        <v>4.259027777777778</v>
      </c>
      <c r="J143" s="33">
        <f>F143-H143</f>
      </c>
      <c r="K143" s="28">
        <v>40</v>
      </c>
      <c r="L143" s="28">
        <v>4</v>
      </c>
      <c r="M143" s="28">
        <v>1</v>
      </c>
      <c r="N143" s="34"/>
      <c r="O143" s="34"/>
      <c r="P143" s="34"/>
      <c r="Q143" s="34"/>
      <c r="R143" s="34"/>
      <c r="S143" s="34"/>
      <c r="T143" s="34"/>
      <c r="U143" s="34"/>
      <c r="V143" s="34"/>
      <c r="W143" s="29"/>
      <c r="X143" s="35">
        <v>29</v>
      </c>
      <c r="Y143" s="28">
        <v>1</v>
      </c>
      <c r="Z143" s="35">
        <v>1</v>
      </c>
      <c r="AA143" s="35">
        <v>2</v>
      </c>
      <c r="AB143" s="35">
        <v>1</v>
      </c>
      <c r="AC143" s="35">
        <v>2</v>
      </c>
      <c r="AD143" s="35">
        <v>2</v>
      </c>
      <c r="AE143" s="35">
        <v>4</v>
      </c>
      <c r="AF143" s="35">
        <v>2</v>
      </c>
      <c r="AG143" s="35">
        <v>2</v>
      </c>
      <c r="AH143" s="29" t="s">
        <v>370</v>
      </c>
      <c r="AI143" s="36">
        <f>IF(OR(AND(K143&lt;32, J143&lt;2), O143=1, P143=1, Q143=1, R143=1, S143=1, T143=1, U143=1, AND(W143&lt;&gt;"", W143&lt;&gt;"Oxygen", W143&lt;&gt;"LowFlow")), "Intensive", "Intermediate")</f>
      </c>
      <c r="AJ143" s="37">
        <f>IF(OR(LEFT(AH143, 1)="X", LEFT(AH143, 1)="Y", LEFT(AH143, 3)="J11M"), "CUSM", "No Match")</f>
      </c>
      <c r="AK143" s="37">
        <f>IF(AND(OR(O143=3, P143=1, Q143=1, T143=1), AJ143="no Match"), "CUSM, CHU SJ, CHUQ", "")</f>
      </c>
      <c r="AL143" s="37">
        <f>IF(AND(O143=2, ISBLANK(P143), ISBLANK(Q143), ISBLANK(R143), ISBLANK(S143), ISBLANK(T143)), "CUSM, CHU SJ, CHUS, CHUQ", "")</f>
      </c>
      <c r="AM143" s="37">
        <f>IF(AND(AJ143="no match", AK143="", AL143="", K143&lt;26), "CUSM, CHU SJ, HGJ, CHUQ, CHUS", "")</f>
      </c>
      <c r="AN143" s="37">
        <f>IF(AND(AJ143="no match", AK143="", AL143="", K143&gt;26), "CUSM, CHU SJ, HGJ, CHUQ, CHUS, HMR", "")</f>
      </c>
    </row>
    <row x14ac:dyDescent="0.25" r="144" customHeight="1" ht="17.25">
      <c r="A144" s="27" t="s">
        <v>371</v>
      </c>
      <c r="B144" s="28">
        <v>2</v>
      </c>
      <c r="C144" s="35">
        <v>734</v>
      </c>
      <c r="D144" s="29" t="s">
        <v>264</v>
      </c>
      <c r="E144" s="30" t="s">
        <v>50</v>
      </c>
      <c r="F144" s="31">
        <v>44650</v>
      </c>
      <c r="G144" s="32">
        <v>4.930555555555555</v>
      </c>
      <c r="H144" s="31">
        <v>44650</v>
      </c>
      <c r="I144" s="32">
        <v>4.605555555555556</v>
      </c>
      <c r="J144" s="33">
        <f>F144-H144</f>
      </c>
      <c r="K144" s="28">
        <v>37</v>
      </c>
      <c r="L144" s="28">
        <v>6</v>
      </c>
      <c r="M144" s="28">
        <v>1</v>
      </c>
      <c r="N144" s="35">
        <v>1</v>
      </c>
      <c r="O144" s="34"/>
      <c r="P144" s="35">
        <v>1</v>
      </c>
      <c r="Q144" s="34"/>
      <c r="R144" s="34"/>
      <c r="S144" s="34"/>
      <c r="T144" s="34"/>
      <c r="U144" s="35">
        <v>1</v>
      </c>
      <c r="V144" s="35">
        <v>1</v>
      </c>
      <c r="W144" s="29" t="s">
        <v>74</v>
      </c>
      <c r="X144" s="28">
        <v>31</v>
      </c>
      <c r="Y144" s="28">
        <v>1</v>
      </c>
      <c r="Z144" s="28">
        <v>2</v>
      </c>
      <c r="AA144" s="28">
        <v>1</v>
      </c>
      <c r="AB144" s="28">
        <v>1</v>
      </c>
      <c r="AC144" s="28">
        <v>1</v>
      </c>
      <c r="AD144" s="28">
        <v>1</v>
      </c>
      <c r="AE144" s="28">
        <v>2</v>
      </c>
      <c r="AF144" s="28">
        <v>3</v>
      </c>
      <c r="AG144" s="28">
        <v>2</v>
      </c>
      <c r="AH144" s="29" t="s">
        <v>372</v>
      </c>
      <c r="AI144" s="36">
        <f>IF(OR(AND(K144&lt;32, J144&lt;2), O144=1, P144=1, Q144=1, R144=1, S144=1, T144=1, U144=1, AND(W144&lt;&gt;"", W144&lt;&gt;"Oxygen", W144&lt;&gt;"LowFlow")), "Intensive", "Intermediate")</f>
      </c>
      <c r="AJ144" s="37">
        <f>IF(OR(LEFT(AH144, 1)="X", LEFT(AH144, 1)="Y", LEFT(AH144, 3)="J12M"), "CUSM", "No Match")</f>
      </c>
      <c r="AK144" s="37">
        <f>IF(AND(OR(O144=3, P144=1, Q144=1, T144=1), AJ144="no Match"), "CUSM, CHU SJ, CHUQ", "")</f>
      </c>
      <c r="AL144" s="37">
        <f>IF(AND(O144=2, ISBLANK(P144), ISBLANK(Q144), ISBLANK(R144), ISBLANK(S144), ISBLANK(T144)), "CUSM, CHU SJ, CHUS, CHUQ", "")</f>
      </c>
      <c r="AM144" s="37">
        <f>IF(AND(AJ144="no match", AK144="", AL144="", K144&lt;26), "CUSM, CHU SJ, HGJ, CHUQ, CHUS", "")</f>
      </c>
      <c r="AN144" s="37">
        <f>IF(AND(AJ144="no match", AK144="", AL144="", K144&gt;26), "CUSM, CHU SJ, HGJ, CHUQ, CHUS, HMR", "")</f>
      </c>
    </row>
    <row x14ac:dyDescent="0.25" r="145" customHeight="1" ht="17.25">
      <c r="A145" s="27" t="s">
        <v>373</v>
      </c>
      <c r="B145" s="28">
        <v>2</v>
      </c>
      <c r="C145" s="28">
        <v>756</v>
      </c>
      <c r="D145" s="29" t="s">
        <v>66</v>
      </c>
      <c r="E145" s="30" t="s">
        <v>78</v>
      </c>
      <c r="F145" s="31">
        <v>44653</v>
      </c>
      <c r="G145" s="32">
        <v>4.889583333333333</v>
      </c>
      <c r="H145" s="31">
        <v>44653</v>
      </c>
      <c r="I145" s="32">
        <v>4.529166666666667</v>
      </c>
      <c r="J145" s="33">
        <f>F145-H145</f>
      </c>
      <c r="K145" s="28">
        <v>35</v>
      </c>
      <c r="L145" s="28">
        <v>0</v>
      </c>
      <c r="M145" s="28">
        <v>1</v>
      </c>
      <c r="N145" s="34"/>
      <c r="O145" s="34"/>
      <c r="P145" s="34"/>
      <c r="Q145" s="34"/>
      <c r="R145" s="34"/>
      <c r="S145" s="34"/>
      <c r="T145" s="34"/>
      <c r="U145" s="34"/>
      <c r="V145" s="34"/>
      <c r="W145" s="29" t="s">
        <v>74</v>
      </c>
      <c r="X145" s="28">
        <v>19</v>
      </c>
      <c r="Y145" s="28">
        <v>1</v>
      </c>
      <c r="Z145" s="28">
        <v>1</v>
      </c>
      <c r="AA145" s="28">
        <v>1</v>
      </c>
      <c r="AB145" s="28">
        <v>1</v>
      </c>
      <c r="AC145" s="28">
        <v>1</v>
      </c>
      <c r="AD145" s="28">
        <v>2</v>
      </c>
      <c r="AE145" s="28">
        <v>4</v>
      </c>
      <c r="AF145" s="28">
        <v>3</v>
      </c>
      <c r="AG145" s="28">
        <v>2</v>
      </c>
      <c r="AH145" s="29" t="s">
        <v>374</v>
      </c>
      <c r="AI145" s="36">
        <f>IF(OR(AND(K145&lt;32, J145&lt;2), O145=1, P145=1, Q145=1, R145=1, S145=1, T145=1, U145=1, AND(W145&lt;&gt;"", W145&lt;&gt;"Oxygen", W145&lt;&gt;"LowFlow")), "Intensive", "Intermediate")</f>
      </c>
      <c r="AJ145" s="37">
        <f>IF(OR(LEFT(AH145, 1)="X", LEFT(AH145, 1)="Y", LEFT(AH145, 3)="J13M"), "CUSM", "No Match")</f>
      </c>
      <c r="AK145" s="37">
        <f>IF(AND(OR(O145=3, P145=1, Q145=1, T145=1), AJ145="no Match"), "CUSM, CHU SJ, CHUQ", "")</f>
      </c>
      <c r="AL145" s="37">
        <f>IF(AND(O145=2, ISBLANK(P145), ISBLANK(Q145), ISBLANK(R145), ISBLANK(S145), ISBLANK(T145)), "CUSM, CHU SJ, CHUS, CHUQ", "")</f>
      </c>
      <c r="AM145" s="37">
        <f>IF(AND(AJ145="no match", AK145="", AL145="", K145&lt;26), "CUSM, CHU SJ, HGJ, CHUQ, CHUS", "")</f>
      </c>
      <c r="AN145" s="37">
        <f>IF(AND(AJ145="no match", AK145="", AL145="", K145&gt;26), "CUSM, CHU SJ, HGJ, CHUQ, CHUS, HMR", "")</f>
      </c>
    </row>
    <row x14ac:dyDescent="0.25" r="146" customHeight="1" ht="17.25">
      <c r="A146" s="27" t="s">
        <v>375</v>
      </c>
      <c r="B146" s="28">
        <v>2</v>
      </c>
      <c r="C146" s="28">
        <v>833</v>
      </c>
      <c r="D146" s="29" t="s">
        <v>376</v>
      </c>
      <c r="E146" s="30" t="s">
        <v>118</v>
      </c>
      <c r="F146" s="31">
        <v>44654</v>
      </c>
      <c r="G146" s="32">
        <v>4.5625</v>
      </c>
      <c r="H146" s="31">
        <v>44654</v>
      </c>
      <c r="I146" s="32">
        <v>4.2125</v>
      </c>
      <c r="J146" s="33">
        <f>F146-H146</f>
      </c>
      <c r="K146" s="28">
        <v>41</v>
      </c>
      <c r="L146" s="28">
        <v>3</v>
      </c>
      <c r="M146" s="28">
        <v>1</v>
      </c>
      <c r="N146" s="34"/>
      <c r="O146" s="34"/>
      <c r="P146" s="34"/>
      <c r="Q146" s="34"/>
      <c r="R146" s="34"/>
      <c r="S146" s="34"/>
      <c r="T146" s="35">
        <v>1</v>
      </c>
      <c r="U146" s="34"/>
      <c r="V146" s="34"/>
      <c r="W146" s="29" t="s">
        <v>58</v>
      </c>
      <c r="X146" s="28">
        <v>27</v>
      </c>
      <c r="Y146" s="28">
        <v>1</v>
      </c>
      <c r="Z146" s="28">
        <v>1</v>
      </c>
      <c r="AA146" s="28">
        <v>2</v>
      </c>
      <c r="AB146" s="28">
        <v>4</v>
      </c>
      <c r="AC146" s="28">
        <v>2</v>
      </c>
      <c r="AD146" s="28">
        <v>2</v>
      </c>
      <c r="AE146" s="28">
        <v>4</v>
      </c>
      <c r="AF146" s="28">
        <v>3</v>
      </c>
      <c r="AG146" s="28">
        <v>2</v>
      </c>
      <c r="AH146" s="29" t="s">
        <v>377</v>
      </c>
      <c r="AI146" s="36">
        <f>IF(OR(AND(K146&lt;32, J146&lt;2), O146=1, P146=1, Q146=1, R146=1, S146=1, T146=1, U146=1, AND(W146&lt;&gt;"", W146&lt;&gt;"Oxygen", W146&lt;&gt;"LowFlow")), "Intensive", "Intermediate")</f>
      </c>
      <c r="AJ146" s="37">
        <f>IF(OR(LEFT(AH146, 1)="X", LEFT(AH146, 1)="Y", LEFT(AH146, 3)="J14M"), "CUSM", "No Match")</f>
      </c>
      <c r="AK146" s="37">
        <f>IF(AND(OR(O146=3, P146=1, Q146=1, T146=1), AJ146="no Match"), "CUSM, CHU SJ, CHUQ", "")</f>
      </c>
      <c r="AL146" s="37">
        <f>IF(AND(O146=2, ISBLANK(P146), ISBLANK(Q146), ISBLANK(R146), ISBLANK(S146), ISBLANK(T146)), "CUSM, CHU SJ, CHUS, CHUQ", "")</f>
      </c>
      <c r="AM146" s="37">
        <f>IF(AND(AJ146="no match", AK146="", AL146="", K146&lt;26), "CUSM, CHU SJ, HGJ, CHUQ, CHUS", "")</f>
      </c>
      <c r="AN146" s="37">
        <f>IF(AND(AJ146="no match", AK146="", AL146="", K146&gt;26), "CUSM, CHU SJ, HGJ, CHUQ, CHUS, HMR", "")</f>
      </c>
    </row>
    <row x14ac:dyDescent="0.25" r="147" customHeight="1" ht="17.25">
      <c r="A147" s="27" t="s">
        <v>378</v>
      </c>
      <c r="B147" s="28">
        <v>2</v>
      </c>
      <c r="C147" s="35">
        <v>822</v>
      </c>
      <c r="D147" s="29" t="s">
        <v>167</v>
      </c>
      <c r="E147" s="30" t="s">
        <v>54</v>
      </c>
      <c r="F147" s="31">
        <v>44654</v>
      </c>
      <c r="G147" s="32">
        <v>4.8</v>
      </c>
      <c r="H147" s="31">
        <v>44654</v>
      </c>
      <c r="I147" s="32">
        <v>4.60625</v>
      </c>
      <c r="J147" s="33">
        <f>F147-H147</f>
      </c>
      <c r="K147" s="28">
        <v>39</v>
      </c>
      <c r="L147" s="28">
        <v>4</v>
      </c>
      <c r="M147" s="28">
        <v>2</v>
      </c>
      <c r="N147" s="34"/>
      <c r="O147" s="34"/>
      <c r="P147" s="34"/>
      <c r="Q147" s="34"/>
      <c r="R147" s="34"/>
      <c r="S147" s="34"/>
      <c r="T147" s="35">
        <v>1</v>
      </c>
      <c r="U147" s="34"/>
      <c r="V147" s="34"/>
      <c r="W147" s="29" t="s">
        <v>74</v>
      </c>
      <c r="X147" s="28">
        <v>33</v>
      </c>
      <c r="Y147" s="28">
        <v>1</v>
      </c>
      <c r="Z147" s="28">
        <v>2</v>
      </c>
      <c r="AA147" s="28">
        <v>2</v>
      </c>
      <c r="AB147" s="28">
        <v>1</v>
      </c>
      <c r="AC147" s="28">
        <v>2</v>
      </c>
      <c r="AD147" s="28">
        <v>2</v>
      </c>
      <c r="AE147" s="28">
        <v>4</v>
      </c>
      <c r="AF147" s="28">
        <v>2</v>
      </c>
      <c r="AG147" s="28">
        <v>2</v>
      </c>
      <c r="AH147" s="29" t="s">
        <v>379</v>
      </c>
      <c r="AI147" s="36">
        <f>IF(OR(AND(K147&lt;32, J147&lt;2), O147=1, P147=1, Q147=1, R147=1, S147=1, T147=1, U147=1, AND(W147&lt;&gt;"", W147&lt;&gt;"Oxygen", W147&lt;&gt;"LowFlow")), "Intensive", "Intermediate")</f>
      </c>
      <c r="AJ147" s="37">
        <f>IF(OR(LEFT(AH147, 1)="X", LEFT(AH147, 1)="Y", LEFT(AH147, 3)="J15M"), "CUSM", "No Match")</f>
      </c>
      <c r="AK147" s="37">
        <f>IF(AND(OR(O147=3, P147=1, Q147=1, T147=1), AJ147="no Match"), "CUSM, CHU SJ, CHUQ", "")</f>
      </c>
      <c r="AL147" s="37">
        <f>IF(AND(O147=2, ISBLANK(P147), ISBLANK(Q147), ISBLANK(R147), ISBLANK(S147), ISBLANK(T147)), "CUSM, CHU SJ, CHUS, CHUQ", "")</f>
      </c>
      <c r="AM147" s="37">
        <f>IF(AND(AJ147="no match", AK147="", AL147="", K147&lt;26), "CUSM, CHU SJ, HGJ, CHUQ, CHUS", "")</f>
      </c>
      <c r="AN147" s="37">
        <f>IF(AND(AJ147="no match", AK147="", AL147="", K147&gt;26), "CUSM, CHU SJ, HGJ, CHUQ, CHUS, HMR", "")</f>
      </c>
    </row>
    <row x14ac:dyDescent="0.25" r="148" customHeight="1" ht="17.25">
      <c r="A148" s="27" t="s">
        <v>380</v>
      </c>
      <c r="B148" s="28">
        <v>2</v>
      </c>
      <c r="C148" s="28">
        <v>845</v>
      </c>
      <c r="D148" s="29" t="s">
        <v>381</v>
      </c>
      <c r="E148" s="30" t="s">
        <v>54</v>
      </c>
      <c r="F148" s="31">
        <v>44654</v>
      </c>
      <c r="G148" s="32">
        <v>4.402777777777778</v>
      </c>
      <c r="H148" s="31">
        <v>44651</v>
      </c>
      <c r="I148" s="32">
        <v>4.432638888888889</v>
      </c>
      <c r="J148" s="33">
        <f>F148-H148</f>
      </c>
      <c r="K148" s="28">
        <v>35</v>
      </c>
      <c r="L148" s="28">
        <v>0</v>
      </c>
      <c r="M148" s="28">
        <v>2</v>
      </c>
      <c r="N148" s="38"/>
      <c r="O148" s="35">
        <v>2</v>
      </c>
      <c r="P148" s="38"/>
      <c r="Q148" s="34"/>
      <c r="R148" s="34"/>
      <c r="S148" s="34"/>
      <c r="T148" s="34"/>
      <c r="U148" s="34"/>
      <c r="V148" s="34"/>
      <c r="W148" s="29"/>
      <c r="X148" s="28">
        <v>38</v>
      </c>
      <c r="Y148" s="28">
        <v>1</v>
      </c>
      <c r="Z148" s="28">
        <v>1</v>
      </c>
      <c r="AA148" s="28">
        <v>1</v>
      </c>
      <c r="AB148" s="28">
        <v>1</v>
      </c>
      <c r="AC148" s="28">
        <v>2</v>
      </c>
      <c r="AD148" s="28">
        <v>2</v>
      </c>
      <c r="AE148" s="28">
        <v>4</v>
      </c>
      <c r="AF148" s="28">
        <v>2</v>
      </c>
      <c r="AG148" s="28">
        <v>2</v>
      </c>
      <c r="AH148" s="29" t="s">
        <v>382</v>
      </c>
      <c r="AI148" s="36">
        <f>IF(OR(AND(K148&lt;32, J148&lt;2), O148=1, P148=1, Q148=1, R148=1, S148=1, T148=1, U148=1, AND(W148&lt;&gt;"", W148&lt;&gt;"Oxygen", W148&lt;&gt;"LowFlow")), "Intensive", "Intermediate")</f>
      </c>
      <c r="AJ148" s="37">
        <f>IF(OR(LEFT(AH148, 1)="X", LEFT(AH148, 1)="Y", LEFT(AH148, 3)="J16M"), "CUSM", "No Match")</f>
      </c>
      <c r="AK148" s="37">
        <f>IF(AND(OR(O148=3, P148=1, Q148=1, T148=1), AJ148="no Match"), "CUSM, CHU SJ, CHUQ", "")</f>
      </c>
      <c r="AL148" s="37">
        <f>IF(AND(O148=2, ISBLANK(P148), ISBLANK(Q148), ISBLANK(R148), ISBLANK(S148), ISBLANK(T148)), "CUSM, CHU SJ, CHUS, CHUQ", "")</f>
      </c>
      <c r="AM148" s="37">
        <f>IF(AND(AJ148="no match", AK148="", AL148="", K148&lt;26), "CUSM, CHU SJ, HGJ, CHUQ, CHUS", "")</f>
      </c>
      <c r="AN148" s="37">
        <f>IF(AND(AJ148="no match", AK148="", AL148="", K148&gt;26), "CUSM, CHU SJ, HGJ, CHUQ, CHUS, HMR", "")</f>
      </c>
    </row>
    <row x14ac:dyDescent="0.25" r="149" customHeight="1" ht="17.25">
      <c r="A149" s="27" t="s">
        <v>383</v>
      </c>
      <c r="B149" s="28">
        <v>2</v>
      </c>
      <c r="C149" s="35">
        <v>839</v>
      </c>
      <c r="D149" s="29" t="s">
        <v>53</v>
      </c>
      <c r="E149" s="30" t="s">
        <v>50</v>
      </c>
      <c r="F149" s="31">
        <v>44655</v>
      </c>
      <c r="G149" s="32">
        <v>4.4222222222222225</v>
      </c>
      <c r="H149" s="31">
        <v>44646</v>
      </c>
      <c r="I149" s="32">
        <v>4.2555555555555555</v>
      </c>
      <c r="J149" s="33">
        <f>F149-H149</f>
      </c>
      <c r="K149" s="28">
        <v>39</v>
      </c>
      <c r="L149" s="28">
        <v>3</v>
      </c>
      <c r="M149" s="28">
        <v>2</v>
      </c>
      <c r="N149" s="35">
        <v>1</v>
      </c>
      <c r="O149" s="34"/>
      <c r="P149" s="34"/>
      <c r="Q149" s="34"/>
      <c r="R149" s="34"/>
      <c r="S149" s="34"/>
      <c r="T149" s="34"/>
      <c r="U149" s="34"/>
      <c r="V149" s="34"/>
      <c r="W149" s="29"/>
      <c r="X149" s="28">
        <v>35</v>
      </c>
      <c r="Y149" s="28">
        <v>1</v>
      </c>
      <c r="Z149" s="28">
        <v>1</v>
      </c>
      <c r="AA149" s="28">
        <v>1</v>
      </c>
      <c r="AB149" s="28">
        <v>1</v>
      </c>
      <c r="AC149" s="28">
        <v>2</v>
      </c>
      <c r="AD149" s="28">
        <v>1</v>
      </c>
      <c r="AE149" s="28">
        <v>4</v>
      </c>
      <c r="AF149" s="28">
        <v>1</v>
      </c>
      <c r="AG149" s="28">
        <v>2</v>
      </c>
      <c r="AH149" s="29" t="s">
        <v>384</v>
      </c>
      <c r="AI149" s="36">
        <f>IF(OR(AND(K149&lt;32, J149&lt;2), O149=1, P149=1, Q149=1, R149=1, S149=1, T149=1, U149=1, AND(W149&lt;&gt;"", W149&lt;&gt;"Oxygen", W149&lt;&gt;"LowFlow")), "Intensive", "Intermediate")</f>
      </c>
      <c r="AJ149" s="37">
        <f>IF(OR(LEFT(AH149, 1)="X", LEFT(AH149, 1)="Y", LEFT(AH149, 3)="J17M"), "CUSM", "No Match")</f>
      </c>
      <c r="AK149" s="37">
        <f>IF(AND(OR(O149=3, P149=1, Q149=1, T149=1), AJ149="no Match"), "CUSM, CHU SJ, CHUQ", "")</f>
      </c>
      <c r="AL149" s="37">
        <f>IF(AND(O149=2, ISBLANK(P149), ISBLANK(Q149), ISBLANK(R149), ISBLANK(S149), ISBLANK(T149)), "CUSM, CHU SJ, CHUS, CHUQ", "")</f>
      </c>
      <c r="AM149" s="37">
        <f>IF(AND(AJ149="no match", AK149="", AL149="", K149&lt;26), "CUSM, CHU SJ, HGJ, CHUQ, CHUS", "")</f>
      </c>
      <c r="AN149" s="37">
        <f>IF(AND(AJ149="no match", AK149="", AL149="", K149&gt;26), "CUSM, CHU SJ, HGJ, CHUQ, CHUS, HMR", "")</f>
      </c>
    </row>
    <row x14ac:dyDescent="0.25" r="150" customHeight="1" ht="17.25">
      <c r="A150" s="27" t="s">
        <v>385</v>
      </c>
      <c r="B150" s="28">
        <v>2</v>
      </c>
      <c r="C150" s="35">
        <v>735</v>
      </c>
      <c r="D150" s="29" t="s">
        <v>49</v>
      </c>
      <c r="E150" s="30" t="s">
        <v>50</v>
      </c>
      <c r="F150" s="31">
        <v>44655</v>
      </c>
      <c r="G150" s="32">
        <v>4.5625</v>
      </c>
      <c r="H150" s="31">
        <v>44653</v>
      </c>
      <c r="I150" s="32">
        <v>4.53125</v>
      </c>
      <c r="J150" s="33">
        <f>F150-H150</f>
      </c>
      <c r="K150" s="28">
        <v>40</v>
      </c>
      <c r="L150" s="28">
        <v>5</v>
      </c>
      <c r="M150" s="28">
        <v>1</v>
      </c>
      <c r="N150" s="35">
        <v>1</v>
      </c>
      <c r="O150" s="34"/>
      <c r="P150" s="35">
        <v>1</v>
      </c>
      <c r="Q150" s="34"/>
      <c r="R150" s="34"/>
      <c r="S150" s="34"/>
      <c r="T150" s="34"/>
      <c r="U150" s="34"/>
      <c r="V150" s="34"/>
      <c r="W150" s="29"/>
      <c r="X150" s="28">
        <v>26</v>
      </c>
      <c r="Y150" s="28">
        <v>1</v>
      </c>
      <c r="Z150" s="28">
        <v>1</v>
      </c>
      <c r="AA150" s="28">
        <v>1</v>
      </c>
      <c r="AB150" s="35">
        <v>1</v>
      </c>
      <c r="AC150" s="28">
        <v>2</v>
      </c>
      <c r="AD150" s="28">
        <v>2</v>
      </c>
      <c r="AE150" s="28">
        <v>4</v>
      </c>
      <c r="AF150" s="35">
        <v>2</v>
      </c>
      <c r="AG150" s="28">
        <v>2</v>
      </c>
      <c r="AH150" s="29" t="s">
        <v>386</v>
      </c>
      <c r="AI150" s="36">
        <f>IF(OR(AND(K150&lt;32, J150&lt;2), O150=1, P150=1, Q150=1, R150=1, S150=1, T150=1, U150=1, AND(W150&lt;&gt;"", W150&lt;&gt;"Oxygen", W150&lt;&gt;"LowFlow")), "Intensive", "Intermediate")</f>
      </c>
      <c r="AJ150" s="37">
        <f>IF(OR(LEFT(AH150, 1)="X", LEFT(AH150, 1)="Y", LEFT(AH150, 3)="J18M"), "CUSM", "No Match")</f>
      </c>
      <c r="AK150" s="37">
        <f>IF(AND(OR(O150=3, P150=1, Q150=1, T150=1), AJ150="no Match"), "CUSM, CHU SJ, CHUQ", "")</f>
      </c>
      <c r="AL150" s="37">
        <f>IF(AND(O150=2, ISBLANK(P150), ISBLANK(Q150), ISBLANK(R150), ISBLANK(S150), ISBLANK(T150)), "CUSM, CHU SJ, CHUS, CHUQ", "")</f>
      </c>
      <c r="AM150" s="37">
        <f>IF(AND(AJ150="no match", AK150="", AL150="", K150&lt;26), "CUSM, CHU SJ, HGJ, CHUQ, CHUS", "")</f>
      </c>
      <c r="AN150" s="37">
        <f>IF(AND(AJ150="no match", AK150="", AL150="", K150&gt;26), "CUSM, CHU SJ, HGJ, CHUQ, CHUS, HMR", "")</f>
      </c>
    </row>
    <row x14ac:dyDescent="0.25" r="151" customHeight="1" ht="17.25">
      <c r="A151" s="27" t="s">
        <v>387</v>
      </c>
      <c r="B151" s="28">
        <v>2</v>
      </c>
      <c r="C151" s="35">
        <v>824</v>
      </c>
      <c r="D151" s="29" t="s">
        <v>57</v>
      </c>
      <c r="E151" s="30" t="s">
        <v>50</v>
      </c>
      <c r="F151" s="31">
        <v>44656</v>
      </c>
      <c r="G151" s="32">
        <v>4.252083333333333</v>
      </c>
      <c r="H151" s="31">
        <v>44656</v>
      </c>
      <c r="I151" s="32">
        <v>4.052083333333334</v>
      </c>
      <c r="J151" s="33">
        <f>F151-H151</f>
      </c>
      <c r="K151" s="28">
        <v>40</v>
      </c>
      <c r="L151" s="28">
        <v>6</v>
      </c>
      <c r="M151" s="28">
        <v>1</v>
      </c>
      <c r="N151" s="34"/>
      <c r="O151" s="34"/>
      <c r="P151" s="34"/>
      <c r="Q151" s="34"/>
      <c r="R151" s="34"/>
      <c r="S151" s="34"/>
      <c r="T151" s="34"/>
      <c r="U151" s="34"/>
      <c r="V151" s="34"/>
      <c r="W151" s="29" t="s">
        <v>58</v>
      </c>
      <c r="X151" s="28">
        <v>24</v>
      </c>
      <c r="Y151" s="28">
        <v>1</v>
      </c>
      <c r="Z151" s="28">
        <v>1</v>
      </c>
      <c r="AA151" s="28">
        <v>2</v>
      </c>
      <c r="AB151" s="28">
        <v>1</v>
      </c>
      <c r="AC151" s="28">
        <v>2</v>
      </c>
      <c r="AD151" s="28">
        <v>2</v>
      </c>
      <c r="AE151" s="28">
        <v>4</v>
      </c>
      <c r="AF151" s="28">
        <v>2</v>
      </c>
      <c r="AG151" s="28">
        <v>2</v>
      </c>
      <c r="AH151" s="29" t="s">
        <v>388</v>
      </c>
      <c r="AI151" s="36">
        <f>IF(OR(AND(K151&lt;32, J151&lt;2), O151=1, P151=1, Q151=1, R151=1, S151=1, T151=1, U151=1, AND(W151&lt;&gt;"", W151&lt;&gt;"Oxygen", W151&lt;&gt;"LowFlow")), "Intensive", "Intermediate")</f>
      </c>
      <c r="AJ151" s="37">
        <f>IF(OR(LEFT(AH151, 1)="X", LEFT(AH151, 1)="Y", LEFT(AH151, 3)="J19M"), "CUSM", "No Match")</f>
      </c>
      <c r="AK151" s="37">
        <f>IF(AND(OR(O151=3, P151=1, Q151=1, T151=1), AJ151="no Match"), "CUSM, CHU SJ, CHUQ", "")</f>
      </c>
      <c r="AL151" s="37">
        <f>IF(AND(O151=2, ISBLANK(P151), ISBLANK(Q151), ISBLANK(R151), ISBLANK(S151), ISBLANK(T151)), "CUSM, CHU SJ, CHUS, CHUQ", "")</f>
      </c>
      <c r="AM151" s="37">
        <f>IF(AND(AJ151="no match", AK151="", AL151="", K151&lt;26), "CUSM, CHU SJ, HGJ, CHUQ, CHUS", "")</f>
      </c>
      <c r="AN151" s="37">
        <f>IF(AND(AJ151="no match", AK151="", AL151="", K151&gt;26), "CUSM, CHU SJ, HGJ, CHUQ, CHUS, HMR", "")</f>
      </c>
    </row>
    <row x14ac:dyDescent="0.25" r="152" customHeight="1" ht="17.25">
      <c r="A152" s="27" t="s">
        <v>389</v>
      </c>
      <c r="B152" s="28">
        <v>2</v>
      </c>
      <c r="C152" s="35">
        <v>845</v>
      </c>
      <c r="D152" s="29" t="s">
        <v>381</v>
      </c>
      <c r="E152" s="30" t="s">
        <v>54</v>
      </c>
      <c r="F152" s="31">
        <v>44657</v>
      </c>
      <c r="G152" s="32">
        <v>4.350694444444445</v>
      </c>
      <c r="H152" s="31">
        <v>44646</v>
      </c>
      <c r="I152" s="32">
        <v>4.7131944444444445</v>
      </c>
      <c r="J152" s="33">
        <f>F152-H152</f>
      </c>
      <c r="K152" s="28">
        <v>29</v>
      </c>
      <c r="L152" s="28">
        <v>0</v>
      </c>
      <c r="M152" s="28">
        <v>2</v>
      </c>
      <c r="N152" s="34"/>
      <c r="O152" s="34"/>
      <c r="P152" s="34"/>
      <c r="Q152" s="34"/>
      <c r="R152" s="34"/>
      <c r="S152" s="34"/>
      <c r="T152" s="34"/>
      <c r="U152" s="34"/>
      <c r="V152" s="34"/>
      <c r="W152" s="29" t="s">
        <v>58</v>
      </c>
      <c r="X152" s="28">
        <v>33</v>
      </c>
      <c r="Y152" s="28">
        <v>1</v>
      </c>
      <c r="Z152" s="28">
        <v>1</v>
      </c>
      <c r="AA152" s="28">
        <v>2</v>
      </c>
      <c r="AB152" s="28">
        <v>1</v>
      </c>
      <c r="AC152" s="28">
        <v>2</v>
      </c>
      <c r="AD152" s="28">
        <v>2</v>
      </c>
      <c r="AE152" s="28">
        <v>4</v>
      </c>
      <c r="AF152" s="28">
        <v>2</v>
      </c>
      <c r="AG152" s="28">
        <v>2</v>
      </c>
      <c r="AH152" s="29" t="s">
        <v>359</v>
      </c>
      <c r="AI152" s="36">
        <f>IF(OR(AND(K152&lt;32, J152&lt;2), O152=1, P152=1, Q152=1, R152=1, S152=1, T152=1, U152=1, AND(W152&lt;&gt;"", W152&lt;&gt;"Oxygen", W152&lt;&gt;"LowFlow")), "Intensive", "Intermediate")</f>
      </c>
      <c r="AJ152" s="37">
        <f>IF(OR(LEFT(AH152, 1)="X", LEFT(AH152, 1)="Y", LEFT(AH152, 3)="J20M"), "CUSM", "No Match")</f>
      </c>
      <c r="AK152" s="37">
        <f>IF(AND(OR(O152=3, P152=1, Q152=1, T152=1), AJ152="no Match"), "CUSM, CHU SJ, CHUQ", "")</f>
      </c>
      <c r="AL152" s="37">
        <f>IF(AND(O152=2, ISBLANK(P152), ISBLANK(Q152), ISBLANK(R152), ISBLANK(S152), ISBLANK(T152)), "CUSM, CHU SJ, CHUS, CHUQ", "")</f>
      </c>
      <c r="AM152" s="37">
        <f>IF(AND(AJ152="no match", AK152="", AL152="", K152&lt;26), "CUSM, CHU SJ, HGJ, CHUQ, CHUS", "")</f>
      </c>
      <c r="AN152" s="37">
        <f>IF(AND(AJ152="no match", AK152="", AL152="", K152&gt;26), "CUSM, CHU SJ, HGJ, CHUQ, CHUS, HMR", "")</f>
      </c>
    </row>
    <row x14ac:dyDescent="0.25" r="153" customHeight="1" ht="17.25">
      <c r="A153" s="27" t="s">
        <v>390</v>
      </c>
      <c r="B153" s="28">
        <v>2</v>
      </c>
      <c r="C153" s="35">
        <v>795</v>
      </c>
      <c r="D153" s="29" t="s">
        <v>73</v>
      </c>
      <c r="E153" s="30" t="s">
        <v>50</v>
      </c>
      <c r="F153" s="31">
        <v>44657</v>
      </c>
      <c r="G153" s="40">
        <v>4.854166666666666</v>
      </c>
      <c r="H153" s="31">
        <v>44657</v>
      </c>
      <c r="I153" s="40">
        <v>4.053472222222222</v>
      </c>
      <c r="J153" s="33">
        <f>F153-H153</f>
      </c>
      <c r="K153" s="28">
        <v>38</v>
      </c>
      <c r="L153" s="28">
        <v>1</v>
      </c>
      <c r="M153" s="28">
        <v>1</v>
      </c>
      <c r="N153" s="34"/>
      <c r="O153" s="34"/>
      <c r="P153" s="34"/>
      <c r="Q153" s="34"/>
      <c r="R153" s="34"/>
      <c r="S153" s="34"/>
      <c r="T153" s="34"/>
      <c r="U153" s="34"/>
      <c r="V153" s="34"/>
      <c r="W153" s="29" t="s">
        <v>74</v>
      </c>
      <c r="X153" s="35">
        <v>23</v>
      </c>
      <c r="Y153" s="28">
        <v>1</v>
      </c>
      <c r="Z153" s="35">
        <v>2</v>
      </c>
      <c r="AA153" s="28">
        <v>1</v>
      </c>
      <c r="AB153" s="28">
        <v>4</v>
      </c>
      <c r="AC153" s="35">
        <v>2</v>
      </c>
      <c r="AD153" s="28">
        <v>1</v>
      </c>
      <c r="AE153" s="35">
        <v>4</v>
      </c>
      <c r="AF153" s="35">
        <v>3</v>
      </c>
      <c r="AG153" s="35">
        <v>2</v>
      </c>
      <c r="AH153" s="29" t="s">
        <v>368</v>
      </c>
      <c r="AI153" s="36">
        <f>IF(OR(AND(K153&lt;32, J153&lt;2), O153=1, P153=1, Q153=1, R153=1, S153=1, T153=1, U153=1, AND(W153&lt;&gt;"", W153&lt;&gt;"Oxygen", W153&lt;&gt;"LowFlow")), "Intensive", "Intermediate")</f>
      </c>
      <c r="AJ153" s="37">
        <f>IF(OR(LEFT(AH153, 1)="X", LEFT(AH153, 1)="Y", LEFT(AH153, 3)="J21M"), "CUSM", "No Match")</f>
      </c>
      <c r="AK153" s="37">
        <f>IF(AND(OR(O153=3, P153=1, Q153=1, T153=1), AJ153="no Match"), "CUSM, CHU SJ, CHUQ", "")</f>
      </c>
      <c r="AL153" s="37">
        <f>IF(AND(O153=2, ISBLANK(P153), ISBLANK(Q153), ISBLANK(R153), ISBLANK(S153), ISBLANK(T153)), "CUSM, CHU SJ, CHUS, CHUQ", "")</f>
      </c>
      <c r="AM153" s="37">
        <f>IF(AND(AJ153="no match", AK153="", AL153="", K153&lt;26), "CUSM, CHU SJ, HGJ, CHUQ, CHUS", "")</f>
      </c>
      <c r="AN153" s="37">
        <f>IF(AND(AJ153="no match", AK153="", AL153="", K153&gt;26), "CUSM, CHU SJ, HGJ, CHUQ, CHUS, HMR", "")</f>
      </c>
    </row>
    <row x14ac:dyDescent="0.25" r="154" customHeight="1" ht="17.25">
      <c r="A154" s="27" t="s">
        <v>391</v>
      </c>
      <c r="B154" s="28">
        <v>2</v>
      </c>
      <c r="C154" s="35">
        <v>831</v>
      </c>
      <c r="D154" s="29" t="s">
        <v>313</v>
      </c>
      <c r="E154" s="30" t="s">
        <v>54</v>
      </c>
      <c r="F154" s="31">
        <v>44658</v>
      </c>
      <c r="G154" s="32">
        <v>4.708333333333334</v>
      </c>
      <c r="H154" s="31">
        <v>44652</v>
      </c>
      <c r="I154" s="32">
        <v>4.884027777777778</v>
      </c>
      <c r="J154" s="33">
        <f>F154-H154</f>
      </c>
      <c r="K154" s="28">
        <v>41</v>
      </c>
      <c r="L154" s="28">
        <v>0</v>
      </c>
      <c r="M154" s="28">
        <v>1</v>
      </c>
      <c r="N154" s="34"/>
      <c r="O154" s="34"/>
      <c r="P154" s="34"/>
      <c r="Q154" s="34"/>
      <c r="R154" s="34"/>
      <c r="S154" s="34"/>
      <c r="T154" s="34"/>
      <c r="U154" s="34"/>
      <c r="V154" s="34"/>
      <c r="W154" s="29"/>
      <c r="X154" s="28">
        <v>31</v>
      </c>
      <c r="Y154" s="28">
        <v>1</v>
      </c>
      <c r="Z154" s="28">
        <v>1</v>
      </c>
      <c r="AA154" s="28">
        <v>1</v>
      </c>
      <c r="AB154" s="28">
        <v>1</v>
      </c>
      <c r="AC154" s="28">
        <v>3</v>
      </c>
      <c r="AD154" s="28">
        <v>1</v>
      </c>
      <c r="AE154" s="28">
        <v>4</v>
      </c>
      <c r="AF154" s="28">
        <v>1</v>
      </c>
      <c r="AG154" s="28">
        <v>3</v>
      </c>
      <c r="AH154" s="29" t="s">
        <v>392</v>
      </c>
      <c r="AI154" s="36">
        <f>IF(OR(AND(K154&lt;32, J154&lt;2), O154=1, P154=1, Q154=1, R154=1, S154=1, T154=1, U154=1, AND(W154&lt;&gt;"", W154&lt;&gt;"Oxygen", W154&lt;&gt;"LowFlow")), "Intensive", "Intermediate")</f>
      </c>
      <c r="AJ154" s="37">
        <f>IF(OR(LEFT(AH154, 1)="X", LEFT(AH154, 1)="Y", LEFT(AH154, 3)="J22M"), "CUSM", "No Match")</f>
      </c>
      <c r="AK154" s="37">
        <f>IF(AND(OR(O154=3, P154=1, Q154=1, T154=1), AJ154="no Match"), "CUSM, CHU SJ, CHUQ", "")</f>
      </c>
      <c r="AL154" s="37">
        <f>IF(AND(O154=2, ISBLANK(P154), ISBLANK(Q154), ISBLANK(R154), ISBLANK(S154), ISBLANK(T154)), "CUSM, CHU SJ, CHUS, CHUQ", "")</f>
      </c>
      <c r="AM154" s="37">
        <f>IF(AND(AJ154="no match", AK154="", AL154="", K154&lt;26), "CUSM, CHU SJ, HGJ, CHUQ, CHUS", "")</f>
      </c>
      <c r="AN154" s="37">
        <f>IF(AND(AJ154="no match", AK154="", AL154="", K154&gt;26), "CUSM, CHU SJ, HGJ, CHUQ, CHUS, HMR", "")</f>
      </c>
    </row>
    <row x14ac:dyDescent="0.25" r="155" customHeight="1" ht="17.25">
      <c r="A155" s="27" t="s">
        <v>393</v>
      </c>
      <c r="B155" s="28">
        <v>2</v>
      </c>
      <c r="C155" s="35">
        <v>6</v>
      </c>
      <c r="D155" s="29" t="s">
        <v>131</v>
      </c>
      <c r="E155" s="30" t="s">
        <v>50</v>
      </c>
      <c r="F155" s="31">
        <v>44658</v>
      </c>
      <c r="G155" s="32">
        <v>4.878472222222222</v>
      </c>
      <c r="H155" s="31">
        <v>44649</v>
      </c>
      <c r="I155" s="32">
        <v>4.375</v>
      </c>
      <c r="J155" s="33">
        <f>F155-H155</f>
      </c>
      <c r="K155" s="28">
        <v>37</v>
      </c>
      <c r="L155" s="28">
        <v>0</v>
      </c>
      <c r="M155" s="28">
        <v>1</v>
      </c>
      <c r="N155" s="35">
        <v>1</v>
      </c>
      <c r="O155" s="34"/>
      <c r="P155" s="34"/>
      <c r="Q155" s="34"/>
      <c r="R155" s="34"/>
      <c r="S155" s="34"/>
      <c r="T155" s="34"/>
      <c r="U155" s="34"/>
      <c r="V155" s="34"/>
      <c r="W155" s="29"/>
      <c r="X155" s="28">
        <v>33</v>
      </c>
      <c r="Y155" s="28">
        <v>1</v>
      </c>
      <c r="Z155" s="28">
        <v>1</v>
      </c>
      <c r="AA155" s="28">
        <v>2</v>
      </c>
      <c r="AB155" s="28">
        <v>4</v>
      </c>
      <c r="AC155" s="28">
        <v>2</v>
      </c>
      <c r="AD155" s="28">
        <v>2</v>
      </c>
      <c r="AE155" s="28">
        <v>4</v>
      </c>
      <c r="AF155" s="28">
        <v>2</v>
      </c>
      <c r="AG155" s="28">
        <v>2</v>
      </c>
      <c r="AH155" s="29" t="s">
        <v>394</v>
      </c>
      <c r="AI155" s="36">
        <f>IF(OR(AND(K155&lt;32, J155&lt;2), O155=1, P155=1, Q155=1, R155=1, S155=1, T155=1, U155=1, AND(W155&lt;&gt;"", W155&lt;&gt;"Oxygen", W155&lt;&gt;"LowFlow")), "Intensive", "Intermediate")</f>
      </c>
      <c r="AJ155" s="37">
        <f>IF(OR(LEFT(AH155, 1)="X", LEFT(AH155, 1)="Y", LEFT(AH155, 3)="J23M"), "CUSM", "No Match")</f>
      </c>
      <c r="AK155" s="37">
        <f>IF(AND(OR(O155=3, P155=1, Q155=1, T155=1), AJ155="no Match"), "CUSM, CHU SJ, CHUQ", "")</f>
      </c>
      <c r="AL155" s="37">
        <f>IF(AND(O155=2, ISBLANK(P155), ISBLANK(Q155), ISBLANK(R155), ISBLANK(S155), ISBLANK(T155)), "CUSM, CHU SJ, CHUS, CHUQ", "")</f>
      </c>
      <c r="AM155" s="37">
        <f>IF(AND(AJ155="no match", AK155="", AL155="", K155&lt;26), "CUSM, CHU SJ, HGJ, CHUQ, CHUS", "")</f>
      </c>
      <c r="AN155" s="37">
        <f>IF(AND(AJ155="no match", AK155="", AL155="", K155&gt;26), "CUSM, CHU SJ, HGJ, CHUQ, CHUS, HMR", "")</f>
      </c>
    </row>
    <row x14ac:dyDescent="0.25" r="156" customHeight="1" ht="17.25">
      <c r="A156" s="27" t="s">
        <v>395</v>
      </c>
      <c r="B156" s="28">
        <v>2</v>
      </c>
      <c r="C156" s="35">
        <v>782</v>
      </c>
      <c r="D156" s="29" t="s">
        <v>95</v>
      </c>
      <c r="E156" s="30" t="s">
        <v>220</v>
      </c>
      <c r="F156" s="31">
        <v>44658</v>
      </c>
      <c r="G156" s="32">
        <v>4.132638888888889</v>
      </c>
      <c r="H156" s="31">
        <v>44658</v>
      </c>
      <c r="I156" s="32">
        <v>4.009027777777778</v>
      </c>
      <c r="J156" s="33">
        <f>F156-H156</f>
      </c>
      <c r="K156" s="28">
        <v>30</v>
      </c>
      <c r="L156" s="28">
        <v>0</v>
      </c>
      <c r="M156" s="28">
        <v>2</v>
      </c>
      <c r="N156" s="34"/>
      <c r="O156" s="34"/>
      <c r="P156" s="34"/>
      <c r="Q156" s="34"/>
      <c r="R156" s="34"/>
      <c r="S156" s="34"/>
      <c r="T156" s="34"/>
      <c r="U156" s="34"/>
      <c r="V156" s="34"/>
      <c r="W156" s="29" t="s">
        <v>164</v>
      </c>
      <c r="X156" s="28">
        <v>36</v>
      </c>
      <c r="Y156" s="28">
        <v>1</v>
      </c>
      <c r="Z156" s="28">
        <v>1</v>
      </c>
      <c r="AA156" s="28">
        <v>2</v>
      </c>
      <c r="AB156" s="28">
        <v>1</v>
      </c>
      <c r="AC156" s="28">
        <v>2</v>
      </c>
      <c r="AD156" s="28">
        <v>2</v>
      </c>
      <c r="AE156" s="28">
        <v>4</v>
      </c>
      <c r="AF156" s="35">
        <v>2</v>
      </c>
      <c r="AG156" s="28">
        <v>2</v>
      </c>
      <c r="AH156" s="29"/>
      <c r="AI156" s="36">
        <f>IF(OR(AND(K156&lt;32, J156&lt;2), O156=1, P156=1, Q156=1, R156=1, S156=1, T156=1, U156=1, AND(W156&lt;&gt;"", W156&lt;&gt;"Oxygen", W156&lt;&gt;"LowFlow")), "Intensive", "Intermediate")</f>
      </c>
      <c r="AJ156" s="37">
        <f>IF(OR(LEFT(AH156, 1)="X", LEFT(AH156, 1)="Y", LEFT(AH156, 3)="J24M"), "CUSM", "No Match")</f>
      </c>
      <c r="AK156" s="37">
        <f>IF(AND(OR(O156=3, P156=1, Q156=1, T156=1), AJ156="no Match"), "CUSM, CHU SJ, CHUQ", "")</f>
      </c>
      <c r="AL156" s="37">
        <f>IF(AND(O156=2, ISBLANK(P156), ISBLANK(Q156), ISBLANK(R156), ISBLANK(S156), ISBLANK(T156)), "CUSM, CHU SJ, CHUS, CHUQ", "")</f>
      </c>
      <c r="AM156" s="37">
        <f>IF(AND(AJ156="no match", AK156="", AL156="", K156&lt;26), "CUSM, CHU SJ, HGJ, CHUQ, CHUS", "")</f>
      </c>
      <c r="AN156" s="37">
        <f>IF(AND(AJ156="no match", AK156="", AL156="", K156&gt;26), "CUSM, CHU SJ, HGJ, CHUQ, CHUS, HMR", "")</f>
      </c>
    </row>
    <row x14ac:dyDescent="0.25" r="157" customHeight="1" ht="17.25">
      <c r="A157" s="27" t="s">
        <v>396</v>
      </c>
      <c r="B157" s="28">
        <v>2</v>
      </c>
      <c r="C157" s="28">
        <v>779</v>
      </c>
      <c r="D157" s="29" t="s">
        <v>136</v>
      </c>
      <c r="E157" s="30" t="s">
        <v>54</v>
      </c>
      <c r="F157" s="31">
        <v>44659</v>
      </c>
      <c r="G157" s="32">
        <v>4.951388888888889</v>
      </c>
      <c r="H157" s="31">
        <v>44655</v>
      </c>
      <c r="I157" s="32">
        <v>4.159027777777778</v>
      </c>
      <c r="J157" s="33">
        <f>F157-H157</f>
      </c>
      <c r="K157" s="28">
        <v>41</v>
      </c>
      <c r="L157" s="28">
        <v>2</v>
      </c>
      <c r="M157" s="28">
        <v>1</v>
      </c>
      <c r="N157" s="34"/>
      <c r="O157" s="34"/>
      <c r="P157" s="34"/>
      <c r="Q157" s="34"/>
      <c r="R157" s="34"/>
      <c r="S157" s="34"/>
      <c r="T157" s="34"/>
      <c r="U157" s="34"/>
      <c r="V157" s="34"/>
      <c r="W157" s="29"/>
      <c r="X157" s="28">
        <v>29</v>
      </c>
      <c r="Y157" s="28">
        <v>1</v>
      </c>
      <c r="Z157" s="28">
        <v>1</v>
      </c>
      <c r="AA157" s="28">
        <v>2</v>
      </c>
      <c r="AB157" s="28">
        <v>1</v>
      </c>
      <c r="AC157" s="28">
        <v>2</v>
      </c>
      <c r="AD157" s="28">
        <v>2</v>
      </c>
      <c r="AE157" s="28">
        <v>4</v>
      </c>
      <c r="AF157" s="28">
        <v>2</v>
      </c>
      <c r="AG157" s="28">
        <v>2</v>
      </c>
      <c r="AH157" s="29" t="s">
        <v>397</v>
      </c>
      <c r="AI157" s="36">
        <f>IF(OR(AND(K157&lt;32, J157&lt;2), O157=1, P157=1, Q157=1, R157=1, S157=1, T157=1, U157=1, AND(W157&lt;&gt;"", W157&lt;&gt;"Oxygen", W157&lt;&gt;"LowFlow")), "Intensive", "Intermediate")</f>
      </c>
      <c r="AJ157" s="37">
        <f>IF(OR(LEFT(AH157, 1)="X", LEFT(AH157, 1)="Y", LEFT(AH157, 3)="J25M"), "CUSM", "No Match")</f>
      </c>
      <c r="AK157" s="37">
        <f>IF(AND(OR(O157=3, P157=1, Q157=1, T157=1), AJ157="no Match"), "CUSM, CHU SJ, CHUQ", "")</f>
      </c>
      <c r="AL157" s="37">
        <f>IF(AND(O157=2, ISBLANK(P157), ISBLANK(Q157), ISBLANK(R157), ISBLANK(S157), ISBLANK(T157)), "CUSM, CHU SJ, CHUS, CHUQ", "")</f>
      </c>
      <c r="AM157" s="37">
        <f>IF(AND(AJ157="no match", AK157="", AL157="", K157&lt;26), "CUSM, CHU SJ, HGJ, CHUQ, CHUS", "")</f>
      </c>
      <c r="AN157" s="37">
        <f>IF(AND(AJ157="no match", AK157="", AL157="", K157&gt;26), "CUSM, CHU SJ, HGJ, CHUQ, CHUS, HMR", "")</f>
      </c>
    </row>
    <row x14ac:dyDescent="0.25" r="158" customHeight="1" ht="17.25">
      <c r="A158" s="27" t="s">
        <v>398</v>
      </c>
      <c r="B158" s="28">
        <v>2</v>
      </c>
      <c r="C158" s="28">
        <v>831</v>
      </c>
      <c r="D158" s="29" t="s">
        <v>313</v>
      </c>
      <c r="E158" s="30" t="s">
        <v>50</v>
      </c>
      <c r="F158" s="31">
        <v>44659</v>
      </c>
      <c r="G158" s="32">
        <v>4.458333333333334</v>
      </c>
      <c r="H158" s="31">
        <v>44659</v>
      </c>
      <c r="I158" s="32">
        <v>4.085416666666667</v>
      </c>
      <c r="J158" s="33">
        <f>F158-H158</f>
      </c>
      <c r="K158" s="28">
        <v>35</v>
      </c>
      <c r="L158" s="28">
        <v>4</v>
      </c>
      <c r="M158" s="28">
        <v>2</v>
      </c>
      <c r="N158" s="38"/>
      <c r="O158" s="34"/>
      <c r="P158" s="38"/>
      <c r="Q158" s="34"/>
      <c r="R158" s="34"/>
      <c r="S158" s="34"/>
      <c r="T158" s="35">
        <v>1</v>
      </c>
      <c r="U158" s="34"/>
      <c r="V158" s="34"/>
      <c r="W158" s="29" t="s">
        <v>70</v>
      </c>
      <c r="X158" s="28">
        <v>26</v>
      </c>
      <c r="Y158" s="28">
        <v>1</v>
      </c>
      <c r="Z158" s="28">
        <v>1</v>
      </c>
      <c r="AA158" s="28">
        <v>3</v>
      </c>
      <c r="AB158" s="28">
        <v>1</v>
      </c>
      <c r="AC158" s="28">
        <v>2</v>
      </c>
      <c r="AD158" s="28">
        <v>2</v>
      </c>
      <c r="AE158" s="28">
        <v>2</v>
      </c>
      <c r="AF158" s="28">
        <v>2</v>
      </c>
      <c r="AG158" s="28">
        <v>2</v>
      </c>
      <c r="AH158" s="29" t="s">
        <v>399</v>
      </c>
      <c r="AI158" s="36">
        <f>IF(OR(AND(K158&lt;32, J158&lt;2), O158=1, P158=1, Q158=1, R158=1, S158=1, T158=1, U158=1, AND(W158&lt;&gt;"", W158&lt;&gt;"Oxygen", W158&lt;&gt;"LowFlow")), "Intensive", "Intermediate")</f>
      </c>
      <c r="AJ158" s="37">
        <f>IF(OR(LEFT(AH158, 1)="X", LEFT(AH158, 1)="Y", LEFT(AH158, 3)="J26M"), "CUSM", "No Match")</f>
      </c>
      <c r="AK158" s="37">
        <f>IF(AND(OR(O158=3, P158=1, Q158=1, T158=1), AJ158="no Match"), "CUSM, CHU SJ, CHUQ", "")</f>
      </c>
      <c r="AL158" s="37">
        <f>IF(AND(O158=2, ISBLANK(P158), ISBLANK(Q158), ISBLANK(R158), ISBLANK(S158), ISBLANK(T158)), "CUSM, CHU SJ, CHUS, CHUQ", "")</f>
      </c>
      <c r="AM158" s="37">
        <f>IF(AND(AJ158="no match", AK158="", AL158="", K158&lt;26), "CUSM, CHU SJ, HGJ, CHUQ, CHUS", "")</f>
      </c>
      <c r="AN158" s="37">
        <f>IF(AND(AJ158="no match", AK158="", AL158="", K158&gt;26), "CUSM, CHU SJ, HGJ, CHUQ, CHUS, HMR", "")</f>
      </c>
    </row>
    <row x14ac:dyDescent="0.25" r="159" customHeight="1" ht="17.25">
      <c r="A159" s="27" t="s">
        <v>400</v>
      </c>
      <c r="B159" s="28">
        <v>2</v>
      </c>
      <c r="C159" s="28">
        <v>779</v>
      </c>
      <c r="D159" s="29" t="s">
        <v>136</v>
      </c>
      <c r="E159" s="30" t="s">
        <v>50</v>
      </c>
      <c r="F159" s="31">
        <v>44659</v>
      </c>
      <c r="G159" s="32">
        <v>4.552083333333334</v>
      </c>
      <c r="H159" s="31">
        <v>44657</v>
      </c>
      <c r="I159" s="32">
        <v>4.685416666666667</v>
      </c>
      <c r="J159" s="33">
        <f>F159-H159</f>
      </c>
      <c r="K159" s="28">
        <v>39</v>
      </c>
      <c r="L159" s="28">
        <v>0</v>
      </c>
      <c r="M159" s="28">
        <v>1</v>
      </c>
      <c r="N159" s="35">
        <v>1</v>
      </c>
      <c r="O159" s="34"/>
      <c r="P159" s="34"/>
      <c r="Q159" s="35">
        <v>1</v>
      </c>
      <c r="R159" s="34"/>
      <c r="S159" s="34"/>
      <c r="T159" s="34"/>
      <c r="U159" s="34"/>
      <c r="V159" s="34"/>
      <c r="W159" s="29"/>
      <c r="X159" s="28">
        <v>38</v>
      </c>
      <c r="Y159" s="28">
        <v>1</v>
      </c>
      <c r="Z159" s="28">
        <v>1</v>
      </c>
      <c r="AA159" s="28">
        <v>2</v>
      </c>
      <c r="AB159" s="28">
        <v>1</v>
      </c>
      <c r="AC159" s="28">
        <v>2</v>
      </c>
      <c r="AD159" s="28">
        <v>2</v>
      </c>
      <c r="AE159" s="28">
        <v>4</v>
      </c>
      <c r="AF159" s="28">
        <v>2</v>
      </c>
      <c r="AG159" s="28">
        <v>2</v>
      </c>
      <c r="AH159" s="29" t="s">
        <v>401</v>
      </c>
      <c r="AI159" s="36">
        <f>IF(OR(AND(K159&lt;32, J159&lt;2), O159=1, P159=1, Q159=1, R159=1, S159=1, T159=1, U159=1, AND(W159&lt;&gt;"", W159&lt;&gt;"Oxygen", W159&lt;&gt;"LowFlow")), "Intensive", "Intermediate")</f>
      </c>
      <c r="AJ159" s="37">
        <f>IF(OR(LEFT(AH159, 1)="X", LEFT(AH159, 1)="Y", LEFT(AH159, 3)="J27M"), "CUSM", "No Match")</f>
      </c>
      <c r="AK159" s="37">
        <f>IF(AND(OR(O159=3, P159=1, Q159=1, T159=1), AJ159="no Match"), "CUSM, CHU SJ, CHUQ", "")</f>
      </c>
      <c r="AL159" s="37">
        <f>IF(AND(O159=2, ISBLANK(P159), ISBLANK(Q159), ISBLANK(R159), ISBLANK(S159), ISBLANK(T159)), "CUSM, CHU SJ, CHUS, CHUQ", "")</f>
      </c>
      <c r="AM159" s="37">
        <f>IF(AND(AJ159="no match", AK159="", AL159="", K159&lt;26), "CUSM, CHU SJ, HGJ, CHUQ, CHUS", "")</f>
      </c>
      <c r="AN159" s="37">
        <f>IF(AND(AJ159="no match", AK159="", AL159="", K159&gt;26), "CUSM, CHU SJ, HGJ, CHUQ, CHUS, HMR", "")</f>
      </c>
    </row>
    <row x14ac:dyDescent="0.25" r="160" customHeight="1" ht="17.25">
      <c r="A160" s="27" t="s">
        <v>402</v>
      </c>
      <c r="B160" s="28">
        <v>2</v>
      </c>
      <c r="C160" s="28">
        <v>730</v>
      </c>
      <c r="D160" s="29" t="s">
        <v>81</v>
      </c>
      <c r="E160" s="30" t="s">
        <v>54</v>
      </c>
      <c r="F160" s="31">
        <v>44661</v>
      </c>
      <c r="G160" s="32">
        <v>4.719444444444445</v>
      </c>
      <c r="H160" s="31">
        <v>44657</v>
      </c>
      <c r="I160" s="32">
        <v>4.965972222222222</v>
      </c>
      <c r="J160" s="33">
        <f>F160-H160</f>
      </c>
      <c r="K160" s="28">
        <v>38</v>
      </c>
      <c r="L160" s="28">
        <v>4</v>
      </c>
      <c r="M160" s="28">
        <v>1</v>
      </c>
      <c r="N160" s="34"/>
      <c r="O160" s="34"/>
      <c r="P160" s="34"/>
      <c r="Q160" s="34"/>
      <c r="R160" s="34"/>
      <c r="S160" s="34"/>
      <c r="T160" s="34"/>
      <c r="U160" s="34"/>
      <c r="V160" s="34"/>
      <c r="W160" s="29"/>
      <c r="X160" s="28">
        <v>37</v>
      </c>
      <c r="Y160" s="28">
        <v>1</v>
      </c>
      <c r="Z160" s="28">
        <v>2</v>
      </c>
      <c r="AA160" s="28">
        <v>2</v>
      </c>
      <c r="AB160" s="28">
        <v>1</v>
      </c>
      <c r="AC160" s="28">
        <v>2</v>
      </c>
      <c r="AD160" s="28">
        <v>1</v>
      </c>
      <c r="AE160" s="28">
        <v>4</v>
      </c>
      <c r="AF160" s="28">
        <v>2</v>
      </c>
      <c r="AG160" s="28">
        <v>2</v>
      </c>
      <c r="AH160" s="29" t="s">
        <v>403</v>
      </c>
      <c r="AI160" s="36">
        <f>IF(OR(AND(K160&lt;32, J160&lt;2), O160=1, P160=1, Q160=1, R160=1, S160=1, T160=1, U160=1, AND(W160&lt;&gt;"", W160&lt;&gt;"Oxygen", W160&lt;&gt;"LowFlow")), "Intensive", "Intermediate")</f>
      </c>
      <c r="AJ160" s="37">
        <f>IF(OR(LEFT(AH160, 1)="X", LEFT(AH160, 1)="Y", LEFT(AH160, 3)="J28M"), "CUSM", "No Match")</f>
      </c>
      <c r="AK160" s="37">
        <f>IF(AND(OR(O160=3, P160=1, Q160=1, T160=1), AJ160="no Match"), "CUSM, CHU SJ, CHUQ", "")</f>
      </c>
      <c r="AL160" s="37">
        <f>IF(AND(O160=2, ISBLANK(P160), ISBLANK(Q160), ISBLANK(R160), ISBLANK(S160), ISBLANK(T160)), "CUSM, CHU SJ, CHUS, CHUQ", "")</f>
      </c>
      <c r="AM160" s="37">
        <f>IF(AND(AJ160="no match", AK160="", AL160="", K160&lt;26), "CUSM, CHU SJ, HGJ, CHUQ, CHUS", "")</f>
      </c>
      <c r="AN160" s="37">
        <f>IF(AND(AJ160="no match", AK160="", AL160="", K160&gt;26), "CUSM, CHU SJ, HGJ, CHUQ, CHUS, HMR", "")</f>
      </c>
    </row>
    <row x14ac:dyDescent="0.25" r="161" customHeight="1" ht="17.25">
      <c r="A161" s="27" t="s">
        <v>404</v>
      </c>
      <c r="B161" s="28">
        <v>2</v>
      </c>
      <c r="C161" s="28">
        <v>756</v>
      </c>
      <c r="D161" s="29" t="s">
        <v>66</v>
      </c>
      <c r="E161" s="30" t="s">
        <v>50</v>
      </c>
      <c r="F161" s="31">
        <v>44661</v>
      </c>
      <c r="G161" s="32">
        <v>4.482638888888889</v>
      </c>
      <c r="H161" s="31">
        <v>44660</v>
      </c>
      <c r="I161" s="32">
        <v>4.20625</v>
      </c>
      <c r="J161" s="33">
        <f>F161-H161</f>
      </c>
      <c r="K161" s="28">
        <v>40</v>
      </c>
      <c r="L161" s="28">
        <v>1</v>
      </c>
      <c r="M161" s="28">
        <v>1</v>
      </c>
      <c r="N161" s="34"/>
      <c r="O161" s="35">
        <v>2</v>
      </c>
      <c r="P161" s="34"/>
      <c r="Q161" s="34"/>
      <c r="R161" s="34"/>
      <c r="S161" s="34"/>
      <c r="T161" s="34"/>
      <c r="U161" s="34"/>
      <c r="V161" s="34"/>
      <c r="W161" s="29" t="s">
        <v>74</v>
      </c>
      <c r="X161" s="28">
        <v>29</v>
      </c>
      <c r="Y161" s="28">
        <v>1</v>
      </c>
      <c r="Z161" s="28">
        <v>1</v>
      </c>
      <c r="AA161" s="28">
        <v>2</v>
      </c>
      <c r="AB161" s="28">
        <v>1</v>
      </c>
      <c r="AC161" s="28">
        <v>2</v>
      </c>
      <c r="AD161" s="28">
        <v>2</v>
      </c>
      <c r="AE161" s="28">
        <v>4</v>
      </c>
      <c r="AF161" s="28">
        <v>2</v>
      </c>
      <c r="AG161" s="28">
        <v>2</v>
      </c>
      <c r="AH161" s="29" t="s">
        <v>405</v>
      </c>
      <c r="AI161" s="36">
        <f>IF(OR(AND(K161&lt;32, J161&lt;2), O161=1, P161=1, Q161=1, R161=1, S161=1, T161=1, U161=1, AND(W161&lt;&gt;"", W161&lt;&gt;"Oxygen", W161&lt;&gt;"LowFlow")), "Intensive", "Intermediate")</f>
      </c>
      <c r="AJ161" s="37">
        <f>IF(OR(LEFT(AH161, 1)="X", LEFT(AH161, 1)="Y", LEFT(AH161, 3)="J29M"), "CUSM", "No Match")</f>
      </c>
      <c r="AK161" s="37">
        <f>IF(AND(OR(O161=3, P161=1, Q161=1, T161=1), AJ161="no Match"), "CUSM, CHU SJ, CHUQ", "")</f>
      </c>
      <c r="AL161" s="37">
        <f>IF(AND(O161=2, ISBLANK(P161), ISBLANK(Q161), ISBLANK(R161), ISBLANK(S161), ISBLANK(T161)), "CUSM, CHU SJ, CHUS, CHUQ", "")</f>
      </c>
      <c r="AM161" s="37">
        <f>IF(AND(AJ161="no match", AK161="", AL161="", K161&lt;26), "CUSM, CHU SJ, HGJ, CHUQ, CHUS", "")</f>
      </c>
      <c r="AN161" s="37">
        <f>IF(AND(AJ161="no match", AK161="", AL161="", K161&gt;26), "CUSM, CHU SJ, HGJ, CHUQ, CHUS, HMR", "")</f>
      </c>
    </row>
    <row x14ac:dyDescent="0.25" r="162" customHeight="1" ht="17.25">
      <c r="A162" s="27" t="s">
        <v>406</v>
      </c>
      <c r="B162" s="28">
        <v>2</v>
      </c>
      <c r="C162" s="35">
        <v>831</v>
      </c>
      <c r="D162" s="29" t="s">
        <v>313</v>
      </c>
      <c r="E162" s="30" t="s">
        <v>50</v>
      </c>
      <c r="F162" s="31">
        <v>44661</v>
      </c>
      <c r="G162" s="32">
        <v>4.854166666666666</v>
      </c>
      <c r="H162" s="31">
        <v>44661</v>
      </c>
      <c r="I162" s="32">
        <v>4.683333333333334</v>
      </c>
      <c r="J162" s="33">
        <f>F162-H162</f>
      </c>
      <c r="K162" s="28">
        <v>37</v>
      </c>
      <c r="L162" s="28">
        <v>5</v>
      </c>
      <c r="M162" s="28">
        <v>1</v>
      </c>
      <c r="N162" s="34"/>
      <c r="O162" s="34"/>
      <c r="P162" s="34"/>
      <c r="Q162" s="34"/>
      <c r="R162" s="34"/>
      <c r="S162" s="34"/>
      <c r="T162" s="35">
        <v>1</v>
      </c>
      <c r="U162" s="34"/>
      <c r="V162" s="34"/>
      <c r="W162" s="29" t="s">
        <v>58</v>
      </c>
      <c r="X162" s="28">
        <v>34</v>
      </c>
      <c r="Y162" s="28">
        <v>1</v>
      </c>
      <c r="Z162" s="28">
        <v>2</v>
      </c>
      <c r="AA162" s="28">
        <v>3</v>
      </c>
      <c r="AB162" s="28">
        <v>1</v>
      </c>
      <c r="AC162" s="28">
        <v>2</v>
      </c>
      <c r="AD162" s="28">
        <v>2</v>
      </c>
      <c r="AE162" s="28">
        <v>4</v>
      </c>
      <c r="AF162" s="28">
        <v>2</v>
      </c>
      <c r="AG162" s="28">
        <v>2</v>
      </c>
      <c r="AH162" s="29" t="s">
        <v>407</v>
      </c>
      <c r="AI162" s="36">
        <f>IF(OR(AND(K162&lt;32, J162&lt;2), O162=1, P162=1, Q162=1, R162=1, S162=1, T162=1, U162=1, AND(W162&lt;&gt;"", W162&lt;&gt;"Oxygen", W162&lt;&gt;"LowFlow")), "Intensive", "Intermediate")</f>
      </c>
      <c r="AJ162" s="37">
        <f>IF(OR(LEFT(AH162, 1)="X", LEFT(AH162, 1)="Y", LEFT(AH162, 3)="J30M"), "CUSM", "No Match")</f>
      </c>
      <c r="AK162" s="37">
        <f>IF(AND(OR(O162=3, P162=1, Q162=1, T162=1), AJ162="no Match"), "CUSM, CHU SJ, CHUQ", "")</f>
      </c>
      <c r="AL162" s="37">
        <f>IF(AND(O162=2, ISBLANK(P162), ISBLANK(Q162), ISBLANK(R162), ISBLANK(S162), ISBLANK(T162)), "CUSM, CHU SJ, CHUS, CHUQ", "")</f>
      </c>
      <c r="AM162" s="37">
        <f>IF(AND(AJ162="no match", AK162="", AL162="", K162&lt;26), "CUSM, CHU SJ, HGJ, CHUQ, CHUS", "")</f>
      </c>
      <c r="AN162" s="37">
        <f>IF(AND(AJ162="no match", AK162="", AL162="", K162&gt;26), "CUSM, CHU SJ, HGJ, CHUQ, CHUS, HMR", "")</f>
      </c>
    </row>
    <row x14ac:dyDescent="0.25" r="163" customHeight="1" ht="17.25">
      <c r="A163" s="27" t="s">
        <v>408</v>
      </c>
      <c r="B163" s="28">
        <v>2</v>
      </c>
      <c r="C163" s="35">
        <v>740</v>
      </c>
      <c r="D163" s="29" t="s">
        <v>409</v>
      </c>
      <c r="E163" s="30" t="s">
        <v>149</v>
      </c>
      <c r="F163" s="31">
        <v>44662</v>
      </c>
      <c r="G163" s="32">
        <v>4.173611111111111</v>
      </c>
      <c r="H163" s="31">
        <v>44662</v>
      </c>
      <c r="I163" s="32">
        <v>4.1</v>
      </c>
      <c r="J163" s="33">
        <f>F163-H163</f>
      </c>
      <c r="K163" s="28">
        <v>25</v>
      </c>
      <c r="L163" s="28">
        <v>0</v>
      </c>
      <c r="M163" s="28">
        <v>2</v>
      </c>
      <c r="N163" s="34"/>
      <c r="O163" s="34"/>
      <c r="P163" s="34"/>
      <c r="Q163" s="34"/>
      <c r="R163" s="34"/>
      <c r="S163" s="34"/>
      <c r="T163" s="34"/>
      <c r="U163" s="34"/>
      <c r="V163" s="35">
        <v>1</v>
      </c>
      <c r="W163" s="29" t="s">
        <v>74</v>
      </c>
      <c r="X163" s="28">
        <v>37</v>
      </c>
      <c r="Y163" s="28">
        <v>1</v>
      </c>
      <c r="Z163" s="28">
        <v>1</v>
      </c>
      <c r="AA163" s="28">
        <v>3</v>
      </c>
      <c r="AB163" s="28">
        <v>1</v>
      </c>
      <c r="AC163" s="28">
        <v>2</v>
      </c>
      <c r="AD163" s="28">
        <v>1</v>
      </c>
      <c r="AE163" s="28">
        <v>2</v>
      </c>
      <c r="AF163" s="28">
        <v>2</v>
      </c>
      <c r="AG163" s="28">
        <v>2</v>
      </c>
      <c r="AH163" s="29" t="s">
        <v>410</v>
      </c>
      <c r="AI163" s="36">
        <f>IF(OR(AND(K163&lt;32, J163&lt;2), O163=1, P163=1, Q163=1, R163=1, S163=1, T163=1, U163=1, AND(W163&lt;&gt;"", W163&lt;&gt;"Oxygen", W163&lt;&gt;"LowFlow")), "Intensive", "Intermediate")</f>
      </c>
      <c r="AJ163" s="37">
        <f>IF(OR(LEFT(AH163, 1)="X", LEFT(AH163, 1)="Y", LEFT(AH163, 3)="J31M"), "CUSM", "No Match")</f>
      </c>
      <c r="AK163" s="37">
        <f>IF(AND(OR(O163=3, P163=1, Q163=1, T163=1), AJ163="no Match"), "CUSM, CHU SJ, CHUQ", "")</f>
      </c>
      <c r="AL163" s="37">
        <f>IF(AND(O163=2, ISBLANK(P163), ISBLANK(Q163), ISBLANK(R163), ISBLANK(S163), ISBLANK(T163)), "CUSM, CHU SJ, CHUS, CHUQ", "")</f>
      </c>
      <c r="AM163" s="37">
        <f>IF(AND(AJ163="no match", AK163="", AL163="", K163&lt;26), "CUSM, CHU SJ, HGJ, CHUQ, CHUS", "")</f>
      </c>
      <c r="AN163" s="37">
        <f>IF(AND(AJ163="no match", AK163="", AL163="", K163&gt;26), "CUSM, CHU SJ, HGJ, CHUQ, CHUS, HMR", "")</f>
      </c>
    </row>
    <row x14ac:dyDescent="0.25" r="164" customHeight="1" ht="17.25">
      <c r="A164" s="27" t="s">
        <v>411</v>
      </c>
      <c r="B164" s="28">
        <v>2</v>
      </c>
      <c r="C164" s="35">
        <v>835</v>
      </c>
      <c r="D164" s="29" t="s">
        <v>170</v>
      </c>
      <c r="E164" s="30" t="s">
        <v>54</v>
      </c>
      <c r="F164" s="31">
        <v>44662</v>
      </c>
      <c r="G164" s="32">
        <v>4.584027777777777</v>
      </c>
      <c r="H164" s="31">
        <v>44662</v>
      </c>
      <c r="I164" s="32">
        <v>4.3625</v>
      </c>
      <c r="J164" s="33">
        <f>F164-H164</f>
      </c>
      <c r="K164" s="28">
        <v>40</v>
      </c>
      <c r="L164" s="28">
        <v>2</v>
      </c>
      <c r="M164" s="28">
        <v>2</v>
      </c>
      <c r="N164" s="35">
        <v>1</v>
      </c>
      <c r="O164" s="34"/>
      <c r="P164" s="35">
        <v>1</v>
      </c>
      <c r="Q164" s="34"/>
      <c r="R164" s="34"/>
      <c r="S164" s="34"/>
      <c r="T164" s="34"/>
      <c r="U164" s="34"/>
      <c r="V164" s="34"/>
      <c r="W164" s="29" t="s">
        <v>164</v>
      </c>
      <c r="X164" s="28">
        <v>29</v>
      </c>
      <c r="Y164" s="28">
        <v>1</v>
      </c>
      <c r="Z164" s="28">
        <v>2</v>
      </c>
      <c r="AA164" s="28">
        <v>2</v>
      </c>
      <c r="AB164" s="28">
        <v>1</v>
      </c>
      <c r="AC164" s="28">
        <v>2</v>
      </c>
      <c r="AD164" s="28">
        <v>2</v>
      </c>
      <c r="AE164" s="28">
        <v>4</v>
      </c>
      <c r="AF164" s="28">
        <v>2</v>
      </c>
      <c r="AG164" s="28">
        <v>2</v>
      </c>
      <c r="AH164" s="29" t="s">
        <v>412</v>
      </c>
      <c r="AI164" s="36">
        <f>IF(OR(AND(K164&lt;32, J164&lt;2), O164=1, P164=1, Q164=1, R164=1, S164=1, T164=1, U164=1, AND(W164&lt;&gt;"", W164&lt;&gt;"Oxygen", W164&lt;&gt;"LowFlow")), "Intensive", "Intermediate")</f>
      </c>
      <c r="AJ164" s="37">
        <f>IF(OR(LEFT(AH164, 1)="X", LEFT(AH164, 1)="Y", LEFT(AH164, 3)="J32M"), "CUSM", "No Match")</f>
      </c>
      <c r="AK164" s="37">
        <f>IF(AND(OR(O164=3, P164=1, Q164=1, T164=1), AJ164="no Match"), "CUSM, CHU SJ, CHUQ", "")</f>
      </c>
      <c r="AL164" s="37">
        <f>IF(AND(O164=2, ISBLANK(P164), ISBLANK(Q164), ISBLANK(R164), ISBLANK(S164), ISBLANK(T164)), "CUSM, CHU SJ, CHUS, CHUQ", "")</f>
      </c>
      <c r="AM164" s="37">
        <f>IF(AND(AJ164="no match", AK164="", AL164="", K164&lt;26), "CUSM, CHU SJ, HGJ, CHUQ, CHUS", "")</f>
      </c>
      <c r="AN164" s="37">
        <f>IF(AND(AJ164="no match", AK164="", AL164="", K164&gt;26), "CUSM, CHU SJ, HGJ, CHUQ, CHUS, HMR", "")</f>
      </c>
    </row>
    <row x14ac:dyDescent="0.25" r="165" customHeight="1" ht="17.25">
      <c r="A165" s="27" t="s">
        <v>413</v>
      </c>
      <c r="B165" s="28">
        <v>2</v>
      </c>
      <c r="C165" s="28">
        <v>1019</v>
      </c>
      <c r="D165" s="29" t="s">
        <v>354</v>
      </c>
      <c r="E165" s="30" t="s">
        <v>54</v>
      </c>
      <c r="F165" s="31">
        <v>44662</v>
      </c>
      <c r="G165" s="32">
        <v>4.583333333333334</v>
      </c>
      <c r="H165" s="31">
        <v>44656</v>
      </c>
      <c r="I165" s="32">
        <v>4.398611111111111</v>
      </c>
      <c r="J165" s="33">
        <f>F165-H165</f>
      </c>
      <c r="K165" s="28">
        <v>37</v>
      </c>
      <c r="L165" s="28">
        <v>6</v>
      </c>
      <c r="M165" s="28">
        <v>2</v>
      </c>
      <c r="N165" s="28">
        <v>1</v>
      </c>
      <c r="O165" s="34"/>
      <c r="P165" s="34"/>
      <c r="Q165" s="34"/>
      <c r="R165" s="34"/>
      <c r="S165" s="34"/>
      <c r="T165" s="34"/>
      <c r="U165" s="34"/>
      <c r="V165" s="34"/>
      <c r="W165" s="29"/>
      <c r="X165" s="28">
        <v>37</v>
      </c>
      <c r="Y165" s="28">
        <v>1</v>
      </c>
      <c r="Z165" s="28">
        <v>2</v>
      </c>
      <c r="AA165" s="28">
        <v>2</v>
      </c>
      <c r="AB165" s="28">
        <v>1</v>
      </c>
      <c r="AC165" s="28">
        <v>2</v>
      </c>
      <c r="AD165" s="28">
        <v>1</v>
      </c>
      <c r="AE165" s="28">
        <v>3</v>
      </c>
      <c r="AF165" s="28">
        <v>2</v>
      </c>
      <c r="AG165" s="28">
        <v>2</v>
      </c>
      <c r="AH165" s="29" t="s">
        <v>414</v>
      </c>
      <c r="AI165" s="36">
        <f>IF(OR(AND(K165&lt;32, J165&lt;2), O165=1, P165=1, Q165=1, R165=1, S165=1, T165=1, U165=1, AND(W165&lt;&gt;"", W165&lt;&gt;"Oxygen", W165&lt;&gt;"LowFlow")), "Intensive", "Intermediate")</f>
      </c>
      <c r="AJ165" s="37">
        <f>IF(OR(LEFT(AH165, 1)="X", LEFT(AH165, 1)="Y", LEFT(AH165, 3)="J33M"), "CUSM", "No Match")</f>
      </c>
      <c r="AK165" s="37">
        <f>IF(AND(OR(O165=3, P165=1, Q165=1, T165=1), AJ165="no Match"), "CUSM, CHU SJ, CHUQ", "")</f>
      </c>
      <c r="AL165" s="37">
        <f>IF(AND(O165=2, ISBLANK(P165), ISBLANK(Q165), ISBLANK(R165), ISBLANK(S165), ISBLANK(T165)), "CUSM, CHU SJ, CHUS, CHUQ", "")</f>
      </c>
      <c r="AM165" s="37">
        <f>IF(AND(AJ165="no match", AK165="", AL165="", K165&lt;26), "CUSM, CHU SJ, HGJ, CHUQ, CHUS", "")</f>
      </c>
      <c r="AN165" s="37">
        <f>IF(AND(AJ165="no match", AK165="", AL165="", K165&gt;26), "CUSM, CHU SJ, HGJ, CHUQ, CHUS, HMR", "")</f>
      </c>
    </row>
    <row x14ac:dyDescent="0.25" r="166" customHeight="1" ht="17.25">
      <c r="A166" s="27" t="s">
        <v>415</v>
      </c>
      <c r="B166" s="28">
        <v>2</v>
      </c>
      <c r="C166" s="28">
        <v>564</v>
      </c>
      <c r="D166" s="29" t="s">
        <v>153</v>
      </c>
      <c r="E166" s="30" t="s">
        <v>54</v>
      </c>
      <c r="F166" s="31">
        <v>44663</v>
      </c>
      <c r="G166" s="32">
        <v>4.772222222222222</v>
      </c>
      <c r="H166" s="31">
        <v>44662</v>
      </c>
      <c r="I166" s="32">
        <v>4.683333333333334</v>
      </c>
      <c r="J166" s="33">
        <f>F166-H166</f>
      </c>
      <c r="K166" s="28">
        <v>38</v>
      </c>
      <c r="L166" s="28">
        <v>1</v>
      </c>
      <c r="M166" s="28">
        <v>2</v>
      </c>
      <c r="N166" s="28">
        <v>1</v>
      </c>
      <c r="O166" s="28">
        <v>2</v>
      </c>
      <c r="P166" s="28">
        <v>1</v>
      </c>
      <c r="Q166" s="38"/>
      <c r="R166" s="34"/>
      <c r="S166" s="34"/>
      <c r="T166" s="34"/>
      <c r="U166" s="34"/>
      <c r="V166" s="34"/>
      <c r="W166" s="29"/>
      <c r="X166" s="28">
        <v>30</v>
      </c>
      <c r="Y166" s="28">
        <v>1</v>
      </c>
      <c r="Z166" s="28">
        <v>1</v>
      </c>
      <c r="AA166" s="28">
        <v>3</v>
      </c>
      <c r="AB166" s="28">
        <v>1</v>
      </c>
      <c r="AC166" s="28">
        <v>2</v>
      </c>
      <c r="AD166" s="28">
        <v>1</v>
      </c>
      <c r="AE166" s="28">
        <v>4</v>
      </c>
      <c r="AF166" s="28">
        <v>3</v>
      </c>
      <c r="AG166" s="28">
        <v>2</v>
      </c>
      <c r="AH166" s="29" t="s">
        <v>416</v>
      </c>
      <c r="AI166" s="36">
        <f>IF(OR(AND(K166&lt;32, J166&lt;2), O166=1, P166=1, Q166=1, R166=1, S166=1, T166=1, U166=1, AND(W166&lt;&gt;"", W166&lt;&gt;"Oxygen", W166&lt;&gt;"LowFlow")), "Intensive", "Intermediate")</f>
      </c>
      <c r="AJ166" s="37">
        <f>IF(OR(LEFT(AH166, 1)="X", LEFT(AH166, 1)="Y", LEFT(AH166, 3)="J34M"), "CUSM", "No Match")</f>
      </c>
      <c r="AK166" s="37">
        <f>IF(AND(OR(O166=3, P166=1, Q166=1, T166=1), AJ166="no Match"), "CUSM, CHU SJ, CHUQ", "")</f>
      </c>
      <c r="AL166" s="37">
        <f>IF(AND(O166=2, ISBLANK(P166), ISBLANK(Q166), ISBLANK(R166), ISBLANK(S166), ISBLANK(T166)), "CUSM, CHU SJ, CHUS, CHUQ", "")</f>
      </c>
      <c r="AM166" s="37">
        <f>IF(AND(AJ166="no match", AK166="", AL166="", K166&lt;26), "CUSM, CHU SJ, HGJ, CHUQ, CHUS", "")</f>
      </c>
      <c r="AN166" s="37">
        <f>IF(AND(AJ166="no match", AK166="", AL166="", K166&gt;26), "CUSM, CHU SJ, HGJ, CHUQ, CHUS, HMR", "")</f>
      </c>
    </row>
    <row x14ac:dyDescent="0.25" r="167" customHeight="1" ht="17.25">
      <c r="A167" s="27" t="s">
        <v>417</v>
      </c>
      <c r="B167" s="28">
        <v>2</v>
      </c>
      <c r="C167" s="35">
        <v>796</v>
      </c>
      <c r="D167" s="29" t="s">
        <v>63</v>
      </c>
      <c r="E167" s="30" t="s">
        <v>50</v>
      </c>
      <c r="F167" s="31">
        <v>44663</v>
      </c>
      <c r="G167" s="32">
        <v>4.211805555555555</v>
      </c>
      <c r="H167" s="31">
        <v>44663</v>
      </c>
      <c r="I167" s="32">
        <v>4.0055555555555555</v>
      </c>
      <c r="J167" s="33">
        <f>F167-H167</f>
      </c>
      <c r="K167" s="28">
        <v>32</v>
      </c>
      <c r="L167" s="28">
        <v>2</v>
      </c>
      <c r="M167" s="28">
        <v>2</v>
      </c>
      <c r="N167" s="34"/>
      <c r="O167" s="34"/>
      <c r="P167" s="34"/>
      <c r="Q167" s="34"/>
      <c r="R167" s="34"/>
      <c r="S167" s="34"/>
      <c r="T167" s="35">
        <v>1</v>
      </c>
      <c r="U167" s="35">
        <v>1</v>
      </c>
      <c r="V167" s="35">
        <v>1</v>
      </c>
      <c r="W167" s="29" t="s">
        <v>70</v>
      </c>
      <c r="X167" s="28">
        <v>27</v>
      </c>
      <c r="Y167" s="28">
        <v>1</v>
      </c>
      <c r="Z167" s="28">
        <v>2</v>
      </c>
      <c r="AA167" s="28">
        <v>3</v>
      </c>
      <c r="AB167" s="28">
        <v>4</v>
      </c>
      <c r="AC167" s="28">
        <v>2</v>
      </c>
      <c r="AD167" s="28">
        <v>2</v>
      </c>
      <c r="AE167" s="28">
        <v>4</v>
      </c>
      <c r="AF167" s="28">
        <v>3</v>
      </c>
      <c r="AG167" s="28">
        <v>2</v>
      </c>
      <c r="AH167" s="29" t="s">
        <v>418</v>
      </c>
      <c r="AI167" s="36">
        <f>IF(OR(AND(K167&lt;32, J167&lt;2), O167=1, P167=1, Q167=1, R167=1, S167=1, T167=1, U167=1, AND(W167&lt;&gt;"", W167&lt;&gt;"Oxygen", W167&lt;&gt;"LowFlow")), "Intensive", "Intermediate")</f>
      </c>
      <c r="AJ167" s="37">
        <f>IF(OR(LEFT(AH167, 1)="X", LEFT(AH167, 1)="Y", LEFT(AH167, 3)="J35M"), "CUSM", "No Match")</f>
      </c>
      <c r="AK167" s="37">
        <f>IF(AND(OR(O167=3, P167=1, Q167=1, T167=1), AJ167="no Match"), "CUSM, CHU SJ, CHUQ", "")</f>
      </c>
      <c r="AL167" s="37">
        <f>IF(AND(O167=2, ISBLANK(P167), ISBLANK(Q167), ISBLANK(R167), ISBLANK(S167), ISBLANK(T167)), "CUSM, CHU SJ, CHUS, CHUQ", "")</f>
      </c>
      <c r="AM167" s="37">
        <f>IF(AND(AJ167="no match", AK167="", AL167="", K167&lt;26), "CUSM, CHU SJ, HGJ, CHUQ, CHUS", "")</f>
      </c>
      <c r="AN167" s="37">
        <f>IF(AND(AJ167="no match", AK167="", AL167="", K167&gt;26), "CUSM, CHU SJ, HGJ, CHUQ, CHUS, HMR", "")</f>
      </c>
    </row>
    <row x14ac:dyDescent="0.25" r="168" customHeight="1" ht="17.25">
      <c r="A168" s="27" t="s">
        <v>419</v>
      </c>
      <c r="B168" s="28">
        <v>2</v>
      </c>
      <c r="C168" s="28">
        <v>839</v>
      </c>
      <c r="D168" s="29" t="s">
        <v>53</v>
      </c>
      <c r="E168" s="30" t="s">
        <v>54</v>
      </c>
      <c r="F168" s="31">
        <v>44664</v>
      </c>
      <c r="G168" s="32">
        <v>4.71875</v>
      </c>
      <c r="H168" s="31">
        <v>44663</v>
      </c>
      <c r="I168" s="32">
        <v>4.0680555555555555</v>
      </c>
      <c r="J168" s="33">
        <f>F168-H168</f>
      </c>
      <c r="K168" s="28">
        <v>40</v>
      </c>
      <c r="L168" s="28">
        <v>3</v>
      </c>
      <c r="M168" s="28">
        <v>2</v>
      </c>
      <c r="N168" s="34"/>
      <c r="O168" s="34"/>
      <c r="P168" s="34"/>
      <c r="Q168" s="34"/>
      <c r="R168" s="34"/>
      <c r="S168" s="34"/>
      <c r="T168" s="34"/>
      <c r="U168" s="34"/>
      <c r="V168" s="34"/>
      <c r="W168" s="29" t="s">
        <v>74</v>
      </c>
      <c r="X168" s="28">
        <v>37</v>
      </c>
      <c r="Y168" s="28">
        <v>1</v>
      </c>
      <c r="Z168" s="28">
        <v>1</v>
      </c>
      <c r="AA168" s="28">
        <v>2</v>
      </c>
      <c r="AB168" s="28">
        <v>1</v>
      </c>
      <c r="AC168" s="28">
        <v>2</v>
      </c>
      <c r="AD168" s="28">
        <v>3</v>
      </c>
      <c r="AE168" s="28">
        <v>4</v>
      </c>
      <c r="AF168" s="35">
        <v>2</v>
      </c>
      <c r="AG168" s="28">
        <v>2</v>
      </c>
      <c r="AH168" s="29" t="s">
        <v>420</v>
      </c>
      <c r="AI168" s="36">
        <f>IF(OR(AND(K168&lt;32, J168&lt;2), O168=1, P168=1, Q168=1, R168=1, S168=1, T168=1, U168=1, AND(W168&lt;&gt;"", W168&lt;&gt;"Oxygen", W168&lt;&gt;"LowFlow")), "Intensive", "Intermediate")</f>
      </c>
      <c r="AJ168" s="37">
        <f>IF(OR(LEFT(AH168, 1)="X", LEFT(AH168, 1)="Y", LEFT(AH168, 3)="J36M"), "CUSM", "No Match")</f>
      </c>
      <c r="AK168" s="37">
        <f>IF(AND(OR(O168=3, P168=1, Q168=1, T168=1), AJ168="no Match"), "CUSM, CHU SJ, CHUQ", "")</f>
      </c>
      <c r="AL168" s="37">
        <f>IF(AND(O168=2, ISBLANK(P168), ISBLANK(Q168), ISBLANK(R168), ISBLANK(S168), ISBLANK(T168)), "CUSM, CHU SJ, CHUS, CHUQ", "")</f>
      </c>
      <c r="AM168" s="37">
        <f>IF(AND(AJ168="no match", AK168="", AL168="", K168&lt;26), "CUSM, CHU SJ, HGJ, CHUQ, CHUS", "")</f>
      </c>
      <c r="AN168" s="37">
        <f>IF(AND(AJ168="no match", AK168="", AL168="", K168&gt;26), "CUSM, CHU SJ, HGJ, CHUQ, CHUS, HMR", "")</f>
      </c>
    </row>
    <row x14ac:dyDescent="0.25" r="169" customHeight="1" ht="17.25">
      <c r="A169" s="27" t="s">
        <v>421</v>
      </c>
      <c r="B169" s="28">
        <v>2</v>
      </c>
      <c r="C169" s="28">
        <v>779</v>
      </c>
      <c r="D169" s="29" t="s">
        <v>136</v>
      </c>
      <c r="E169" s="30" t="s">
        <v>54</v>
      </c>
      <c r="F169" s="31">
        <v>44664</v>
      </c>
      <c r="G169" s="32">
        <v>4.413194444444445</v>
      </c>
      <c r="H169" s="31">
        <v>44664</v>
      </c>
      <c r="I169" s="32">
        <v>4.276388888888889</v>
      </c>
      <c r="J169" s="33">
        <f>F169-H169</f>
      </c>
      <c r="K169" s="28">
        <v>41</v>
      </c>
      <c r="L169" s="28">
        <v>0</v>
      </c>
      <c r="M169" s="28">
        <v>2</v>
      </c>
      <c r="N169" s="28">
        <v>1</v>
      </c>
      <c r="O169" s="34"/>
      <c r="P169" s="28">
        <v>1</v>
      </c>
      <c r="Q169" s="34"/>
      <c r="R169" s="34"/>
      <c r="S169" s="34"/>
      <c r="T169" s="35">
        <v>1</v>
      </c>
      <c r="U169" s="35">
        <v>1</v>
      </c>
      <c r="V169" s="35">
        <v>1</v>
      </c>
      <c r="W169" s="29" t="s">
        <v>70</v>
      </c>
      <c r="X169" s="28">
        <v>35</v>
      </c>
      <c r="Y169" s="28">
        <v>1</v>
      </c>
      <c r="Z169" s="28">
        <v>2</v>
      </c>
      <c r="AA169" s="28">
        <v>1</v>
      </c>
      <c r="AB169" s="28">
        <v>1</v>
      </c>
      <c r="AC169" s="28">
        <v>2</v>
      </c>
      <c r="AD169" s="28">
        <v>2</v>
      </c>
      <c r="AE169" s="28">
        <v>4</v>
      </c>
      <c r="AF169" s="28">
        <v>2</v>
      </c>
      <c r="AG169" s="28">
        <v>2</v>
      </c>
      <c r="AH169" s="29" t="s">
        <v>422</v>
      </c>
      <c r="AI169" s="36">
        <f>IF(OR(AND(K169&lt;32, J169&lt;2), O169=1, P169=1, Q169=1, R169=1, S169=1, T169=1, U169=1, AND(W169&lt;&gt;"", W169&lt;&gt;"Oxygen", W169&lt;&gt;"LowFlow")), "Intensive", "Intermediate")</f>
      </c>
      <c r="AJ169" s="37">
        <f>IF(OR(LEFT(AH169, 1)="X", LEFT(AH169, 1)="Y", LEFT(AH169, 3)="J37M"), "CUSM", "No Match")</f>
      </c>
      <c r="AK169" s="37">
        <f>IF(AND(OR(O169=3, P169=1, Q169=1, T169=1), AJ169="no Match"), "CUSM, CHU SJ, CHUQ", "")</f>
      </c>
      <c r="AL169" s="37">
        <f>IF(AND(O169=2, ISBLANK(P169), ISBLANK(Q169), ISBLANK(R169), ISBLANK(S169), ISBLANK(T169)), "CUSM, CHU SJ, CHUS, CHUQ", "")</f>
      </c>
      <c r="AM169" s="37">
        <f>IF(AND(AJ169="no match", AK169="", AL169="", K169&lt;26), "CUSM, CHU SJ, HGJ, CHUQ, CHUS", "")</f>
      </c>
      <c r="AN169" s="37">
        <f>IF(AND(AJ169="no match", AK169="", AL169="", K169&gt;26), "CUSM, CHU SJ, HGJ, CHUQ, CHUS, HMR", "")</f>
      </c>
    </row>
    <row x14ac:dyDescent="0.25" r="170" customHeight="1" ht="17.25">
      <c r="A170" s="27" t="s">
        <v>423</v>
      </c>
      <c r="B170" s="28">
        <v>2</v>
      </c>
      <c r="C170" s="28">
        <v>779</v>
      </c>
      <c r="D170" s="29" t="s">
        <v>136</v>
      </c>
      <c r="E170" s="30" t="s">
        <v>78</v>
      </c>
      <c r="F170" s="31">
        <v>44664</v>
      </c>
      <c r="G170" s="32">
        <v>4.034722222222222</v>
      </c>
      <c r="H170" s="31">
        <v>44663</v>
      </c>
      <c r="I170" s="32">
        <v>4.715972222222222</v>
      </c>
      <c r="J170" s="33">
        <f>F170-H170</f>
      </c>
      <c r="K170" s="28">
        <v>37</v>
      </c>
      <c r="L170" s="28">
        <v>2</v>
      </c>
      <c r="M170" s="28">
        <v>1</v>
      </c>
      <c r="N170" s="38"/>
      <c r="O170" s="34"/>
      <c r="P170" s="38"/>
      <c r="Q170" s="34"/>
      <c r="R170" s="34"/>
      <c r="S170" s="34"/>
      <c r="T170" s="34"/>
      <c r="U170" s="34"/>
      <c r="V170" s="34"/>
      <c r="W170" s="29" t="s">
        <v>58</v>
      </c>
      <c r="X170" s="28">
        <v>26</v>
      </c>
      <c r="Y170" s="28">
        <v>1</v>
      </c>
      <c r="Z170" s="28">
        <v>2</v>
      </c>
      <c r="AA170" s="28">
        <v>1</v>
      </c>
      <c r="AB170" s="28">
        <v>3</v>
      </c>
      <c r="AC170" s="28">
        <v>2</v>
      </c>
      <c r="AD170" s="28">
        <v>1</v>
      </c>
      <c r="AE170" s="28">
        <v>4</v>
      </c>
      <c r="AF170" s="28">
        <v>3</v>
      </c>
      <c r="AG170" s="28">
        <v>2</v>
      </c>
      <c r="AH170" s="29" t="s">
        <v>424</v>
      </c>
      <c r="AI170" s="36">
        <f>IF(OR(AND(K170&lt;32, J170&lt;2), O170=1, P170=1, Q170=1, R170=1, S170=1, T170=1, U170=1, AND(W170&lt;&gt;"", W170&lt;&gt;"Oxygen", W170&lt;&gt;"LowFlow")), "Intensive", "Intermediate")</f>
      </c>
      <c r="AJ170" s="37">
        <f>IF(OR(LEFT(AH170, 1)="X", LEFT(AH170, 1)="Y", LEFT(AH170, 3)="J38M"), "CUSM", "No Match")</f>
      </c>
      <c r="AK170" s="37">
        <f>IF(AND(OR(O170=3, P170=1, Q170=1, T170=1), AJ170="no Match"), "CUSM, CHU SJ, CHUQ", "")</f>
      </c>
      <c r="AL170" s="37">
        <f>IF(AND(O170=2, ISBLANK(P170), ISBLANK(Q170), ISBLANK(R170), ISBLANK(S170), ISBLANK(T170)), "CUSM, CHU SJ, CHUS, CHUQ", "")</f>
      </c>
      <c r="AM170" s="37">
        <f>IF(AND(AJ170="no match", AK170="", AL170="", K170&lt;26), "CUSM, CHU SJ, HGJ, CHUQ, CHUS", "")</f>
      </c>
      <c r="AN170" s="37">
        <f>IF(AND(AJ170="no match", AK170="", AL170="", K170&gt;26), "CUSM, CHU SJ, HGJ, CHUQ, CHUS, HMR", "")</f>
      </c>
    </row>
    <row x14ac:dyDescent="0.25" r="171" customHeight="1" ht="17.25">
      <c r="A171" s="27" t="s">
        <v>425</v>
      </c>
      <c r="B171" s="28">
        <v>2</v>
      </c>
      <c r="C171" s="35">
        <v>779</v>
      </c>
      <c r="D171" s="29" t="s">
        <v>136</v>
      </c>
      <c r="E171" s="30" t="s">
        <v>78</v>
      </c>
      <c r="F171" s="31">
        <v>44664</v>
      </c>
      <c r="G171" s="32">
        <v>4.385416666666666</v>
      </c>
      <c r="H171" s="31">
        <v>44664</v>
      </c>
      <c r="I171" s="32">
        <v>4.2340277777777775</v>
      </c>
      <c r="J171" s="33">
        <f>F171-H171</f>
      </c>
      <c r="K171" s="28">
        <v>30</v>
      </c>
      <c r="L171" s="28">
        <v>0</v>
      </c>
      <c r="M171" s="28">
        <v>1</v>
      </c>
      <c r="N171" s="34"/>
      <c r="O171" s="34"/>
      <c r="P171" s="34"/>
      <c r="Q171" s="34"/>
      <c r="R171" s="34"/>
      <c r="S171" s="34"/>
      <c r="T171" s="34"/>
      <c r="U171" s="34"/>
      <c r="V171" s="34"/>
      <c r="W171" s="29" t="s">
        <v>74</v>
      </c>
      <c r="X171" s="28">
        <v>37</v>
      </c>
      <c r="Y171" s="28">
        <v>1</v>
      </c>
      <c r="Z171" s="28">
        <v>1</v>
      </c>
      <c r="AA171" s="28">
        <v>3</v>
      </c>
      <c r="AB171" s="28">
        <v>4</v>
      </c>
      <c r="AC171" s="28">
        <v>3</v>
      </c>
      <c r="AD171" s="28">
        <v>3</v>
      </c>
      <c r="AE171" s="28">
        <v>4</v>
      </c>
      <c r="AF171" s="28">
        <v>3</v>
      </c>
      <c r="AG171" s="28">
        <v>2</v>
      </c>
      <c r="AH171" s="29" t="s">
        <v>426</v>
      </c>
      <c r="AI171" s="36">
        <f>IF(OR(AND(K171&lt;32, J171&lt;2), O171=1, P171=1, Q171=1, R171=1, S171=1, T171=1, U171=1, AND(W171&lt;&gt;"", W171&lt;&gt;"Oxygen", W171&lt;&gt;"LowFlow")), "Intensive", "Intermediate")</f>
      </c>
      <c r="AJ171" s="37">
        <f>IF(OR(LEFT(AH171, 1)="X", LEFT(AH171, 1)="Y", LEFT(AH171, 3)="J39M"), "CUSM", "No Match")</f>
      </c>
      <c r="AK171" s="37">
        <f>IF(AND(OR(O171=3, P171=1, Q171=1, T171=1), AJ171="no Match"), "CUSM, CHU SJ, CHUQ", "")</f>
      </c>
      <c r="AL171" s="37">
        <f>IF(AND(O171=2, ISBLANK(P171), ISBLANK(Q171), ISBLANK(R171), ISBLANK(S171), ISBLANK(T171)), "CUSM, CHU SJ, CHUS, CHUQ", "")</f>
      </c>
      <c r="AM171" s="37">
        <f>IF(AND(AJ171="no match", AK171="", AL171="", K171&lt;26), "CUSM, CHU SJ, HGJ, CHUQ, CHUS", "")</f>
      </c>
      <c r="AN171" s="37">
        <f>IF(AND(AJ171="no match", AK171="", AL171="", K171&gt;26), "CUSM, CHU SJ, HGJ, CHUQ, CHUS, HMR", "")</f>
      </c>
    </row>
    <row x14ac:dyDescent="0.25" r="172" customHeight="1" ht="17.25">
      <c r="A172" s="27" t="s">
        <v>427</v>
      </c>
      <c r="B172" s="28">
        <v>2</v>
      </c>
      <c r="C172" s="28">
        <v>779</v>
      </c>
      <c r="D172" s="29" t="s">
        <v>136</v>
      </c>
      <c r="E172" s="30" t="s">
        <v>78</v>
      </c>
      <c r="F172" s="31">
        <v>44664</v>
      </c>
      <c r="G172" s="32">
        <v>4.836805555555555</v>
      </c>
      <c r="H172" s="31">
        <v>44663</v>
      </c>
      <c r="I172" s="32">
        <v>4.163194444444445</v>
      </c>
      <c r="J172" s="33">
        <f>F172-H172</f>
      </c>
      <c r="K172" s="28">
        <v>35</v>
      </c>
      <c r="L172" s="28">
        <v>0</v>
      </c>
      <c r="M172" s="28">
        <v>2</v>
      </c>
      <c r="N172" s="34"/>
      <c r="O172" s="34"/>
      <c r="P172" s="34"/>
      <c r="Q172" s="34"/>
      <c r="R172" s="34"/>
      <c r="S172" s="34"/>
      <c r="T172" s="34"/>
      <c r="U172" s="34"/>
      <c r="V172" s="38"/>
      <c r="W172" s="29" t="s">
        <v>58</v>
      </c>
      <c r="X172" s="28">
        <v>28</v>
      </c>
      <c r="Y172" s="28">
        <v>2</v>
      </c>
      <c r="Z172" s="28">
        <v>1</v>
      </c>
      <c r="AA172" s="28">
        <v>2</v>
      </c>
      <c r="AB172" s="28">
        <v>1</v>
      </c>
      <c r="AC172" s="28">
        <v>1</v>
      </c>
      <c r="AD172" s="28">
        <v>2</v>
      </c>
      <c r="AE172" s="28">
        <v>4</v>
      </c>
      <c r="AF172" s="28">
        <v>3</v>
      </c>
      <c r="AG172" s="28">
        <v>2</v>
      </c>
      <c r="AH172" s="29" t="s">
        <v>428</v>
      </c>
      <c r="AI172" s="36">
        <f>IF(OR(AND(K172&lt;32, J172&lt;2), O172=1, P172=1, Q172=1, R172=1, S172=1, T172=1, U172=1, AND(W172&lt;&gt;"", W172&lt;&gt;"Oxygen", W172&lt;&gt;"LowFlow")), "Intensive", "Intermediate")</f>
      </c>
      <c r="AJ172" s="37">
        <f>IF(OR(LEFT(AH172, 1)="X", LEFT(AH172, 1)="Y", LEFT(AH172, 3)="J40M"), "CUSM", "No Match")</f>
      </c>
      <c r="AK172" s="37">
        <f>IF(AND(OR(O172=3, P172=1, Q172=1, T172=1), AJ172="no Match"), "CUSM, CHU SJ, CHUQ", "")</f>
      </c>
      <c r="AL172" s="37">
        <f>IF(AND(O172=2, ISBLANK(P172), ISBLANK(Q172), ISBLANK(R172), ISBLANK(S172), ISBLANK(T172)), "CUSM, CHU SJ, CHUS, CHUQ", "")</f>
      </c>
      <c r="AM172" s="37">
        <f>IF(AND(AJ172="no match", AK172="", AL172="", K172&lt;26), "CUSM, CHU SJ, HGJ, CHUQ, CHUS", "")</f>
      </c>
      <c r="AN172" s="37">
        <f>IF(AND(AJ172="no match", AK172="", AL172="", K172&gt;26), "CUSM, CHU SJ, HGJ, CHUQ, CHUS, HMR", "")</f>
      </c>
    </row>
    <row x14ac:dyDescent="0.25" r="173" customHeight="1" ht="17.25">
      <c r="A173" s="27" t="s">
        <v>429</v>
      </c>
      <c r="B173" s="28">
        <v>2</v>
      </c>
      <c r="C173" s="35">
        <v>779</v>
      </c>
      <c r="D173" s="29" t="s">
        <v>136</v>
      </c>
      <c r="E173" s="30" t="s">
        <v>78</v>
      </c>
      <c r="F173" s="31">
        <v>44664</v>
      </c>
      <c r="G173" s="32">
        <v>4.833333333333334</v>
      </c>
      <c r="H173" s="31">
        <v>44663</v>
      </c>
      <c r="I173" s="32">
        <v>4.173611111111111</v>
      </c>
      <c r="J173" s="33">
        <f>F173-H173</f>
      </c>
      <c r="K173" s="28">
        <v>35</v>
      </c>
      <c r="L173" s="28">
        <v>0</v>
      </c>
      <c r="M173" s="28">
        <v>2</v>
      </c>
      <c r="N173" s="34"/>
      <c r="O173" s="34"/>
      <c r="P173" s="34"/>
      <c r="Q173" s="34"/>
      <c r="R173" s="34"/>
      <c r="S173" s="34"/>
      <c r="T173" s="34"/>
      <c r="U173" s="34"/>
      <c r="V173" s="34"/>
      <c r="W173" s="29" t="s">
        <v>58</v>
      </c>
      <c r="X173" s="28">
        <v>28</v>
      </c>
      <c r="Y173" s="28">
        <v>2</v>
      </c>
      <c r="Z173" s="28">
        <v>1</v>
      </c>
      <c r="AA173" s="28">
        <v>2</v>
      </c>
      <c r="AB173" s="35">
        <v>2</v>
      </c>
      <c r="AC173" s="28">
        <v>1</v>
      </c>
      <c r="AD173" s="28">
        <v>2</v>
      </c>
      <c r="AE173" s="28">
        <v>4</v>
      </c>
      <c r="AF173" s="28">
        <v>2</v>
      </c>
      <c r="AG173" s="28">
        <v>2</v>
      </c>
      <c r="AH173" s="29" t="s">
        <v>428</v>
      </c>
      <c r="AI173" s="36">
        <f>IF(OR(AND(K173&lt;32, J173&lt;2), O173=1, P173=1, Q173=1, R173=1, S173=1, T173=1, U173=1, AND(W173&lt;&gt;"", W173&lt;&gt;"Oxygen", W173&lt;&gt;"LowFlow")), "Intensive", "Intermediate")</f>
      </c>
      <c r="AJ173" s="37">
        <f>IF(OR(LEFT(AH173, 1)="X", LEFT(AH173, 1)="Y", LEFT(AH173, 3)="J41M"), "CUSM", "No Match")</f>
      </c>
      <c r="AK173" s="37">
        <f>IF(AND(OR(O173=3, P173=1, Q173=1, T173=1), AJ173="no Match"), "CUSM, CHU SJ, CHUQ", "")</f>
      </c>
      <c r="AL173" s="37">
        <f>IF(AND(O173=2, ISBLANK(P173), ISBLANK(Q173), ISBLANK(R173), ISBLANK(S173), ISBLANK(T173)), "CUSM, CHU SJ, CHUS, CHUQ", "")</f>
      </c>
      <c r="AM173" s="37">
        <f>IF(AND(AJ173="no match", AK173="", AL173="", K173&lt;26), "CUSM, CHU SJ, HGJ, CHUQ, CHUS", "")</f>
      </c>
      <c r="AN173" s="37">
        <f>IF(AND(AJ173="no match", AK173="", AL173="", K173&gt;26), "CUSM, CHU SJ, HGJ, CHUQ, CHUS, HMR", "")</f>
      </c>
    </row>
    <row x14ac:dyDescent="0.25" r="174" customHeight="1" ht="17.25">
      <c r="A174" s="27" t="s">
        <v>430</v>
      </c>
      <c r="B174" s="28">
        <v>2</v>
      </c>
      <c r="C174" s="28">
        <v>756</v>
      </c>
      <c r="D174" s="29" t="s">
        <v>66</v>
      </c>
      <c r="E174" s="30" t="s">
        <v>220</v>
      </c>
      <c r="F174" s="31">
        <v>44664</v>
      </c>
      <c r="G174" s="32">
        <v>4.822222222222223</v>
      </c>
      <c r="H174" s="31">
        <v>44664</v>
      </c>
      <c r="I174" s="32">
        <v>4.694444444444445</v>
      </c>
      <c r="J174" s="33">
        <f>F174-H174</f>
      </c>
      <c r="K174" s="28">
        <v>31</v>
      </c>
      <c r="L174" s="28">
        <v>1</v>
      </c>
      <c r="M174" s="28">
        <v>2</v>
      </c>
      <c r="N174" s="34"/>
      <c r="O174" s="34"/>
      <c r="P174" s="34"/>
      <c r="Q174" s="34"/>
      <c r="R174" s="34"/>
      <c r="S174" s="34"/>
      <c r="T174" s="34"/>
      <c r="U174" s="34"/>
      <c r="V174" s="34"/>
      <c r="W174" s="29" t="s">
        <v>58</v>
      </c>
      <c r="X174" s="28">
        <v>23</v>
      </c>
      <c r="Y174" s="28">
        <v>1</v>
      </c>
      <c r="Z174" s="28">
        <v>2</v>
      </c>
      <c r="AA174" s="28">
        <v>2</v>
      </c>
      <c r="AB174" s="28">
        <v>1</v>
      </c>
      <c r="AC174" s="28">
        <v>2</v>
      </c>
      <c r="AD174" s="28">
        <v>2</v>
      </c>
      <c r="AE174" s="28">
        <v>4</v>
      </c>
      <c r="AF174" s="35">
        <v>2</v>
      </c>
      <c r="AG174" s="28">
        <v>2</v>
      </c>
      <c r="AH174" s="29" t="s">
        <v>431</v>
      </c>
      <c r="AI174" s="36">
        <f>IF(OR(AND(K174&lt;32, J174&lt;2), O174=1, P174=1, Q174=1, R174=1, S174=1, T174=1, U174=1, AND(W174&lt;&gt;"", W174&lt;&gt;"Oxygen", W174&lt;&gt;"LowFlow")), "Intensive", "Intermediate")</f>
      </c>
      <c r="AJ174" s="37">
        <f>IF(OR(LEFT(AH174, 1)="X", LEFT(AH174, 1)="Y", LEFT(AH174, 3)="J42M"), "CUSM", "No Match")</f>
      </c>
      <c r="AK174" s="37">
        <f>IF(AND(OR(O174=3, P174=1, Q174=1, T174=1), AJ174="no Match"), "CUSM, CHU SJ, CHUQ", "")</f>
      </c>
      <c r="AL174" s="37">
        <f>IF(AND(O174=2, ISBLANK(P174), ISBLANK(Q174), ISBLANK(R174), ISBLANK(S174), ISBLANK(T174)), "CUSM, CHU SJ, CHUS, CHUQ", "")</f>
      </c>
      <c r="AM174" s="37">
        <f>IF(AND(AJ174="no match", AK174="", AL174="", K174&lt;26), "CUSM, CHU SJ, HGJ, CHUQ, CHUS", "")</f>
      </c>
      <c r="AN174" s="37">
        <f>IF(AND(AJ174="no match", AK174="", AL174="", K174&gt;26), "CUSM, CHU SJ, HGJ, CHUQ, CHUS, HMR", "")</f>
      </c>
    </row>
    <row x14ac:dyDescent="0.25" r="175" customHeight="1" ht="17.25">
      <c r="A175" s="27" t="s">
        <v>432</v>
      </c>
      <c r="B175" s="28">
        <v>2</v>
      </c>
      <c r="C175" s="28">
        <v>733</v>
      </c>
      <c r="D175" s="29" t="s">
        <v>433</v>
      </c>
      <c r="E175" s="30" t="s">
        <v>50</v>
      </c>
      <c r="F175" s="31">
        <v>44665</v>
      </c>
      <c r="G175" s="32">
        <v>4.506944444444445</v>
      </c>
      <c r="H175" s="31">
        <v>44662</v>
      </c>
      <c r="I175" s="32">
        <v>4.958333333333334</v>
      </c>
      <c r="J175" s="33">
        <f>F175-H175</f>
      </c>
      <c r="K175" s="28">
        <v>36</v>
      </c>
      <c r="L175" s="28">
        <v>5</v>
      </c>
      <c r="M175" s="28">
        <v>1</v>
      </c>
      <c r="N175" s="34"/>
      <c r="O175" s="34"/>
      <c r="P175" s="34"/>
      <c r="Q175" s="34"/>
      <c r="R175" s="34"/>
      <c r="S175" s="34"/>
      <c r="T175" s="34"/>
      <c r="U175" s="34"/>
      <c r="V175" s="34"/>
      <c r="W175" s="29"/>
      <c r="X175" s="28">
        <v>35</v>
      </c>
      <c r="Y175" s="28">
        <v>1</v>
      </c>
      <c r="Z175" s="28">
        <v>1</v>
      </c>
      <c r="AA175" s="28">
        <v>3</v>
      </c>
      <c r="AB175" s="28">
        <v>1</v>
      </c>
      <c r="AC175" s="28">
        <v>2</v>
      </c>
      <c r="AD175" s="28">
        <v>2</v>
      </c>
      <c r="AE175" s="28">
        <v>4</v>
      </c>
      <c r="AF175" s="28">
        <v>3</v>
      </c>
      <c r="AG175" s="28">
        <v>2</v>
      </c>
      <c r="AH175" s="29" t="s">
        <v>434</v>
      </c>
      <c r="AI175" s="36">
        <f>IF(OR(AND(K175&lt;32, J175&lt;2), O175=1, P175=1, Q175=1, R175=1, S175=1, T175=1, U175=1, AND(W175&lt;&gt;"", W175&lt;&gt;"Oxygen", W175&lt;&gt;"LowFlow")), "Intensive", "Intermediate")</f>
      </c>
      <c r="AJ175" s="37">
        <f>IF(OR(LEFT(AH175, 1)="X", LEFT(AH175, 1)="Y", LEFT(AH175, 3)="J43M"), "CUSM", "No Match")</f>
      </c>
      <c r="AK175" s="37">
        <f>IF(AND(OR(O175=3, P175=1, Q175=1, T175=1), AJ175="no Match"), "CUSM, CHU SJ, CHUQ", "")</f>
      </c>
      <c r="AL175" s="37">
        <f>IF(AND(O175=2, ISBLANK(P175), ISBLANK(Q175), ISBLANK(R175), ISBLANK(S175), ISBLANK(T175)), "CUSM, CHU SJ, CHUS, CHUQ", "")</f>
      </c>
      <c r="AM175" s="37">
        <f>IF(AND(AJ175="no match", AK175="", AL175="", K175&lt;26), "CUSM, CHU SJ, HGJ, CHUQ, CHUS", "")</f>
      </c>
      <c r="AN175" s="37">
        <f>IF(AND(AJ175="no match", AK175="", AL175="", K175&gt;26), "CUSM, CHU SJ, HGJ, CHUQ, CHUS, HMR", "")</f>
      </c>
    </row>
    <row x14ac:dyDescent="0.25" r="176" customHeight="1" ht="17.25">
      <c r="A176" s="27" t="s">
        <v>435</v>
      </c>
      <c r="B176" s="28">
        <v>2</v>
      </c>
      <c r="C176" s="35">
        <v>839</v>
      </c>
      <c r="D176" s="29" t="s">
        <v>53</v>
      </c>
      <c r="E176" s="30" t="s">
        <v>50</v>
      </c>
      <c r="F176" s="31">
        <v>44665</v>
      </c>
      <c r="G176" s="32">
        <v>4.642361111111111</v>
      </c>
      <c r="H176" s="31">
        <v>44665</v>
      </c>
      <c r="I176" s="32">
        <v>4.365972222222222</v>
      </c>
      <c r="J176" s="33">
        <f>F176-H176</f>
      </c>
      <c r="K176" s="28">
        <v>37</v>
      </c>
      <c r="L176" s="28">
        <v>5</v>
      </c>
      <c r="M176" s="28">
        <v>2</v>
      </c>
      <c r="N176" s="35">
        <v>1</v>
      </c>
      <c r="O176" s="34"/>
      <c r="P176" s="35">
        <v>1</v>
      </c>
      <c r="Q176" s="34"/>
      <c r="R176" s="34"/>
      <c r="S176" s="34"/>
      <c r="T176" s="34"/>
      <c r="U176" s="34"/>
      <c r="V176" s="34"/>
      <c r="W176" s="29" t="s">
        <v>58</v>
      </c>
      <c r="X176" s="28">
        <v>39</v>
      </c>
      <c r="Y176" s="28">
        <v>1</v>
      </c>
      <c r="Z176" s="28">
        <v>2</v>
      </c>
      <c r="AA176" s="28">
        <v>3</v>
      </c>
      <c r="AB176" s="28">
        <v>1</v>
      </c>
      <c r="AC176" s="28">
        <v>1</v>
      </c>
      <c r="AD176" s="28">
        <v>1</v>
      </c>
      <c r="AE176" s="28">
        <v>4</v>
      </c>
      <c r="AF176" s="28">
        <v>2</v>
      </c>
      <c r="AG176" s="28">
        <v>2</v>
      </c>
      <c r="AH176" s="29" t="s">
        <v>436</v>
      </c>
      <c r="AI176" s="36">
        <f>IF(OR(AND(K176&lt;32, J176&lt;2), O176=1, P176=1, Q176=1, R176=1, S176=1, T176=1, U176=1, AND(W176&lt;&gt;"", W176&lt;&gt;"Oxygen", W176&lt;&gt;"LowFlow")), "Intensive", "Intermediate")</f>
      </c>
      <c r="AJ176" s="37">
        <f>IF(OR(LEFT(AH176, 1)="X", LEFT(AH176, 1)="Y", LEFT(AH176, 3)="J44M"), "CUSM", "No Match")</f>
      </c>
      <c r="AK176" s="37">
        <f>IF(AND(OR(O176=3, P176=1, Q176=1, T176=1), AJ176="no Match"), "CUSM, CHU SJ, CHUQ", "")</f>
      </c>
      <c r="AL176" s="37">
        <f>IF(AND(O176=2, ISBLANK(P176), ISBLANK(Q176), ISBLANK(R176), ISBLANK(S176), ISBLANK(T176)), "CUSM, CHU SJ, CHUS, CHUQ", "")</f>
      </c>
      <c r="AM176" s="37">
        <f>IF(AND(AJ176="no match", AK176="", AL176="", K176&lt;26), "CUSM, CHU SJ, HGJ, CHUQ, CHUS", "")</f>
      </c>
      <c r="AN176" s="37">
        <f>IF(AND(AJ176="no match", AK176="", AL176="", K176&gt;26), "CUSM, CHU SJ, HGJ, CHUQ, CHUS, HMR", "")</f>
      </c>
    </row>
    <row x14ac:dyDescent="0.25" r="177" customHeight="1" ht="17.25">
      <c r="A177" s="27" t="s">
        <v>437</v>
      </c>
      <c r="B177" s="28">
        <v>2</v>
      </c>
      <c r="C177" s="28">
        <v>806</v>
      </c>
      <c r="D177" s="29" t="s">
        <v>438</v>
      </c>
      <c r="E177" s="30" t="s">
        <v>54</v>
      </c>
      <c r="F177" s="31">
        <v>44666</v>
      </c>
      <c r="G177" s="32">
        <v>4.041666666666666</v>
      </c>
      <c r="H177" s="31">
        <v>44665</v>
      </c>
      <c r="I177" s="32">
        <v>4.210416666666667</v>
      </c>
      <c r="J177" s="33">
        <f>F177-H177</f>
      </c>
      <c r="K177" s="28">
        <v>41</v>
      </c>
      <c r="L177" s="28">
        <v>3</v>
      </c>
      <c r="M177" s="28">
        <v>2</v>
      </c>
      <c r="N177" s="35">
        <v>1</v>
      </c>
      <c r="O177" s="34"/>
      <c r="P177" s="35">
        <v>1</v>
      </c>
      <c r="Q177" s="34"/>
      <c r="R177" s="34"/>
      <c r="S177" s="34"/>
      <c r="T177" s="34"/>
      <c r="U177" s="34"/>
      <c r="V177" s="34"/>
      <c r="W177" s="29"/>
      <c r="X177" s="28">
        <v>29</v>
      </c>
      <c r="Y177" s="28">
        <v>1</v>
      </c>
      <c r="Z177" s="28">
        <v>1</v>
      </c>
      <c r="AA177" s="28">
        <v>2</v>
      </c>
      <c r="AB177" s="28">
        <v>1</v>
      </c>
      <c r="AC177" s="28">
        <v>1</v>
      </c>
      <c r="AD177" s="28">
        <v>2</v>
      </c>
      <c r="AE177" s="28">
        <v>4</v>
      </c>
      <c r="AF177" s="28">
        <v>2</v>
      </c>
      <c r="AG177" s="28">
        <v>2</v>
      </c>
      <c r="AH177" s="29" t="s">
        <v>439</v>
      </c>
      <c r="AI177" s="36">
        <f>IF(OR(AND(K177&lt;32, J177&lt;2), O177=1, P177=1, Q177=1, R177=1, S177=1, T177=1, U177=1, AND(W177&lt;&gt;"", W177&lt;&gt;"Oxygen", W177&lt;&gt;"LowFlow")), "Intensive", "Intermediate")</f>
      </c>
      <c r="AJ177" s="37">
        <f>IF(OR(LEFT(AH177, 1)="X", LEFT(AH177, 1)="Y", LEFT(AH177, 3)="J45M"), "CUSM", "No Match")</f>
      </c>
      <c r="AK177" s="37">
        <f>IF(AND(OR(O177=3, P177=1, Q177=1, T177=1), AJ177="no Match"), "CUSM, CHU SJ, CHUQ", "")</f>
      </c>
      <c r="AL177" s="37">
        <f>IF(AND(O177=2, ISBLANK(P177), ISBLANK(Q177), ISBLANK(R177), ISBLANK(S177), ISBLANK(T177)), "CUSM, CHU SJ, CHUS, CHUQ", "")</f>
      </c>
      <c r="AM177" s="37">
        <f>IF(AND(AJ177="no match", AK177="", AL177="", K177&lt;26), "CUSM, CHU SJ, HGJ, CHUQ, CHUS", "")</f>
      </c>
      <c r="AN177" s="37">
        <f>IF(AND(AJ177="no match", AK177="", AL177="", K177&gt;26), "CUSM, CHU SJ, HGJ, CHUQ, CHUS, HMR", "")</f>
      </c>
    </row>
    <row x14ac:dyDescent="0.25" r="178" customHeight="1" ht="17.25">
      <c r="A178" s="27" t="s">
        <v>440</v>
      </c>
      <c r="B178" s="28">
        <v>2</v>
      </c>
      <c r="C178" s="28">
        <v>820</v>
      </c>
      <c r="D178" s="29" t="s">
        <v>69</v>
      </c>
      <c r="E178" s="30" t="s">
        <v>78</v>
      </c>
      <c r="F178" s="31">
        <v>44666</v>
      </c>
      <c r="G178" s="32">
        <v>4.135416666666666</v>
      </c>
      <c r="H178" s="31">
        <v>44665</v>
      </c>
      <c r="I178" s="32">
        <v>4.43125</v>
      </c>
      <c r="J178" s="33">
        <f>F178-H178</f>
      </c>
      <c r="K178" s="28">
        <v>34</v>
      </c>
      <c r="L178" s="28">
        <v>0</v>
      </c>
      <c r="M178" s="28">
        <v>1</v>
      </c>
      <c r="N178" s="34"/>
      <c r="O178" s="34"/>
      <c r="P178" s="34"/>
      <c r="Q178" s="34"/>
      <c r="R178" s="34"/>
      <c r="S178" s="34"/>
      <c r="T178" s="34"/>
      <c r="U178" s="34"/>
      <c r="V178" s="34"/>
      <c r="W178" s="29" t="s">
        <v>74</v>
      </c>
      <c r="X178" s="28">
        <v>29</v>
      </c>
      <c r="Y178" s="28">
        <v>1</v>
      </c>
      <c r="Z178" s="28">
        <v>2</v>
      </c>
      <c r="AA178" s="28">
        <v>1</v>
      </c>
      <c r="AB178" s="28">
        <v>1</v>
      </c>
      <c r="AC178" s="28">
        <v>2</v>
      </c>
      <c r="AD178" s="28">
        <v>2</v>
      </c>
      <c r="AE178" s="28">
        <v>2</v>
      </c>
      <c r="AF178" s="28">
        <v>2</v>
      </c>
      <c r="AG178" s="28">
        <v>2</v>
      </c>
      <c r="AH178" s="29" t="s">
        <v>441</v>
      </c>
      <c r="AI178" s="36">
        <f>IF(OR(AND(K178&lt;32, J178&lt;2), O178=1, P178=1, Q178=1, R178=1, S178=1, T178=1, U178=1, AND(W178&lt;&gt;"", W178&lt;&gt;"Oxygen", W178&lt;&gt;"LowFlow")), "Intensive", "Intermediate")</f>
      </c>
      <c r="AJ178" s="37">
        <f>IF(OR(LEFT(AH178, 1)="X", LEFT(AH178, 1)="Y", LEFT(AH178, 3)="J46M"), "CUSM", "No Match")</f>
      </c>
      <c r="AK178" s="37">
        <f>IF(AND(OR(O178=3, P178=1, Q178=1, T178=1), AJ178="no Match"), "CUSM, CHU SJ, CHUQ", "")</f>
      </c>
      <c r="AL178" s="37">
        <f>IF(AND(O178=2, ISBLANK(P178), ISBLANK(Q178), ISBLANK(R178), ISBLANK(S178), ISBLANK(T178)), "CUSM, CHU SJ, CHUS, CHUQ", "")</f>
      </c>
      <c r="AM178" s="37">
        <f>IF(AND(AJ178="no match", AK178="", AL178="", K178&lt;26), "CUSM, CHU SJ, HGJ, CHUQ, CHUS", "")</f>
      </c>
      <c r="AN178" s="37">
        <f>IF(AND(AJ178="no match", AK178="", AL178="", K178&gt;26), "CUSM, CHU SJ, HGJ, CHUQ, CHUS, HMR", "")</f>
      </c>
    </row>
    <row x14ac:dyDescent="0.25" r="179" customHeight="1" ht="17.25">
      <c r="A179" s="27" t="s">
        <v>442</v>
      </c>
      <c r="B179" s="28">
        <v>2</v>
      </c>
      <c r="C179" s="28">
        <v>779</v>
      </c>
      <c r="D179" s="29" t="s">
        <v>136</v>
      </c>
      <c r="E179" s="30" t="s">
        <v>50</v>
      </c>
      <c r="F179" s="31">
        <v>44666</v>
      </c>
      <c r="G179" s="32">
        <v>4.259722222222223</v>
      </c>
      <c r="H179" s="31">
        <v>44665</v>
      </c>
      <c r="I179" s="32">
        <v>4.051388888888889</v>
      </c>
      <c r="J179" s="33">
        <f>F179-H179</f>
      </c>
      <c r="K179" s="28">
        <v>39</v>
      </c>
      <c r="L179" s="28">
        <v>6</v>
      </c>
      <c r="M179" s="28">
        <v>2</v>
      </c>
      <c r="N179" s="34"/>
      <c r="O179" s="34"/>
      <c r="P179" s="34"/>
      <c r="Q179" s="34"/>
      <c r="R179" s="34"/>
      <c r="S179" s="34"/>
      <c r="T179" s="35">
        <v>1</v>
      </c>
      <c r="U179" s="34"/>
      <c r="V179" s="34"/>
      <c r="W179" s="29"/>
      <c r="X179" s="28">
        <v>40</v>
      </c>
      <c r="Y179" s="28">
        <v>1</v>
      </c>
      <c r="Z179" s="28">
        <v>2</v>
      </c>
      <c r="AA179" s="28">
        <v>3</v>
      </c>
      <c r="AB179" s="28">
        <v>1</v>
      </c>
      <c r="AC179" s="28">
        <v>2</v>
      </c>
      <c r="AD179" s="28">
        <v>2</v>
      </c>
      <c r="AE179" s="28">
        <v>4</v>
      </c>
      <c r="AF179" s="28">
        <v>2</v>
      </c>
      <c r="AG179" s="28">
        <v>2</v>
      </c>
      <c r="AH179" s="29" t="s">
        <v>443</v>
      </c>
      <c r="AI179" s="36">
        <f>IF(OR(AND(K179&lt;32, J179&lt;2), O179=1, P179=1, Q179=1, R179=1, S179=1, T179=1, U179=1, AND(W179&lt;&gt;"", W179&lt;&gt;"Oxygen", W179&lt;&gt;"LowFlow")), "Intensive", "Intermediate")</f>
      </c>
      <c r="AJ179" s="37">
        <f>IF(OR(LEFT(AH179, 1)="X", LEFT(AH179, 1)="Y", LEFT(AH179, 3)="J47M"), "CUSM", "No Match")</f>
      </c>
      <c r="AK179" s="37">
        <f>IF(AND(OR(O179=3, P179=1, Q179=1, T179=1), AJ179="no Match"), "CUSM, CHU SJ, CHUQ", "")</f>
      </c>
      <c r="AL179" s="37">
        <f>IF(AND(O179=2, ISBLANK(P179), ISBLANK(Q179), ISBLANK(R179), ISBLANK(S179), ISBLANK(T179)), "CUSM, CHU SJ, CHUS, CHUQ", "")</f>
      </c>
      <c r="AM179" s="37">
        <f>IF(AND(AJ179="no match", AK179="", AL179="", K179&lt;26), "CUSM, CHU SJ, HGJ, CHUQ, CHUS", "")</f>
      </c>
      <c r="AN179" s="37">
        <f>IF(AND(AJ179="no match", AK179="", AL179="", K179&gt;26), "CUSM, CHU SJ, HGJ, CHUQ, CHUS, HMR", "")</f>
      </c>
    </row>
    <row x14ac:dyDescent="0.25" r="180" customHeight="1" ht="17.25">
      <c r="A180" s="27" t="s">
        <v>444</v>
      </c>
      <c r="B180" s="28">
        <v>2</v>
      </c>
      <c r="C180" s="35">
        <v>796</v>
      </c>
      <c r="D180" s="29" t="s">
        <v>63</v>
      </c>
      <c r="E180" s="30" t="s">
        <v>50</v>
      </c>
      <c r="F180" s="31">
        <v>44667</v>
      </c>
      <c r="G180" s="32">
        <v>4.75</v>
      </c>
      <c r="H180" s="31">
        <v>44667</v>
      </c>
      <c r="I180" s="32">
        <v>4.563888888888889</v>
      </c>
      <c r="J180" s="33">
        <f>F180-H180</f>
      </c>
      <c r="K180" s="28">
        <v>34</v>
      </c>
      <c r="L180" s="28">
        <v>6</v>
      </c>
      <c r="M180" s="28">
        <v>2</v>
      </c>
      <c r="N180" s="35">
        <v>1</v>
      </c>
      <c r="O180" s="34"/>
      <c r="P180" s="35">
        <v>1</v>
      </c>
      <c r="Q180" s="34"/>
      <c r="R180" s="34"/>
      <c r="S180" s="34"/>
      <c r="T180" s="34"/>
      <c r="U180" s="34"/>
      <c r="V180" s="34"/>
      <c r="W180" s="29" t="s">
        <v>74</v>
      </c>
      <c r="X180" s="28">
        <v>38</v>
      </c>
      <c r="Y180" s="28">
        <v>1</v>
      </c>
      <c r="Z180" s="28">
        <v>1</v>
      </c>
      <c r="AA180" s="28">
        <v>1</v>
      </c>
      <c r="AB180" s="28">
        <v>1</v>
      </c>
      <c r="AC180" s="28">
        <v>2</v>
      </c>
      <c r="AD180" s="28">
        <v>2</v>
      </c>
      <c r="AE180" s="28">
        <v>2</v>
      </c>
      <c r="AF180" s="35">
        <v>2</v>
      </c>
      <c r="AG180" s="28">
        <v>2</v>
      </c>
      <c r="AH180" s="29" t="s">
        <v>445</v>
      </c>
      <c r="AI180" s="36">
        <f>IF(OR(AND(K180&lt;32, J180&lt;2), O180=1, P180=1, Q180=1, R180=1, S180=1, T180=1, U180=1, AND(W180&lt;&gt;"", W180&lt;&gt;"Oxygen", W180&lt;&gt;"LowFlow")), "Intensive", "Intermediate")</f>
      </c>
      <c r="AJ180" s="37">
        <f>IF(OR(LEFT(AH180, 1)="X", LEFT(AH180, 1)="Y", LEFT(AH180, 3)="J48M"), "CUSM", "No Match")</f>
      </c>
      <c r="AK180" s="37">
        <f>IF(AND(OR(O180=3, P180=1, Q180=1, T180=1), AJ180="no Match"), "CUSM, CHU SJ, CHUQ", "")</f>
      </c>
      <c r="AL180" s="37">
        <f>IF(AND(O180=2, ISBLANK(P180), ISBLANK(Q180), ISBLANK(R180), ISBLANK(S180), ISBLANK(T180)), "CUSM, CHU SJ, CHUS, CHUQ", "")</f>
      </c>
      <c r="AM180" s="37">
        <f>IF(AND(AJ180="no match", AK180="", AL180="", K180&lt;26), "CUSM, CHU SJ, HGJ, CHUQ, CHUS", "")</f>
      </c>
      <c r="AN180" s="37">
        <f>IF(AND(AJ180="no match", AK180="", AL180="", K180&gt;26), "CUSM, CHU SJ, HGJ, CHUQ, CHUS, HMR", "")</f>
      </c>
    </row>
    <row x14ac:dyDescent="0.25" r="181" customHeight="1" ht="17.25">
      <c r="A181" s="27" t="s">
        <v>446</v>
      </c>
      <c r="B181" s="28">
        <v>2</v>
      </c>
      <c r="C181" s="35">
        <v>730</v>
      </c>
      <c r="D181" s="29" t="s">
        <v>81</v>
      </c>
      <c r="E181" s="30" t="s">
        <v>50</v>
      </c>
      <c r="F181" s="31">
        <v>44668</v>
      </c>
      <c r="G181" s="32">
        <v>4.0152777777777775</v>
      </c>
      <c r="H181" s="31">
        <v>44667</v>
      </c>
      <c r="I181" s="32">
        <v>4.861805555555556</v>
      </c>
      <c r="J181" s="33">
        <f>F181-H181</f>
      </c>
      <c r="K181" s="28">
        <v>39</v>
      </c>
      <c r="L181" s="28">
        <v>1</v>
      </c>
      <c r="M181" s="28">
        <v>1</v>
      </c>
      <c r="N181" s="34"/>
      <c r="O181" s="34"/>
      <c r="P181" s="34"/>
      <c r="Q181" s="34"/>
      <c r="R181" s="34"/>
      <c r="S181" s="34"/>
      <c r="T181" s="34"/>
      <c r="U181" s="38"/>
      <c r="V181" s="38"/>
      <c r="W181" s="29" t="s">
        <v>74</v>
      </c>
      <c r="X181" s="28">
        <v>28</v>
      </c>
      <c r="Y181" s="28">
        <v>1</v>
      </c>
      <c r="Z181" s="28">
        <v>1</v>
      </c>
      <c r="AA181" s="28">
        <v>3</v>
      </c>
      <c r="AB181" s="28">
        <v>1</v>
      </c>
      <c r="AC181" s="28">
        <v>2</v>
      </c>
      <c r="AD181" s="28">
        <v>2</v>
      </c>
      <c r="AE181" s="28">
        <v>4</v>
      </c>
      <c r="AF181" s="28">
        <v>2</v>
      </c>
      <c r="AG181" s="28">
        <v>2</v>
      </c>
      <c r="AH181" s="29" t="s">
        <v>447</v>
      </c>
      <c r="AI181" s="36">
        <f>IF(OR(AND(K181&lt;32, J181&lt;2), O181=1, P181=1, Q181=1, R181=1, S181=1, T181=1, U181=1, AND(W181&lt;&gt;"", W181&lt;&gt;"Oxygen", W181&lt;&gt;"LowFlow")), "Intensive", "Intermediate")</f>
      </c>
      <c r="AJ181" s="37">
        <f>IF(OR(LEFT(AH181, 1)="X", LEFT(AH181, 1)="Y", LEFT(AH181, 3)="J49M"), "CUSM", "No Match")</f>
      </c>
      <c r="AK181" s="37">
        <f>IF(AND(OR(O181=3, P181=1, Q181=1, T181=1), AJ181="no Match"), "CUSM, CHU SJ, CHUQ", "")</f>
      </c>
      <c r="AL181" s="37">
        <f>IF(AND(O181=2, ISBLANK(P181), ISBLANK(Q181), ISBLANK(R181), ISBLANK(S181), ISBLANK(T181)), "CUSM, CHU SJ, CHUS, CHUQ", "")</f>
      </c>
      <c r="AM181" s="37">
        <f>IF(AND(AJ181="no match", AK181="", AL181="", K181&lt;26), "CUSM, CHU SJ, HGJ, CHUQ, CHUS", "")</f>
      </c>
      <c r="AN181" s="37">
        <f>IF(AND(AJ181="no match", AK181="", AL181="", K181&gt;26), "CUSM, CHU SJ, HGJ, CHUQ, CHUS, HMR", "")</f>
      </c>
    </row>
    <row x14ac:dyDescent="0.25" r="182" customHeight="1" ht="17.25">
      <c r="A182" s="27" t="s">
        <v>448</v>
      </c>
      <c r="B182" s="28">
        <v>2</v>
      </c>
      <c r="C182" s="28">
        <v>737</v>
      </c>
      <c r="D182" s="29" t="s">
        <v>202</v>
      </c>
      <c r="E182" s="30" t="s">
        <v>54</v>
      </c>
      <c r="F182" s="31">
        <v>44669</v>
      </c>
      <c r="G182" s="32">
        <v>4.118055555555555</v>
      </c>
      <c r="H182" s="31">
        <v>44669</v>
      </c>
      <c r="I182" s="32">
        <v>4.088888888888889</v>
      </c>
      <c r="J182" s="33">
        <f>F182-H182</f>
      </c>
      <c r="K182" s="28">
        <v>32</v>
      </c>
      <c r="L182" s="28">
        <v>0</v>
      </c>
      <c r="M182" s="28">
        <v>1</v>
      </c>
      <c r="N182" s="28">
        <v>1</v>
      </c>
      <c r="O182" s="34"/>
      <c r="P182" s="38"/>
      <c r="Q182" s="34"/>
      <c r="R182" s="34"/>
      <c r="S182" s="34"/>
      <c r="T182" s="34"/>
      <c r="U182" s="34"/>
      <c r="V182" s="34"/>
      <c r="W182" s="29" t="s">
        <v>164</v>
      </c>
      <c r="X182" s="28">
        <v>39</v>
      </c>
      <c r="Y182" s="28">
        <v>2</v>
      </c>
      <c r="Z182" s="28">
        <v>1</v>
      </c>
      <c r="AA182" s="28">
        <v>2</v>
      </c>
      <c r="AB182" s="28">
        <v>4</v>
      </c>
      <c r="AC182" s="28">
        <v>2</v>
      </c>
      <c r="AD182" s="28">
        <v>1</v>
      </c>
      <c r="AE182" s="28">
        <v>2</v>
      </c>
      <c r="AF182" s="28">
        <v>1</v>
      </c>
      <c r="AG182" s="28">
        <v>2</v>
      </c>
      <c r="AH182" s="29" t="s">
        <v>449</v>
      </c>
      <c r="AI182" s="36">
        <f>IF(OR(AND(K182&lt;32, J182&lt;2), O182=1, P182=1, Q182=1, R182=1, S182=1, T182=1, U182=1, AND(W182&lt;&gt;"", W182&lt;&gt;"Oxygen", W182&lt;&gt;"LowFlow")), "Intensive", "Intermediate")</f>
      </c>
      <c r="AJ182" s="37">
        <f>IF(OR(LEFT(AH182, 1)="X", LEFT(AH182, 1)="Y", LEFT(AH182, 3)="J50M"), "CUSM", "No Match")</f>
      </c>
      <c r="AK182" s="37">
        <f>IF(AND(OR(O182=3, P182=1, Q182=1, T182=1), AJ182="no Match"), "CUSM, CHU SJ, CHUQ", "")</f>
      </c>
      <c r="AL182" s="37">
        <f>IF(AND(O182=2, ISBLANK(P182), ISBLANK(Q182), ISBLANK(R182), ISBLANK(S182), ISBLANK(T182)), "CUSM, CHU SJ, CHUS, CHUQ", "")</f>
      </c>
      <c r="AM182" s="37">
        <f>IF(AND(AJ182="no match", AK182="", AL182="", K182&lt;26), "CUSM, CHU SJ, HGJ, CHUQ, CHUS", "")</f>
      </c>
      <c r="AN182" s="37">
        <f>IF(AND(AJ182="no match", AK182="", AL182="", K182&gt;26), "CUSM, CHU SJ, HGJ, CHUQ, CHUS, HMR", "")</f>
      </c>
    </row>
    <row x14ac:dyDescent="0.25" r="183" customHeight="1" ht="17.25">
      <c r="A183" s="27" t="s">
        <v>450</v>
      </c>
      <c r="B183" s="28">
        <v>2</v>
      </c>
      <c r="C183" s="35">
        <v>822</v>
      </c>
      <c r="D183" s="29" t="s">
        <v>167</v>
      </c>
      <c r="E183" s="30" t="s">
        <v>78</v>
      </c>
      <c r="F183" s="31">
        <v>44669</v>
      </c>
      <c r="G183" s="32">
        <v>4.239583333333334</v>
      </c>
      <c r="H183" s="31">
        <v>44669</v>
      </c>
      <c r="I183" s="32">
        <v>4.094444444444445</v>
      </c>
      <c r="J183" s="33">
        <f>F183-H183</f>
      </c>
      <c r="K183" s="28">
        <v>26</v>
      </c>
      <c r="L183" s="28">
        <v>3</v>
      </c>
      <c r="M183" s="28">
        <v>1</v>
      </c>
      <c r="N183" s="34"/>
      <c r="O183" s="34"/>
      <c r="P183" s="34"/>
      <c r="Q183" s="34"/>
      <c r="R183" s="34"/>
      <c r="S183" s="34"/>
      <c r="T183" s="34"/>
      <c r="U183" s="34"/>
      <c r="V183" s="34"/>
      <c r="W183" s="29" t="s">
        <v>74</v>
      </c>
      <c r="X183" s="28">
        <v>29</v>
      </c>
      <c r="Y183" s="28">
        <v>1</v>
      </c>
      <c r="Z183" s="28">
        <v>2</v>
      </c>
      <c r="AA183" s="28">
        <v>1</v>
      </c>
      <c r="AB183" s="28">
        <v>2</v>
      </c>
      <c r="AC183" s="28">
        <v>2</v>
      </c>
      <c r="AD183" s="28">
        <v>2</v>
      </c>
      <c r="AE183" s="28">
        <v>4</v>
      </c>
      <c r="AF183" s="28">
        <v>1</v>
      </c>
      <c r="AG183" s="28">
        <v>2</v>
      </c>
      <c r="AH183" s="29"/>
      <c r="AI183" s="36">
        <f>IF(OR(AND(K183&lt;32, J183&lt;2), O183=1, P183=1, Q183=1, R183=1, S183=1, T183=1, U183=1, AND(W183&lt;&gt;"", W183&lt;&gt;"Oxygen", W183&lt;&gt;"LowFlow")), "Intensive", "Intermediate")</f>
      </c>
      <c r="AJ183" s="37">
        <f>IF(OR(LEFT(AH183, 1)="X", LEFT(AH183, 1)="Y", LEFT(AH183, 3)="J51M"), "CUSM", "No Match")</f>
      </c>
      <c r="AK183" s="37">
        <f>IF(AND(OR(O183=3, P183=1, Q183=1, T183=1), AJ183="no Match"), "CUSM, CHU SJ, CHUQ", "")</f>
      </c>
      <c r="AL183" s="37">
        <f>IF(AND(O183=2, ISBLANK(P183), ISBLANK(Q183), ISBLANK(R183), ISBLANK(S183), ISBLANK(T183)), "CUSM, CHU SJ, CHUS, CHUQ", "")</f>
      </c>
      <c r="AM183" s="37">
        <f>IF(AND(AJ183="no match", AK183="", AL183="", K183&lt;26), "CUSM, CHU SJ, HGJ, CHUQ, CHUS", "")</f>
      </c>
      <c r="AN183" s="37">
        <f>IF(AND(AJ183="no match", AK183="", AL183="", K183&gt;26), "CUSM, CHU SJ, HGJ, CHUQ, CHUS, HMR", "")</f>
      </c>
    </row>
    <row x14ac:dyDescent="0.25" r="184" customHeight="1" ht="17.25">
      <c r="A184" s="27" t="s">
        <v>451</v>
      </c>
      <c r="B184" s="28">
        <v>2</v>
      </c>
      <c r="C184" s="35">
        <v>735</v>
      </c>
      <c r="D184" s="29" t="s">
        <v>49</v>
      </c>
      <c r="E184" s="30" t="s">
        <v>50</v>
      </c>
      <c r="F184" s="31">
        <v>44669</v>
      </c>
      <c r="G184" s="32">
        <v>4.5</v>
      </c>
      <c r="H184" s="31">
        <v>44664</v>
      </c>
      <c r="I184" s="32">
        <v>4.252083333333333</v>
      </c>
      <c r="J184" s="33">
        <f>F184-H184</f>
      </c>
      <c r="K184" s="28">
        <v>38</v>
      </c>
      <c r="L184" s="28">
        <v>2</v>
      </c>
      <c r="M184" s="28">
        <v>1</v>
      </c>
      <c r="N184" s="35">
        <v>1</v>
      </c>
      <c r="O184" s="35">
        <v>2</v>
      </c>
      <c r="P184" s="35">
        <v>1</v>
      </c>
      <c r="Q184" s="34"/>
      <c r="R184" s="34"/>
      <c r="S184" s="34"/>
      <c r="T184" s="34"/>
      <c r="U184" s="34"/>
      <c r="V184" s="34"/>
      <c r="W184" s="29" t="s">
        <v>58</v>
      </c>
      <c r="X184" s="28">
        <v>26</v>
      </c>
      <c r="Y184" s="28">
        <v>1</v>
      </c>
      <c r="Z184" s="28">
        <v>1</v>
      </c>
      <c r="AA184" s="28">
        <v>3</v>
      </c>
      <c r="AB184" s="28">
        <v>4</v>
      </c>
      <c r="AC184" s="28">
        <v>2</v>
      </c>
      <c r="AD184" s="28">
        <v>1</v>
      </c>
      <c r="AE184" s="28">
        <v>4</v>
      </c>
      <c r="AF184" s="28">
        <v>3</v>
      </c>
      <c r="AG184" s="28">
        <v>2</v>
      </c>
      <c r="AH184" s="29" t="s">
        <v>452</v>
      </c>
      <c r="AI184" s="36">
        <f>IF(OR(AND(K184&lt;32, J184&lt;2), O184=1, P184=1, Q184=1, R184=1, S184=1, T184=1, U184=1, AND(W184&lt;&gt;"", W184&lt;&gt;"Oxygen", W184&lt;&gt;"LowFlow")), "Intensive", "Intermediate")</f>
      </c>
      <c r="AJ184" s="37">
        <f>IF(OR(LEFT(AH184, 1)="X", LEFT(AH184, 1)="Y", LEFT(AH184, 3)="J52M"), "CUSM", "No Match")</f>
      </c>
      <c r="AK184" s="37">
        <f>IF(AND(OR(O184=3, P184=1, Q184=1, T184=1), AJ184="no Match"), "CUSM, CHU SJ, CHUQ", "")</f>
      </c>
      <c r="AL184" s="37">
        <f>IF(AND(O184=2, ISBLANK(P184), ISBLANK(Q184), ISBLANK(R184), ISBLANK(S184), ISBLANK(T184)), "CUSM, CHU SJ, CHUS, CHUQ", "")</f>
      </c>
      <c r="AM184" s="37">
        <f>IF(AND(AJ184="no match", AK184="", AL184="", K184&lt;26), "CUSM, CHU SJ, HGJ, CHUQ, CHUS", "")</f>
      </c>
      <c r="AN184" s="37">
        <f>IF(AND(AJ184="no match", AK184="", AL184="", K184&gt;26), "CUSM, CHU SJ, HGJ, CHUQ, CHUS, HMR", "")</f>
      </c>
    </row>
    <row x14ac:dyDescent="0.25" r="185" customHeight="1" ht="17.25">
      <c r="A185" s="27" t="s">
        <v>453</v>
      </c>
      <c r="B185" s="28">
        <v>2</v>
      </c>
      <c r="C185" s="28">
        <v>6</v>
      </c>
      <c r="D185" s="29" t="s">
        <v>131</v>
      </c>
      <c r="E185" s="30" t="s">
        <v>50</v>
      </c>
      <c r="F185" s="31">
        <v>44670</v>
      </c>
      <c r="G185" s="32">
        <v>4.245138888888889</v>
      </c>
      <c r="H185" s="31">
        <v>44665</v>
      </c>
      <c r="I185" s="32">
        <v>4.396527777777777</v>
      </c>
      <c r="J185" s="33">
        <f>F185-H185</f>
      </c>
      <c r="K185" s="28">
        <v>38</v>
      </c>
      <c r="L185" s="28">
        <v>4</v>
      </c>
      <c r="M185" s="28">
        <v>2</v>
      </c>
      <c r="N185" s="38"/>
      <c r="O185" s="38"/>
      <c r="P185" s="38"/>
      <c r="Q185" s="34"/>
      <c r="R185" s="34"/>
      <c r="S185" s="34"/>
      <c r="T185" s="34"/>
      <c r="U185" s="34"/>
      <c r="V185" s="34"/>
      <c r="W185" s="29" t="s">
        <v>58</v>
      </c>
      <c r="X185" s="28">
        <v>42</v>
      </c>
      <c r="Y185" s="28">
        <v>1</v>
      </c>
      <c r="Z185" s="28">
        <v>2</v>
      </c>
      <c r="AA185" s="28">
        <v>3</v>
      </c>
      <c r="AB185" s="28">
        <v>1</v>
      </c>
      <c r="AC185" s="28">
        <v>2</v>
      </c>
      <c r="AD185" s="28">
        <v>2</v>
      </c>
      <c r="AE185" s="28">
        <v>4</v>
      </c>
      <c r="AF185" s="28">
        <v>3</v>
      </c>
      <c r="AG185" s="28">
        <v>2</v>
      </c>
      <c r="AH185" s="29" t="s">
        <v>454</v>
      </c>
      <c r="AI185" s="36">
        <f>IF(OR(AND(K185&lt;32, J185&lt;2), O185=1, P185=1, Q185=1, R185=1, S185=1, T185=1, U185=1, AND(W185&lt;&gt;"", W185&lt;&gt;"Oxygen", W185&lt;&gt;"LowFlow")), "Intensive", "Intermediate")</f>
      </c>
      <c r="AJ185" s="37">
        <f>IF(OR(LEFT(AH185, 1)="X", LEFT(AH185, 1)="Y", LEFT(AH185, 3)="J53M"), "CUSM", "No Match")</f>
      </c>
      <c r="AK185" s="37">
        <f>IF(AND(OR(O185=3, P185=1, Q185=1, T185=1), AJ185="no Match"), "CUSM, CHU SJ, CHUQ", "")</f>
      </c>
      <c r="AL185" s="37">
        <f>IF(AND(O185=2, ISBLANK(P185), ISBLANK(Q185), ISBLANK(R185), ISBLANK(S185), ISBLANK(T185)), "CUSM, CHU SJ, CHUS, CHUQ", "")</f>
      </c>
      <c r="AM185" s="37">
        <f>IF(AND(AJ185="no match", AK185="", AL185="", K185&lt;26), "CUSM, CHU SJ, HGJ, CHUQ, CHUS", "")</f>
      </c>
      <c r="AN185" s="37">
        <f>IF(AND(AJ185="no match", AK185="", AL185="", K185&gt;26), "CUSM, CHU SJ, HGJ, CHUQ, CHUS, HMR", "")</f>
      </c>
    </row>
    <row x14ac:dyDescent="0.25" r="186" customHeight="1" ht="17.25">
      <c r="A186" s="27" t="s">
        <v>455</v>
      </c>
      <c r="B186" s="28">
        <v>2</v>
      </c>
      <c r="C186" s="28">
        <v>815</v>
      </c>
      <c r="D186" s="29" t="s">
        <v>100</v>
      </c>
      <c r="E186" s="30" t="s">
        <v>50</v>
      </c>
      <c r="F186" s="31">
        <v>44670</v>
      </c>
      <c r="G186" s="32">
        <v>4.479166666666666</v>
      </c>
      <c r="H186" s="31">
        <v>44667</v>
      </c>
      <c r="I186" s="32">
        <v>4.472916666666666</v>
      </c>
      <c r="J186" s="33">
        <f>F186-H186</f>
      </c>
      <c r="K186" s="28">
        <v>38</v>
      </c>
      <c r="L186" s="28">
        <v>0</v>
      </c>
      <c r="M186" s="28">
        <v>1</v>
      </c>
      <c r="N186" s="34"/>
      <c r="O186" s="34"/>
      <c r="P186" s="34"/>
      <c r="Q186" s="34"/>
      <c r="R186" s="34"/>
      <c r="S186" s="34"/>
      <c r="T186" s="34"/>
      <c r="U186" s="34"/>
      <c r="V186" s="34"/>
      <c r="W186" s="29"/>
      <c r="X186" s="28">
        <v>23</v>
      </c>
      <c r="Y186" s="28">
        <v>1</v>
      </c>
      <c r="Z186" s="28">
        <v>2</v>
      </c>
      <c r="AA186" s="28">
        <v>2</v>
      </c>
      <c r="AB186" s="28">
        <v>1</v>
      </c>
      <c r="AC186" s="28">
        <v>2</v>
      </c>
      <c r="AD186" s="28">
        <v>2</v>
      </c>
      <c r="AE186" s="28">
        <v>4</v>
      </c>
      <c r="AF186" s="28">
        <v>2</v>
      </c>
      <c r="AG186" s="28">
        <v>2</v>
      </c>
      <c r="AH186" s="29" t="s">
        <v>456</v>
      </c>
      <c r="AI186" s="36">
        <f>IF(OR(AND(K186&lt;32, J186&lt;2), O186=1, P186=1, Q186=1, R186=1, S186=1, T186=1, U186=1, AND(W186&lt;&gt;"", W186&lt;&gt;"Oxygen", W186&lt;&gt;"LowFlow")), "Intensive", "Intermediate")</f>
      </c>
      <c r="AJ186" s="37">
        <f>IF(OR(LEFT(AH186, 1)="X", LEFT(AH186, 1)="Y", LEFT(AH186, 3)="J54M"), "CUSM", "No Match")</f>
      </c>
      <c r="AK186" s="37">
        <f>IF(AND(OR(O186=3, P186=1, Q186=1, T186=1), AJ186="no Match"), "CUSM, CHU SJ, CHUQ", "")</f>
      </c>
      <c r="AL186" s="37">
        <f>IF(AND(O186=2, ISBLANK(P186), ISBLANK(Q186), ISBLANK(R186), ISBLANK(S186), ISBLANK(T186)), "CUSM, CHU SJ, CHUS, CHUQ", "")</f>
      </c>
      <c r="AM186" s="37">
        <f>IF(AND(AJ186="no match", AK186="", AL186="", K186&lt;26), "CUSM, CHU SJ, HGJ, CHUQ, CHUS", "")</f>
      </c>
      <c r="AN186" s="37">
        <f>IF(AND(AJ186="no match", AK186="", AL186="", K186&gt;26), "CUSM, CHU SJ, HGJ, CHUQ, CHUS, HMR", "")</f>
      </c>
    </row>
    <row x14ac:dyDescent="0.25" r="187" customHeight="1" ht="17.25">
      <c r="A187" s="27" t="s">
        <v>457</v>
      </c>
      <c r="B187" s="28">
        <v>2</v>
      </c>
      <c r="C187" s="28">
        <v>824</v>
      </c>
      <c r="D187" s="29" t="s">
        <v>57</v>
      </c>
      <c r="E187" s="30" t="s">
        <v>50</v>
      </c>
      <c r="F187" s="31">
        <v>44672</v>
      </c>
      <c r="G187" s="32">
        <v>4.469444444444445</v>
      </c>
      <c r="H187" s="31">
        <v>44672</v>
      </c>
      <c r="I187" s="32">
        <v>4.118055555555555</v>
      </c>
      <c r="J187" s="33">
        <f>F187-H187</f>
      </c>
      <c r="K187" s="28">
        <v>39</v>
      </c>
      <c r="L187" s="28">
        <v>6</v>
      </c>
      <c r="M187" s="28">
        <v>1</v>
      </c>
      <c r="N187" s="35">
        <v>1</v>
      </c>
      <c r="O187" s="35">
        <v>2</v>
      </c>
      <c r="P187" s="35">
        <v>1</v>
      </c>
      <c r="Q187" s="35">
        <v>1</v>
      </c>
      <c r="R187" s="34"/>
      <c r="S187" s="34"/>
      <c r="T187" s="34"/>
      <c r="U187" s="35">
        <v>1</v>
      </c>
      <c r="V187" s="35">
        <v>1</v>
      </c>
      <c r="W187" s="29" t="s">
        <v>74</v>
      </c>
      <c r="X187" s="28">
        <v>31</v>
      </c>
      <c r="Y187" s="28">
        <v>1</v>
      </c>
      <c r="Z187" s="28">
        <v>1</v>
      </c>
      <c r="AA187" s="28">
        <v>1</v>
      </c>
      <c r="AB187" s="28">
        <v>1</v>
      </c>
      <c r="AC187" s="28">
        <v>2</v>
      </c>
      <c r="AD187" s="28">
        <v>1</v>
      </c>
      <c r="AE187" s="28">
        <v>4</v>
      </c>
      <c r="AF187" s="28">
        <v>3</v>
      </c>
      <c r="AG187" s="28">
        <v>2</v>
      </c>
      <c r="AH187" s="29" t="s">
        <v>458</v>
      </c>
      <c r="AI187" s="36">
        <f>IF(OR(AND(K187&lt;32, J187&lt;2), O187=1, P187=1, Q187=1, R187=1, S187=1, T187=1, U187=1, AND(W187&lt;&gt;"", W187&lt;&gt;"Oxygen", W187&lt;&gt;"LowFlow")), "Intensive", "Intermediate")</f>
      </c>
      <c r="AJ187" s="37">
        <f>IF(OR(LEFT(AH187, 1)="X", LEFT(AH187, 1)="Y", LEFT(AH187, 3)="J55M"), "CUSM", "No Match")</f>
      </c>
      <c r="AK187" s="37">
        <f>IF(AND(OR(O187=3, P187=1, Q187=1, T187=1), AJ187="no Match"), "CUSM, CHU SJ, CHUQ", "")</f>
      </c>
      <c r="AL187" s="37">
        <f>IF(AND(O187=2, ISBLANK(P187), ISBLANK(Q187), ISBLANK(R187), ISBLANK(S187), ISBLANK(T187)), "CUSM, CHU SJ, CHUS, CHUQ", "")</f>
      </c>
      <c r="AM187" s="37">
        <f>IF(AND(AJ187="no match", AK187="", AL187="", K187&lt;26), "CUSM, CHU SJ, HGJ, CHUQ, CHUS", "")</f>
      </c>
      <c r="AN187" s="37">
        <f>IF(AND(AJ187="no match", AK187="", AL187="", K187&gt;26), "CUSM, CHU SJ, HGJ, CHUQ, CHUS, HMR", "")</f>
      </c>
    </row>
    <row x14ac:dyDescent="0.25" r="188" customHeight="1" ht="17.25">
      <c r="A188" s="27" t="s">
        <v>459</v>
      </c>
      <c r="B188" s="28">
        <v>2</v>
      </c>
      <c r="C188" s="28">
        <v>1019</v>
      </c>
      <c r="D188" s="29" t="s">
        <v>354</v>
      </c>
      <c r="E188" s="30" t="s">
        <v>50</v>
      </c>
      <c r="F188" s="31">
        <v>44674</v>
      </c>
      <c r="G188" s="32">
        <v>4.333333333333334</v>
      </c>
      <c r="H188" s="31">
        <v>44674</v>
      </c>
      <c r="I188" s="32">
        <v>4.126388888888889</v>
      </c>
      <c r="J188" s="33">
        <f>F188-H188</f>
      </c>
      <c r="K188" s="28">
        <v>41</v>
      </c>
      <c r="L188" s="28">
        <v>4</v>
      </c>
      <c r="M188" s="28">
        <v>2</v>
      </c>
      <c r="N188" s="38"/>
      <c r="O188" s="34"/>
      <c r="P188" s="34"/>
      <c r="Q188" s="34"/>
      <c r="R188" s="34"/>
      <c r="S188" s="34"/>
      <c r="T188" s="35">
        <v>1</v>
      </c>
      <c r="U188" s="34"/>
      <c r="V188" s="34"/>
      <c r="W188" s="29" t="s">
        <v>74</v>
      </c>
      <c r="X188" s="28">
        <v>26</v>
      </c>
      <c r="Y188" s="28">
        <v>1</v>
      </c>
      <c r="Z188" s="28">
        <v>1</v>
      </c>
      <c r="AA188" s="28">
        <v>1</v>
      </c>
      <c r="AB188" s="28">
        <v>2</v>
      </c>
      <c r="AC188" s="28">
        <v>2</v>
      </c>
      <c r="AD188" s="28">
        <v>2</v>
      </c>
      <c r="AE188" s="28">
        <v>1</v>
      </c>
      <c r="AF188" s="38"/>
      <c r="AG188" s="28">
        <v>2</v>
      </c>
      <c r="AH188" s="29" t="s">
        <v>460</v>
      </c>
      <c r="AI188" s="36">
        <f>IF(OR(AND(K188&lt;32, J188&lt;2), O188=1, P188=1, Q188=1, R188=1, S188=1, T188=1, U188=1, AND(W188&lt;&gt;"", W188&lt;&gt;"Oxygen", W188&lt;&gt;"LowFlow")), "Intensive", "Intermediate")</f>
      </c>
      <c r="AJ188" s="37">
        <f>IF(OR(LEFT(AH188, 1)="X", LEFT(AH188, 1)="Y", LEFT(AH188, 3)="J56M"), "CUSM", "No Match")</f>
      </c>
      <c r="AK188" s="37">
        <f>IF(AND(OR(O188=3, P188=1, Q188=1, T188=1), AJ188="no Match"), "CUSM, CHU SJ, CHUQ", "")</f>
      </c>
      <c r="AL188" s="37">
        <f>IF(AND(O188=2, ISBLANK(P188), ISBLANK(Q188), ISBLANK(R188), ISBLANK(S188), ISBLANK(T188)), "CUSM, CHU SJ, CHUS, CHUQ", "")</f>
      </c>
      <c r="AM188" s="37">
        <f>IF(AND(AJ188="no match", AK188="", AL188="", K188&lt;26), "CUSM, CHU SJ, HGJ, CHUQ, CHUS", "")</f>
      </c>
      <c r="AN188" s="37">
        <f>IF(AND(AJ188="no match", AK188="", AL188="", K188&gt;26), "CUSM, CHU SJ, HGJ, CHUQ, CHUS, HMR", "")</f>
      </c>
    </row>
    <row x14ac:dyDescent="0.25" r="189" customHeight="1" ht="17.25">
      <c r="A189" s="27" t="s">
        <v>461</v>
      </c>
      <c r="B189" s="28">
        <v>2</v>
      </c>
      <c r="C189" s="35">
        <v>779</v>
      </c>
      <c r="D189" s="29" t="s">
        <v>136</v>
      </c>
      <c r="E189" s="30" t="s">
        <v>50</v>
      </c>
      <c r="F189" s="31">
        <v>44674</v>
      </c>
      <c r="G189" s="32">
        <v>4.899305555555555</v>
      </c>
      <c r="H189" s="31">
        <v>44672</v>
      </c>
      <c r="I189" s="32">
        <v>4.686805555555555</v>
      </c>
      <c r="J189" s="33">
        <f>F189-H189</f>
      </c>
      <c r="K189" s="28">
        <v>31</v>
      </c>
      <c r="L189" s="28">
        <v>0</v>
      </c>
      <c r="M189" s="28">
        <v>1</v>
      </c>
      <c r="N189" s="34"/>
      <c r="O189" s="34"/>
      <c r="P189" s="34"/>
      <c r="Q189" s="34"/>
      <c r="R189" s="34"/>
      <c r="S189" s="34"/>
      <c r="T189" s="34"/>
      <c r="U189" s="34"/>
      <c r="V189" s="34"/>
      <c r="W189" s="29" t="s">
        <v>58</v>
      </c>
      <c r="X189" s="28">
        <v>25</v>
      </c>
      <c r="Y189" s="28">
        <v>1</v>
      </c>
      <c r="Z189" s="28">
        <v>1</v>
      </c>
      <c r="AA189" s="28">
        <v>3</v>
      </c>
      <c r="AB189" s="28">
        <v>1</v>
      </c>
      <c r="AC189" s="28">
        <v>2</v>
      </c>
      <c r="AD189" s="28">
        <v>2</v>
      </c>
      <c r="AE189" s="28">
        <v>4</v>
      </c>
      <c r="AF189" s="28">
        <v>2</v>
      </c>
      <c r="AG189" s="28">
        <v>2</v>
      </c>
      <c r="AH189" s="29" t="s">
        <v>462</v>
      </c>
      <c r="AI189" s="36">
        <f>IF(OR(AND(K189&lt;32, J189&lt;2), O189=1, P189=1, Q189=1, R189=1, S189=1, T189=1, U189=1, AND(W189&lt;&gt;"", W189&lt;&gt;"Oxygen", W189&lt;&gt;"LowFlow")), "Intensive", "Intermediate")</f>
      </c>
      <c r="AJ189" s="37">
        <f>IF(OR(LEFT(AH189, 1)="X", LEFT(AH189, 1)="Y", LEFT(AH189, 3)="J57M"), "CUSM", "No Match")</f>
      </c>
      <c r="AK189" s="37">
        <f>IF(AND(OR(O189=3, P189=1, Q189=1, T189=1), AJ189="no Match"), "CUSM, CHU SJ, CHUQ", "")</f>
      </c>
      <c r="AL189" s="37">
        <f>IF(AND(O189=2, ISBLANK(P189), ISBLANK(Q189), ISBLANK(R189), ISBLANK(S189), ISBLANK(T189)), "CUSM, CHU SJ, CHUS, CHUQ", "")</f>
      </c>
      <c r="AM189" s="37">
        <f>IF(AND(AJ189="no match", AK189="", AL189="", K189&lt;26), "CUSM, CHU SJ, HGJ, CHUQ, CHUS", "")</f>
      </c>
      <c r="AN189" s="37">
        <f>IF(AND(AJ189="no match", AK189="", AL189="", K189&gt;26), "CUSM, CHU SJ, HGJ, CHUQ, CHUS, HMR", "")</f>
      </c>
    </row>
    <row x14ac:dyDescent="0.25" r="190" customHeight="1" ht="17.25">
      <c r="A190" s="27" t="s">
        <v>463</v>
      </c>
      <c r="B190" s="28">
        <v>2</v>
      </c>
      <c r="C190" s="35">
        <v>824</v>
      </c>
      <c r="D190" s="29" t="s">
        <v>57</v>
      </c>
      <c r="E190" s="30" t="s">
        <v>54</v>
      </c>
      <c r="F190" s="31">
        <v>44675</v>
      </c>
      <c r="G190" s="32">
        <v>4.555555555555555</v>
      </c>
      <c r="H190" s="31">
        <v>44674</v>
      </c>
      <c r="I190" s="32">
        <v>4.120833333333334</v>
      </c>
      <c r="J190" s="33">
        <f>F190-H190</f>
      </c>
      <c r="K190" s="28">
        <v>37</v>
      </c>
      <c r="L190" s="28">
        <v>2</v>
      </c>
      <c r="M190" s="28">
        <v>2</v>
      </c>
      <c r="N190" s="35">
        <v>1</v>
      </c>
      <c r="O190" s="35">
        <v>2</v>
      </c>
      <c r="P190" s="35">
        <v>1</v>
      </c>
      <c r="Q190" s="34"/>
      <c r="R190" s="34"/>
      <c r="S190" s="34"/>
      <c r="T190" s="34"/>
      <c r="U190" s="34"/>
      <c r="V190" s="34"/>
      <c r="W190" s="29" t="s">
        <v>58</v>
      </c>
      <c r="X190" s="28">
        <v>31</v>
      </c>
      <c r="Y190" s="28">
        <v>1</v>
      </c>
      <c r="Z190" s="28">
        <v>1</v>
      </c>
      <c r="AA190" s="28">
        <v>1</v>
      </c>
      <c r="AB190" s="28">
        <v>2</v>
      </c>
      <c r="AC190" s="28">
        <v>2</v>
      </c>
      <c r="AD190" s="28">
        <v>2</v>
      </c>
      <c r="AE190" s="28">
        <v>4</v>
      </c>
      <c r="AF190" s="28">
        <v>2</v>
      </c>
      <c r="AG190" s="28">
        <v>2</v>
      </c>
      <c r="AH190" s="29" t="s">
        <v>464</v>
      </c>
      <c r="AI190" s="36">
        <f>IF(OR(AND(K190&lt;32, J190&lt;2), O190=1, P190=1, Q190=1, R190=1, S190=1, T190=1, U190=1, AND(W190&lt;&gt;"", W190&lt;&gt;"Oxygen", W190&lt;&gt;"LowFlow")), "Intensive", "Intermediate")</f>
      </c>
      <c r="AJ190" s="37">
        <f>IF(OR(LEFT(AH190, 1)="X", LEFT(AH190, 1)="Y", LEFT(AH190, 3)="J58M"), "CUSM", "No Match")</f>
      </c>
      <c r="AK190" s="37">
        <f>IF(AND(OR(O190=3, P190=1, Q190=1, T190=1), AJ190="no Match"), "CUSM, CHU SJ, CHUQ", "")</f>
      </c>
      <c r="AL190" s="37">
        <f>IF(AND(O190=2, ISBLANK(P190), ISBLANK(Q190), ISBLANK(R190), ISBLANK(S190), ISBLANK(T190)), "CUSM, CHU SJ, CHUS, CHUQ", "")</f>
      </c>
      <c r="AM190" s="37">
        <f>IF(AND(AJ190="no match", AK190="", AL190="", K190&lt;26), "CUSM, CHU SJ, HGJ, CHUQ, CHUS", "")</f>
      </c>
      <c r="AN190" s="37">
        <f>IF(AND(AJ190="no match", AK190="", AL190="", K190&gt;26), "CUSM, CHU SJ, HGJ, CHUQ, CHUS, HMR", "")</f>
      </c>
    </row>
    <row x14ac:dyDescent="0.25" r="191" customHeight="1" ht="17.25">
      <c r="A191" s="27" t="s">
        <v>465</v>
      </c>
      <c r="B191" s="28">
        <v>2</v>
      </c>
      <c r="C191" s="28">
        <v>833</v>
      </c>
      <c r="D191" s="29" t="s">
        <v>376</v>
      </c>
      <c r="E191" s="30" t="s">
        <v>50</v>
      </c>
      <c r="F191" s="31">
        <v>44675</v>
      </c>
      <c r="G191" s="32">
        <v>4.364583333333334</v>
      </c>
      <c r="H191" s="31">
        <v>44675</v>
      </c>
      <c r="I191" s="32">
        <v>4.170833333333333</v>
      </c>
      <c r="J191" s="33">
        <f>F191-H191</f>
      </c>
      <c r="K191" s="28">
        <v>37</v>
      </c>
      <c r="L191" s="28">
        <v>5</v>
      </c>
      <c r="M191" s="28">
        <v>2</v>
      </c>
      <c r="N191" s="34"/>
      <c r="O191" s="34"/>
      <c r="P191" s="34"/>
      <c r="Q191" s="34"/>
      <c r="R191" s="34"/>
      <c r="S191" s="34"/>
      <c r="T191" s="28">
        <v>1</v>
      </c>
      <c r="U191" s="34"/>
      <c r="V191" s="34"/>
      <c r="W191" s="29" t="s">
        <v>74</v>
      </c>
      <c r="X191" s="28">
        <v>18</v>
      </c>
      <c r="Y191" s="28">
        <v>1</v>
      </c>
      <c r="Z191" s="28">
        <v>2</v>
      </c>
      <c r="AA191" s="28">
        <v>1</v>
      </c>
      <c r="AB191" s="28">
        <v>1</v>
      </c>
      <c r="AC191" s="28">
        <v>2</v>
      </c>
      <c r="AD191" s="28">
        <v>2</v>
      </c>
      <c r="AE191" s="28">
        <v>1</v>
      </c>
      <c r="AF191" s="28">
        <v>2</v>
      </c>
      <c r="AG191" s="28">
        <v>2</v>
      </c>
      <c r="AH191" s="29" t="s">
        <v>466</v>
      </c>
      <c r="AI191" s="36">
        <f>IF(OR(AND(K191&lt;32, J191&lt;2), O191=1, P191=1, Q191=1, R191=1, S191=1, T191=1, U191=1, AND(W191&lt;&gt;"", W191&lt;&gt;"Oxygen", W191&lt;&gt;"LowFlow")), "Intensive", "Intermediate")</f>
      </c>
      <c r="AJ191" s="37">
        <f>IF(OR(LEFT(AH191, 1)="X", LEFT(AH191, 1)="Y", LEFT(AH191, 3)="J59M"), "CUSM", "No Match")</f>
      </c>
      <c r="AK191" s="37">
        <f>IF(AND(OR(O191=3, P191=1, Q191=1, T191=1), AJ191="no Match"), "CUSM, CHU SJ, CHUQ", "")</f>
      </c>
      <c r="AL191" s="37">
        <f>IF(AND(O191=2, ISBLANK(P191), ISBLANK(Q191), ISBLANK(R191), ISBLANK(S191), ISBLANK(T191)), "CUSM, CHU SJ, CHUS, CHUQ", "")</f>
      </c>
      <c r="AM191" s="37">
        <f>IF(AND(AJ191="no match", AK191="", AL191="", K191&lt;26), "CUSM, CHU SJ, HGJ, CHUQ, CHUS", "")</f>
      </c>
      <c r="AN191" s="37">
        <f>IF(AND(AJ191="no match", AK191="", AL191="", K191&gt;26), "CUSM, CHU SJ, HGJ, CHUQ, CHUS, HMR", "")</f>
      </c>
    </row>
    <row x14ac:dyDescent="0.25" r="192" customHeight="1" ht="17.25">
      <c r="A192" s="27" t="s">
        <v>467</v>
      </c>
      <c r="B192" s="28">
        <v>2</v>
      </c>
      <c r="C192" s="28">
        <v>768</v>
      </c>
      <c r="D192" s="29" t="s">
        <v>160</v>
      </c>
      <c r="E192" s="30" t="s">
        <v>118</v>
      </c>
      <c r="F192" s="31">
        <v>44676</v>
      </c>
      <c r="G192" s="32">
        <v>4.888888888888889</v>
      </c>
      <c r="H192" s="31">
        <v>44676</v>
      </c>
      <c r="I192" s="32">
        <v>4.634027777777778</v>
      </c>
      <c r="J192" s="33">
        <f>F192-H192</f>
      </c>
      <c r="K192" s="28">
        <v>34</v>
      </c>
      <c r="L192" s="28">
        <v>5</v>
      </c>
      <c r="M192" s="28">
        <v>1</v>
      </c>
      <c r="N192" s="34"/>
      <c r="O192" s="34"/>
      <c r="P192" s="34"/>
      <c r="Q192" s="34"/>
      <c r="R192" s="34"/>
      <c r="S192" s="34"/>
      <c r="T192" s="35">
        <v>1</v>
      </c>
      <c r="U192" s="34"/>
      <c r="V192" s="35">
        <v>1</v>
      </c>
      <c r="W192" s="29" t="s">
        <v>74</v>
      </c>
      <c r="X192" s="28">
        <v>31</v>
      </c>
      <c r="Y192" s="28">
        <v>1</v>
      </c>
      <c r="Z192" s="28">
        <v>1</v>
      </c>
      <c r="AA192" s="28">
        <v>1</v>
      </c>
      <c r="AB192" s="28">
        <v>1</v>
      </c>
      <c r="AC192" s="28">
        <v>2</v>
      </c>
      <c r="AD192" s="28">
        <v>2</v>
      </c>
      <c r="AE192" s="28">
        <v>4</v>
      </c>
      <c r="AF192" s="28">
        <v>2</v>
      </c>
      <c r="AG192" s="28">
        <v>2</v>
      </c>
      <c r="AH192" s="29" t="s">
        <v>468</v>
      </c>
      <c r="AI192" s="36">
        <f>IF(OR(AND(K192&lt;32, J192&lt;2), O192=1, P192=1, Q192=1, R192=1, S192=1, T192=1, U192=1, AND(W192&lt;&gt;"", W192&lt;&gt;"Oxygen", W192&lt;&gt;"LowFlow")), "Intensive", "Intermediate")</f>
      </c>
      <c r="AJ192" s="37">
        <f>IF(OR(LEFT(AH192, 1)="X", LEFT(AH192, 1)="Y", LEFT(AH192, 3)="J60M"), "CUSM", "No Match")</f>
      </c>
      <c r="AK192" s="37">
        <f>IF(AND(OR(O192=3, P192=1, Q192=1, T192=1), AJ192="no Match"), "CUSM, CHU SJ, CHUQ", "")</f>
      </c>
      <c r="AL192" s="37">
        <f>IF(AND(O192=2, ISBLANK(P192), ISBLANK(Q192), ISBLANK(R192), ISBLANK(S192), ISBLANK(T192)), "CUSM, CHU SJ, CHUS, CHUQ", "")</f>
      </c>
      <c r="AM192" s="37">
        <f>IF(AND(AJ192="no match", AK192="", AL192="", K192&lt;26), "CUSM, CHU SJ, HGJ, CHUQ, CHUS", "")</f>
      </c>
      <c r="AN192" s="37">
        <f>IF(AND(AJ192="no match", AK192="", AL192="", K192&gt;26), "CUSM, CHU SJ, HGJ, CHUQ, CHUS, HMR", "")</f>
      </c>
    </row>
    <row x14ac:dyDescent="0.25" r="193" customHeight="1" ht="17.25">
      <c r="A193" s="27" t="s">
        <v>469</v>
      </c>
      <c r="B193" s="28">
        <v>2</v>
      </c>
      <c r="C193" s="28">
        <v>756</v>
      </c>
      <c r="D193" s="29" t="s">
        <v>66</v>
      </c>
      <c r="E193" s="30" t="s">
        <v>50</v>
      </c>
      <c r="F193" s="31">
        <v>44676</v>
      </c>
      <c r="G193" s="32">
        <v>4.166666666666666</v>
      </c>
      <c r="H193" s="31">
        <v>44676</v>
      </c>
      <c r="I193" s="32">
        <v>4.0256944444444445</v>
      </c>
      <c r="J193" s="33">
        <f>F193-H193</f>
      </c>
      <c r="K193" s="28">
        <v>39</v>
      </c>
      <c r="L193" s="28">
        <v>4</v>
      </c>
      <c r="M193" s="28">
        <v>1</v>
      </c>
      <c r="N193" s="34"/>
      <c r="O193" s="34"/>
      <c r="P193" s="34"/>
      <c r="Q193" s="34"/>
      <c r="R193" s="34"/>
      <c r="S193" s="34"/>
      <c r="T193" s="35">
        <v>1</v>
      </c>
      <c r="U193" s="34"/>
      <c r="V193" s="34"/>
      <c r="W193" s="29" t="s">
        <v>74</v>
      </c>
      <c r="X193" s="28">
        <v>23</v>
      </c>
      <c r="Y193" s="28">
        <v>1</v>
      </c>
      <c r="Z193" s="28">
        <v>2</v>
      </c>
      <c r="AA193" s="28">
        <v>1</v>
      </c>
      <c r="AB193" s="28">
        <v>1</v>
      </c>
      <c r="AC193" s="28">
        <v>2</v>
      </c>
      <c r="AD193" s="28">
        <v>2</v>
      </c>
      <c r="AE193" s="28">
        <v>2</v>
      </c>
      <c r="AF193" s="35">
        <v>2</v>
      </c>
      <c r="AG193" s="28">
        <v>2</v>
      </c>
      <c r="AH193" s="29" t="s">
        <v>470</v>
      </c>
      <c r="AI193" s="36">
        <f>IF(OR(AND(K193&lt;32, J193&lt;2), O193=1, P193=1, Q193=1, R193=1, S193=1, T193=1, U193=1, AND(W193&lt;&gt;"", W193&lt;&gt;"Oxygen", W193&lt;&gt;"LowFlow")), "Intensive", "Intermediate")</f>
      </c>
      <c r="AJ193" s="37">
        <f>IF(OR(LEFT(AH193, 1)="X", LEFT(AH193, 1)="Y", LEFT(AH193, 3)="J61M"), "CUSM", "No Match")</f>
      </c>
      <c r="AK193" s="37">
        <f>IF(AND(OR(O193=3, P193=1, Q193=1, T193=1), AJ193="no Match"), "CUSM, CHU SJ, CHUQ", "")</f>
      </c>
      <c r="AL193" s="37">
        <f>IF(AND(O193=2, ISBLANK(P193), ISBLANK(Q193), ISBLANK(R193), ISBLANK(S193), ISBLANK(T193)), "CUSM, CHU SJ, CHUS, CHUQ", "")</f>
      </c>
      <c r="AM193" s="37">
        <f>IF(AND(AJ193="no match", AK193="", AL193="", K193&lt;26), "CUSM, CHU SJ, HGJ, CHUQ, CHUS", "")</f>
      </c>
      <c r="AN193" s="37">
        <f>IF(AND(AJ193="no match", AK193="", AL193="", K193&gt;26), "CUSM, CHU SJ, HGJ, CHUQ, CHUS, HMR", "")</f>
      </c>
    </row>
    <row x14ac:dyDescent="0.25" r="194" customHeight="1" ht="17.25">
      <c r="A194" s="27" t="s">
        <v>471</v>
      </c>
      <c r="B194" s="28">
        <v>2</v>
      </c>
      <c r="C194" s="28">
        <v>831</v>
      </c>
      <c r="D194" s="29" t="s">
        <v>313</v>
      </c>
      <c r="E194" s="30" t="s">
        <v>50</v>
      </c>
      <c r="F194" s="31">
        <v>44676</v>
      </c>
      <c r="G194" s="32">
        <v>4.913194444444445</v>
      </c>
      <c r="H194" s="31">
        <v>44670</v>
      </c>
      <c r="I194" s="32">
        <v>4.052777777777777</v>
      </c>
      <c r="J194" s="33">
        <f>F194-H194</f>
      </c>
      <c r="K194" s="28">
        <v>37</v>
      </c>
      <c r="L194" s="28">
        <v>6</v>
      </c>
      <c r="M194" s="28">
        <v>2</v>
      </c>
      <c r="N194" s="28">
        <v>1</v>
      </c>
      <c r="O194" s="34"/>
      <c r="P194" s="28">
        <v>1</v>
      </c>
      <c r="Q194" s="34"/>
      <c r="R194" s="34"/>
      <c r="S194" s="34"/>
      <c r="T194" s="34"/>
      <c r="U194" s="34"/>
      <c r="V194" s="34"/>
      <c r="W194" s="29"/>
      <c r="X194" s="28">
        <v>25</v>
      </c>
      <c r="Y194" s="28">
        <v>1</v>
      </c>
      <c r="Z194" s="28">
        <v>1</v>
      </c>
      <c r="AA194" s="28">
        <v>2</v>
      </c>
      <c r="AB194" s="28">
        <v>1</v>
      </c>
      <c r="AC194" s="28">
        <v>2</v>
      </c>
      <c r="AD194" s="28">
        <v>2</v>
      </c>
      <c r="AE194" s="28">
        <v>4</v>
      </c>
      <c r="AF194" s="28">
        <v>2</v>
      </c>
      <c r="AG194" s="28">
        <v>2</v>
      </c>
      <c r="AH194" s="29" t="s">
        <v>472</v>
      </c>
      <c r="AI194" s="36">
        <f>IF(OR(AND(K194&lt;32, J194&lt;2), O194=1, P194=1, Q194=1, R194=1, S194=1, T194=1, U194=1, AND(W194&lt;&gt;"", W194&lt;&gt;"Oxygen", W194&lt;&gt;"LowFlow")), "Intensive", "Intermediate")</f>
      </c>
      <c r="AJ194" s="37">
        <f>IF(OR(LEFT(AH194, 1)="X", LEFT(AH194, 1)="Y", LEFT(AH194, 3)="J62M"), "CUSM", "No Match")</f>
      </c>
      <c r="AK194" s="37">
        <f>IF(AND(OR(O194=3, P194=1, Q194=1, T194=1), AJ194="no Match"), "CUSM, CHU SJ, CHUQ", "")</f>
      </c>
      <c r="AL194" s="37">
        <f>IF(AND(O194=2, ISBLANK(P194), ISBLANK(Q194), ISBLANK(R194), ISBLANK(S194), ISBLANK(T194)), "CUSM, CHU SJ, CHUS, CHUQ", "")</f>
      </c>
      <c r="AM194" s="37">
        <f>IF(AND(AJ194="no match", AK194="", AL194="", K194&lt;26), "CUSM, CHU SJ, HGJ, CHUQ, CHUS", "")</f>
      </c>
      <c r="AN194" s="37">
        <f>IF(AND(AJ194="no match", AK194="", AL194="", K194&gt;26), "CUSM, CHU SJ, HGJ, CHUQ, CHUS, HMR", "")</f>
      </c>
    </row>
    <row x14ac:dyDescent="0.25" r="195" customHeight="1" ht="17.25">
      <c r="A195" s="27" t="s">
        <v>473</v>
      </c>
      <c r="B195" s="28">
        <v>2</v>
      </c>
      <c r="C195" s="35">
        <v>779</v>
      </c>
      <c r="D195" s="29" t="s">
        <v>136</v>
      </c>
      <c r="E195" s="30" t="s">
        <v>50</v>
      </c>
      <c r="F195" s="31">
        <v>44677</v>
      </c>
      <c r="G195" s="32">
        <v>4.756944444444445</v>
      </c>
      <c r="H195" s="31">
        <v>44663</v>
      </c>
      <c r="I195" s="32">
        <v>4.216666666666667</v>
      </c>
      <c r="J195" s="33">
        <f>F195-H195</f>
      </c>
      <c r="K195" s="28">
        <v>35</v>
      </c>
      <c r="L195" s="28">
        <v>5</v>
      </c>
      <c r="M195" s="28">
        <v>1</v>
      </c>
      <c r="N195" s="34"/>
      <c r="O195" s="34"/>
      <c r="P195" s="34"/>
      <c r="Q195" s="34"/>
      <c r="R195" s="34"/>
      <c r="S195" s="34"/>
      <c r="T195" s="34"/>
      <c r="U195" s="34"/>
      <c r="V195" s="34"/>
      <c r="W195" s="29"/>
      <c r="X195" s="28">
        <v>34</v>
      </c>
      <c r="Y195" s="28">
        <v>1</v>
      </c>
      <c r="Z195" s="28">
        <v>1</v>
      </c>
      <c r="AA195" s="28">
        <v>3</v>
      </c>
      <c r="AB195" s="28">
        <v>4</v>
      </c>
      <c r="AC195" s="28">
        <v>2</v>
      </c>
      <c r="AD195" s="28">
        <v>2</v>
      </c>
      <c r="AE195" s="28">
        <v>4</v>
      </c>
      <c r="AF195" s="28">
        <v>3</v>
      </c>
      <c r="AG195" s="28">
        <v>2</v>
      </c>
      <c r="AH195" s="29" t="s">
        <v>474</v>
      </c>
      <c r="AI195" s="36">
        <f>IF(OR(AND(K195&lt;32, J195&lt;2), O195=1, P195=1, Q195=1, R195=1, S195=1, T195=1, U195=1, AND(W195&lt;&gt;"", W195&lt;&gt;"Oxygen", W195&lt;&gt;"LowFlow")), "Intensive", "Intermediate")</f>
      </c>
      <c r="AJ195" s="37">
        <f>IF(OR(LEFT(AH195, 1)="X", LEFT(AH195, 1)="Y", LEFT(AH195, 3)="J63M"), "CUSM", "No Match")</f>
      </c>
      <c r="AK195" s="37">
        <f>IF(AND(OR(O195=3, P195=1, Q195=1, T195=1), AJ195="no Match"), "CUSM, CHU SJ, CHUQ", "")</f>
      </c>
      <c r="AL195" s="37">
        <f>IF(AND(O195=2, ISBLANK(P195), ISBLANK(Q195), ISBLANK(R195), ISBLANK(S195), ISBLANK(T195)), "CUSM, CHU SJ, CHUS, CHUQ", "")</f>
      </c>
      <c r="AM195" s="37">
        <f>IF(AND(AJ195="no match", AK195="", AL195="", K195&lt;26), "CUSM, CHU SJ, HGJ, CHUQ, CHUS", "")</f>
      </c>
      <c r="AN195" s="37">
        <f>IF(AND(AJ195="no match", AK195="", AL195="", K195&gt;26), "CUSM, CHU SJ, HGJ, CHUQ, CHUS, HMR", "")</f>
      </c>
    </row>
    <row x14ac:dyDescent="0.25" r="196" customHeight="1" ht="17.25">
      <c r="A196" s="27" t="s">
        <v>475</v>
      </c>
      <c r="B196" s="28">
        <v>2</v>
      </c>
      <c r="C196" s="35">
        <v>6</v>
      </c>
      <c r="D196" s="29" t="s">
        <v>131</v>
      </c>
      <c r="E196" s="30" t="s">
        <v>50</v>
      </c>
      <c r="F196" s="31">
        <v>44677</v>
      </c>
      <c r="G196" s="32">
        <v>4.902777777777778</v>
      </c>
      <c r="H196" s="31">
        <v>44676</v>
      </c>
      <c r="I196" s="32">
        <v>4.168055555555556</v>
      </c>
      <c r="J196" s="33">
        <f>F196-H196</f>
      </c>
      <c r="K196" s="28">
        <v>40</v>
      </c>
      <c r="L196" s="28">
        <v>0</v>
      </c>
      <c r="M196" s="28">
        <v>1</v>
      </c>
      <c r="N196" s="34"/>
      <c r="O196" s="34"/>
      <c r="P196" s="34"/>
      <c r="Q196" s="34"/>
      <c r="R196" s="34"/>
      <c r="S196" s="34"/>
      <c r="T196" s="34"/>
      <c r="U196" s="34"/>
      <c r="V196" s="34"/>
      <c r="W196" s="29"/>
      <c r="X196" s="28">
        <v>24</v>
      </c>
      <c r="Y196" s="28">
        <v>1</v>
      </c>
      <c r="Z196" s="28">
        <v>1</v>
      </c>
      <c r="AA196" s="28">
        <v>3</v>
      </c>
      <c r="AB196" s="28">
        <v>1</v>
      </c>
      <c r="AC196" s="28">
        <v>2</v>
      </c>
      <c r="AD196" s="28">
        <v>2</v>
      </c>
      <c r="AE196" s="28">
        <v>4</v>
      </c>
      <c r="AF196" s="28">
        <v>3</v>
      </c>
      <c r="AG196" s="28">
        <v>2</v>
      </c>
      <c r="AH196" s="29" t="s">
        <v>476</v>
      </c>
      <c r="AI196" s="36">
        <f>IF(OR(AND(K196&lt;32, J196&lt;2), O196=1, P196=1, Q196=1, R196=1, S196=1, T196=1, U196=1, AND(W196&lt;&gt;"", W196&lt;&gt;"Oxygen", W196&lt;&gt;"LowFlow")), "Intensive", "Intermediate")</f>
      </c>
      <c r="AJ196" s="37">
        <f>IF(OR(LEFT(AH196, 1)="X", LEFT(AH196, 1)="Y", LEFT(AH196, 3)="J0M"), "CUSM", "No Match")</f>
      </c>
      <c r="AK196" s="37">
        <f>IF(AND(OR(O196=3, P196=1, Q196=1, T196=1), AJ196="no Match"), "CUSM, CHU SJ, CHUQ", "")</f>
      </c>
      <c r="AL196" s="37">
        <f>IF(AND(O196=2, ISBLANK(P196), ISBLANK(Q196), ISBLANK(R196), ISBLANK(S196), ISBLANK(T196)), "CUSM, CHU SJ, CHUS, CHUQ", "")</f>
      </c>
      <c r="AM196" s="37">
        <f>IF(AND(AJ196="no match", AK196="", AL196="", K196&lt;26), "CUSM, CHU SJ, HGJ, CHUQ, CHUS", "")</f>
      </c>
      <c r="AN196" s="37">
        <f>IF(AND(AJ196="no match", AK196="", AL196="", K196&gt;26), "CUSM, CHU SJ, HGJ, CHUQ, CHUS, HMR", "")</f>
      </c>
    </row>
    <row x14ac:dyDescent="0.25" r="197" customHeight="1" ht="17.25">
      <c r="A197" s="27" t="s">
        <v>477</v>
      </c>
      <c r="B197" s="28">
        <v>2</v>
      </c>
      <c r="C197" s="28">
        <v>782</v>
      </c>
      <c r="D197" s="29" t="s">
        <v>95</v>
      </c>
      <c r="E197" s="30" t="s">
        <v>50</v>
      </c>
      <c r="F197" s="31">
        <v>44678</v>
      </c>
      <c r="G197" s="32">
        <v>4.715277777777778</v>
      </c>
      <c r="H197" s="31">
        <v>44678</v>
      </c>
      <c r="I197" s="32">
        <v>4.554166666666667</v>
      </c>
      <c r="J197" s="33">
        <f>F197-H197</f>
      </c>
      <c r="K197" s="28">
        <v>41</v>
      </c>
      <c r="L197" s="28">
        <v>0</v>
      </c>
      <c r="M197" s="28">
        <v>1</v>
      </c>
      <c r="N197" s="28">
        <v>1</v>
      </c>
      <c r="O197" s="34"/>
      <c r="P197" s="28">
        <v>1</v>
      </c>
      <c r="Q197" s="38"/>
      <c r="R197" s="34"/>
      <c r="S197" s="34"/>
      <c r="T197" s="34"/>
      <c r="U197" s="34"/>
      <c r="V197" s="38"/>
      <c r="W197" s="29" t="s">
        <v>58</v>
      </c>
      <c r="X197" s="28">
        <v>31</v>
      </c>
      <c r="Y197" s="28">
        <v>1</v>
      </c>
      <c r="Z197" s="28">
        <v>2</v>
      </c>
      <c r="AA197" s="28">
        <v>2</v>
      </c>
      <c r="AB197" s="28">
        <v>1</v>
      </c>
      <c r="AC197" s="28">
        <v>2</v>
      </c>
      <c r="AD197" s="28">
        <v>2</v>
      </c>
      <c r="AE197" s="28">
        <v>4</v>
      </c>
      <c r="AF197" s="28">
        <v>2</v>
      </c>
      <c r="AG197" s="28">
        <v>2</v>
      </c>
      <c r="AH197" s="29" t="s">
        <v>478</v>
      </c>
      <c r="AI197" s="36">
        <f>IF(OR(AND(K197&lt;32, J197&lt;2), O197=1, P197=1, Q197=1, R197=1, S197=1, T197=1, U197=1, AND(W197&lt;&gt;"", W197&lt;&gt;"Oxygen", W197&lt;&gt;"LowFlow")), "Intensive", "Intermediate")</f>
      </c>
      <c r="AJ197" s="37">
        <f>IF(OR(LEFT(AH197, 1)="X", LEFT(AH197, 1)="Y", LEFT(AH197, 3)="J1M"), "CUSM", "No Match")</f>
      </c>
      <c r="AK197" s="37">
        <f>IF(AND(OR(O197=3, P197=1, Q197=1, T197=1), AJ197="no Match"), "CUSM, CHU SJ, CHUQ", "")</f>
      </c>
      <c r="AL197" s="37">
        <f>IF(AND(O197=2, ISBLANK(P197), ISBLANK(Q197), ISBLANK(R197), ISBLANK(S197), ISBLANK(T197)), "CUSM, CHU SJ, CHUS, CHUQ", "")</f>
      </c>
      <c r="AM197" s="37">
        <f>IF(AND(AJ197="no match", AK197="", AL197="", K197&lt;26), "CUSM, CHU SJ, HGJ, CHUQ, CHUS", "")</f>
      </c>
      <c r="AN197" s="37">
        <f>IF(AND(AJ197="no match", AK197="", AL197="", K197&gt;26), "CUSM, CHU SJ, HGJ, CHUQ, CHUS, HMR", "")</f>
      </c>
    </row>
    <row x14ac:dyDescent="0.25" r="198" customHeight="1" ht="17.25">
      <c r="A198" s="27" t="s">
        <v>479</v>
      </c>
      <c r="B198" s="28">
        <v>2</v>
      </c>
      <c r="C198" s="35">
        <v>831</v>
      </c>
      <c r="D198" s="29" t="s">
        <v>313</v>
      </c>
      <c r="E198" s="30" t="s">
        <v>50</v>
      </c>
      <c r="F198" s="31">
        <v>44680</v>
      </c>
      <c r="G198" s="32">
        <v>4.6875</v>
      </c>
      <c r="H198" s="31">
        <v>44680</v>
      </c>
      <c r="I198" s="32">
        <v>4.18125</v>
      </c>
      <c r="J198" s="33">
        <f>F198-H198</f>
      </c>
      <c r="K198" s="28">
        <v>40</v>
      </c>
      <c r="L198" s="28">
        <v>2</v>
      </c>
      <c r="M198" s="28">
        <v>1</v>
      </c>
      <c r="N198" s="35">
        <v>1</v>
      </c>
      <c r="O198" s="34"/>
      <c r="P198" s="35">
        <v>1</v>
      </c>
      <c r="Q198" s="34"/>
      <c r="R198" s="34"/>
      <c r="S198" s="34"/>
      <c r="T198" s="34"/>
      <c r="U198" s="34"/>
      <c r="V198" s="34"/>
      <c r="W198" s="29" t="s">
        <v>58</v>
      </c>
      <c r="X198" s="35">
        <v>27</v>
      </c>
      <c r="Y198" s="28">
        <v>1</v>
      </c>
      <c r="Z198" s="28">
        <v>1</v>
      </c>
      <c r="AA198" s="28">
        <v>3</v>
      </c>
      <c r="AB198" s="28">
        <v>1</v>
      </c>
      <c r="AC198" s="28">
        <v>2</v>
      </c>
      <c r="AD198" s="28">
        <v>2</v>
      </c>
      <c r="AE198" s="28">
        <v>4</v>
      </c>
      <c r="AF198" s="28">
        <v>2</v>
      </c>
      <c r="AG198" s="28">
        <v>2</v>
      </c>
      <c r="AH198" s="29" t="s">
        <v>480</v>
      </c>
      <c r="AI198" s="36">
        <f>IF(OR(AND(K198&lt;32, J198&lt;2), O198=1, P198=1, Q198=1, R198=1, S198=1, T198=1, U198=1, AND(W198&lt;&gt;"", W198&lt;&gt;"Oxygen", W198&lt;&gt;"LowFlow")), "Intensive", "Intermediate")</f>
      </c>
      <c r="AJ198" s="37">
        <f>IF(OR(LEFT(AH198, 1)="X", LEFT(AH198, 1)="Y", LEFT(AH198, 3)="J2M"), "CUSM", "No Match")</f>
      </c>
      <c r="AK198" s="37">
        <f>IF(AND(OR(O198=3, P198=1, Q198=1, T198=1), AJ198="no Match"), "CUSM, CHU SJ, CHUQ", "")</f>
      </c>
      <c r="AL198" s="37">
        <f>IF(AND(O198=2, ISBLANK(P198), ISBLANK(Q198), ISBLANK(R198), ISBLANK(S198), ISBLANK(T198)), "CUSM, CHU SJ, CHUS, CHUQ", "")</f>
      </c>
      <c r="AM198" s="37">
        <f>IF(AND(AJ198="no match", AK198="", AL198="", K198&lt;26), "CUSM, CHU SJ, HGJ, CHUQ, CHUS", "")</f>
      </c>
      <c r="AN198" s="37">
        <f>IF(AND(AJ198="no match", AK198="", AL198="", K198&gt;26), "CUSM, CHU SJ, HGJ, CHUQ, CHUS, HMR", "")</f>
      </c>
    </row>
    <row x14ac:dyDescent="0.25" r="199" customHeight="1" ht="17.25">
      <c r="A199" s="27" t="s">
        <v>481</v>
      </c>
      <c r="B199" s="28">
        <v>2</v>
      </c>
      <c r="C199" s="35">
        <v>815</v>
      </c>
      <c r="D199" s="29" t="s">
        <v>100</v>
      </c>
      <c r="E199" s="30" t="s">
        <v>54</v>
      </c>
      <c r="F199" s="31">
        <v>44681</v>
      </c>
      <c r="G199" s="32">
        <v>4.538194444444445</v>
      </c>
      <c r="H199" s="31">
        <v>44679</v>
      </c>
      <c r="I199" s="32">
        <v>4.0152777777777775</v>
      </c>
      <c r="J199" s="33">
        <f>F199-H199</f>
      </c>
      <c r="K199" s="28">
        <v>38</v>
      </c>
      <c r="L199" s="28">
        <v>1</v>
      </c>
      <c r="M199" s="28">
        <v>1</v>
      </c>
      <c r="N199" s="34"/>
      <c r="O199" s="34"/>
      <c r="P199" s="34"/>
      <c r="Q199" s="34"/>
      <c r="R199" s="34"/>
      <c r="S199" s="34"/>
      <c r="T199" s="34"/>
      <c r="U199" s="34"/>
      <c r="V199" s="34"/>
      <c r="W199" s="29"/>
      <c r="X199" s="28">
        <v>27</v>
      </c>
      <c r="Y199" s="28">
        <v>1</v>
      </c>
      <c r="Z199" s="28">
        <v>1</v>
      </c>
      <c r="AA199" s="28">
        <v>1</v>
      </c>
      <c r="AB199" s="28">
        <v>1</v>
      </c>
      <c r="AC199" s="28">
        <v>2</v>
      </c>
      <c r="AD199" s="28">
        <v>2</v>
      </c>
      <c r="AE199" s="28">
        <v>4</v>
      </c>
      <c r="AF199" s="28">
        <v>2</v>
      </c>
      <c r="AG199" s="28">
        <v>2</v>
      </c>
      <c r="AH199" s="29" t="s">
        <v>482</v>
      </c>
      <c r="AI199" s="36">
        <f>IF(OR(AND(K199&lt;32, J199&lt;2), O199=1, P199=1, Q199=1, R199=1, S199=1, T199=1, U199=1, AND(W199&lt;&gt;"", W199&lt;&gt;"Oxygen", W199&lt;&gt;"LowFlow")), "Intensive", "Intermediate")</f>
      </c>
      <c r="AJ199" s="37">
        <f>IF(OR(LEFT(AH199, 1)="X", LEFT(AH199, 1)="Y", LEFT(AH199, 3)="J3M"), "CUSM", "No Match")</f>
      </c>
      <c r="AK199" s="37">
        <f>IF(AND(OR(O199=3, P199=1, Q199=1, T199=1), AJ199="no Match"), "CUSM, CHU SJ, CHUQ", "")</f>
      </c>
      <c r="AL199" s="37">
        <f>IF(AND(O199=2, ISBLANK(P199), ISBLANK(Q199), ISBLANK(R199), ISBLANK(S199), ISBLANK(T199)), "CUSM, CHU SJ, CHUS, CHUQ", "")</f>
      </c>
      <c r="AM199" s="37">
        <f>IF(AND(AJ199="no match", AK199="", AL199="", K199&lt;26), "CUSM, CHU SJ, HGJ, CHUQ, CHUS", "")</f>
      </c>
      <c r="AN199" s="37">
        <f>IF(AND(AJ199="no match", AK199="", AL199="", K199&gt;26), "CUSM, CHU SJ, HGJ, CHUQ, CHUS, HMR", "")</f>
      </c>
    </row>
    <row x14ac:dyDescent="0.25" r="200" customHeight="1" ht="17.25">
      <c r="A200" s="27" t="s">
        <v>483</v>
      </c>
      <c r="B200" s="28">
        <v>2</v>
      </c>
      <c r="C200" s="35">
        <v>4</v>
      </c>
      <c r="D200" s="29" t="s">
        <v>484</v>
      </c>
      <c r="E200" s="30" t="s">
        <v>78</v>
      </c>
      <c r="F200" s="31">
        <v>44681</v>
      </c>
      <c r="G200" s="32">
        <v>4.854166666666666</v>
      </c>
      <c r="H200" s="31">
        <v>44658</v>
      </c>
      <c r="I200" s="32">
        <v>4.273611111111111</v>
      </c>
      <c r="J200" s="33">
        <f>F200-H200</f>
      </c>
      <c r="K200" s="28">
        <v>31</v>
      </c>
      <c r="L200" s="28">
        <v>3</v>
      </c>
      <c r="M200" s="28">
        <v>2</v>
      </c>
      <c r="N200" s="34"/>
      <c r="O200" s="34"/>
      <c r="P200" s="34"/>
      <c r="Q200" s="34"/>
      <c r="R200" s="34"/>
      <c r="S200" s="34"/>
      <c r="T200" s="34"/>
      <c r="U200" s="34"/>
      <c r="V200" s="34"/>
      <c r="W200" s="29"/>
      <c r="X200" s="28">
        <v>42</v>
      </c>
      <c r="Y200" s="28">
        <v>1</v>
      </c>
      <c r="Z200" s="28">
        <v>1</v>
      </c>
      <c r="AA200" s="28">
        <v>3</v>
      </c>
      <c r="AB200" s="28">
        <v>3</v>
      </c>
      <c r="AC200" s="28">
        <v>2</v>
      </c>
      <c r="AD200" s="28">
        <v>1</v>
      </c>
      <c r="AE200" s="28">
        <v>4</v>
      </c>
      <c r="AF200" s="35">
        <v>3</v>
      </c>
      <c r="AG200" s="28">
        <v>2</v>
      </c>
      <c r="AH200" s="29" t="s">
        <v>485</v>
      </c>
      <c r="AI200" s="36">
        <f>IF(OR(AND(K200&lt;32, J200&lt;2), O200=1, P200=1, Q200=1, R200=1, S200=1, T200=1, U200=1, AND(W200&lt;&gt;"", W200&lt;&gt;"Oxygen", W200&lt;&gt;"LowFlow")), "Intensive", "Intermediate")</f>
      </c>
      <c r="AJ200" s="37">
        <f>IF(OR(LEFT(AH200, 1)="X", LEFT(AH200, 1)="Y", LEFT(AH200, 3)="J4M"), "CUSM", "No Match")</f>
      </c>
      <c r="AK200" s="37">
        <f>IF(AND(OR(O200=3, P200=1, Q200=1, T200=1), AJ200="no Match"), "CUSM, CHU SJ, CHUQ", "")</f>
      </c>
      <c r="AL200" s="37">
        <f>IF(AND(O200=2, ISBLANK(P200), ISBLANK(Q200), ISBLANK(R200), ISBLANK(S200), ISBLANK(T200)), "CUSM, CHU SJ, CHUS, CHUQ", "")</f>
      </c>
      <c r="AM200" s="37">
        <f>IF(AND(AJ200="no match", AK200="", AL200="", K200&lt;26), "CUSM, CHU SJ, HGJ, CHUQ, CHUS", "")</f>
      </c>
      <c r="AN200" s="37">
        <f>IF(AND(AJ200="no match", AK200="", AL200="", K200&gt;26), "CUSM, CHU SJ, HGJ, CHUQ, CHUS, HMR", "")</f>
      </c>
    </row>
    <row x14ac:dyDescent="0.25" r="201" customHeight="1" ht="17.25">
      <c r="A201" s="27" t="s">
        <v>486</v>
      </c>
      <c r="B201" s="28">
        <v>2</v>
      </c>
      <c r="C201" s="35">
        <v>815</v>
      </c>
      <c r="D201" s="29" t="s">
        <v>100</v>
      </c>
      <c r="E201" s="30" t="s">
        <v>50</v>
      </c>
      <c r="F201" s="31">
        <v>44681</v>
      </c>
      <c r="G201" s="32">
        <v>4.979166666666666</v>
      </c>
      <c r="H201" s="31">
        <v>44680</v>
      </c>
      <c r="I201" s="32">
        <v>4.491666666666667</v>
      </c>
      <c r="J201" s="33">
        <f>F201-H201</f>
      </c>
      <c r="K201" s="28">
        <v>38</v>
      </c>
      <c r="L201" s="28">
        <v>6</v>
      </c>
      <c r="M201" s="28">
        <v>1</v>
      </c>
      <c r="N201" s="34"/>
      <c r="O201" s="34"/>
      <c r="P201" s="34"/>
      <c r="Q201" s="34"/>
      <c r="R201" s="34"/>
      <c r="S201" s="34"/>
      <c r="T201" s="34"/>
      <c r="U201" s="34"/>
      <c r="V201" s="34"/>
      <c r="W201" s="29" t="s">
        <v>74</v>
      </c>
      <c r="X201" s="28">
        <v>34</v>
      </c>
      <c r="Y201" s="28">
        <v>1</v>
      </c>
      <c r="Z201" s="28">
        <v>2</v>
      </c>
      <c r="AA201" s="28">
        <v>1</v>
      </c>
      <c r="AB201" s="28">
        <v>1</v>
      </c>
      <c r="AC201" s="28">
        <v>2</v>
      </c>
      <c r="AD201" s="28">
        <v>1</v>
      </c>
      <c r="AE201" s="28">
        <v>4</v>
      </c>
      <c r="AF201" s="28">
        <v>2</v>
      </c>
      <c r="AG201" s="28">
        <v>2</v>
      </c>
      <c r="AH201" s="29" t="s">
        <v>487</v>
      </c>
      <c r="AI201" s="36">
        <f>IF(OR(AND(K201&lt;32, J201&lt;2), O201=1, P201=1, Q201=1, R201=1, S201=1, T201=1, U201=1, AND(W201&lt;&gt;"", W201&lt;&gt;"Oxygen", W201&lt;&gt;"LowFlow")), "Intensive", "Intermediate")</f>
      </c>
      <c r="AJ201" s="37">
        <f>IF(OR(LEFT(AH201, 1)="X", LEFT(AH201, 1)="Y", LEFT(AH201, 3)="J5M"), "CUSM", "No Match")</f>
      </c>
      <c r="AK201" s="37">
        <f>IF(AND(OR(O201=3, P201=1, Q201=1, T201=1), AJ201="no Match"), "CUSM, CHU SJ, CHUQ", "")</f>
      </c>
      <c r="AL201" s="37">
        <f>IF(AND(O201=2, ISBLANK(P201), ISBLANK(Q201), ISBLANK(R201), ISBLANK(S201), ISBLANK(T201)), "CUSM, CHU SJ, CHUS, CHUQ", "")</f>
      </c>
      <c r="AM201" s="37">
        <f>IF(AND(AJ201="no match", AK201="", AL201="", K201&lt;26), "CUSM, CHU SJ, HGJ, CHUQ, CHUS", "")</f>
      </c>
      <c r="AN201" s="37">
        <f>IF(AND(AJ201="no match", AK201="", AL201="", K201&gt;26), "CUSM, CHU SJ, HGJ, CHUQ, CHUS, HMR", "")</f>
      </c>
    </row>
    <row x14ac:dyDescent="0.25" r="202" customHeight="1" ht="17.25">
      <c r="A202" s="27" t="s">
        <v>488</v>
      </c>
      <c r="B202" s="28">
        <v>2</v>
      </c>
      <c r="C202" s="35">
        <v>820</v>
      </c>
      <c r="D202" s="29" t="s">
        <v>69</v>
      </c>
      <c r="E202" s="30" t="s">
        <v>54</v>
      </c>
      <c r="F202" s="31">
        <v>44683</v>
      </c>
      <c r="G202" s="32">
        <v>4.701388888888889</v>
      </c>
      <c r="H202" s="31">
        <v>44661</v>
      </c>
      <c r="I202" s="32">
        <v>4.633333333333333</v>
      </c>
      <c r="J202" s="33">
        <f>F202-H202</f>
      </c>
      <c r="K202" s="28">
        <v>33</v>
      </c>
      <c r="L202" s="28">
        <v>1</v>
      </c>
      <c r="M202" s="28">
        <v>1</v>
      </c>
      <c r="N202" s="35">
        <v>1</v>
      </c>
      <c r="O202" s="34"/>
      <c r="P202" s="35">
        <v>1</v>
      </c>
      <c r="Q202" s="34"/>
      <c r="R202" s="34"/>
      <c r="S202" s="34"/>
      <c r="T202" s="34"/>
      <c r="U202" s="34"/>
      <c r="V202" s="34"/>
      <c r="W202" s="29" t="s">
        <v>74</v>
      </c>
      <c r="X202" s="28">
        <v>29</v>
      </c>
      <c r="Y202" s="28">
        <v>1</v>
      </c>
      <c r="Z202" s="28">
        <v>2</v>
      </c>
      <c r="AA202" s="28">
        <v>3</v>
      </c>
      <c r="AB202" s="28">
        <v>4</v>
      </c>
      <c r="AC202" s="28">
        <v>3</v>
      </c>
      <c r="AD202" s="28">
        <v>3</v>
      </c>
      <c r="AE202" s="28">
        <v>4</v>
      </c>
      <c r="AF202" s="28">
        <v>3</v>
      </c>
      <c r="AG202" s="28">
        <v>2</v>
      </c>
      <c r="AH202" s="29" t="s">
        <v>489</v>
      </c>
      <c r="AI202" s="36">
        <f>IF(OR(AND(K202&lt;32, J202&lt;2), O202=1, P202=1, Q202=1, R202=1, S202=1, T202=1, U202=1, AND(W202&lt;&gt;"", W202&lt;&gt;"Oxygen", W202&lt;&gt;"LowFlow")), "Intensive", "Intermediate")</f>
      </c>
      <c r="AJ202" s="37">
        <f>IF(OR(LEFT(AH202, 1)="X", LEFT(AH202, 1)="Y", LEFT(AH202, 3)="J6M"), "CUSM", "No Match")</f>
      </c>
      <c r="AK202" s="37">
        <f>IF(AND(OR(O202=3, P202=1, Q202=1, T202=1), AJ202="no Match"), "CUSM, CHU SJ, CHUQ", "")</f>
      </c>
      <c r="AL202" s="37">
        <f>IF(AND(O202=2, ISBLANK(P202), ISBLANK(Q202), ISBLANK(R202), ISBLANK(S202), ISBLANK(T202)), "CUSM, CHU SJ, CHUS, CHUQ", "")</f>
      </c>
      <c r="AM202" s="37">
        <f>IF(AND(AJ202="no match", AK202="", AL202="", K202&lt;26), "CUSM, CHU SJ, HGJ, CHUQ, CHUS", "")</f>
      </c>
      <c r="AN202" s="37">
        <f>IF(AND(AJ202="no match", AK202="", AL202="", K202&gt;26), "CUSM, CHU SJ, HGJ, CHUQ, CHUS, HMR", "")</f>
      </c>
    </row>
    <row x14ac:dyDescent="0.25" r="203" customHeight="1" ht="17.25">
      <c r="A203" s="27" t="s">
        <v>490</v>
      </c>
      <c r="B203" s="28">
        <v>2</v>
      </c>
      <c r="C203" s="35">
        <v>822</v>
      </c>
      <c r="D203" s="29" t="s">
        <v>167</v>
      </c>
      <c r="E203" s="30" t="s">
        <v>78</v>
      </c>
      <c r="F203" s="31">
        <v>44683</v>
      </c>
      <c r="G203" s="32">
        <v>4.361111111111111</v>
      </c>
      <c r="H203" s="31">
        <v>44683</v>
      </c>
      <c r="I203" s="32">
        <v>4.040277777777778</v>
      </c>
      <c r="J203" s="33">
        <f>F203-H203</f>
      </c>
      <c r="K203" s="28">
        <v>34</v>
      </c>
      <c r="L203" s="28">
        <v>0</v>
      </c>
      <c r="M203" s="28">
        <v>2</v>
      </c>
      <c r="N203" s="38"/>
      <c r="O203" s="34"/>
      <c r="P203" s="34"/>
      <c r="Q203" s="34"/>
      <c r="R203" s="34"/>
      <c r="S203" s="34"/>
      <c r="T203" s="34"/>
      <c r="U203" s="34"/>
      <c r="V203" s="34"/>
      <c r="W203" s="29" t="s">
        <v>58</v>
      </c>
      <c r="X203" s="28">
        <v>29</v>
      </c>
      <c r="Y203" s="28">
        <v>1</v>
      </c>
      <c r="Z203" s="28">
        <v>1</v>
      </c>
      <c r="AA203" s="28">
        <v>1</v>
      </c>
      <c r="AB203" s="28">
        <v>1</v>
      </c>
      <c r="AC203" s="28">
        <v>2</v>
      </c>
      <c r="AD203" s="28">
        <v>2</v>
      </c>
      <c r="AE203" s="28">
        <v>4</v>
      </c>
      <c r="AF203" s="28">
        <v>2</v>
      </c>
      <c r="AG203" s="28">
        <v>2</v>
      </c>
      <c r="AH203" s="29" t="s">
        <v>491</v>
      </c>
      <c r="AI203" s="36">
        <f>IF(OR(AND(K203&lt;32, J203&lt;2), O203=1, P203=1, Q203=1, R203=1, S203=1, T203=1, U203=1, AND(W203&lt;&gt;"", W203&lt;&gt;"Oxygen", W203&lt;&gt;"LowFlow")), "Intensive", "Intermediate")</f>
      </c>
      <c r="AJ203" s="37">
        <f>IF(OR(LEFT(AH203, 1)="X", LEFT(AH203, 1)="Y", LEFT(AH203, 3)="J7M"), "CUSM", "No Match")</f>
      </c>
      <c r="AK203" s="37">
        <f>IF(AND(OR(O203=3, P203=1, Q203=1, T203=1), AJ203="no Match"), "CUSM, CHU SJ, CHUQ", "")</f>
      </c>
      <c r="AL203" s="37">
        <f>IF(AND(O203=2, ISBLANK(P203), ISBLANK(Q203), ISBLANK(R203), ISBLANK(S203), ISBLANK(T203)), "CUSM, CHU SJ, CHUS, CHUQ", "")</f>
      </c>
      <c r="AM203" s="37">
        <f>IF(AND(AJ203="no match", AK203="", AL203="", K203&lt;26), "CUSM, CHU SJ, HGJ, CHUQ, CHUS", "")</f>
      </c>
      <c r="AN203" s="37">
        <f>IF(AND(AJ203="no match", AK203="", AL203="", K203&gt;26), "CUSM, CHU SJ, HGJ, CHUQ, CHUS, HMR", "")</f>
      </c>
    </row>
    <row x14ac:dyDescent="0.25" r="204" customHeight="1" ht="17.25">
      <c r="A204" s="27" t="s">
        <v>492</v>
      </c>
      <c r="B204" s="28">
        <v>2</v>
      </c>
      <c r="C204" s="35">
        <v>756</v>
      </c>
      <c r="D204" s="29" t="s">
        <v>66</v>
      </c>
      <c r="E204" s="30" t="s">
        <v>78</v>
      </c>
      <c r="F204" s="31">
        <v>44683</v>
      </c>
      <c r="G204" s="32">
        <v>4.645833333333334</v>
      </c>
      <c r="H204" s="31">
        <v>44683</v>
      </c>
      <c r="I204" s="32">
        <v>4.503472222222222</v>
      </c>
      <c r="J204" s="33">
        <f>F204-H204</f>
      </c>
      <c r="K204" s="28">
        <v>24</v>
      </c>
      <c r="L204" s="28">
        <v>0</v>
      </c>
      <c r="M204" s="28">
        <v>2</v>
      </c>
      <c r="N204" s="34"/>
      <c r="O204" s="34"/>
      <c r="P204" s="34"/>
      <c r="Q204" s="34"/>
      <c r="R204" s="34"/>
      <c r="S204" s="34"/>
      <c r="T204" s="34"/>
      <c r="U204" s="34"/>
      <c r="V204" s="34"/>
      <c r="W204" s="29" t="s">
        <v>74</v>
      </c>
      <c r="X204" s="28">
        <v>24</v>
      </c>
      <c r="Y204" s="28">
        <v>2</v>
      </c>
      <c r="Z204" s="28">
        <v>2</v>
      </c>
      <c r="AA204" s="28">
        <v>1</v>
      </c>
      <c r="AB204" s="28">
        <v>2</v>
      </c>
      <c r="AC204" s="28">
        <v>2</v>
      </c>
      <c r="AD204" s="28">
        <v>1</v>
      </c>
      <c r="AE204" s="28">
        <v>4</v>
      </c>
      <c r="AF204" s="28">
        <v>3</v>
      </c>
      <c r="AG204" s="28">
        <v>2</v>
      </c>
      <c r="AH204" s="29" t="s">
        <v>493</v>
      </c>
      <c r="AI204" s="36">
        <f>IF(OR(AND(K204&lt;32, J204&lt;2), O204=1, P204=1, Q204=1, R204=1, S204=1, T204=1, U204=1, AND(W204&lt;&gt;"", W204&lt;&gt;"Oxygen", W204&lt;&gt;"LowFlow")), "Intensive", "Intermediate")</f>
      </c>
      <c r="AJ204" s="37">
        <f>IF(OR(LEFT(AH204, 1)="X", LEFT(AH204, 1)="Y", LEFT(AH204, 3)="J8M"), "CUSM", "No Match")</f>
      </c>
      <c r="AK204" s="37">
        <f>IF(AND(OR(O204=3, P204=1, Q204=1, T204=1), AJ204="no Match"), "CUSM, CHU SJ, CHUQ", "")</f>
      </c>
      <c r="AL204" s="37">
        <f>IF(AND(O204=2, ISBLANK(P204), ISBLANK(Q204), ISBLANK(R204), ISBLANK(S204), ISBLANK(T204)), "CUSM, CHU SJ, CHUS, CHUQ", "")</f>
      </c>
      <c r="AM204" s="37">
        <f>IF(AND(AJ204="no match", AK204="", AL204="", K204&lt;26), "CUSM, CHU SJ, HGJ, CHUQ, CHUS", "")</f>
      </c>
      <c r="AN204" s="37">
        <f>IF(AND(AJ204="no match", AK204="", AL204="", K204&gt;26), "CUSM, CHU SJ, HGJ, CHUQ, CHUS, HMR", "")</f>
      </c>
    </row>
    <row x14ac:dyDescent="0.25" r="205" customHeight="1" ht="17.25">
      <c r="A205" s="27" t="s">
        <v>494</v>
      </c>
      <c r="B205" s="28">
        <v>2</v>
      </c>
      <c r="C205" s="28">
        <v>756</v>
      </c>
      <c r="D205" s="29" t="s">
        <v>66</v>
      </c>
      <c r="E205" s="30" t="s">
        <v>78</v>
      </c>
      <c r="F205" s="31">
        <v>44683</v>
      </c>
      <c r="G205" s="32">
        <v>4.645833333333334</v>
      </c>
      <c r="H205" s="31">
        <v>44683</v>
      </c>
      <c r="I205" s="32">
        <v>4.503472222222222</v>
      </c>
      <c r="J205" s="33">
        <f>F205-H205</f>
      </c>
      <c r="K205" s="28">
        <v>24</v>
      </c>
      <c r="L205" s="28">
        <v>0</v>
      </c>
      <c r="M205" s="28">
        <v>2</v>
      </c>
      <c r="N205" s="34"/>
      <c r="O205" s="34"/>
      <c r="P205" s="34"/>
      <c r="Q205" s="34"/>
      <c r="R205" s="34"/>
      <c r="S205" s="34"/>
      <c r="T205" s="34"/>
      <c r="U205" s="34"/>
      <c r="V205" s="34"/>
      <c r="W205" s="29" t="s">
        <v>74</v>
      </c>
      <c r="X205" s="28">
        <v>24</v>
      </c>
      <c r="Y205" s="28">
        <v>2</v>
      </c>
      <c r="Z205" s="28">
        <v>2</v>
      </c>
      <c r="AA205" s="28">
        <v>1</v>
      </c>
      <c r="AB205" s="28">
        <v>1</v>
      </c>
      <c r="AC205" s="28">
        <v>2</v>
      </c>
      <c r="AD205" s="28">
        <v>1</v>
      </c>
      <c r="AE205" s="28">
        <v>4</v>
      </c>
      <c r="AF205" s="28">
        <v>2</v>
      </c>
      <c r="AG205" s="28">
        <v>2</v>
      </c>
      <c r="AH205" s="29" t="s">
        <v>493</v>
      </c>
      <c r="AI205" s="36">
        <f>IF(OR(AND(K205&lt;32, J205&lt;2), O205=1, P205=1, Q205=1, R205=1, S205=1, T205=1, U205=1, AND(W205&lt;&gt;"", W205&lt;&gt;"Oxygen", W205&lt;&gt;"LowFlow")), "Intensive", "Intermediate")</f>
      </c>
      <c r="AJ205" s="37">
        <f>IF(OR(LEFT(AH205, 1)="X", LEFT(AH205, 1)="Y", LEFT(AH205, 3)="J9M"), "CUSM", "No Match")</f>
      </c>
      <c r="AK205" s="37">
        <f>IF(AND(OR(O205=3, P205=1, Q205=1, T205=1), AJ205="no Match"), "CUSM, CHU SJ, CHUQ", "")</f>
      </c>
      <c r="AL205" s="37">
        <f>IF(AND(O205=2, ISBLANK(P205), ISBLANK(Q205), ISBLANK(R205), ISBLANK(S205), ISBLANK(T205)), "CUSM, CHU SJ, CHUS, CHUQ", "")</f>
      </c>
      <c r="AM205" s="37">
        <f>IF(AND(AJ205="no match", AK205="", AL205="", K205&lt;26), "CUSM, CHU SJ, HGJ, CHUQ, CHUS", "")</f>
      </c>
      <c r="AN205" s="37">
        <f>IF(AND(AJ205="no match", AK205="", AL205="", K205&gt;26), "CUSM, CHU SJ, HGJ, CHUQ, CHUS, HMR", "")</f>
      </c>
    </row>
    <row x14ac:dyDescent="0.25" r="206" customHeight="1" ht="17.25">
      <c r="A206" s="27" t="s">
        <v>495</v>
      </c>
      <c r="B206" s="28">
        <v>2</v>
      </c>
      <c r="C206" s="28">
        <v>734</v>
      </c>
      <c r="D206" s="29" t="s">
        <v>264</v>
      </c>
      <c r="E206" s="30" t="s">
        <v>50</v>
      </c>
      <c r="F206" s="31">
        <v>44683</v>
      </c>
      <c r="G206" s="32">
        <v>4.5625</v>
      </c>
      <c r="H206" s="31">
        <v>44683</v>
      </c>
      <c r="I206" s="32">
        <v>4.339583333333334</v>
      </c>
      <c r="J206" s="33">
        <f>F206-H206</f>
      </c>
      <c r="K206" s="28">
        <v>40</v>
      </c>
      <c r="L206" s="28">
        <v>3</v>
      </c>
      <c r="M206" s="28">
        <v>2</v>
      </c>
      <c r="N206" s="34"/>
      <c r="O206" s="34"/>
      <c r="P206" s="34"/>
      <c r="Q206" s="34"/>
      <c r="R206" s="34"/>
      <c r="S206" s="34"/>
      <c r="T206" s="35">
        <v>1</v>
      </c>
      <c r="U206" s="34"/>
      <c r="V206" s="34"/>
      <c r="W206" s="29"/>
      <c r="X206" s="28">
        <v>38</v>
      </c>
      <c r="Y206" s="28">
        <v>1</v>
      </c>
      <c r="Z206" s="28">
        <v>1</v>
      </c>
      <c r="AA206" s="28">
        <v>2</v>
      </c>
      <c r="AB206" s="28">
        <v>4</v>
      </c>
      <c r="AC206" s="28">
        <v>2</v>
      </c>
      <c r="AD206" s="28">
        <v>2</v>
      </c>
      <c r="AE206" s="28">
        <v>1</v>
      </c>
      <c r="AF206" s="34"/>
      <c r="AG206" s="28">
        <v>2</v>
      </c>
      <c r="AH206" s="29" t="s">
        <v>496</v>
      </c>
      <c r="AI206" s="36">
        <f>IF(OR(AND(K206&lt;32, J206&lt;2), O206=1, P206=1, Q206=1, R206=1, S206=1, T206=1, U206=1, AND(W206&lt;&gt;"", W206&lt;&gt;"Oxygen", W206&lt;&gt;"LowFlow")), "Intensive", "Intermediate")</f>
      </c>
      <c r="AJ206" s="37">
        <f>IF(OR(LEFT(AH206, 1)="X", LEFT(AH206, 1)="Y", LEFT(AH206, 3)="J10M"), "CUSM", "No Match")</f>
      </c>
      <c r="AK206" s="37">
        <f>IF(AND(OR(O206=3, P206=1, Q206=1, T206=1), AJ206="no Match"), "CUSM, CHU SJ, CHUQ", "")</f>
      </c>
      <c r="AL206" s="37">
        <f>IF(AND(O206=2, ISBLANK(P206), ISBLANK(Q206), ISBLANK(R206), ISBLANK(S206), ISBLANK(T206)), "CUSM, CHU SJ, CHUS, CHUQ", "")</f>
      </c>
      <c r="AM206" s="37">
        <f>IF(AND(AJ206="no match", AK206="", AL206="", K206&lt;26), "CUSM, CHU SJ, HGJ, CHUQ, CHUS", "")</f>
      </c>
      <c r="AN206" s="37">
        <f>IF(AND(AJ206="no match", AK206="", AL206="", K206&gt;26), "CUSM, CHU SJ, HGJ, CHUQ, CHUS, HMR", "")</f>
      </c>
    </row>
    <row x14ac:dyDescent="0.25" r="207" customHeight="1" ht="17.25">
      <c r="A207" s="27" t="s">
        <v>497</v>
      </c>
      <c r="B207" s="28">
        <v>2</v>
      </c>
      <c r="C207" s="28">
        <v>776</v>
      </c>
      <c r="D207" s="29" t="s">
        <v>84</v>
      </c>
      <c r="E207" s="30" t="s">
        <v>50</v>
      </c>
      <c r="F207" s="31">
        <v>44683</v>
      </c>
      <c r="G207" s="32">
        <v>4.458333333333334</v>
      </c>
      <c r="H207" s="31">
        <v>44682</v>
      </c>
      <c r="I207" s="32">
        <v>4.8902777777777775</v>
      </c>
      <c r="J207" s="33">
        <f>F207-H207</f>
      </c>
      <c r="K207" s="28">
        <v>39</v>
      </c>
      <c r="L207" s="28">
        <v>5</v>
      </c>
      <c r="M207" s="28">
        <v>1</v>
      </c>
      <c r="N207" s="35">
        <v>1</v>
      </c>
      <c r="O207" s="35">
        <v>2</v>
      </c>
      <c r="P207" s="35">
        <v>1</v>
      </c>
      <c r="Q207" s="34"/>
      <c r="R207" s="34"/>
      <c r="S207" s="34"/>
      <c r="T207" s="34"/>
      <c r="U207" s="34"/>
      <c r="V207" s="34"/>
      <c r="W207" s="29"/>
      <c r="X207" s="28">
        <v>31</v>
      </c>
      <c r="Y207" s="28">
        <v>1</v>
      </c>
      <c r="Z207" s="28">
        <v>1</v>
      </c>
      <c r="AA207" s="28">
        <v>1</v>
      </c>
      <c r="AB207" s="28">
        <v>1</v>
      </c>
      <c r="AC207" s="28">
        <v>2</v>
      </c>
      <c r="AD207" s="28">
        <v>1</v>
      </c>
      <c r="AE207" s="28">
        <v>4</v>
      </c>
      <c r="AF207" s="35">
        <v>3</v>
      </c>
      <c r="AG207" s="28">
        <v>2</v>
      </c>
      <c r="AH207" s="29" t="s">
        <v>498</v>
      </c>
      <c r="AI207" s="36">
        <f>IF(OR(AND(K207&lt;32, J207&lt;2), O207=1, P207=1, Q207=1, R207=1, S207=1, T207=1, U207=1, AND(W207&lt;&gt;"", W207&lt;&gt;"Oxygen", W207&lt;&gt;"LowFlow")), "Intensive", "Intermediate")</f>
      </c>
      <c r="AJ207" s="37">
        <f>IF(OR(LEFT(AH207, 1)="X", LEFT(AH207, 1)="Y", LEFT(AH207, 3)="J11M"), "CUSM", "No Match")</f>
      </c>
      <c r="AK207" s="37">
        <f>IF(AND(OR(O207=3, P207=1, Q207=1, T207=1), AJ207="no Match"), "CUSM, CHU SJ, CHUQ", "")</f>
      </c>
      <c r="AL207" s="37">
        <f>IF(AND(O207=2, ISBLANK(P207), ISBLANK(Q207), ISBLANK(R207), ISBLANK(S207), ISBLANK(T207)), "CUSM, CHU SJ, CHUS, CHUQ", "")</f>
      </c>
      <c r="AM207" s="37">
        <f>IF(AND(AJ207="no match", AK207="", AL207="", K207&lt;26), "CUSM, CHU SJ, HGJ, CHUQ, CHUS", "")</f>
      </c>
      <c r="AN207" s="37">
        <f>IF(AND(AJ207="no match", AK207="", AL207="", K207&gt;26), "CUSM, CHU SJ, HGJ, CHUQ, CHUS, HMR", "")</f>
      </c>
    </row>
    <row x14ac:dyDescent="0.25" r="208" customHeight="1" ht="17.25">
      <c r="A208" s="27" t="s">
        <v>499</v>
      </c>
      <c r="B208" s="28">
        <v>2</v>
      </c>
      <c r="C208" s="28">
        <v>815</v>
      </c>
      <c r="D208" s="29" t="s">
        <v>100</v>
      </c>
      <c r="E208" s="30" t="s">
        <v>54</v>
      </c>
      <c r="F208" s="31">
        <v>44684</v>
      </c>
      <c r="G208" s="32">
        <v>4.833333333333334</v>
      </c>
      <c r="H208" s="31">
        <v>44683</v>
      </c>
      <c r="I208" s="32">
        <v>4.367361111111111</v>
      </c>
      <c r="J208" s="33">
        <f>F208-H208</f>
      </c>
      <c r="K208" s="28">
        <v>39</v>
      </c>
      <c r="L208" s="28">
        <v>2</v>
      </c>
      <c r="M208" s="28">
        <v>1</v>
      </c>
      <c r="N208" s="38"/>
      <c r="O208" s="38"/>
      <c r="P208" s="34"/>
      <c r="Q208" s="34"/>
      <c r="R208" s="34"/>
      <c r="S208" s="34"/>
      <c r="T208" s="34"/>
      <c r="U208" s="34"/>
      <c r="V208" s="34"/>
      <c r="W208" s="29" t="s">
        <v>74</v>
      </c>
      <c r="X208" s="28">
        <v>32</v>
      </c>
      <c r="Y208" s="28">
        <v>1</v>
      </c>
      <c r="Z208" s="28">
        <v>2</v>
      </c>
      <c r="AA208" s="28">
        <v>3</v>
      </c>
      <c r="AB208" s="28">
        <v>1</v>
      </c>
      <c r="AC208" s="28">
        <v>2</v>
      </c>
      <c r="AD208" s="28">
        <v>2</v>
      </c>
      <c r="AE208" s="28">
        <v>4</v>
      </c>
      <c r="AF208" s="28">
        <v>3</v>
      </c>
      <c r="AG208" s="28">
        <v>2</v>
      </c>
      <c r="AH208" s="29" t="s">
        <v>500</v>
      </c>
      <c r="AI208" s="36">
        <f>IF(OR(AND(K208&lt;32, J208&lt;2), O208=1, P208=1, Q208=1, R208=1, S208=1, T208=1, U208=1, AND(W208&lt;&gt;"", W208&lt;&gt;"Oxygen", W208&lt;&gt;"LowFlow")), "Intensive", "Intermediate")</f>
      </c>
      <c r="AJ208" s="37">
        <f>IF(OR(LEFT(AH208, 1)="X", LEFT(AH208, 1)="Y", LEFT(AH208, 3)="J12M"), "CUSM", "No Match")</f>
      </c>
      <c r="AK208" s="37">
        <f>IF(AND(OR(O208=3, P208=1, Q208=1, T208=1), AJ208="no Match"), "CUSM, CHU SJ, CHUQ", "")</f>
      </c>
      <c r="AL208" s="37">
        <f>IF(AND(O208=2, ISBLANK(P208), ISBLANK(Q208), ISBLANK(R208), ISBLANK(S208), ISBLANK(T208)), "CUSM, CHU SJ, CHUS, CHUQ", "")</f>
      </c>
      <c r="AM208" s="37">
        <f>IF(AND(AJ208="no match", AK208="", AL208="", K208&lt;26), "CUSM, CHU SJ, HGJ, CHUQ, CHUS", "")</f>
      </c>
      <c r="AN208" s="37">
        <f>IF(AND(AJ208="no match", AK208="", AL208="", K208&gt;26), "CUSM, CHU SJ, HGJ, CHUQ, CHUS, HMR", "")</f>
      </c>
    </row>
    <row x14ac:dyDescent="0.25" r="209" customHeight="1" ht="17.25">
      <c r="A209" s="27" t="s">
        <v>501</v>
      </c>
      <c r="B209" s="28">
        <v>2</v>
      </c>
      <c r="C209" s="35">
        <v>756</v>
      </c>
      <c r="D209" s="29" t="s">
        <v>66</v>
      </c>
      <c r="E209" s="30" t="s">
        <v>50</v>
      </c>
      <c r="F209" s="31">
        <v>44684</v>
      </c>
      <c r="G209" s="32">
        <v>4.583333333333334</v>
      </c>
      <c r="H209" s="31">
        <v>44684</v>
      </c>
      <c r="I209" s="32">
        <v>4.1930555555555555</v>
      </c>
      <c r="J209" s="33">
        <f>F209-H209</f>
      </c>
      <c r="K209" s="28">
        <v>39</v>
      </c>
      <c r="L209" s="28">
        <v>2</v>
      </c>
      <c r="M209" s="28">
        <v>1</v>
      </c>
      <c r="N209" s="28">
        <v>1</v>
      </c>
      <c r="O209" s="35">
        <v>2</v>
      </c>
      <c r="P209" s="35">
        <v>1</v>
      </c>
      <c r="Q209" s="34"/>
      <c r="R209" s="34"/>
      <c r="S209" s="34"/>
      <c r="T209" s="34"/>
      <c r="U209" s="34"/>
      <c r="V209" s="34"/>
      <c r="W209" s="29" t="s">
        <v>74</v>
      </c>
      <c r="X209" s="28">
        <v>38</v>
      </c>
      <c r="Y209" s="28">
        <v>1</v>
      </c>
      <c r="Z209" s="28">
        <v>1</v>
      </c>
      <c r="AA209" s="28">
        <v>2</v>
      </c>
      <c r="AB209" s="28">
        <v>1</v>
      </c>
      <c r="AC209" s="28">
        <v>2</v>
      </c>
      <c r="AD209" s="28">
        <v>2</v>
      </c>
      <c r="AE209" s="28">
        <v>4</v>
      </c>
      <c r="AF209" s="28">
        <v>2</v>
      </c>
      <c r="AG209" s="28">
        <v>2</v>
      </c>
      <c r="AH209" s="29" t="s">
        <v>502</v>
      </c>
      <c r="AI209" s="36">
        <f>IF(OR(AND(K209&lt;32, J209&lt;2), O209=1, P209=1, Q209=1, R209=1, S209=1, T209=1, U209=1, AND(W209&lt;&gt;"", W209&lt;&gt;"Oxygen", W209&lt;&gt;"LowFlow")), "Intensive", "Intermediate")</f>
      </c>
      <c r="AJ209" s="37">
        <f>IF(OR(LEFT(AH209, 1)="X", LEFT(AH209, 1)="Y", LEFT(AH209, 3)="J13M"), "CUSM", "No Match")</f>
      </c>
      <c r="AK209" s="37">
        <f>IF(AND(OR(O209=3, P209=1, Q209=1, T209=1), AJ209="no Match"), "CUSM, CHU SJ, CHUQ", "")</f>
      </c>
      <c r="AL209" s="37">
        <f>IF(AND(O209=2, ISBLANK(P209), ISBLANK(Q209), ISBLANK(R209), ISBLANK(S209), ISBLANK(T209)), "CUSM, CHU SJ, CHUS, CHUQ", "")</f>
      </c>
      <c r="AM209" s="37">
        <f>IF(AND(AJ209="no match", AK209="", AL209="", K209&lt;26), "CUSM, CHU SJ, HGJ, CHUQ, CHUS", "")</f>
      </c>
      <c r="AN209" s="37">
        <f>IF(AND(AJ209="no match", AK209="", AL209="", K209&gt;26), "CUSM, CHU SJ, HGJ, CHUQ, CHUS, HMR", "")</f>
      </c>
    </row>
    <row x14ac:dyDescent="0.25" r="210" customHeight="1" ht="17.25">
      <c r="A210" s="27" t="s">
        <v>503</v>
      </c>
      <c r="B210" s="28">
        <v>2</v>
      </c>
      <c r="C210" s="35">
        <v>754</v>
      </c>
      <c r="D210" s="29" t="s">
        <v>504</v>
      </c>
      <c r="E210" s="30" t="s">
        <v>149</v>
      </c>
      <c r="F210" s="31">
        <v>44685</v>
      </c>
      <c r="G210" s="32">
        <v>4.9847222222222225</v>
      </c>
      <c r="H210" s="31">
        <v>44685</v>
      </c>
      <c r="I210" s="32">
        <v>4.602777777777778</v>
      </c>
      <c r="J210" s="33">
        <f>F210-H210</f>
      </c>
      <c r="K210" s="28">
        <v>29</v>
      </c>
      <c r="L210" s="28">
        <v>0</v>
      </c>
      <c r="M210" s="28">
        <v>1</v>
      </c>
      <c r="N210" s="34"/>
      <c r="O210" s="34"/>
      <c r="P210" s="34"/>
      <c r="Q210" s="34"/>
      <c r="R210" s="34"/>
      <c r="S210" s="34"/>
      <c r="T210" s="34"/>
      <c r="U210" s="34"/>
      <c r="V210" s="34"/>
      <c r="W210" s="29" t="s">
        <v>74</v>
      </c>
      <c r="X210" s="28">
        <v>24</v>
      </c>
      <c r="Y210" s="28">
        <v>1</v>
      </c>
      <c r="Z210" s="28">
        <v>2</v>
      </c>
      <c r="AA210" s="28">
        <v>3</v>
      </c>
      <c r="AB210" s="28">
        <v>4</v>
      </c>
      <c r="AC210" s="28">
        <v>3</v>
      </c>
      <c r="AD210" s="28">
        <v>3</v>
      </c>
      <c r="AE210" s="28">
        <v>4</v>
      </c>
      <c r="AF210" s="28">
        <v>3</v>
      </c>
      <c r="AG210" s="28">
        <v>3</v>
      </c>
      <c r="AH210" s="29" t="s">
        <v>505</v>
      </c>
      <c r="AI210" s="36">
        <f>IF(OR(AND(K210&lt;32, J210&lt;2), O210=1, P210=1, Q210=1, R210=1, S210=1, T210=1, U210=1, AND(W210&lt;&gt;"", W210&lt;&gt;"Oxygen", W210&lt;&gt;"LowFlow")), "Intensive", "Intermediate")</f>
      </c>
      <c r="AJ210" s="37">
        <f>IF(OR(LEFT(AH210, 1)="X", LEFT(AH210, 1)="Y", LEFT(AH210, 3)="J14M"), "CUSM", "No Match")</f>
      </c>
      <c r="AK210" s="37">
        <f>IF(AND(OR(O210=3, P210=1, Q210=1, T210=1), AJ210="no Match"), "CUSM, CHU SJ, CHUQ", "")</f>
      </c>
      <c r="AL210" s="37">
        <f>IF(AND(O210=2, ISBLANK(P210), ISBLANK(Q210), ISBLANK(R210), ISBLANK(S210), ISBLANK(T210)), "CUSM, CHU SJ, CHUS, CHUQ", "")</f>
      </c>
      <c r="AM210" s="37">
        <f>IF(AND(AJ210="no match", AK210="", AL210="", K210&lt;26), "CUSM, CHU SJ, HGJ, CHUQ, CHUS", "")</f>
      </c>
      <c r="AN210" s="37">
        <f>IF(AND(AJ210="no match", AK210="", AL210="", K210&gt;26), "CUSM, CHU SJ, HGJ, CHUQ, CHUS, HMR", "")</f>
      </c>
    </row>
    <row x14ac:dyDescent="0.25" r="211" customHeight="1" ht="17.25">
      <c r="A211" s="27" t="s">
        <v>506</v>
      </c>
      <c r="B211" s="28">
        <v>2</v>
      </c>
      <c r="C211" s="28">
        <v>779</v>
      </c>
      <c r="D211" s="29" t="s">
        <v>136</v>
      </c>
      <c r="E211" s="30" t="s">
        <v>54</v>
      </c>
      <c r="F211" s="31">
        <v>44686</v>
      </c>
      <c r="G211" s="32">
        <v>4.904861111111111</v>
      </c>
      <c r="H211" s="31">
        <v>44686</v>
      </c>
      <c r="I211" s="32">
        <v>4.64375</v>
      </c>
      <c r="J211" s="33">
        <f>F211-H211</f>
      </c>
      <c r="K211" s="28">
        <v>39</v>
      </c>
      <c r="L211" s="28">
        <v>2</v>
      </c>
      <c r="M211" s="28">
        <v>1</v>
      </c>
      <c r="N211" s="35">
        <v>1</v>
      </c>
      <c r="O211" s="34"/>
      <c r="P211" s="34"/>
      <c r="Q211" s="34"/>
      <c r="R211" s="34"/>
      <c r="S211" s="34"/>
      <c r="T211" s="34"/>
      <c r="U211" s="34"/>
      <c r="V211" s="34"/>
      <c r="W211" s="29" t="s">
        <v>58</v>
      </c>
      <c r="X211" s="28">
        <v>37</v>
      </c>
      <c r="Y211" s="28">
        <v>1</v>
      </c>
      <c r="Z211" s="28">
        <v>2</v>
      </c>
      <c r="AA211" s="28">
        <v>2</v>
      </c>
      <c r="AB211" s="28">
        <v>1</v>
      </c>
      <c r="AC211" s="28">
        <v>1</v>
      </c>
      <c r="AD211" s="28">
        <v>1</v>
      </c>
      <c r="AE211" s="28">
        <v>4</v>
      </c>
      <c r="AF211" s="28">
        <v>2</v>
      </c>
      <c r="AG211" s="28">
        <v>2</v>
      </c>
      <c r="AH211" s="29" t="s">
        <v>507</v>
      </c>
      <c r="AI211" s="36">
        <f>IF(OR(AND(K211&lt;32, J211&lt;2), O211=1, P211=1, Q211=1, R211=1, S211=1, T211=1, U211=1, AND(W211&lt;&gt;"", W211&lt;&gt;"Oxygen", W211&lt;&gt;"LowFlow")), "Intensive", "Intermediate")</f>
      </c>
      <c r="AJ211" s="37">
        <f>IF(OR(LEFT(AH211, 1)="X", LEFT(AH211, 1)="Y", LEFT(AH211, 3)="J15M"), "CUSM", "No Match")</f>
      </c>
      <c r="AK211" s="37">
        <f>IF(AND(OR(O211=3, P211=1, Q211=1, T211=1), AJ211="no Match"), "CUSM, CHU SJ, CHUQ", "")</f>
      </c>
      <c r="AL211" s="37">
        <f>IF(AND(O211=2, ISBLANK(P211), ISBLANK(Q211), ISBLANK(R211), ISBLANK(S211), ISBLANK(T211)), "CUSM, CHU SJ, CHUS, CHUQ", "")</f>
      </c>
      <c r="AM211" s="37">
        <f>IF(AND(AJ211="no match", AK211="", AL211="", K211&lt;26), "CUSM, CHU SJ, HGJ, CHUQ, CHUS", "")</f>
      </c>
      <c r="AN211" s="37">
        <f>IF(AND(AJ211="no match", AK211="", AL211="", K211&gt;26), "CUSM, CHU SJ, HGJ, CHUQ, CHUS, HMR", "")</f>
      </c>
    </row>
    <row x14ac:dyDescent="0.25" r="212" customHeight="1" ht="17.25">
      <c r="A212" s="27" t="s">
        <v>508</v>
      </c>
      <c r="B212" s="28">
        <v>2</v>
      </c>
      <c r="C212" s="35">
        <v>820</v>
      </c>
      <c r="D212" s="29" t="s">
        <v>69</v>
      </c>
      <c r="E212" s="30" t="s">
        <v>50</v>
      </c>
      <c r="F212" s="31">
        <v>44686</v>
      </c>
      <c r="G212" s="32">
        <v>4.805555555555555</v>
      </c>
      <c r="H212" s="31">
        <v>44686</v>
      </c>
      <c r="I212" s="32">
        <v>4.620138888888889</v>
      </c>
      <c r="J212" s="33">
        <f>F212-H212</f>
      </c>
      <c r="K212" s="28">
        <v>41</v>
      </c>
      <c r="L212" s="28">
        <v>0</v>
      </c>
      <c r="M212" s="28">
        <v>2</v>
      </c>
      <c r="N212" s="34"/>
      <c r="O212" s="34"/>
      <c r="P212" s="34"/>
      <c r="Q212" s="34"/>
      <c r="R212" s="34"/>
      <c r="S212" s="34"/>
      <c r="T212" s="35">
        <v>1</v>
      </c>
      <c r="U212" s="34"/>
      <c r="V212" s="34"/>
      <c r="W212" s="29" t="s">
        <v>74</v>
      </c>
      <c r="X212" s="28">
        <v>28</v>
      </c>
      <c r="Y212" s="28">
        <v>1</v>
      </c>
      <c r="Z212" s="28">
        <v>1</v>
      </c>
      <c r="AA212" s="28">
        <v>1</v>
      </c>
      <c r="AB212" s="28">
        <v>1</v>
      </c>
      <c r="AC212" s="28">
        <v>2</v>
      </c>
      <c r="AD212" s="28">
        <v>2</v>
      </c>
      <c r="AE212" s="28">
        <v>2</v>
      </c>
      <c r="AF212" s="28">
        <v>3</v>
      </c>
      <c r="AG212" s="28">
        <v>2</v>
      </c>
      <c r="AH212" s="29" t="s">
        <v>509</v>
      </c>
      <c r="AI212" s="36">
        <f>IF(OR(AND(K212&lt;32, J212&lt;2), O212=1, P212=1, Q212=1, R212=1, S212=1, T212=1, U212=1, AND(W212&lt;&gt;"", W212&lt;&gt;"Oxygen", W212&lt;&gt;"LowFlow")), "Intensive", "Intermediate")</f>
      </c>
      <c r="AJ212" s="37">
        <f>IF(OR(LEFT(AH212, 1)="X", LEFT(AH212, 1)="Y", LEFT(AH212, 3)="J16M"), "CUSM", "No Match")</f>
      </c>
      <c r="AK212" s="37">
        <f>IF(AND(OR(O212=3, P212=1, Q212=1, T212=1), AJ212="no Match"), "CUSM, CHU SJ, CHUQ", "")</f>
      </c>
      <c r="AL212" s="37">
        <f>IF(AND(O212=2, ISBLANK(P212), ISBLANK(Q212), ISBLANK(R212), ISBLANK(S212), ISBLANK(T212)), "CUSM, CHU SJ, CHUS, CHUQ", "")</f>
      </c>
      <c r="AM212" s="37">
        <f>IF(AND(AJ212="no match", AK212="", AL212="", K212&lt;26), "CUSM, CHU SJ, HGJ, CHUQ, CHUS", "")</f>
      </c>
      <c r="AN212" s="37">
        <f>IF(AND(AJ212="no match", AK212="", AL212="", K212&gt;26), "CUSM, CHU SJ, HGJ, CHUQ, CHUS, HMR", "")</f>
      </c>
    </row>
    <row x14ac:dyDescent="0.25" r="213" customHeight="1" ht="17.25">
      <c r="A213" s="27" t="s">
        <v>510</v>
      </c>
      <c r="B213" s="28">
        <v>2</v>
      </c>
      <c r="C213" s="35">
        <v>815</v>
      </c>
      <c r="D213" s="29" t="s">
        <v>100</v>
      </c>
      <c r="E213" s="30" t="s">
        <v>54</v>
      </c>
      <c r="F213" s="31">
        <v>44687</v>
      </c>
      <c r="G213" s="32">
        <v>4.75</v>
      </c>
      <c r="H213" s="31">
        <v>44681</v>
      </c>
      <c r="I213" s="32">
        <v>4.379861111111111</v>
      </c>
      <c r="J213" s="33">
        <f>F213-H213</f>
      </c>
      <c r="K213" s="28">
        <v>40</v>
      </c>
      <c r="L213" s="28">
        <v>0</v>
      </c>
      <c r="M213" s="28">
        <v>1</v>
      </c>
      <c r="N213" s="34"/>
      <c r="O213" s="34"/>
      <c r="P213" s="34"/>
      <c r="Q213" s="34"/>
      <c r="R213" s="34"/>
      <c r="S213" s="34"/>
      <c r="T213" s="34"/>
      <c r="U213" s="34"/>
      <c r="V213" s="34"/>
      <c r="W213" s="29" t="s">
        <v>164</v>
      </c>
      <c r="X213" s="28">
        <v>23</v>
      </c>
      <c r="Y213" s="28">
        <v>1</v>
      </c>
      <c r="Z213" s="28">
        <v>1</v>
      </c>
      <c r="AA213" s="28">
        <v>1</v>
      </c>
      <c r="AB213" s="28">
        <v>1</v>
      </c>
      <c r="AC213" s="28">
        <v>1</v>
      </c>
      <c r="AD213" s="28">
        <v>2</v>
      </c>
      <c r="AE213" s="28">
        <v>4</v>
      </c>
      <c r="AF213" s="35">
        <v>1</v>
      </c>
      <c r="AG213" s="28">
        <v>2</v>
      </c>
      <c r="AH213" s="29" t="s">
        <v>143</v>
      </c>
      <c r="AI213" s="36">
        <f>IF(OR(AND(K213&lt;32, J213&lt;2), O213=1, P213=1, Q213=1, R213=1, S213=1, T213=1, U213=1, AND(W213&lt;&gt;"", W213&lt;&gt;"Oxygen", W213&lt;&gt;"LowFlow")), "Intensive", "Intermediate")</f>
      </c>
      <c r="AJ213" s="37">
        <f>IF(OR(LEFT(AH213, 1)="X", LEFT(AH213, 1)="Y", LEFT(AH213, 3)="J17M"), "CUSM", "No Match")</f>
      </c>
      <c r="AK213" s="37">
        <f>IF(AND(OR(O213=3, P213=1, Q213=1, T213=1), AJ213="no Match"), "CUSM, CHU SJ, CHUQ", "")</f>
      </c>
      <c r="AL213" s="37">
        <f>IF(AND(O213=2, ISBLANK(P213), ISBLANK(Q213), ISBLANK(R213), ISBLANK(S213), ISBLANK(T213)), "CUSM, CHU SJ, CHUS, CHUQ", "")</f>
      </c>
      <c r="AM213" s="37">
        <f>IF(AND(AJ213="no match", AK213="", AL213="", K213&lt;26), "CUSM, CHU SJ, HGJ, CHUQ, CHUS", "")</f>
      </c>
      <c r="AN213" s="37">
        <f>IF(AND(AJ213="no match", AK213="", AL213="", K213&gt;26), "CUSM, CHU SJ, HGJ, CHUQ, CHUS, HMR", "")</f>
      </c>
    </row>
    <row x14ac:dyDescent="0.25" r="214" customHeight="1" ht="17.25">
      <c r="A214" s="27" t="s">
        <v>511</v>
      </c>
      <c r="B214" s="28">
        <v>2</v>
      </c>
      <c r="C214" s="28">
        <v>746</v>
      </c>
      <c r="D214" s="29" t="s">
        <v>139</v>
      </c>
      <c r="E214" s="30" t="s">
        <v>50</v>
      </c>
      <c r="F214" s="31">
        <v>44687</v>
      </c>
      <c r="G214" s="32">
        <v>4.638888888888889</v>
      </c>
      <c r="H214" s="31">
        <v>44685</v>
      </c>
      <c r="I214" s="32">
        <v>4.968055555555555</v>
      </c>
      <c r="J214" s="33">
        <f>F214-H214</f>
      </c>
      <c r="K214" s="28">
        <v>38</v>
      </c>
      <c r="L214" s="28">
        <v>1</v>
      </c>
      <c r="M214" s="28">
        <v>1</v>
      </c>
      <c r="N214" s="34"/>
      <c r="O214" s="38"/>
      <c r="P214" s="34"/>
      <c r="Q214" s="34"/>
      <c r="R214" s="34"/>
      <c r="S214" s="34"/>
      <c r="T214" s="34"/>
      <c r="U214" s="34"/>
      <c r="V214" s="34"/>
      <c r="W214" s="29" t="s">
        <v>58</v>
      </c>
      <c r="X214" s="28">
        <v>26</v>
      </c>
      <c r="Y214" s="28">
        <v>1</v>
      </c>
      <c r="Z214" s="28">
        <v>2</v>
      </c>
      <c r="AA214" s="28">
        <v>2</v>
      </c>
      <c r="AB214" s="28">
        <v>1</v>
      </c>
      <c r="AC214" s="28">
        <v>2</v>
      </c>
      <c r="AD214" s="28">
        <v>1</v>
      </c>
      <c r="AE214" s="28">
        <v>4</v>
      </c>
      <c r="AF214" s="28">
        <v>2</v>
      </c>
      <c r="AG214" s="28">
        <v>2</v>
      </c>
      <c r="AH214" s="29" t="s">
        <v>512</v>
      </c>
      <c r="AI214" s="36">
        <f>IF(OR(AND(K214&lt;32, J214&lt;2), O214=1, P214=1, Q214=1, R214=1, S214=1, T214=1, U214=1, AND(W214&lt;&gt;"", W214&lt;&gt;"Oxygen", W214&lt;&gt;"LowFlow")), "Intensive", "Intermediate")</f>
      </c>
      <c r="AJ214" s="37">
        <f>IF(OR(LEFT(AH214, 1)="X", LEFT(AH214, 1)="Y", LEFT(AH214, 3)="J18M"), "CUSM", "No Match")</f>
      </c>
      <c r="AK214" s="37">
        <f>IF(AND(OR(O214=3, P214=1, Q214=1, T214=1), AJ214="no Match"), "CUSM, CHU SJ, CHUQ", "")</f>
      </c>
      <c r="AL214" s="37">
        <f>IF(AND(O214=2, ISBLANK(P214), ISBLANK(Q214), ISBLANK(R214), ISBLANK(S214), ISBLANK(T214)), "CUSM, CHU SJ, CHUS, CHUQ", "")</f>
      </c>
      <c r="AM214" s="37">
        <f>IF(AND(AJ214="no match", AK214="", AL214="", K214&lt;26), "CUSM, CHU SJ, HGJ, CHUQ, CHUS", "")</f>
      </c>
      <c r="AN214" s="37">
        <f>IF(AND(AJ214="no match", AK214="", AL214="", K214&gt;26), "CUSM, CHU SJ, HGJ, CHUQ, CHUS, HMR", "")</f>
      </c>
    </row>
    <row x14ac:dyDescent="0.25" r="215" customHeight="1" ht="17.25">
      <c r="A215" s="27" t="s">
        <v>513</v>
      </c>
      <c r="B215" s="28">
        <v>2</v>
      </c>
      <c r="C215" s="28">
        <v>731</v>
      </c>
      <c r="D215" s="29" t="s">
        <v>103</v>
      </c>
      <c r="E215" s="30" t="s">
        <v>50</v>
      </c>
      <c r="F215" s="31">
        <v>44687</v>
      </c>
      <c r="G215" s="32">
        <v>4.65625</v>
      </c>
      <c r="H215" s="31">
        <v>44687</v>
      </c>
      <c r="I215" s="32">
        <v>4.235416666666667</v>
      </c>
      <c r="J215" s="33">
        <f>F215-H215</f>
      </c>
      <c r="K215" s="28">
        <v>37</v>
      </c>
      <c r="L215" s="28">
        <v>0</v>
      </c>
      <c r="M215" s="28">
        <v>1</v>
      </c>
      <c r="N215" s="34"/>
      <c r="O215" s="34"/>
      <c r="P215" s="34"/>
      <c r="Q215" s="34"/>
      <c r="R215" s="34"/>
      <c r="S215" s="34"/>
      <c r="T215" s="34"/>
      <c r="U215" s="34"/>
      <c r="V215" s="34"/>
      <c r="W215" s="29" t="s">
        <v>74</v>
      </c>
      <c r="X215" s="28">
        <v>32</v>
      </c>
      <c r="Y215" s="28">
        <v>1</v>
      </c>
      <c r="Z215" s="28">
        <v>2</v>
      </c>
      <c r="AA215" s="28">
        <v>2</v>
      </c>
      <c r="AB215" s="28">
        <v>1</v>
      </c>
      <c r="AC215" s="28">
        <v>2</v>
      </c>
      <c r="AD215" s="28">
        <v>1</v>
      </c>
      <c r="AE215" s="28">
        <v>1</v>
      </c>
      <c r="AF215" s="38"/>
      <c r="AG215" s="28">
        <v>2</v>
      </c>
      <c r="AH215" s="29" t="s">
        <v>514</v>
      </c>
      <c r="AI215" s="36">
        <f>IF(OR(AND(K215&lt;32, J215&lt;2), O215=1, P215=1, Q215=1, R215=1, S215=1, T215=1, U215=1, AND(W215&lt;&gt;"", W215&lt;&gt;"Oxygen", W215&lt;&gt;"LowFlow")), "Intensive", "Intermediate")</f>
      </c>
      <c r="AJ215" s="37">
        <f>IF(OR(LEFT(AH215, 1)="X", LEFT(AH215, 1)="Y", LEFT(AH215, 3)="J19M"), "CUSM", "No Match")</f>
      </c>
      <c r="AK215" s="37">
        <f>IF(AND(OR(O215=3, P215=1, Q215=1, T215=1), AJ215="no Match"), "CUSM, CHU SJ, CHUQ", "")</f>
      </c>
      <c r="AL215" s="37">
        <f>IF(AND(O215=2, ISBLANK(P215), ISBLANK(Q215), ISBLANK(R215), ISBLANK(S215), ISBLANK(T215)), "CUSM, CHU SJ, CHUS, CHUQ", "")</f>
      </c>
      <c r="AM215" s="37">
        <f>IF(AND(AJ215="no match", AK215="", AL215="", K215&lt;26), "CUSM, CHU SJ, HGJ, CHUQ, CHUS", "")</f>
      </c>
      <c r="AN215" s="37">
        <f>IF(AND(AJ215="no match", AK215="", AL215="", K215&gt;26), "CUSM, CHU SJ, HGJ, CHUQ, CHUS, HMR", "")</f>
      </c>
    </row>
    <row x14ac:dyDescent="0.25" r="216" customHeight="1" ht="17.25">
      <c r="A216" s="27" t="s">
        <v>515</v>
      </c>
      <c r="B216" s="28">
        <v>2</v>
      </c>
      <c r="C216" s="28">
        <v>779</v>
      </c>
      <c r="D216" s="29" t="s">
        <v>136</v>
      </c>
      <c r="E216" s="30" t="s">
        <v>78</v>
      </c>
      <c r="F216" s="31">
        <v>44688</v>
      </c>
      <c r="G216" s="32">
        <v>4.536111111111111</v>
      </c>
      <c r="H216" s="31">
        <v>44688</v>
      </c>
      <c r="I216" s="32">
        <v>4.397222222222222</v>
      </c>
      <c r="J216" s="33">
        <f>F216-H216</f>
      </c>
      <c r="K216" s="28">
        <v>33</v>
      </c>
      <c r="L216" s="28">
        <v>0</v>
      </c>
      <c r="M216" s="28">
        <v>1</v>
      </c>
      <c r="N216" s="34"/>
      <c r="O216" s="34"/>
      <c r="P216" s="34"/>
      <c r="Q216" s="34"/>
      <c r="R216" s="34"/>
      <c r="S216" s="34"/>
      <c r="T216" s="34"/>
      <c r="U216" s="34"/>
      <c r="V216" s="34"/>
      <c r="W216" s="29" t="s">
        <v>58</v>
      </c>
      <c r="X216" s="28">
        <v>32</v>
      </c>
      <c r="Y216" s="28">
        <v>1</v>
      </c>
      <c r="Z216" s="28">
        <v>2</v>
      </c>
      <c r="AA216" s="28">
        <v>2</v>
      </c>
      <c r="AB216" s="28">
        <v>1</v>
      </c>
      <c r="AC216" s="28">
        <v>1</v>
      </c>
      <c r="AD216" s="28">
        <v>2</v>
      </c>
      <c r="AE216" s="28">
        <v>4</v>
      </c>
      <c r="AF216" s="28">
        <v>2</v>
      </c>
      <c r="AG216" s="28">
        <v>2</v>
      </c>
      <c r="AH216" s="29" t="s">
        <v>516</v>
      </c>
      <c r="AI216" s="36">
        <f>IF(OR(AND(K216&lt;32, J216&lt;2), O216=1, P216=1, Q216=1, R216=1, S216=1, T216=1, U216=1, AND(W216&lt;&gt;"", W216&lt;&gt;"Oxygen", W216&lt;&gt;"LowFlow")), "Intensive", "Intermediate")</f>
      </c>
      <c r="AJ216" s="37">
        <f>IF(OR(LEFT(AH216, 1)="X", LEFT(AH216, 1)="Y", LEFT(AH216, 3)="J20M"), "CUSM", "No Match")</f>
      </c>
      <c r="AK216" s="37">
        <f>IF(AND(OR(O216=3, P216=1, Q216=1, T216=1), AJ216="no Match"), "CUSM, CHU SJ, CHUQ", "")</f>
      </c>
      <c r="AL216" s="37">
        <f>IF(AND(O216=2, ISBLANK(P216), ISBLANK(Q216), ISBLANK(R216), ISBLANK(S216), ISBLANK(T216)), "CUSM, CHU SJ, CHUS, CHUQ", "")</f>
      </c>
      <c r="AM216" s="37">
        <f>IF(AND(AJ216="no match", AK216="", AL216="", K216&lt;26), "CUSM, CHU SJ, HGJ, CHUQ, CHUS", "")</f>
      </c>
      <c r="AN216" s="37">
        <f>IF(AND(AJ216="no match", AK216="", AL216="", K216&gt;26), "CUSM, CHU SJ, HGJ, CHUQ, CHUS, HMR", "")</f>
      </c>
    </row>
    <row x14ac:dyDescent="0.25" r="217" customHeight="1" ht="17.25">
      <c r="A217" s="27" t="s">
        <v>517</v>
      </c>
      <c r="B217" s="28">
        <v>2</v>
      </c>
      <c r="C217" s="35">
        <v>828</v>
      </c>
      <c r="D217" s="29" t="s">
        <v>518</v>
      </c>
      <c r="E217" s="30" t="s">
        <v>54</v>
      </c>
      <c r="F217" s="31">
        <v>44689</v>
      </c>
      <c r="G217" s="32">
        <v>4.916666666666666</v>
      </c>
      <c r="H217" s="31">
        <v>44689</v>
      </c>
      <c r="I217" s="32">
        <v>4.410416666666666</v>
      </c>
      <c r="J217" s="33">
        <f>F217-H217</f>
      </c>
      <c r="K217" s="28">
        <v>37</v>
      </c>
      <c r="L217" s="28">
        <v>4</v>
      </c>
      <c r="M217" s="28">
        <v>2</v>
      </c>
      <c r="N217" s="35">
        <v>1</v>
      </c>
      <c r="O217" s="34"/>
      <c r="P217" s="34"/>
      <c r="Q217" s="34"/>
      <c r="R217" s="34"/>
      <c r="S217" s="34"/>
      <c r="T217" s="34"/>
      <c r="U217" s="34"/>
      <c r="V217" s="34"/>
      <c r="W217" s="29"/>
      <c r="X217" s="28">
        <v>27</v>
      </c>
      <c r="Y217" s="28">
        <v>1</v>
      </c>
      <c r="Z217" s="28">
        <v>1</v>
      </c>
      <c r="AA217" s="28">
        <v>2</v>
      </c>
      <c r="AB217" s="28">
        <v>1</v>
      </c>
      <c r="AC217" s="28">
        <v>2</v>
      </c>
      <c r="AD217" s="28">
        <v>2</v>
      </c>
      <c r="AE217" s="28">
        <v>4</v>
      </c>
      <c r="AF217" s="28">
        <v>2</v>
      </c>
      <c r="AG217" s="28">
        <v>2</v>
      </c>
      <c r="AH217" s="29" t="s">
        <v>519</v>
      </c>
      <c r="AI217" s="36">
        <f>IF(OR(AND(K217&lt;32, J217&lt;2), O217=1, P217=1, Q217=1, R217=1, S217=1, T217=1, U217=1, AND(W217&lt;&gt;"", W217&lt;&gt;"Oxygen", W217&lt;&gt;"LowFlow")), "Intensive", "Intermediate")</f>
      </c>
      <c r="AJ217" s="37">
        <f>IF(OR(LEFT(AH217, 1)="X", LEFT(AH217, 1)="Y", LEFT(AH217, 3)="J21M"), "CUSM", "No Match")</f>
      </c>
      <c r="AK217" s="37">
        <f>IF(AND(OR(O217=3, P217=1, Q217=1, T217=1), AJ217="no Match"), "CUSM, CHU SJ, CHUQ", "")</f>
      </c>
      <c r="AL217" s="37">
        <f>IF(AND(O217=2, ISBLANK(P217), ISBLANK(Q217), ISBLANK(R217), ISBLANK(S217), ISBLANK(T217)), "CUSM, CHU SJ, CHUS, CHUQ", "")</f>
      </c>
      <c r="AM217" s="37">
        <f>IF(AND(AJ217="no match", AK217="", AL217="", K217&lt;26), "CUSM, CHU SJ, HGJ, CHUQ, CHUS", "")</f>
      </c>
      <c r="AN217" s="37">
        <f>IF(AND(AJ217="no match", AK217="", AL217="", K217&gt;26), "CUSM, CHU SJ, HGJ, CHUQ, CHUS, HMR", "")</f>
      </c>
    </row>
    <row x14ac:dyDescent="0.25" r="218" customHeight="1" ht="17.25">
      <c r="A218" s="27" t="s">
        <v>520</v>
      </c>
      <c r="B218" s="28">
        <v>2</v>
      </c>
      <c r="C218" s="35">
        <v>815</v>
      </c>
      <c r="D218" s="29" t="s">
        <v>100</v>
      </c>
      <c r="E218" s="30" t="s">
        <v>50</v>
      </c>
      <c r="F218" s="31">
        <v>44689</v>
      </c>
      <c r="G218" s="32">
        <v>4.059027777777778</v>
      </c>
      <c r="H218" s="31">
        <v>44685</v>
      </c>
      <c r="I218" s="32">
        <v>4.002777777777778</v>
      </c>
      <c r="J218" s="33">
        <f>F218-H218</f>
      </c>
      <c r="K218" s="28">
        <v>40</v>
      </c>
      <c r="L218" s="28">
        <v>1</v>
      </c>
      <c r="M218" s="28">
        <v>1</v>
      </c>
      <c r="N218" s="34"/>
      <c r="O218" s="35">
        <v>2</v>
      </c>
      <c r="P218" s="35">
        <v>1</v>
      </c>
      <c r="Q218" s="34"/>
      <c r="R218" s="34"/>
      <c r="S218" s="34"/>
      <c r="T218" s="34"/>
      <c r="U218" s="34"/>
      <c r="V218" s="34"/>
      <c r="W218" s="29" t="s">
        <v>74</v>
      </c>
      <c r="X218" s="28">
        <v>26</v>
      </c>
      <c r="Y218" s="28">
        <v>1</v>
      </c>
      <c r="Z218" s="28">
        <v>1</v>
      </c>
      <c r="AA218" s="28">
        <v>1</v>
      </c>
      <c r="AB218" s="28">
        <v>1</v>
      </c>
      <c r="AC218" s="28">
        <v>2</v>
      </c>
      <c r="AD218" s="28">
        <v>2</v>
      </c>
      <c r="AE218" s="28">
        <v>4</v>
      </c>
      <c r="AF218" s="28">
        <v>3</v>
      </c>
      <c r="AG218" s="28">
        <v>2</v>
      </c>
      <c r="AH218" s="29" t="s">
        <v>521</v>
      </c>
      <c r="AI218" s="36">
        <f>IF(OR(AND(K218&lt;32, J218&lt;2), O218=1, P218=1, Q218=1, R218=1, S218=1, T218=1, U218=1, AND(W218&lt;&gt;"", W218&lt;&gt;"Oxygen", W218&lt;&gt;"LowFlow")), "Intensive", "Intermediate")</f>
      </c>
      <c r="AJ218" s="37">
        <f>IF(OR(LEFT(AH218, 1)="X", LEFT(AH218, 1)="Y", LEFT(AH218, 3)="J22M"), "CUSM", "No Match")</f>
      </c>
      <c r="AK218" s="37">
        <f>IF(AND(OR(O218=3, P218=1, Q218=1, T218=1), AJ218="no Match"), "CUSM, CHU SJ, CHUQ", "")</f>
      </c>
      <c r="AL218" s="37">
        <f>IF(AND(O218=2, ISBLANK(P218), ISBLANK(Q218), ISBLANK(R218), ISBLANK(S218), ISBLANK(T218)), "CUSM, CHU SJ, CHUS, CHUQ", "")</f>
      </c>
      <c r="AM218" s="37">
        <f>IF(AND(AJ218="no match", AK218="", AL218="", K218&lt;26), "CUSM, CHU SJ, HGJ, CHUQ, CHUS", "")</f>
      </c>
      <c r="AN218" s="37">
        <f>IF(AND(AJ218="no match", AK218="", AL218="", K218&gt;26), "CUSM, CHU SJ, HGJ, CHUQ, CHUS, HMR", "")</f>
      </c>
    </row>
    <row x14ac:dyDescent="0.25" r="219" customHeight="1" ht="17.25">
      <c r="A219" s="27" t="s">
        <v>522</v>
      </c>
      <c r="B219" s="28">
        <v>2</v>
      </c>
      <c r="C219" s="35">
        <v>782</v>
      </c>
      <c r="D219" s="29" t="s">
        <v>95</v>
      </c>
      <c r="E219" s="30" t="s">
        <v>50</v>
      </c>
      <c r="F219" s="31">
        <v>44689</v>
      </c>
      <c r="G219" s="32">
        <v>4.770833333333334</v>
      </c>
      <c r="H219" s="31">
        <v>44687</v>
      </c>
      <c r="I219" s="32">
        <v>4.979166666666666</v>
      </c>
      <c r="J219" s="33">
        <f>F219-H219</f>
      </c>
      <c r="K219" s="28">
        <v>39</v>
      </c>
      <c r="L219" s="28">
        <v>0</v>
      </c>
      <c r="M219" s="28">
        <v>2</v>
      </c>
      <c r="N219" s="34"/>
      <c r="O219" s="34"/>
      <c r="P219" s="34"/>
      <c r="Q219" s="34"/>
      <c r="R219" s="34"/>
      <c r="S219" s="34"/>
      <c r="T219" s="34"/>
      <c r="U219" s="34"/>
      <c r="V219" s="34"/>
      <c r="W219" s="29"/>
      <c r="X219" s="28">
        <v>32</v>
      </c>
      <c r="Y219" s="28">
        <v>1</v>
      </c>
      <c r="Z219" s="28">
        <v>2</v>
      </c>
      <c r="AA219" s="28">
        <v>3</v>
      </c>
      <c r="AB219" s="28">
        <v>1</v>
      </c>
      <c r="AC219" s="28">
        <v>3</v>
      </c>
      <c r="AD219" s="28">
        <v>3</v>
      </c>
      <c r="AE219" s="28">
        <v>4</v>
      </c>
      <c r="AF219" s="28">
        <v>1</v>
      </c>
      <c r="AG219" s="28">
        <v>2</v>
      </c>
      <c r="AH219" s="29" t="s">
        <v>523</v>
      </c>
      <c r="AI219" s="36">
        <f>IF(OR(AND(K219&lt;32, J219&lt;2), O219=1, P219=1, Q219=1, R219=1, S219=1, T219=1, U219=1, AND(W219&lt;&gt;"", W219&lt;&gt;"Oxygen", W219&lt;&gt;"LowFlow")), "Intensive", "Intermediate")</f>
      </c>
      <c r="AJ219" s="37">
        <f>IF(OR(LEFT(AH219, 1)="X", LEFT(AH219, 1)="Y", LEFT(AH219, 3)="J23M"), "CUSM", "No Match")</f>
      </c>
      <c r="AK219" s="37">
        <f>IF(AND(OR(O219=3, P219=1, Q219=1, T219=1), AJ219="no Match"), "CUSM, CHU SJ, CHUQ", "")</f>
      </c>
      <c r="AL219" s="37">
        <f>IF(AND(O219=2, ISBLANK(P219), ISBLANK(Q219), ISBLANK(R219), ISBLANK(S219), ISBLANK(T219)), "CUSM, CHU SJ, CHUS, CHUQ", "")</f>
      </c>
      <c r="AM219" s="37">
        <f>IF(AND(AJ219="no match", AK219="", AL219="", K219&lt;26), "CUSM, CHU SJ, HGJ, CHUQ, CHUS", "")</f>
      </c>
      <c r="AN219" s="37">
        <f>IF(AND(AJ219="no match", AK219="", AL219="", K219&gt;26), "CUSM, CHU SJ, HGJ, CHUQ, CHUS, HMR", "")</f>
      </c>
    </row>
    <row x14ac:dyDescent="0.25" r="220" customHeight="1" ht="17.25">
      <c r="A220" s="27" t="s">
        <v>524</v>
      </c>
      <c r="B220" s="28">
        <v>2</v>
      </c>
      <c r="C220" s="28">
        <v>827</v>
      </c>
      <c r="D220" s="29" t="s">
        <v>525</v>
      </c>
      <c r="E220" s="30" t="s">
        <v>118</v>
      </c>
      <c r="F220" s="31">
        <v>44690</v>
      </c>
      <c r="G220" s="32">
        <v>4.239583333333334</v>
      </c>
      <c r="H220" s="31">
        <v>44690</v>
      </c>
      <c r="I220" s="32">
        <v>4.045833333333333</v>
      </c>
      <c r="J220" s="33">
        <f>F220-H220</f>
      </c>
      <c r="K220" s="28">
        <v>27</v>
      </c>
      <c r="L220" s="28">
        <v>1</v>
      </c>
      <c r="M220" s="28">
        <v>1</v>
      </c>
      <c r="N220" s="38"/>
      <c r="O220" s="34"/>
      <c r="P220" s="38"/>
      <c r="Q220" s="34"/>
      <c r="R220" s="34"/>
      <c r="S220" s="34"/>
      <c r="T220" s="38"/>
      <c r="U220" s="34"/>
      <c r="V220" s="34"/>
      <c r="W220" s="29" t="s">
        <v>74</v>
      </c>
      <c r="X220" s="28">
        <v>28</v>
      </c>
      <c r="Y220" s="28">
        <v>2</v>
      </c>
      <c r="Z220" s="28">
        <v>1</v>
      </c>
      <c r="AA220" s="28">
        <v>2</v>
      </c>
      <c r="AB220" s="28">
        <v>1</v>
      </c>
      <c r="AC220" s="28">
        <v>2</v>
      </c>
      <c r="AD220" s="28">
        <v>2</v>
      </c>
      <c r="AE220" s="28">
        <v>4</v>
      </c>
      <c r="AF220" s="28">
        <v>2</v>
      </c>
      <c r="AG220" s="28">
        <v>2</v>
      </c>
      <c r="AH220" s="29" t="s">
        <v>526</v>
      </c>
      <c r="AI220" s="36">
        <f>IF(OR(AND(K220&lt;32, J220&lt;2), O220=1, P220=1, Q220=1, R220=1, S220=1, T220=1, U220=1, AND(W220&lt;&gt;"", W220&lt;&gt;"Oxygen", W220&lt;&gt;"LowFlow")), "Intensive", "Intermediate")</f>
      </c>
      <c r="AJ220" s="37">
        <f>IF(OR(LEFT(AH220, 1)="X", LEFT(AH220, 1)="Y", LEFT(AH220, 3)="J24M"), "CUSM", "No Match")</f>
      </c>
      <c r="AK220" s="37">
        <f>IF(AND(OR(O220=3, P220=1, Q220=1, T220=1), AJ220="no Match"), "CUSM, CHU SJ, CHUQ", "")</f>
      </c>
      <c r="AL220" s="37">
        <f>IF(AND(O220=2, ISBLANK(P220), ISBLANK(Q220), ISBLANK(R220), ISBLANK(S220), ISBLANK(T220)), "CUSM, CHU SJ, CHUS, CHUQ", "")</f>
      </c>
      <c r="AM220" s="37">
        <f>IF(AND(AJ220="no match", AK220="", AL220="", K220&lt;26), "CUSM, CHU SJ, HGJ, CHUQ, CHUS", "")</f>
      </c>
      <c r="AN220" s="37">
        <f>IF(AND(AJ220="no match", AK220="", AL220="", K220&gt;26), "CUSM, CHU SJ, HGJ, CHUQ, CHUS, HMR", "")</f>
      </c>
    </row>
    <row x14ac:dyDescent="0.25" r="221" customHeight="1" ht="17.25">
      <c r="A221" s="27" t="s">
        <v>527</v>
      </c>
      <c r="B221" s="28">
        <v>2</v>
      </c>
      <c r="C221" s="28">
        <v>827</v>
      </c>
      <c r="D221" s="29" t="s">
        <v>525</v>
      </c>
      <c r="E221" s="30" t="s">
        <v>118</v>
      </c>
      <c r="F221" s="31">
        <v>44690</v>
      </c>
      <c r="G221" s="32">
        <v>4.239583333333334</v>
      </c>
      <c r="H221" s="31">
        <v>44690</v>
      </c>
      <c r="I221" s="32">
        <v>4.054861111111111</v>
      </c>
      <c r="J221" s="33">
        <f>F221-H221</f>
      </c>
      <c r="K221" s="28">
        <v>27</v>
      </c>
      <c r="L221" s="28">
        <v>1</v>
      </c>
      <c r="M221" s="28">
        <v>1</v>
      </c>
      <c r="N221" s="34"/>
      <c r="O221" s="34"/>
      <c r="P221" s="34"/>
      <c r="Q221" s="34"/>
      <c r="R221" s="34"/>
      <c r="S221" s="34"/>
      <c r="T221" s="34"/>
      <c r="U221" s="34"/>
      <c r="V221" s="34"/>
      <c r="W221" s="29" t="s">
        <v>74</v>
      </c>
      <c r="X221" s="28">
        <v>28</v>
      </c>
      <c r="Y221" s="28">
        <v>2</v>
      </c>
      <c r="Z221" s="28">
        <v>2</v>
      </c>
      <c r="AA221" s="28">
        <v>2</v>
      </c>
      <c r="AB221" s="28">
        <v>1</v>
      </c>
      <c r="AC221" s="28">
        <v>2</v>
      </c>
      <c r="AD221" s="28">
        <v>2</v>
      </c>
      <c r="AE221" s="28">
        <v>4</v>
      </c>
      <c r="AF221" s="28">
        <v>2</v>
      </c>
      <c r="AG221" s="28">
        <v>2</v>
      </c>
      <c r="AH221" s="29" t="s">
        <v>526</v>
      </c>
      <c r="AI221" s="36">
        <f>IF(OR(AND(K221&lt;32, J221&lt;2), O221=1, P221=1, Q221=1, R221=1, S221=1, T221=1, U221=1, AND(W221&lt;&gt;"", W221&lt;&gt;"Oxygen", W221&lt;&gt;"LowFlow")), "Intensive", "Intermediate")</f>
      </c>
      <c r="AJ221" s="37">
        <f>IF(OR(LEFT(AH221, 1)="X", LEFT(AH221, 1)="Y", LEFT(AH221, 3)="J25M"), "CUSM", "No Match")</f>
      </c>
      <c r="AK221" s="37">
        <f>IF(AND(OR(O221=3, P221=1, Q221=1, T221=1), AJ221="no Match"), "CUSM, CHU SJ, CHUQ", "")</f>
      </c>
      <c r="AL221" s="37">
        <f>IF(AND(O221=2, ISBLANK(P221), ISBLANK(Q221), ISBLANK(R221), ISBLANK(S221), ISBLANK(T221)), "CUSM, CHU SJ, CHUS, CHUQ", "")</f>
      </c>
      <c r="AM221" s="37">
        <f>IF(AND(AJ221="no match", AK221="", AL221="", K221&lt;26), "CUSM, CHU SJ, HGJ, CHUQ, CHUS", "")</f>
      </c>
      <c r="AN221" s="37">
        <f>IF(AND(AJ221="no match", AK221="", AL221="", K221&gt;26), "CUSM, CHU SJ, HGJ, CHUQ, CHUS, HMR", "")</f>
      </c>
    </row>
    <row x14ac:dyDescent="0.25" r="222" customHeight="1" ht="17.25">
      <c r="A222" s="27" t="s">
        <v>528</v>
      </c>
      <c r="B222" s="28">
        <v>2</v>
      </c>
      <c r="C222" s="35">
        <v>815</v>
      </c>
      <c r="D222" s="29" t="s">
        <v>100</v>
      </c>
      <c r="E222" s="30" t="s">
        <v>54</v>
      </c>
      <c r="F222" s="31">
        <v>44690</v>
      </c>
      <c r="G222" s="32">
        <v>4.666666666666666</v>
      </c>
      <c r="H222" s="31">
        <v>44685</v>
      </c>
      <c r="I222" s="32">
        <v>4.458333333333334</v>
      </c>
      <c r="J222" s="33">
        <f>F222-H222</f>
      </c>
      <c r="K222" s="28">
        <v>38</v>
      </c>
      <c r="L222" s="28">
        <v>3</v>
      </c>
      <c r="M222" s="28">
        <v>1</v>
      </c>
      <c r="N222" s="38"/>
      <c r="O222" s="38"/>
      <c r="P222" s="38"/>
      <c r="Q222" s="34"/>
      <c r="R222" s="34"/>
      <c r="S222" s="34"/>
      <c r="T222" s="34"/>
      <c r="U222" s="34"/>
      <c r="V222" s="34"/>
      <c r="W222" s="29"/>
      <c r="X222" s="28">
        <v>25</v>
      </c>
      <c r="Y222" s="28">
        <v>1</v>
      </c>
      <c r="Z222" s="28">
        <v>2</v>
      </c>
      <c r="AA222" s="28">
        <v>2</v>
      </c>
      <c r="AB222" s="28">
        <v>1</v>
      </c>
      <c r="AC222" s="28">
        <v>2</v>
      </c>
      <c r="AD222" s="28">
        <v>2</v>
      </c>
      <c r="AE222" s="28">
        <v>4</v>
      </c>
      <c r="AF222" s="28">
        <v>2</v>
      </c>
      <c r="AG222" s="28">
        <v>2</v>
      </c>
      <c r="AH222" s="29" t="s">
        <v>529</v>
      </c>
      <c r="AI222" s="36">
        <f>IF(OR(AND(K222&lt;32, J222&lt;2), O222=1, P222=1, Q222=1, R222=1, S222=1, T222=1, U222=1, AND(W222&lt;&gt;"", W222&lt;&gt;"Oxygen", W222&lt;&gt;"LowFlow")), "Intensive", "Intermediate")</f>
      </c>
      <c r="AJ222" s="37">
        <f>IF(OR(LEFT(AH222, 1)="X", LEFT(AH222, 1)="Y", LEFT(AH222, 3)="J26M"), "CUSM", "No Match")</f>
      </c>
      <c r="AK222" s="37">
        <f>IF(AND(OR(O222=3, P222=1, Q222=1, T222=1), AJ222="no Match"), "CUSM, CHU SJ, CHUQ", "")</f>
      </c>
      <c r="AL222" s="37">
        <f>IF(AND(O222=2, ISBLANK(P222), ISBLANK(Q222), ISBLANK(R222), ISBLANK(S222), ISBLANK(T222)), "CUSM, CHU SJ, CHUS, CHUQ", "")</f>
      </c>
      <c r="AM222" s="37">
        <f>IF(AND(AJ222="no match", AK222="", AL222="", K222&lt;26), "CUSM, CHU SJ, HGJ, CHUQ, CHUS", "")</f>
      </c>
      <c r="AN222" s="37">
        <f>IF(AND(AJ222="no match", AK222="", AL222="", K222&gt;26), "CUSM, CHU SJ, HGJ, CHUQ, CHUS, HMR", "")</f>
      </c>
    </row>
    <row x14ac:dyDescent="0.25" r="223" customHeight="1" ht="17.25">
      <c r="A223" s="27" t="s">
        <v>530</v>
      </c>
      <c r="B223" s="28">
        <v>2</v>
      </c>
      <c r="C223" s="35">
        <v>839</v>
      </c>
      <c r="D223" s="29" t="s">
        <v>53</v>
      </c>
      <c r="E223" s="30" t="s">
        <v>50</v>
      </c>
      <c r="F223" s="31">
        <v>44691</v>
      </c>
      <c r="G223" s="32">
        <v>4.986111111111111</v>
      </c>
      <c r="H223" s="31">
        <v>44690</v>
      </c>
      <c r="I223" s="32">
        <v>4.6930555555555555</v>
      </c>
      <c r="J223" s="33">
        <f>F223-H223</f>
      </c>
      <c r="K223" s="28">
        <v>40</v>
      </c>
      <c r="L223" s="28">
        <v>1</v>
      </c>
      <c r="M223" s="28">
        <v>2</v>
      </c>
      <c r="N223" s="34"/>
      <c r="O223" s="34"/>
      <c r="P223" s="34"/>
      <c r="Q223" s="34"/>
      <c r="R223" s="34"/>
      <c r="S223" s="34"/>
      <c r="T223" s="34"/>
      <c r="U223" s="34"/>
      <c r="V223" s="34"/>
      <c r="W223" s="29"/>
      <c r="X223" s="28">
        <v>33</v>
      </c>
      <c r="Y223" s="28">
        <v>1</v>
      </c>
      <c r="Z223" s="28">
        <v>1</v>
      </c>
      <c r="AA223" s="28">
        <v>1</v>
      </c>
      <c r="AB223" s="28">
        <v>1</v>
      </c>
      <c r="AC223" s="28">
        <v>2</v>
      </c>
      <c r="AD223" s="28">
        <v>1</v>
      </c>
      <c r="AE223" s="28">
        <v>2</v>
      </c>
      <c r="AF223" s="28">
        <v>2</v>
      </c>
      <c r="AG223" s="28">
        <v>2</v>
      </c>
      <c r="AH223" s="29" t="s">
        <v>531</v>
      </c>
      <c r="AI223" s="36">
        <f>IF(OR(AND(K223&lt;32, J223&lt;2), O223=1, P223=1, Q223=1, R223=1, S223=1, T223=1, U223=1, AND(W223&lt;&gt;"", W223&lt;&gt;"Oxygen", W223&lt;&gt;"LowFlow")), "Intensive", "Intermediate")</f>
      </c>
      <c r="AJ223" s="37">
        <f>IF(OR(LEFT(AH223, 1)="X", LEFT(AH223, 1)="Y", LEFT(AH223, 3)="J27M"), "CUSM", "No Match")</f>
      </c>
      <c r="AK223" s="37">
        <f>IF(AND(OR(O223=3, P223=1, Q223=1, T223=1), AJ223="no Match"), "CUSM, CHU SJ, CHUQ", "")</f>
      </c>
      <c r="AL223" s="37">
        <f>IF(AND(O223=2, ISBLANK(P223), ISBLANK(Q223), ISBLANK(R223), ISBLANK(S223), ISBLANK(T223)), "CUSM, CHU SJ, CHUS, CHUQ", "")</f>
      </c>
      <c r="AM223" s="37">
        <f>IF(AND(AJ223="no match", AK223="", AL223="", K223&lt;26), "CUSM, CHU SJ, HGJ, CHUQ, CHUS", "")</f>
      </c>
      <c r="AN223" s="37">
        <f>IF(AND(AJ223="no match", AK223="", AL223="", K223&gt;26), "CUSM, CHU SJ, HGJ, CHUQ, CHUS, HMR", "")</f>
      </c>
    </row>
    <row x14ac:dyDescent="0.25" r="224" customHeight="1" ht="17.25">
      <c r="A224" s="27" t="s">
        <v>532</v>
      </c>
      <c r="B224" s="28">
        <v>2</v>
      </c>
      <c r="C224" s="35">
        <v>733</v>
      </c>
      <c r="D224" s="29" t="s">
        <v>433</v>
      </c>
      <c r="E224" s="30" t="s">
        <v>220</v>
      </c>
      <c r="F224" s="31">
        <v>44691</v>
      </c>
      <c r="G224" s="32">
        <v>4.8909722222222225</v>
      </c>
      <c r="H224" s="31">
        <v>44691</v>
      </c>
      <c r="I224" s="32">
        <v>4.785416666666666</v>
      </c>
      <c r="J224" s="33">
        <f>F224-H224</f>
      </c>
      <c r="K224" s="28">
        <v>30</v>
      </c>
      <c r="L224" s="28">
        <v>6</v>
      </c>
      <c r="M224" s="28">
        <v>2</v>
      </c>
      <c r="N224" s="34"/>
      <c r="O224" s="34"/>
      <c r="P224" s="34"/>
      <c r="Q224" s="34"/>
      <c r="R224" s="34"/>
      <c r="S224" s="34"/>
      <c r="T224" s="34"/>
      <c r="U224" s="34"/>
      <c r="V224" s="34"/>
      <c r="W224" s="29" t="s">
        <v>58</v>
      </c>
      <c r="X224" s="28">
        <v>35</v>
      </c>
      <c r="Y224" s="28">
        <v>1</v>
      </c>
      <c r="Z224" s="28">
        <v>1</v>
      </c>
      <c r="AA224" s="28">
        <v>2</v>
      </c>
      <c r="AB224" s="28">
        <v>1</v>
      </c>
      <c r="AC224" s="28">
        <v>2</v>
      </c>
      <c r="AD224" s="28">
        <v>1</v>
      </c>
      <c r="AE224" s="28">
        <v>4</v>
      </c>
      <c r="AF224" s="28">
        <v>2</v>
      </c>
      <c r="AG224" s="28">
        <v>2</v>
      </c>
      <c r="AH224" s="29" t="s">
        <v>533</v>
      </c>
      <c r="AI224" s="36">
        <f>IF(OR(AND(K224&lt;32, J224&lt;2), O224=1, P224=1, Q224=1, R224=1, S224=1, T224=1, U224=1, AND(W224&lt;&gt;"", W224&lt;&gt;"Oxygen", W224&lt;&gt;"LowFlow")), "Intensive", "Intermediate")</f>
      </c>
      <c r="AJ224" s="37">
        <f>IF(OR(LEFT(AH224, 1)="X", LEFT(AH224, 1)="Y", LEFT(AH224, 3)="J28M"), "CUSM", "No Match")</f>
      </c>
      <c r="AK224" s="37">
        <f>IF(AND(OR(O224=3, P224=1, Q224=1, T224=1), AJ224="no Match"), "CUSM, CHU SJ, CHUQ", "")</f>
      </c>
      <c r="AL224" s="37">
        <f>IF(AND(O224=2, ISBLANK(P224), ISBLANK(Q224), ISBLANK(R224), ISBLANK(S224), ISBLANK(T224)), "CUSM, CHU SJ, CHUS, CHUQ", "")</f>
      </c>
      <c r="AM224" s="37">
        <f>IF(AND(AJ224="no match", AK224="", AL224="", K224&lt;26), "CUSM, CHU SJ, HGJ, CHUQ, CHUS", "")</f>
      </c>
      <c r="AN224" s="37">
        <f>IF(AND(AJ224="no match", AK224="", AL224="", K224&gt;26), "CUSM, CHU SJ, HGJ, CHUQ, CHUS, HMR", "")</f>
      </c>
    </row>
    <row x14ac:dyDescent="0.25" r="225" customHeight="1" ht="17.25">
      <c r="A225" s="27" t="s">
        <v>534</v>
      </c>
      <c r="B225" s="28">
        <v>2</v>
      </c>
      <c r="C225" s="28">
        <v>1019</v>
      </c>
      <c r="D225" s="29" t="s">
        <v>354</v>
      </c>
      <c r="E225" s="30" t="s">
        <v>54</v>
      </c>
      <c r="F225" s="31">
        <v>44693</v>
      </c>
      <c r="G225" s="32">
        <v>4.208333333333334</v>
      </c>
      <c r="H225" s="31">
        <v>44691</v>
      </c>
      <c r="I225" s="32">
        <v>4.510416666666666</v>
      </c>
      <c r="J225" s="33">
        <f>F225-H225</f>
      </c>
      <c r="K225" s="28">
        <v>40</v>
      </c>
      <c r="L225" s="28">
        <v>6</v>
      </c>
      <c r="M225" s="28">
        <v>2</v>
      </c>
      <c r="N225" s="35">
        <v>1</v>
      </c>
      <c r="O225" s="34"/>
      <c r="P225" s="35">
        <v>1</v>
      </c>
      <c r="Q225" s="34"/>
      <c r="R225" s="34"/>
      <c r="S225" s="34"/>
      <c r="T225" s="34"/>
      <c r="U225" s="34"/>
      <c r="V225" s="34"/>
      <c r="W225" s="29"/>
      <c r="X225" s="28">
        <v>19</v>
      </c>
      <c r="Y225" s="28">
        <v>1</v>
      </c>
      <c r="Z225" s="28">
        <v>2</v>
      </c>
      <c r="AA225" s="28">
        <v>1</v>
      </c>
      <c r="AB225" s="28">
        <v>1</v>
      </c>
      <c r="AC225" s="28">
        <v>2</v>
      </c>
      <c r="AD225" s="28">
        <v>2</v>
      </c>
      <c r="AE225" s="28">
        <v>4</v>
      </c>
      <c r="AF225" s="28">
        <v>1</v>
      </c>
      <c r="AG225" s="28">
        <v>2</v>
      </c>
      <c r="AH225" s="29" t="s">
        <v>535</v>
      </c>
      <c r="AI225" s="36">
        <f>IF(OR(AND(K225&lt;32, J225&lt;2), O225=1, P225=1, Q225=1, R225=1, S225=1, T225=1, U225=1, AND(W225&lt;&gt;"", W225&lt;&gt;"Oxygen", W225&lt;&gt;"LowFlow")), "Intensive", "Intermediate")</f>
      </c>
      <c r="AJ225" s="37">
        <f>IF(OR(LEFT(AH225, 1)="X", LEFT(AH225, 1)="Y", LEFT(AH225, 3)="J29M"), "CUSM", "No Match")</f>
      </c>
      <c r="AK225" s="37">
        <f>IF(AND(OR(O225=3, P225=1, Q225=1, T225=1), AJ225="no Match"), "CUSM, CHU SJ, CHUQ", "")</f>
      </c>
      <c r="AL225" s="37">
        <f>IF(AND(O225=2, ISBLANK(P225), ISBLANK(Q225), ISBLANK(R225), ISBLANK(S225), ISBLANK(T225)), "CUSM, CHU SJ, CHUS, CHUQ", "")</f>
      </c>
      <c r="AM225" s="37">
        <f>IF(AND(AJ225="no match", AK225="", AL225="", K225&lt;26), "CUSM, CHU SJ, HGJ, CHUQ, CHUS", "")</f>
      </c>
      <c r="AN225" s="37">
        <f>IF(AND(AJ225="no match", AK225="", AL225="", K225&gt;26), "CUSM, CHU SJ, HGJ, CHUQ, CHUS, HMR", "")</f>
      </c>
    </row>
    <row x14ac:dyDescent="0.25" r="226" customHeight="1" ht="17.25">
      <c r="A226" s="27" t="s">
        <v>536</v>
      </c>
      <c r="B226" s="28">
        <v>2</v>
      </c>
      <c r="C226" s="28">
        <v>3</v>
      </c>
      <c r="D226" s="29" t="s">
        <v>537</v>
      </c>
      <c r="E226" s="30" t="s">
        <v>78</v>
      </c>
      <c r="F226" s="31">
        <v>44693</v>
      </c>
      <c r="G226" s="32">
        <v>4.666666666666666</v>
      </c>
      <c r="H226" s="31">
        <v>44688</v>
      </c>
      <c r="I226" s="39"/>
      <c r="J226" s="33">
        <f>F226-H226</f>
      </c>
      <c r="K226" s="28">
        <v>38</v>
      </c>
      <c r="L226" s="28">
        <v>3</v>
      </c>
      <c r="M226" s="28">
        <v>1</v>
      </c>
      <c r="N226" s="34"/>
      <c r="O226" s="34"/>
      <c r="P226" s="34"/>
      <c r="Q226" s="34"/>
      <c r="R226" s="34"/>
      <c r="S226" s="34"/>
      <c r="T226" s="38"/>
      <c r="U226" s="38"/>
      <c r="V226" s="38"/>
      <c r="W226" s="29" t="s">
        <v>142</v>
      </c>
      <c r="X226" s="28">
        <v>39</v>
      </c>
      <c r="Y226" s="28">
        <v>1</v>
      </c>
      <c r="Z226" s="28">
        <v>3</v>
      </c>
      <c r="AA226" s="28">
        <v>3</v>
      </c>
      <c r="AB226" s="28">
        <v>4</v>
      </c>
      <c r="AC226" s="28">
        <v>3</v>
      </c>
      <c r="AD226" s="28">
        <v>3</v>
      </c>
      <c r="AE226" s="28">
        <v>4</v>
      </c>
      <c r="AF226" s="28">
        <v>2</v>
      </c>
      <c r="AG226" s="28">
        <v>2</v>
      </c>
      <c r="AH226" s="29" t="s">
        <v>538</v>
      </c>
      <c r="AI226" s="36">
        <f>IF(OR(AND(K226&lt;32, J226&lt;2), O226=1, P226=1, Q226=1, R226=1, S226=1, T226=1, U226=1, AND(W226&lt;&gt;"", W226&lt;&gt;"Oxygen", W226&lt;&gt;"LowFlow")), "Intensive", "Intermediate")</f>
      </c>
      <c r="AJ226" s="37">
        <f>IF(OR(LEFT(AH226, 1)="X", LEFT(AH226, 1)="Y", LEFT(AH226, 3)="J30M"), "CUSM", "No Match")</f>
      </c>
      <c r="AK226" s="37">
        <f>IF(AND(OR(O226=3, P226=1, Q226=1, T226=1), AJ226="no Match"), "CUSM, CHU SJ, CHUQ", "")</f>
      </c>
      <c r="AL226" s="37">
        <f>IF(AND(O226=2, ISBLANK(P226), ISBLANK(Q226), ISBLANK(R226), ISBLANK(S226), ISBLANK(T226)), "CUSM, CHU SJ, CHUS, CHUQ", "")</f>
      </c>
      <c r="AM226" s="37">
        <f>IF(AND(AJ226="no match", AK226="", AL226="", K226&lt;26), "CUSM, CHU SJ, HGJ, CHUQ, CHUS", "")</f>
      </c>
      <c r="AN226" s="37">
        <f>IF(AND(AJ226="no match", AK226="", AL226="", K226&gt;26), "CUSM, CHU SJ, HGJ, CHUQ, CHUS, HMR", "")</f>
      </c>
    </row>
    <row x14ac:dyDescent="0.25" r="227" customHeight="1" ht="17.25">
      <c r="A227" s="27" t="s">
        <v>539</v>
      </c>
      <c r="B227" s="28">
        <v>2</v>
      </c>
      <c r="C227" s="35">
        <v>730</v>
      </c>
      <c r="D227" s="29" t="s">
        <v>81</v>
      </c>
      <c r="E227" s="30" t="s">
        <v>50</v>
      </c>
      <c r="F227" s="31">
        <v>44693</v>
      </c>
      <c r="G227" s="32">
        <v>4.054861111111111</v>
      </c>
      <c r="H227" s="31">
        <v>44692</v>
      </c>
      <c r="I227" s="32">
        <v>4.511111111111111</v>
      </c>
      <c r="J227" s="33">
        <f>F227-H227</f>
      </c>
      <c r="K227" s="28">
        <v>37</v>
      </c>
      <c r="L227" s="28">
        <v>1</v>
      </c>
      <c r="M227" s="28">
        <v>2</v>
      </c>
      <c r="N227" s="38"/>
      <c r="O227" s="34"/>
      <c r="P227" s="38"/>
      <c r="Q227" s="34"/>
      <c r="R227" s="34"/>
      <c r="S227" s="34"/>
      <c r="T227" s="34"/>
      <c r="U227" s="34"/>
      <c r="V227" s="34"/>
      <c r="W227" s="29"/>
      <c r="X227" s="28">
        <v>38</v>
      </c>
      <c r="Y227" s="28">
        <v>2</v>
      </c>
      <c r="Z227" s="28">
        <v>1</v>
      </c>
      <c r="AA227" s="28">
        <v>2</v>
      </c>
      <c r="AB227" s="28">
        <v>1</v>
      </c>
      <c r="AC227" s="28">
        <v>2</v>
      </c>
      <c r="AD227" s="28">
        <v>2</v>
      </c>
      <c r="AE227" s="28">
        <v>1</v>
      </c>
      <c r="AF227" s="38"/>
      <c r="AG227" s="28">
        <v>2</v>
      </c>
      <c r="AH227" s="29" t="s">
        <v>540</v>
      </c>
      <c r="AI227" s="36">
        <f>IF(OR(AND(K227&lt;32, J227&lt;2), O227=1, P227=1, Q227=1, R227=1, S227=1, T227=1, U227=1, AND(W227&lt;&gt;"", W227&lt;&gt;"Oxygen", W227&lt;&gt;"LowFlow")), "Intensive", "Intermediate")</f>
      </c>
      <c r="AJ227" s="37">
        <f>IF(OR(LEFT(AH227, 1)="X", LEFT(AH227, 1)="Y", LEFT(AH227, 3)="J31M"), "CUSM", "No Match")</f>
      </c>
      <c r="AK227" s="37">
        <f>IF(AND(OR(O227=3, P227=1, Q227=1, T227=1), AJ227="no Match"), "CUSM, CHU SJ, CHUQ", "")</f>
      </c>
      <c r="AL227" s="37">
        <f>IF(AND(O227=2, ISBLANK(P227), ISBLANK(Q227), ISBLANK(R227), ISBLANK(S227), ISBLANK(T227)), "CUSM, CHU SJ, CHUS, CHUQ", "")</f>
      </c>
      <c r="AM227" s="37">
        <f>IF(AND(AJ227="no match", AK227="", AL227="", K227&lt;26), "CUSM, CHU SJ, HGJ, CHUQ, CHUS", "")</f>
      </c>
      <c r="AN227" s="37">
        <f>IF(AND(AJ227="no match", AK227="", AL227="", K227&gt;26), "CUSM, CHU SJ, HGJ, CHUQ, CHUS, HMR", "")</f>
      </c>
    </row>
    <row x14ac:dyDescent="0.25" r="228" customHeight="1" ht="17.25">
      <c r="A228" s="27" t="s">
        <v>541</v>
      </c>
      <c r="B228" s="28">
        <v>2</v>
      </c>
      <c r="C228" s="28">
        <v>782</v>
      </c>
      <c r="D228" s="29" t="s">
        <v>95</v>
      </c>
      <c r="E228" s="30" t="s">
        <v>54</v>
      </c>
      <c r="F228" s="31">
        <v>44694</v>
      </c>
      <c r="G228" s="32">
        <v>4.996527777777778</v>
      </c>
      <c r="H228" s="31">
        <v>44694</v>
      </c>
      <c r="I228" s="32">
        <v>4.768055555555556</v>
      </c>
      <c r="J228" s="33">
        <f>F228-H228</f>
      </c>
      <c r="K228" s="28">
        <v>40</v>
      </c>
      <c r="L228" s="28">
        <v>5</v>
      </c>
      <c r="M228" s="28">
        <v>1</v>
      </c>
      <c r="N228" s="38"/>
      <c r="O228" s="34"/>
      <c r="P228" s="38"/>
      <c r="Q228" s="34"/>
      <c r="R228" s="34"/>
      <c r="S228" s="34"/>
      <c r="T228" s="34"/>
      <c r="U228" s="34"/>
      <c r="V228" s="34"/>
      <c r="W228" s="29" t="s">
        <v>58</v>
      </c>
      <c r="X228" s="28">
        <v>29</v>
      </c>
      <c r="Y228" s="28">
        <v>1</v>
      </c>
      <c r="Z228" s="28">
        <v>1</v>
      </c>
      <c r="AA228" s="28">
        <v>1</v>
      </c>
      <c r="AB228" s="28">
        <v>1</v>
      </c>
      <c r="AC228" s="28">
        <v>2</v>
      </c>
      <c r="AD228" s="28">
        <v>2</v>
      </c>
      <c r="AE228" s="28">
        <v>4</v>
      </c>
      <c r="AF228" s="28">
        <v>1</v>
      </c>
      <c r="AG228" s="28">
        <v>2</v>
      </c>
      <c r="AH228" s="29" t="s">
        <v>542</v>
      </c>
      <c r="AI228" s="36">
        <f>IF(OR(AND(K228&lt;32, J228&lt;2), O228=1, P228=1, Q228=1, R228=1, S228=1, T228=1, U228=1, AND(W228&lt;&gt;"", W228&lt;&gt;"Oxygen", W228&lt;&gt;"LowFlow")), "Intensive", "Intermediate")</f>
      </c>
      <c r="AJ228" s="37">
        <f>IF(OR(LEFT(AH228, 1)="X", LEFT(AH228, 1)="Y", LEFT(AH228, 3)="J32M"), "CUSM", "No Match")</f>
      </c>
      <c r="AK228" s="37">
        <f>IF(AND(OR(O228=3, P228=1, Q228=1, T228=1), AJ228="no Match"), "CUSM, CHU SJ, CHUQ", "")</f>
      </c>
      <c r="AL228" s="37">
        <f>IF(AND(O228=2, ISBLANK(P228), ISBLANK(Q228), ISBLANK(R228), ISBLANK(S228), ISBLANK(T228)), "CUSM, CHU SJ, CHUS, CHUQ", "")</f>
      </c>
      <c r="AM228" s="37">
        <f>IF(AND(AJ228="no match", AK228="", AL228="", K228&lt;26), "CUSM, CHU SJ, HGJ, CHUQ, CHUS", "")</f>
      </c>
      <c r="AN228" s="37">
        <f>IF(AND(AJ228="no match", AK228="", AL228="", K228&gt;26), "CUSM, CHU SJ, HGJ, CHUQ, CHUS, HMR", "")</f>
      </c>
    </row>
    <row x14ac:dyDescent="0.25" r="229" customHeight="1" ht="17.25">
      <c r="A229" s="27" t="s">
        <v>543</v>
      </c>
      <c r="B229" s="28">
        <v>2</v>
      </c>
      <c r="C229" s="35">
        <v>824</v>
      </c>
      <c r="D229" s="29" t="s">
        <v>57</v>
      </c>
      <c r="E229" s="30" t="s">
        <v>54</v>
      </c>
      <c r="F229" s="31">
        <v>44695</v>
      </c>
      <c r="G229" s="32">
        <v>4.541666666666666</v>
      </c>
      <c r="H229" s="31">
        <v>44695</v>
      </c>
      <c r="I229" s="32">
        <v>4.357638888888889</v>
      </c>
      <c r="J229" s="33">
        <f>F229-H229</f>
      </c>
      <c r="K229" s="28">
        <v>41</v>
      </c>
      <c r="L229" s="28">
        <v>2</v>
      </c>
      <c r="M229" s="28">
        <v>1</v>
      </c>
      <c r="N229" s="34"/>
      <c r="O229" s="34"/>
      <c r="P229" s="34"/>
      <c r="Q229" s="34"/>
      <c r="R229" s="34"/>
      <c r="S229" s="34"/>
      <c r="T229" s="35">
        <v>1</v>
      </c>
      <c r="U229" s="34"/>
      <c r="V229" s="34"/>
      <c r="W229" s="29" t="s">
        <v>58</v>
      </c>
      <c r="X229" s="28">
        <v>31</v>
      </c>
      <c r="Y229" s="28">
        <v>1</v>
      </c>
      <c r="Z229" s="28">
        <v>2</v>
      </c>
      <c r="AA229" s="28">
        <v>2</v>
      </c>
      <c r="AB229" s="28">
        <v>1</v>
      </c>
      <c r="AC229" s="28">
        <v>3</v>
      </c>
      <c r="AD229" s="28">
        <v>3</v>
      </c>
      <c r="AE229" s="28">
        <v>4</v>
      </c>
      <c r="AF229" s="35">
        <v>2</v>
      </c>
      <c r="AG229" s="28">
        <v>2</v>
      </c>
      <c r="AH229" s="29" t="s">
        <v>544</v>
      </c>
      <c r="AI229" s="36">
        <f>IF(OR(AND(K229&lt;32, J229&lt;2), O229=1, P229=1, Q229=1, R229=1, S229=1, T229=1, U229=1, AND(W229&lt;&gt;"", W229&lt;&gt;"Oxygen", W229&lt;&gt;"LowFlow")), "Intensive", "Intermediate")</f>
      </c>
      <c r="AJ229" s="37">
        <f>IF(OR(LEFT(AH229, 1)="X", LEFT(AH229, 1)="Y", LEFT(AH229, 3)="J33M"), "CUSM", "No Match")</f>
      </c>
      <c r="AK229" s="37">
        <f>IF(AND(OR(O229=3, P229=1, Q229=1, T229=1), AJ229="no Match"), "CUSM, CHU SJ, CHUQ", "")</f>
      </c>
      <c r="AL229" s="37">
        <f>IF(AND(O229=2, ISBLANK(P229), ISBLANK(Q229), ISBLANK(R229), ISBLANK(S229), ISBLANK(T229)), "CUSM, CHU SJ, CHUS, CHUQ", "")</f>
      </c>
      <c r="AM229" s="37">
        <f>IF(AND(AJ229="no match", AK229="", AL229="", K229&lt;26), "CUSM, CHU SJ, HGJ, CHUQ, CHUS", "")</f>
      </c>
      <c r="AN229" s="37">
        <f>IF(AND(AJ229="no match", AK229="", AL229="", K229&gt;26), "CUSM, CHU SJ, HGJ, CHUQ, CHUS, HMR", "")</f>
      </c>
    </row>
    <row x14ac:dyDescent="0.25" r="230" customHeight="1" ht="17.25">
      <c r="A230" s="27" t="s">
        <v>545</v>
      </c>
      <c r="B230" s="28">
        <v>2</v>
      </c>
      <c r="C230" s="28">
        <v>779</v>
      </c>
      <c r="D230" s="29" t="s">
        <v>136</v>
      </c>
      <c r="E230" s="30" t="s">
        <v>54</v>
      </c>
      <c r="F230" s="31">
        <v>44695</v>
      </c>
      <c r="G230" s="32">
        <v>4.53125</v>
      </c>
      <c r="H230" s="31">
        <v>44693</v>
      </c>
      <c r="I230" s="32">
        <v>4.6875</v>
      </c>
      <c r="J230" s="33">
        <f>F230-H230</f>
      </c>
      <c r="K230" s="28">
        <v>38</v>
      </c>
      <c r="L230" s="28">
        <v>2</v>
      </c>
      <c r="M230" s="28">
        <v>2</v>
      </c>
      <c r="N230" s="34"/>
      <c r="O230" s="34"/>
      <c r="P230" s="34"/>
      <c r="Q230" s="34"/>
      <c r="R230" s="34"/>
      <c r="S230" s="34"/>
      <c r="T230" s="34"/>
      <c r="U230" s="34"/>
      <c r="V230" s="34"/>
      <c r="W230" s="29"/>
      <c r="X230" s="28">
        <v>31</v>
      </c>
      <c r="Y230" s="28">
        <v>1</v>
      </c>
      <c r="Z230" s="28">
        <v>1</v>
      </c>
      <c r="AA230" s="28">
        <v>2</v>
      </c>
      <c r="AB230" s="28">
        <v>1</v>
      </c>
      <c r="AC230" s="28">
        <v>2</v>
      </c>
      <c r="AD230" s="28">
        <v>2</v>
      </c>
      <c r="AE230" s="28">
        <v>4</v>
      </c>
      <c r="AF230" s="28">
        <v>2</v>
      </c>
      <c r="AG230" s="28">
        <v>2</v>
      </c>
      <c r="AH230" s="29" t="s">
        <v>546</v>
      </c>
      <c r="AI230" s="36">
        <f>IF(OR(AND(K230&lt;32, J230&lt;2), O230=1, P230=1, Q230=1, R230=1, S230=1, T230=1, U230=1, AND(W230&lt;&gt;"", W230&lt;&gt;"Oxygen", W230&lt;&gt;"LowFlow")), "Intensive", "Intermediate")</f>
      </c>
      <c r="AJ230" s="37">
        <f>IF(OR(LEFT(AH230, 1)="X", LEFT(AH230, 1)="Y", LEFT(AH230, 3)="J34M"), "CUSM", "No Match")</f>
      </c>
      <c r="AK230" s="37">
        <f>IF(AND(OR(O230=3, P230=1, Q230=1, T230=1), AJ230="no Match"), "CUSM, CHU SJ, CHUQ", "")</f>
      </c>
      <c r="AL230" s="37">
        <f>IF(AND(O230=2, ISBLANK(P230), ISBLANK(Q230), ISBLANK(R230), ISBLANK(S230), ISBLANK(T230)), "CUSM, CHU SJ, CHUS, CHUQ", "")</f>
      </c>
      <c r="AM230" s="37">
        <f>IF(AND(AJ230="no match", AK230="", AL230="", K230&lt;26), "CUSM, CHU SJ, HGJ, CHUQ, CHUS", "")</f>
      </c>
      <c r="AN230" s="37">
        <f>IF(AND(AJ230="no match", AK230="", AL230="", K230&gt;26), "CUSM, CHU SJ, HGJ, CHUQ, CHUS, HMR", "")</f>
      </c>
    </row>
    <row x14ac:dyDescent="0.25" r="231" customHeight="1" ht="17.25">
      <c r="A231" s="27" t="s">
        <v>547</v>
      </c>
      <c r="B231" s="28">
        <v>2</v>
      </c>
      <c r="C231" s="28">
        <v>756</v>
      </c>
      <c r="D231" s="29" t="s">
        <v>66</v>
      </c>
      <c r="E231" s="30" t="s">
        <v>50</v>
      </c>
      <c r="F231" s="31">
        <v>44697</v>
      </c>
      <c r="G231" s="32">
        <v>4.920138888888889</v>
      </c>
      <c r="H231" s="31">
        <v>44697</v>
      </c>
      <c r="I231" s="32">
        <v>4.715277777777778</v>
      </c>
      <c r="J231" s="33">
        <f>F231-H231</f>
      </c>
      <c r="K231" s="28">
        <v>33</v>
      </c>
      <c r="L231" s="28">
        <v>1</v>
      </c>
      <c r="M231" s="28">
        <v>1</v>
      </c>
      <c r="N231" s="35">
        <v>1</v>
      </c>
      <c r="O231" s="34"/>
      <c r="P231" s="35">
        <v>1</v>
      </c>
      <c r="Q231" s="34"/>
      <c r="R231" s="34"/>
      <c r="S231" s="34"/>
      <c r="T231" s="38"/>
      <c r="U231" s="34"/>
      <c r="V231" s="34"/>
      <c r="W231" s="29" t="s">
        <v>58</v>
      </c>
      <c r="X231" s="28">
        <v>28</v>
      </c>
      <c r="Y231" s="28">
        <v>1</v>
      </c>
      <c r="Z231" s="28">
        <v>2</v>
      </c>
      <c r="AA231" s="28">
        <v>2</v>
      </c>
      <c r="AB231" s="28">
        <v>1</v>
      </c>
      <c r="AC231" s="28">
        <v>2</v>
      </c>
      <c r="AD231" s="28">
        <v>1</v>
      </c>
      <c r="AE231" s="28">
        <v>2</v>
      </c>
      <c r="AF231" s="28">
        <v>2</v>
      </c>
      <c r="AG231" s="28">
        <v>2</v>
      </c>
      <c r="AH231" s="29" t="s">
        <v>548</v>
      </c>
      <c r="AI231" s="36">
        <f>IF(OR(AND(K231&lt;32, J231&lt;2), O231=1, P231=1, Q231=1, R231=1, S231=1, T231=1, U231=1, AND(W231&lt;&gt;"", W231&lt;&gt;"Oxygen", W231&lt;&gt;"LowFlow")), "Intensive", "Intermediate")</f>
      </c>
      <c r="AJ231" s="37">
        <f>IF(OR(LEFT(AH231, 1)="X", LEFT(AH231, 1)="Y", LEFT(AH231, 3)="J35M"), "CUSM", "No Match")</f>
      </c>
      <c r="AK231" s="37">
        <f>IF(AND(OR(O231=3, P231=1, Q231=1, T231=1), AJ231="no Match"), "CUSM, CHU SJ, CHUQ", "")</f>
      </c>
      <c r="AL231" s="37">
        <f>IF(AND(O231=2, ISBLANK(P231), ISBLANK(Q231), ISBLANK(R231), ISBLANK(S231), ISBLANK(T231)), "CUSM, CHU SJ, CHUS, CHUQ", "")</f>
      </c>
      <c r="AM231" s="37">
        <f>IF(AND(AJ231="no match", AK231="", AL231="", K231&lt;26), "CUSM, CHU SJ, HGJ, CHUQ, CHUS", "")</f>
      </c>
      <c r="AN231" s="37">
        <f>IF(AND(AJ231="no match", AK231="", AL231="", K231&gt;26), "CUSM, CHU SJ, HGJ, CHUQ, CHUS, HMR", "")</f>
      </c>
    </row>
    <row x14ac:dyDescent="0.25" r="232" customHeight="1" ht="17.25">
      <c r="A232" s="27" t="s">
        <v>549</v>
      </c>
      <c r="B232" s="28">
        <v>2</v>
      </c>
      <c r="C232" s="35">
        <v>824</v>
      </c>
      <c r="D232" s="29" t="s">
        <v>57</v>
      </c>
      <c r="E232" s="30" t="s">
        <v>50</v>
      </c>
      <c r="F232" s="31">
        <v>44697</v>
      </c>
      <c r="G232" s="32">
        <v>4.427083333333334</v>
      </c>
      <c r="H232" s="31">
        <v>44697</v>
      </c>
      <c r="I232" s="32">
        <v>4.1875</v>
      </c>
      <c r="J232" s="33">
        <f>F232-H232</f>
      </c>
      <c r="K232" s="28">
        <v>40</v>
      </c>
      <c r="L232" s="28">
        <v>2</v>
      </c>
      <c r="M232" s="28">
        <v>2</v>
      </c>
      <c r="N232" s="38"/>
      <c r="O232" s="34"/>
      <c r="P232" s="34"/>
      <c r="Q232" s="34"/>
      <c r="R232" s="34"/>
      <c r="S232" s="34"/>
      <c r="T232" s="35">
        <v>1</v>
      </c>
      <c r="U232" s="34"/>
      <c r="V232" s="34"/>
      <c r="W232" s="29"/>
      <c r="X232" s="28">
        <v>41</v>
      </c>
      <c r="Y232" s="28">
        <v>1</v>
      </c>
      <c r="Z232" s="28">
        <v>2</v>
      </c>
      <c r="AA232" s="28">
        <v>2</v>
      </c>
      <c r="AB232" s="28">
        <v>1</v>
      </c>
      <c r="AC232" s="28">
        <v>2</v>
      </c>
      <c r="AD232" s="28">
        <v>2</v>
      </c>
      <c r="AE232" s="28">
        <v>2</v>
      </c>
      <c r="AF232" s="35">
        <v>2</v>
      </c>
      <c r="AG232" s="28">
        <v>2</v>
      </c>
      <c r="AH232" s="29" t="s">
        <v>550</v>
      </c>
      <c r="AI232" s="36">
        <f>IF(OR(AND(K232&lt;32, J232&lt;2), O232=1, P232=1, Q232=1, R232=1, S232=1, T232=1, U232=1, AND(W232&lt;&gt;"", W232&lt;&gt;"Oxygen", W232&lt;&gt;"LowFlow")), "Intensive", "Intermediate")</f>
      </c>
      <c r="AJ232" s="37">
        <f>IF(OR(LEFT(AH232, 1)="X", LEFT(AH232, 1)="Y", LEFT(AH232, 3)="J36M"), "CUSM", "No Match")</f>
      </c>
      <c r="AK232" s="37">
        <f>IF(AND(OR(O232=3, P232=1, Q232=1, T232=1), AJ232="no Match"), "CUSM, CHU SJ, CHUQ", "")</f>
      </c>
      <c r="AL232" s="37">
        <f>IF(AND(O232=2, ISBLANK(P232), ISBLANK(Q232), ISBLANK(R232), ISBLANK(S232), ISBLANK(T232)), "CUSM, CHU SJ, CHUS, CHUQ", "")</f>
      </c>
      <c r="AM232" s="37">
        <f>IF(AND(AJ232="no match", AK232="", AL232="", K232&lt;26), "CUSM, CHU SJ, HGJ, CHUQ, CHUS", "")</f>
      </c>
      <c r="AN232" s="37">
        <f>IF(AND(AJ232="no match", AK232="", AL232="", K232&gt;26), "CUSM, CHU SJ, HGJ, CHUQ, CHUS, HMR", "")</f>
      </c>
    </row>
    <row x14ac:dyDescent="0.25" r="233" customHeight="1" ht="17.25">
      <c r="A233" s="27" t="s">
        <v>551</v>
      </c>
      <c r="B233" s="28">
        <v>2</v>
      </c>
      <c r="C233" s="35">
        <v>831</v>
      </c>
      <c r="D233" s="29" t="s">
        <v>313</v>
      </c>
      <c r="E233" s="30" t="s">
        <v>54</v>
      </c>
      <c r="F233" s="31">
        <v>44699</v>
      </c>
      <c r="G233" s="32">
        <v>4.555555555555555</v>
      </c>
      <c r="H233" s="31">
        <v>44698</v>
      </c>
      <c r="I233" s="32">
        <v>4.490277777777777</v>
      </c>
      <c r="J233" s="33">
        <f>F233-H233</f>
      </c>
      <c r="K233" s="28">
        <v>39</v>
      </c>
      <c r="L233" s="28">
        <v>1</v>
      </c>
      <c r="M233" s="28">
        <v>1</v>
      </c>
      <c r="N233" s="35">
        <v>1</v>
      </c>
      <c r="O233" s="34"/>
      <c r="P233" s="35">
        <v>1</v>
      </c>
      <c r="Q233" s="34"/>
      <c r="R233" s="34"/>
      <c r="S233" s="34"/>
      <c r="T233" s="34"/>
      <c r="U233" s="34"/>
      <c r="V233" s="34"/>
      <c r="W233" s="29"/>
      <c r="X233" s="28">
        <v>27</v>
      </c>
      <c r="Y233" s="28">
        <v>1</v>
      </c>
      <c r="Z233" s="28">
        <v>1</v>
      </c>
      <c r="AA233" s="28">
        <v>2</v>
      </c>
      <c r="AB233" s="28">
        <v>1</v>
      </c>
      <c r="AC233" s="28">
        <v>2</v>
      </c>
      <c r="AD233" s="28">
        <v>2</v>
      </c>
      <c r="AE233" s="28">
        <v>4</v>
      </c>
      <c r="AF233" s="28">
        <v>2</v>
      </c>
      <c r="AG233" s="28">
        <v>2</v>
      </c>
      <c r="AH233" s="29" t="s">
        <v>161</v>
      </c>
      <c r="AI233" s="36">
        <f>IF(OR(AND(K233&lt;32, J233&lt;2), O233=1, P233=1, Q233=1, R233=1, S233=1, T233=1, U233=1, AND(W233&lt;&gt;"", W233&lt;&gt;"Oxygen", W233&lt;&gt;"LowFlow")), "Intensive", "Intermediate")</f>
      </c>
      <c r="AJ233" s="37">
        <f>IF(OR(LEFT(AH233, 1)="X", LEFT(AH233, 1)="Y", LEFT(AH233, 3)="J37M"), "CUSM", "No Match")</f>
      </c>
      <c r="AK233" s="37">
        <f>IF(AND(OR(O233=3, P233=1, Q233=1, T233=1), AJ233="no Match"), "CUSM, CHU SJ, CHUQ", "")</f>
      </c>
      <c r="AL233" s="37">
        <f>IF(AND(O233=2, ISBLANK(P233), ISBLANK(Q233), ISBLANK(R233), ISBLANK(S233), ISBLANK(T233)), "CUSM, CHU SJ, CHUS, CHUQ", "")</f>
      </c>
      <c r="AM233" s="37">
        <f>IF(AND(AJ233="no match", AK233="", AL233="", K233&lt;26), "CUSM, CHU SJ, HGJ, CHUQ, CHUS", "")</f>
      </c>
      <c r="AN233" s="37">
        <f>IF(AND(AJ233="no match", AK233="", AL233="", K233&gt;26), "CUSM, CHU SJ, HGJ, CHUQ, CHUS, HMR", "")</f>
      </c>
    </row>
    <row x14ac:dyDescent="0.25" r="234" customHeight="1" ht="17.25">
      <c r="A234" s="27" t="s">
        <v>552</v>
      </c>
      <c r="B234" s="28">
        <v>2</v>
      </c>
      <c r="C234" s="35">
        <v>730</v>
      </c>
      <c r="D234" s="29" t="s">
        <v>81</v>
      </c>
      <c r="E234" s="30" t="s">
        <v>50</v>
      </c>
      <c r="F234" s="31">
        <v>44699</v>
      </c>
      <c r="G234" s="32">
        <v>4.095833333333333</v>
      </c>
      <c r="H234" s="31">
        <v>44698</v>
      </c>
      <c r="I234" s="32">
        <v>4.722222222222222</v>
      </c>
      <c r="J234" s="33">
        <f>F234-H234</f>
      </c>
      <c r="K234" s="28">
        <v>37</v>
      </c>
      <c r="L234" s="28">
        <v>1</v>
      </c>
      <c r="M234" s="28">
        <v>2</v>
      </c>
      <c r="N234" s="35">
        <v>1</v>
      </c>
      <c r="O234" s="34"/>
      <c r="P234" s="34"/>
      <c r="Q234" s="35">
        <v>1</v>
      </c>
      <c r="R234" s="34"/>
      <c r="S234" s="34"/>
      <c r="T234" s="34"/>
      <c r="U234" s="34"/>
      <c r="V234" s="34"/>
      <c r="W234" s="29" t="s">
        <v>58</v>
      </c>
      <c r="X234" s="28">
        <v>32</v>
      </c>
      <c r="Y234" s="28">
        <v>1</v>
      </c>
      <c r="Z234" s="28">
        <v>2</v>
      </c>
      <c r="AA234" s="28">
        <v>1</v>
      </c>
      <c r="AB234" s="28">
        <v>1</v>
      </c>
      <c r="AC234" s="28">
        <v>2</v>
      </c>
      <c r="AD234" s="28">
        <v>1</v>
      </c>
      <c r="AE234" s="28">
        <v>4</v>
      </c>
      <c r="AF234" s="28">
        <v>3</v>
      </c>
      <c r="AG234" s="28">
        <v>2</v>
      </c>
      <c r="AH234" s="29" t="s">
        <v>553</v>
      </c>
      <c r="AI234" s="36">
        <f>IF(OR(AND(K234&lt;32, J234&lt;2), O234=1, P234=1, Q234=1, R234=1, S234=1, T234=1, U234=1, AND(W234&lt;&gt;"", W234&lt;&gt;"Oxygen", W234&lt;&gt;"LowFlow")), "Intensive", "Intermediate")</f>
      </c>
      <c r="AJ234" s="37">
        <f>IF(OR(LEFT(AH234, 1)="X", LEFT(AH234, 1)="Y", LEFT(AH234, 3)="J38M"), "CUSM", "No Match")</f>
      </c>
      <c r="AK234" s="37">
        <f>IF(AND(OR(O234=3, P234=1, Q234=1, T234=1), AJ234="no Match"), "CUSM, CHU SJ, CHUQ", "")</f>
      </c>
      <c r="AL234" s="37">
        <f>IF(AND(O234=2, ISBLANK(P234), ISBLANK(Q234), ISBLANK(R234), ISBLANK(S234), ISBLANK(T234)), "CUSM, CHU SJ, CHUS, CHUQ", "")</f>
      </c>
      <c r="AM234" s="37">
        <f>IF(AND(AJ234="no match", AK234="", AL234="", K234&lt;26), "CUSM, CHU SJ, HGJ, CHUQ, CHUS", "")</f>
      </c>
      <c r="AN234" s="37">
        <f>IF(AND(AJ234="no match", AK234="", AL234="", K234&gt;26), "CUSM, CHU SJ, HGJ, CHUQ, CHUS, HMR", "")</f>
      </c>
    </row>
    <row x14ac:dyDescent="0.25" r="235" customHeight="1" ht="17.25">
      <c r="A235" s="27" t="s">
        <v>554</v>
      </c>
      <c r="B235" s="28">
        <v>2</v>
      </c>
      <c r="C235" s="28">
        <v>825</v>
      </c>
      <c r="D235" s="29" t="s">
        <v>77</v>
      </c>
      <c r="E235" s="30" t="s">
        <v>50</v>
      </c>
      <c r="F235" s="31">
        <v>44699</v>
      </c>
      <c r="G235" s="32">
        <v>4.069444444444445</v>
      </c>
      <c r="H235" s="31">
        <v>44698</v>
      </c>
      <c r="I235" s="32">
        <v>4.798611111111111</v>
      </c>
      <c r="J235" s="33">
        <f>F235-H235</f>
      </c>
      <c r="K235" s="28">
        <v>34</v>
      </c>
      <c r="L235" s="28">
        <v>3</v>
      </c>
      <c r="M235" s="28">
        <v>1</v>
      </c>
      <c r="N235" s="34"/>
      <c r="O235" s="34"/>
      <c r="P235" s="34"/>
      <c r="Q235" s="34"/>
      <c r="R235" s="34"/>
      <c r="S235" s="34"/>
      <c r="T235" s="34"/>
      <c r="U235" s="34"/>
      <c r="V235" s="34"/>
      <c r="W235" s="29" t="s">
        <v>58</v>
      </c>
      <c r="X235" s="28">
        <v>29</v>
      </c>
      <c r="Y235" s="28">
        <v>1</v>
      </c>
      <c r="Z235" s="28">
        <v>1</v>
      </c>
      <c r="AA235" s="28">
        <v>2</v>
      </c>
      <c r="AB235" s="28">
        <v>1</v>
      </c>
      <c r="AC235" s="28">
        <v>2</v>
      </c>
      <c r="AD235" s="28">
        <v>2</v>
      </c>
      <c r="AE235" s="28">
        <v>4</v>
      </c>
      <c r="AF235" s="35">
        <v>3</v>
      </c>
      <c r="AG235" s="28">
        <v>2</v>
      </c>
      <c r="AH235" s="29" t="s">
        <v>555</v>
      </c>
      <c r="AI235" s="36">
        <f>IF(OR(AND(K235&lt;32, J235&lt;2), O235=1, P235=1, Q235=1, R235=1, S235=1, T235=1, U235=1, AND(W235&lt;&gt;"", W235&lt;&gt;"Oxygen", W235&lt;&gt;"LowFlow")), "Intensive", "Intermediate")</f>
      </c>
      <c r="AJ235" s="37">
        <f>IF(OR(LEFT(AH235, 1)="X", LEFT(AH235, 1)="Y", LEFT(AH235, 3)="J39M"), "CUSM", "No Match")</f>
      </c>
      <c r="AK235" s="37">
        <f>IF(AND(OR(O235=3, P235=1, Q235=1, T235=1), AJ235="no Match"), "CUSM, CHU SJ, CHUQ", "")</f>
      </c>
      <c r="AL235" s="37">
        <f>IF(AND(O235=2, ISBLANK(P235), ISBLANK(Q235), ISBLANK(R235), ISBLANK(S235), ISBLANK(T235)), "CUSM, CHU SJ, CHUS, CHUQ", "")</f>
      </c>
      <c r="AM235" s="37">
        <f>IF(AND(AJ235="no match", AK235="", AL235="", K235&lt;26), "CUSM, CHU SJ, HGJ, CHUQ, CHUS", "")</f>
      </c>
      <c r="AN235" s="37">
        <f>IF(AND(AJ235="no match", AK235="", AL235="", K235&gt;26), "CUSM, CHU SJ, HGJ, CHUQ, CHUS, HMR", "")</f>
      </c>
    </row>
    <row x14ac:dyDescent="0.25" r="236" customHeight="1" ht="17.25">
      <c r="A236" s="27" t="s">
        <v>556</v>
      </c>
      <c r="B236" s="28">
        <v>2</v>
      </c>
      <c r="C236" s="35">
        <v>760</v>
      </c>
      <c r="D236" s="29" t="s">
        <v>557</v>
      </c>
      <c r="E236" s="30" t="s">
        <v>149</v>
      </c>
      <c r="F236" s="31">
        <v>44700</v>
      </c>
      <c r="G236" s="32">
        <v>4.2034722222222225</v>
      </c>
      <c r="H236" s="31">
        <v>44699</v>
      </c>
      <c r="I236" s="32">
        <v>4.8909722222222225</v>
      </c>
      <c r="J236" s="33">
        <f>F236-H236</f>
      </c>
      <c r="K236" s="28">
        <v>32</v>
      </c>
      <c r="L236" s="28">
        <v>0</v>
      </c>
      <c r="M236" s="28">
        <v>1</v>
      </c>
      <c r="N236" s="38"/>
      <c r="O236" s="34"/>
      <c r="P236" s="38"/>
      <c r="Q236" s="34"/>
      <c r="R236" s="34"/>
      <c r="S236" s="34"/>
      <c r="T236" s="34"/>
      <c r="U236" s="34"/>
      <c r="V236" s="34"/>
      <c r="W236" s="29" t="s">
        <v>164</v>
      </c>
      <c r="X236" s="28">
        <v>27</v>
      </c>
      <c r="Y236" s="28">
        <v>2</v>
      </c>
      <c r="Z236" s="28">
        <v>2</v>
      </c>
      <c r="AA236" s="28">
        <v>3</v>
      </c>
      <c r="AB236" s="28">
        <v>4</v>
      </c>
      <c r="AC236" s="28">
        <v>2</v>
      </c>
      <c r="AD236" s="28">
        <v>2</v>
      </c>
      <c r="AE236" s="28">
        <v>4</v>
      </c>
      <c r="AF236" s="28">
        <v>3</v>
      </c>
      <c r="AG236" s="28">
        <v>3</v>
      </c>
      <c r="AH236" s="29" t="s">
        <v>558</v>
      </c>
      <c r="AI236" s="36">
        <f>IF(OR(AND(K236&lt;32, J236&lt;2), O236=1, P236=1, Q236=1, R236=1, S236=1, T236=1, U236=1, AND(W236&lt;&gt;"", W236&lt;&gt;"Oxygen", W236&lt;&gt;"LowFlow")), "Intensive", "Intermediate")</f>
      </c>
      <c r="AJ236" s="37">
        <f>IF(OR(LEFT(AH236, 1)="X", LEFT(AH236, 1)="Y", LEFT(AH236, 3)="J40M"), "CUSM", "No Match")</f>
      </c>
      <c r="AK236" s="37">
        <f>IF(AND(OR(O236=3, P236=1, Q236=1, T236=1), AJ236="no Match"), "CUSM, CHU SJ, CHUQ", "")</f>
      </c>
      <c r="AL236" s="37">
        <f>IF(AND(O236=2, ISBLANK(P236), ISBLANK(Q236), ISBLANK(R236), ISBLANK(S236), ISBLANK(T236)), "CUSM, CHU SJ, CHUS, CHUQ", "")</f>
      </c>
      <c r="AM236" s="37">
        <f>IF(AND(AJ236="no match", AK236="", AL236="", K236&lt;26), "CUSM, CHU SJ, HGJ, CHUQ, CHUS", "")</f>
      </c>
      <c r="AN236" s="37">
        <f>IF(AND(AJ236="no match", AK236="", AL236="", K236&gt;26), "CUSM, CHU SJ, HGJ, CHUQ, CHUS, HMR", "")</f>
      </c>
    </row>
    <row x14ac:dyDescent="0.25" r="237" customHeight="1" ht="17.25">
      <c r="A237" s="27" t="s">
        <v>559</v>
      </c>
      <c r="B237" s="28">
        <v>2</v>
      </c>
      <c r="C237" s="35">
        <v>760</v>
      </c>
      <c r="D237" s="29" t="s">
        <v>557</v>
      </c>
      <c r="E237" s="30" t="s">
        <v>149</v>
      </c>
      <c r="F237" s="31">
        <v>44700</v>
      </c>
      <c r="G237" s="32">
        <v>4.3694444444444445</v>
      </c>
      <c r="H237" s="31">
        <v>44699</v>
      </c>
      <c r="I237" s="32">
        <v>4.892361111111111</v>
      </c>
      <c r="J237" s="33">
        <f>F237-H237</f>
      </c>
      <c r="K237" s="28">
        <v>32</v>
      </c>
      <c r="L237" s="28">
        <v>0</v>
      </c>
      <c r="M237" s="28">
        <v>2</v>
      </c>
      <c r="N237" s="34"/>
      <c r="O237" s="34"/>
      <c r="P237" s="34"/>
      <c r="Q237" s="34"/>
      <c r="R237" s="34"/>
      <c r="S237" s="34"/>
      <c r="T237" s="34"/>
      <c r="U237" s="34"/>
      <c r="V237" s="34"/>
      <c r="W237" s="29" t="s">
        <v>58</v>
      </c>
      <c r="X237" s="28">
        <v>27</v>
      </c>
      <c r="Y237" s="28">
        <v>2</v>
      </c>
      <c r="Z237" s="28">
        <v>2</v>
      </c>
      <c r="AA237" s="28">
        <v>3</v>
      </c>
      <c r="AB237" s="28">
        <v>4</v>
      </c>
      <c r="AC237" s="28">
        <v>2</v>
      </c>
      <c r="AD237" s="28">
        <v>2</v>
      </c>
      <c r="AE237" s="28">
        <v>4</v>
      </c>
      <c r="AF237" s="28">
        <v>3</v>
      </c>
      <c r="AG237" s="28">
        <v>3</v>
      </c>
      <c r="AH237" s="29" t="s">
        <v>558</v>
      </c>
      <c r="AI237" s="36">
        <f>IF(OR(AND(K237&lt;32, J237&lt;2), O237=1, P237=1, Q237=1, R237=1, S237=1, T237=1, U237=1, AND(W237&lt;&gt;"", W237&lt;&gt;"Oxygen", W237&lt;&gt;"LowFlow")), "Intensive", "Intermediate")</f>
      </c>
      <c r="AJ237" s="37">
        <f>IF(OR(LEFT(AH237, 1)="X", LEFT(AH237, 1)="Y", LEFT(AH237, 3)="J41M"), "CUSM", "No Match")</f>
      </c>
      <c r="AK237" s="37">
        <f>IF(AND(OR(O237=3, P237=1, Q237=1, T237=1), AJ237="no Match"), "CUSM, CHU SJ, CHUQ", "")</f>
      </c>
      <c r="AL237" s="37">
        <f>IF(AND(O237=2, ISBLANK(P237), ISBLANK(Q237), ISBLANK(R237), ISBLANK(S237), ISBLANK(T237)), "CUSM, CHU SJ, CHUS, CHUQ", "")</f>
      </c>
      <c r="AM237" s="37">
        <f>IF(AND(AJ237="no match", AK237="", AL237="", K237&lt;26), "CUSM, CHU SJ, HGJ, CHUQ, CHUS", "")</f>
      </c>
      <c r="AN237" s="37">
        <f>IF(AND(AJ237="no match", AK237="", AL237="", K237&gt;26), "CUSM, CHU SJ, HGJ, CHUQ, CHUS, HMR", "")</f>
      </c>
    </row>
    <row x14ac:dyDescent="0.25" r="238" customHeight="1" ht="17.25">
      <c r="A238" s="27" t="s">
        <v>560</v>
      </c>
      <c r="B238" s="28">
        <v>2</v>
      </c>
      <c r="C238" s="35">
        <v>768</v>
      </c>
      <c r="D238" s="29" t="s">
        <v>160</v>
      </c>
      <c r="E238" s="30" t="s">
        <v>118</v>
      </c>
      <c r="F238" s="31">
        <v>44700</v>
      </c>
      <c r="G238" s="32">
        <v>4.767361111111111</v>
      </c>
      <c r="H238" s="31">
        <v>44700</v>
      </c>
      <c r="I238" s="39"/>
      <c r="J238" s="33">
        <f>F238-H238</f>
      </c>
      <c r="K238" s="28">
        <v>29</v>
      </c>
      <c r="L238" s="28">
        <v>0</v>
      </c>
      <c r="M238" s="28">
        <v>2</v>
      </c>
      <c r="N238" s="34"/>
      <c r="O238" s="34"/>
      <c r="P238" s="34"/>
      <c r="Q238" s="34"/>
      <c r="R238" s="34"/>
      <c r="S238" s="34"/>
      <c r="T238" s="34"/>
      <c r="U238" s="34"/>
      <c r="V238" s="34"/>
      <c r="W238" s="29" t="s">
        <v>58</v>
      </c>
      <c r="X238" s="28">
        <v>27</v>
      </c>
      <c r="Y238" s="28">
        <v>1</v>
      </c>
      <c r="Z238" s="28">
        <v>1</v>
      </c>
      <c r="AA238" s="28">
        <v>2</v>
      </c>
      <c r="AB238" s="28">
        <v>4</v>
      </c>
      <c r="AC238" s="28">
        <v>2</v>
      </c>
      <c r="AD238" s="28">
        <v>2</v>
      </c>
      <c r="AE238" s="28">
        <v>3</v>
      </c>
      <c r="AF238" s="28">
        <v>3</v>
      </c>
      <c r="AG238" s="28">
        <v>1</v>
      </c>
      <c r="AH238" s="29" t="s">
        <v>561</v>
      </c>
      <c r="AI238" s="36">
        <f>IF(OR(AND(K238&lt;32, J238&lt;2), O238=1, P238=1, Q238=1, R238=1, S238=1, T238=1, U238=1, AND(W238&lt;&gt;"", W238&lt;&gt;"Oxygen", W238&lt;&gt;"LowFlow")), "Intensive", "Intermediate")</f>
      </c>
      <c r="AJ238" s="37">
        <f>IF(OR(LEFT(AH238, 1)="X", LEFT(AH238, 1)="Y", LEFT(AH238, 3)="J42M"), "CUSM", "No Match")</f>
      </c>
      <c r="AK238" s="37">
        <f>IF(AND(OR(O238=3, P238=1, Q238=1, T238=1), AJ238="no Match"), "CUSM, CHU SJ, CHUQ", "")</f>
      </c>
      <c r="AL238" s="37">
        <f>IF(AND(O238=2, ISBLANK(P238), ISBLANK(Q238), ISBLANK(R238), ISBLANK(S238), ISBLANK(T238)), "CUSM, CHU SJ, CHUS, CHUQ", "")</f>
      </c>
      <c r="AM238" s="37">
        <f>IF(AND(AJ238="no match", AK238="", AL238="", K238&lt;26), "CUSM, CHU SJ, HGJ, CHUQ, CHUS", "")</f>
      </c>
      <c r="AN238" s="37">
        <f>IF(AND(AJ238="no match", AK238="", AL238="", K238&gt;26), "CUSM, CHU SJ, HGJ, CHUQ, CHUS, HMR", "")</f>
      </c>
    </row>
    <row x14ac:dyDescent="0.25" r="239" customHeight="1" ht="17.25">
      <c r="A239" s="27" t="s">
        <v>562</v>
      </c>
      <c r="B239" s="28">
        <v>2</v>
      </c>
      <c r="C239" s="35">
        <v>721</v>
      </c>
      <c r="D239" s="29" t="s">
        <v>367</v>
      </c>
      <c r="E239" s="30" t="s">
        <v>50</v>
      </c>
      <c r="F239" s="31">
        <v>44700</v>
      </c>
      <c r="G239" s="32">
        <v>4.938888888888889</v>
      </c>
      <c r="H239" s="31">
        <v>44692</v>
      </c>
      <c r="I239" s="32">
        <v>4.300694444444444</v>
      </c>
      <c r="J239" s="33">
        <f>F239-H239</f>
      </c>
      <c r="K239" s="28">
        <v>38</v>
      </c>
      <c r="L239" s="28">
        <v>4</v>
      </c>
      <c r="M239" s="28">
        <v>2</v>
      </c>
      <c r="N239" s="34"/>
      <c r="O239" s="34"/>
      <c r="P239" s="34"/>
      <c r="Q239" s="34"/>
      <c r="R239" s="34"/>
      <c r="S239" s="34"/>
      <c r="T239" s="34"/>
      <c r="U239" s="34"/>
      <c r="V239" s="34"/>
      <c r="W239" s="29"/>
      <c r="X239" s="28">
        <v>23</v>
      </c>
      <c r="Y239" s="28">
        <v>1</v>
      </c>
      <c r="Z239" s="28">
        <v>1</v>
      </c>
      <c r="AA239" s="28">
        <v>3</v>
      </c>
      <c r="AB239" s="28">
        <v>1</v>
      </c>
      <c r="AC239" s="28">
        <v>2</v>
      </c>
      <c r="AD239" s="28">
        <v>1</v>
      </c>
      <c r="AE239" s="28">
        <v>4</v>
      </c>
      <c r="AF239" s="28">
        <v>3</v>
      </c>
      <c r="AG239" s="28">
        <v>3</v>
      </c>
      <c r="AH239" s="29" t="s">
        <v>563</v>
      </c>
      <c r="AI239" s="36">
        <f>IF(OR(AND(K239&lt;32, J239&lt;2), O239=1, P239=1, Q239=1, R239=1, S239=1, T239=1, U239=1, AND(W239&lt;&gt;"", W239&lt;&gt;"Oxygen", W239&lt;&gt;"LowFlow")), "Intensive", "Intermediate")</f>
      </c>
      <c r="AJ239" s="37">
        <f>IF(OR(LEFT(AH239, 1)="X", LEFT(AH239, 1)="Y", LEFT(AH239, 3)="J43M"), "CUSM", "No Match")</f>
      </c>
      <c r="AK239" s="37">
        <f>IF(AND(OR(O239=3, P239=1, Q239=1, T239=1), AJ239="no Match"), "CUSM, CHU SJ, CHUQ", "")</f>
      </c>
      <c r="AL239" s="37">
        <f>IF(AND(O239=2, ISBLANK(P239), ISBLANK(Q239), ISBLANK(R239), ISBLANK(S239), ISBLANK(T239)), "CUSM, CHU SJ, CHUS, CHUQ", "")</f>
      </c>
      <c r="AM239" s="37">
        <f>IF(AND(AJ239="no match", AK239="", AL239="", K239&lt;26), "CUSM, CHU SJ, HGJ, CHUQ, CHUS", "")</f>
      </c>
      <c r="AN239" s="37">
        <f>IF(AND(AJ239="no match", AK239="", AL239="", K239&gt;26), "CUSM, CHU SJ, HGJ, CHUQ, CHUS, HMR", "")</f>
      </c>
    </row>
    <row x14ac:dyDescent="0.25" r="240" customHeight="1" ht="17.25">
      <c r="A240" s="27" t="s">
        <v>564</v>
      </c>
      <c r="B240" s="28">
        <v>2</v>
      </c>
      <c r="C240" s="28">
        <v>822</v>
      </c>
      <c r="D240" s="29" t="s">
        <v>167</v>
      </c>
      <c r="E240" s="30" t="s">
        <v>50</v>
      </c>
      <c r="F240" s="31">
        <v>44700</v>
      </c>
      <c r="G240" s="32">
        <v>4.8125</v>
      </c>
      <c r="H240" s="31">
        <v>44700</v>
      </c>
      <c r="I240" s="32">
        <v>4.61875</v>
      </c>
      <c r="J240" s="33">
        <f>F240-H240</f>
      </c>
      <c r="K240" s="28">
        <v>38</v>
      </c>
      <c r="L240" s="28">
        <v>2</v>
      </c>
      <c r="M240" s="28">
        <v>1</v>
      </c>
      <c r="N240" s="34"/>
      <c r="O240" s="34"/>
      <c r="P240" s="34"/>
      <c r="Q240" s="34"/>
      <c r="R240" s="34"/>
      <c r="S240" s="34"/>
      <c r="T240" s="34"/>
      <c r="U240" s="34"/>
      <c r="V240" s="34"/>
      <c r="W240" s="29" t="s">
        <v>74</v>
      </c>
      <c r="X240" s="28">
        <v>35</v>
      </c>
      <c r="Y240" s="28">
        <v>1</v>
      </c>
      <c r="Z240" s="28">
        <v>1</v>
      </c>
      <c r="AA240" s="28">
        <v>3</v>
      </c>
      <c r="AB240" s="28">
        <v>1</v>
      </c>
      <c r="AC240" s="28">
        <v>2</v>
      </c>
      <c r="AD240" s="28">
        <v>2</v>
      </c>
      <c r="AE240" s="28">
        <v>4</v>
      </c>
      <c r="AF240" s="28">
        <v>3</v>
      </c>
      <c r="AG240" s="28">
        <v>2</v>
      </c>
      <c r="AH240" s="29" t="s">
        <v>283</v>
      </c>
      <c r="AI240" s="36">
        <f>IF(OR(AND(K240&lt;32, J240&lt;2), O240=1, P240=1, Q240=1, R240=1, S240=1, T240=1, U240=1, AND(W240&lt;&gt;"", W240&lt;&gt;"Oxygen", W240&lt;&gt;"LowFlow")), "Intensive", "Intermediate")</f>
      </c>
      <c r="AJ240" s="37">
        <f>IF(OR(LEFT(AH240, 1)="X", LEFT(AH240, 1)="Y", LEFT(AH240, 3)="J44M"), "CUSM", "No Match")</f>
      </c>
      <c r="AK240" s="37">
        <f>IF(AND(OR(O240=3, P240=1, Q240=1, T240=1), AJ240="no Match"), "CUSM, CHU SJ, CHUQ", "")</f>
      </c>
      <c r="AL240" s="37">
        <f>IF(AND(O240=2, ISBLANK(P240), ISBLANK(Q240), ISBLANK(R240), ISBLANK(S240), ISBLANK(T240)), "CUSM, CHU SJ, CHUS, CHUQ", "")</f>
      </c>
      <c r="AM240" s="37">
        <f>IF(AND(AJ240="no match", AK240="", AL240="", K240&lt;26), "CUSM, CHU SJ, HGJ, CHUQ, CHUS", "")</f>
      </c>
      <c r="AN240" s="37">
        <f>IF(AND(AJ240="no match", AK240="", AL240="", K240&gt;26), "CUSM, CHU SJ, HGJ, CHUQ, CHUS, HMR", "")</f>
      </c>
    </row>
    <row x14ac:dyDescent="0.25" r="241" customHeight="1" ht="17.25">
      <c r="A241" s="27" t="s">
        <v>565</v>
      </c>
      <c r="B241" s="28">
        <v>2</v>
      </c>
      <c r="C241" s="28">
        <v>824</v>
      </c>
      <c r="D241" s="29" t="s">
        <v>57</v>
      </c>
      <c r="E241" s="30" t="s">
        <v>50</v>
      </c>
      <c r="F241" s="31">
        <v>44700</v>
      </c>
      <c r="G241" s="32">
        <v>4.40625</v>
      </c>
      <c r="H241" s="31">
        <v>44699</v>
      </c>
      <c r="I241" s="32">
        <v>4.941666666666666</v>
      </c>
      <c r="J241" s="33">
        <f>F241-H241</f>
      </c>
      <c r="K241" s="28">
        <v>40</v>
      </c>
      <c r="L241" s="28">
        <v>4</v>
      </c>
      <c r="M241" s="28">
        <v>2</v>
      </c>
      <c r="N241" s="34"/>
      <c r="O241" s="34"/>
      <c r="P241" s="34"/>
      <c r="Q241" s="34"/>
      <c r="R241" s="34"/>
      <c r="S241" s="34"/>
      <c r="T241" s="34"/>
      <c r="U241" s="34"/>
      <c r="V241" s="34"/>
      <c r="W241" s="29"/>
      <c r="X241" s="28">
        <v>32</v>
      </c>
      <c r="Y241" s="28">
        <v>1</v>
      </c>
      <c r="Z241" s="28">
        <v>1</v>
      </c>
      <c r="AA241" s="28">
        <v>2</v>
      </c>
      <c r="AB241" s="28">
        <v>2</v>
      </c>
      <c r="AC241" s="28">
        <v>2</v>
      </c>
      <c r="AD241" s="28">
        <v>2</v>
      </c>
      <c r="AE241" s="28">
        <v>2</v>
      </c>
      <c r="AF241" s="28">
        <v>2</v>
      </c>
      <c r="AG241" s="28">
        <v>3</v>
      </c>
      <c r="AH241" s="29" t="s">
        <v>566</v>
      </c>
      <c r="AI241" s="36">
        <f>IF(OR(AND(K241&lt;32, J241&lt;2), O241=1, P241=1, Q241=1, R241=1, S241=1, T241=1, U241=1, AND(W241&lt;&gt;"", W241&lt;&gt;"Oxygen", W241&lt;&gt;"LowFlow")), "Intensive", "Intermediate")</f>
      </c>
      <c r="AJ241" s="37">
        <f>IF(OR(LEFT(AH241, 1)="X", LEFT(AH241, 1)="Y", LEFT(AH241, 3)="J45M"), "CUSM", "No Match")</f>
      </c>
      <c r="AK241" s="37">
        <f>IF(AND(OR(O241=3, P241=1, Q241=1, T241=1), AJ241="no Match"), "CUSM, CHU SJ, CHUQ", "")</f>
      </c>
      <c r="AL241" s="37">
        <f>IF(AND(O241=2, ISBLANK(P241), ISBLANK(Q241), ISBLANK(R241), ISBLANK(S241), ISBLANK(T241)), "CUSM, CHU SJ, CHUS, CHUQ", "")</f>
      </c>
      <c r="AM241" s="37">
        <f>IF(AND(AJ241="no match", AK241="", AL241="", K241&lt;26), "CUSM, CHU SJ, HGJ, CHUQ, CHUS", "")</f>
      </c>
      <c r="AN241" s="37">
        <f>IF(AND(AJ241="no match", AK241="", AL241="", K241&gt;26), "CUSM, CHU SJ, HGJ, CHUQ, CHUS, HMR", "")</f>
      </c>
    </row>
    <row x14ac:dyDescent="0.25" r="242" customHeight="1" ht="17.25">
      <c r="A242" s="27" t="s">
        <v>567</v>
      </c>
      <c r="B242" s="28">
        <v>2</v>
      </c>
      <c r="C242" s="35">
        <v>839</v>
      </c>
      <c r="D242" s="29" t="s">
        <v>53</v>
      </c>
      <c r="E242" s="30" t="s">
        <v>54</v>
      </c>
      <c r="F242" s="31">
        <v>44701</v>
      </c>
      <c r="G242" s="32">
        <v>4.996527777777778</v>
      </c>
      <c r="H242" s="31">
        <v>44698</v>
      </c>
      <c r="I242" s="32">
        <v>4.409722222222222</v>
      </c>
      <c r="J242" s="33">
        <f>F242-H242</f>
      </c>
      <c r="K242" s="28">
        <v>41</v>
      </c>
      <c r="L242" s="28">
        <v>0</v>
      </c>
      <c r="M242" s="28">
        <v>1</v>
      </c>
      <c r="N242" s="28">
        <v>1</v>
      </c>
      <c r="O242" s="34"/>
      <c r="P242" s="28">
        <v>1</v>
      </c>
      <c r="Q242" s="34"/>
      <c r="R242" s="34"/>
      <c r="S242" s="34"/>
      <c r="T242" s="34"/>
      <c r="U242" s="34"/>
      <c r="V242" s="34"/>
      <c r="W242" s="29"/>
      <c r="X242" s="28">
        <v>32</v>
      </c>
      <c r="Y242" s="28">
        <v>1</v>
      </c>
      <c r="Z242" s="28">
        <v>1</v>
      </c>
      <c r="AA242" s="28">
        <v>2</v>
      </c>
      <c r="AB242" s="28">
        <v>4</v>
      </c>
      <c r="AC242" s="28">
        <v>3</v>
      </c>
      <c r="AD242" s="28">
        <v>3</v>
      </c>
      <c r="AE242" s="28">
        <v>4</v>
      </c>
      <c r="AF242" s="35">
        <v>2</v>
      </c>
      <c r="AG242" s="28">
        <v>2</v>
      </c>
      <c r="AH242" s="29" t="s">
        <v>568</v>
      </c>
      <c r="AI242" s="36">
        <f>IF(OR(AND(K242&lt;32, J242&lt;2), O242=1, P242=1, Q242=1, R242=1, S242=1, T242=1, U242=1, AND(W242&lt;&gt;"", W242&lt;&gt;"Oxygen", W242&lt;&gt;"LowFlow")), "Intensive", "Intermediate")</f>
      </c>
      <c r="AJ242" s="37">
        <f>IF(OR(LEFT(AH242, 1)="X", LEFT(AH242, 1)="Y", LEFT(AH242, 3)="J46M"), "CUSM", "No Match")</f>
      </c>
      <c r="AK242" s="37">
        <f>IF(AND(OR(O242=3, P242=1, Q242=1, T242=1), AJ242="no Match"), "CUSM, CHU SJ, CHUQ", "")</f>
      </c>
      <c r="AL242" s="37">
        <f>IF(AND(O242=2, ISBLANK(P242), ISBLANK(Q242), ISBLANK(R242), ISBLANK(S242), ISBLANK(T242)), "CUSM, CHU SJ, CHUS, CHUQ", "")</f>
      </c>
      <c r="AM242" s="37">
        <f>IF(AND(AJ242="no match", AK242="", AL242="", K242&lt;26), "CUSM, CHU SJ, HGJ, CHUQ, CHUS", "")</f>
      </c>
      <c r="AN242" s="37">
        <f>IF(AND(AJ242="no match", AK242="", AL242="", K242&gt;26), "CUSM, CHU SJ, HGJ, CHUQ, CHUS, HMR", "")</f>
      </c>
    </row>
    <row x14ac:dyDescent="0.25" r="243" customHeight="1" ht="17.25">
      <c r="A243" s="27" t="s">
        <v>569</v>
      </c>
      <c r="B243" s="28">
        <v>2</v>
      </c>
      <c r="C243" s="28">
        <v>6</v>
      </c>
      <c r="D243" s="29" t="s">
        <v>131</v>
      </c>
      <c r="E243" s="30" t="s">
        <v>50</v>
      </c>
      <c r="F243" s="31">
        <v>44701</v>
      </c>
      <c r="G243" s="32">
        <v>4.971527777777778</v>
      </c>
      <c r="H243" s="31">
        <v>44696</v>
      </c>
      <c r="I243" s="32">
        <v>4.911111111111111</v>
      </c>
      <c r="J243" s="33">
        <f>F243-H243</f>
      </c>
      <c r="K243" s="28">
        <v>40</v>
      </c>
      <c r="L243" s="28">
        <v>1</v>
      </c>
      <c r="M243" s="28">
        <v>1</v>
      </c>
      <c r="N243" s="34"/>
      <c r="O243" s="34"/>
      <c r="P243" s="34"/>
      <c r="Q243" s="34"/>
      <c r="R243" s="34"/>
      <c r="S243" s="34"/>
      <c r="T243" s="38"/>
      <c r="U243" s="34"/>
      <c r="V243" s="34"/>
      <c r="W243" s="29"/>
      <c r="X243" s="28">
        <v>26</v>
      </c>
      <c r="Y243" s="28">
        <v>1</v>
      </c>
      <c r="Z243" s="28">
        <v>1</v>
      </c>
      <c r="AA243" s="28">
        <v>3</v>
      </c>
      <c r="AB243" s="28">
        <v>1</v>
      </c>
      <c r="AC243" s="28">
        <v>2</v>
      </c>
      <c r="AD243" s="28">
        <v>2</v>
      </c>
      <c r="AE243" s="28">
        <v>4</v>
      </c>
      <c r="AF243" s="28">
        <v>3</v>
      </c>
      <c r="AG243" s="28">
        <v>2</v>
      </c>
      <c r="AH243" s="29" t="s">
        <v>570</v>
      </c>
      <c r="AI243" s="36">
        <f>IF(OR(AND(K243&lt;32, J243&lt;2), O243=1, P243=1, Q243=1, R243=1, S243=1, T243=1, U243=1, AND(W243&lt;&gt;"", W243&lt;&gt;"Oxygen", W243&lt;&gt;"LowFlow")), "Intensive", "Intermediate")</f>
      </c>
      <c r="AJ243" s="37">
        <f>IF(OR(LEFT(AH243, 1)="X", LEFT(AH243, 1)="Y", LEFT(AH243, 3)="J47M"), "CUSM", "No Match")</f>
      </c>
      <c r="AK243" s="37">
        <f>IF(AND(OR(O243=3, P243=1, Q243=1, T243=1), AJ243="no Match"), "CUSM, CHU SJ, CHUQ", "")</f>
      </c>
      <c r="AL243" s="37">
        <f>IF(AND(O243=2, ISBLANK(P243), ISBLANK(Q243), ISBLANK(R243), ISBLANK(S243), ISBLANK(T243)), "CUSM, CHU SJ, CHUS, CHUQ", "")</f>
      </c>
      <c r="AM243" s="37">
        <f>IF(AND(AJ243="no match", AK243="", AL243="", K243&lt;26), "CUSM, CHU SJ, HGJ, CHUQ, CHUS", "")</f>
      </c>
      <c r="AN243" s="37">
        <f>IF(AND(AJ243="no match", AK243="", AL243="", K243&gt;26), "CUSM, CHU SJ, HGJ, CHUQ, CHUS, HMR", "")</f>
      </c>
    </row>
    <row x14ac:dyDescent="0.25" r="244" customHeight="1" ht="17.25">
      <c r="A244" s="27" t="s">
        <v>571</v>
      </c>
      <c r="B244" s="28">
        <v>2</v>
      </c>
      <c r="C244" s="35">
        <v>820</v>
      </c>
      <c r="D244" s="29" t="s">
        <v>69</v>
      </c>
      <c r="E244" s="30" t="s">
        <v>220</v>
      </c>
      <c r="F244" s="31">
        <v>44701</v>
      </c>
      <c r="G244" s="32">
        <v>4.784722222222222</v>
      </c>
      <c r="H244" s="31">
        <v>44701</v>
      </c>
      <c r="I244" s="32">
        <v>4.647222222222222</v>
      </c>
      <c r="J244" s="33">
        <f>F244-H244</f>
      </c>
      <c r="K244" s="28">
        <v>30</v>
      </c>
      <c r="L244" s="28">
        <v>0</v>
      </c>
      <c r="M244" s="28">
        <v>2</v>
      </c>
      <c r="N244" s="34"/>
      <c r="O244" s="34"/>
      <c r="P244" s="34"/>
      <c r="Q244" s="34"/>
      <c r="R244" s="34"/>
      <c r="S244" s="34"/>
      <c r="T244" s="34"/>
      <c r="U244" s="34"/>
      <c r="V244" s="34"/>
      <c r="W244" s="29" t="s">
        <v>74</v>
      </c>
      <c r="X244" s="28">
        <v>22</v>
      </c>
      <c r="Y244" s="28">
        <v>1</v>
      </c>
      <c r="Z244" s="28">
        <v>1</v>
      </c>
      <c r="AA244" s="28">
        <v>1</v>
      </c>
      <c r="AB244" s="28">
        <v>3</v>
      </c>
      <c r="AC244" s="28">
        <v>2</v>
      </c>
      <c r="AD244" s="28">
        <v>2</v>
      </c>
      <c r="AE244" s="28">
        <v>4</v>
      </c>
      <c r="AF244" s="28">
        <v>2</v>
      </c>
      <c r="AG244" s="28">
        <v>2</v>
      </c>
      <c r="AH244" s="29" t="s">
        <v>572</v>
      </c>
      <c r="AI244" s="36">
        <f>IF(OR(AND(K244&lt;32, J244&lt;2), O244=1, P244=1, Q244=1, R244=1, S244=1, T244=1, U244=1, AND(W244&lt;&gt;"", W244&lt;&gt;"Oxygen", W244&lt;&gt;"LowFlow")), "Intensive", "Intermediate")</f>
      </c>
      <c r="AJ244" s="37">
        <f>IF(OR(LEFT(AH244, 1)="X", LEFT(AH244, 1)="Y", LEFT(AH244, 3)="J48M"), "CUSM", "No Match")</f>
      </c>
      <c r="AK244" s="37">
        <f>IF(AND(OR(O244=3, P244=1, Q244=1, T244=1), AJ244="no Match"), "CUSM, CHU SJ, CHUQ", "")</f>
      </c>
      <c r="AL244" s="37">
        <f>IF(AND(O244=2, ISBLANK(P244), ISBLANK(Q244), ISBLANK(R244), ISBLANK(S244), ISBLANK(T244)), "CUSM, CHU SJ, CHUS, CHUQ", "")</f>
      </c>
      <c r="AM244" s="37">
        <f>IF(AND(AJ244="no match", AK244="", AL244="", K244&lt;26), "CUSM, CHU SJ, HGJ, CHUQ, CHUS", "")</f>
      </c>
      <c r="AN244" s="37">
        <f>IF(AND(AJ244="no match", AK244="", AL244="", K244&gt;26), "CUSM, CHU SJ, HGJ, CHUQ, CHUS, HMR", "")</f>
      </c>
    </row>
    <row x14ac:dyDescent="0.25" r="245" customHeight="1" ht="17.25">
      <c r="A245" s="27" t="s">
        <v>573</v>
      </c>
      <c r="B245" s="28">
        <v>2</v>
      </c>
      <c r="C245" s="35">
        <v>835</v>
      </c>
      <c r="D245" s="29" t="s">
        <v>170</v>
      </c>
      <c r="E245" s="30" t="s">
        <v>50</v>
      </c>
      <c r="F245" s="31">
        <v>44703</v>
      </c>
      <c r="G245" s="32">
        <v>4.809027777777778</v>
      </c>
      <c r="H245" s="31">
        <v>44702</v>
      </c>
      <c r="I245" s="32">
        <v>4.038194444444445</v>
      </c>
      <c r="J245" s="33">
        <f>F245-H245</f>
      </c>
      <c r="K245" s="28">
        <v>38</v>
      </c>
      <c r="L245" s="28">
        <v>4</v>
      </c>
      <c r="M245" s="28">
        <v>1</v>
      </c>
      <c r="N245" s="35">
        <v>1</v>
      </c>
      <c r="O245" s="34"/>
      <c r="P245" s="35">
        <v>1</v>
      </c>
      <c r="Q245" s="34"/>
      <c r="R245" s="34"/>
      <c r="S245" s="34"/>
      <c r="T245" s="34"/>
      <c r="U245" s="34"/>
      <c r="V245" s="34"/>
      <c r="W245" s="29"/>
      <c r="X245" s="28">
        <v>37</v>
      </c>
      <c r="Y245" s="28">
        <v>1</v>
      </c>
      <c r="Z245" s="28">
        <v>2</v>
      </c>
      <c r="AA245" s="28">
        <v>1</v>
      </c>
      <c r="AB245" s="28">
        <v>1</v>
      </c>
      <c r="AC245" s="28">
        <v>1</v>
      </c>
      <c r="AD245" s="28">
        <v>1</v>
      </c>
      <c r="AE245" s="28">
        <v>4</v>
      </c>
      <c r="AF245" s="28">
        <v>3</v>
      </c>
      <c r="AG245" s="28">
        <v>2</v>
      </c>
      <c r="AH245" s="29" t="s">
        <v>574</v>
      </c>
      <c r="AI245" s="36">
        <f>IF(OR(AND(K245&lt;32, J245&lt;2), O245=1, P245=1, Q245=1, R245=1, S245=1, T245=1, U245=1, AND(W245&lt;&gt;"", W245&lt;&gt;"Oxygen", W245&lt;&gt;"LowFlow")), "Intensive", "Intermediate")</f>
      </c>
      <c r="AJ245" s="37">
        <f>IF(OR(LEFT(AH245, 1)="X", LEFT(AH245, 1)="Y", LEFT(AH245, 3)="J49M"), "CUSM", "No Match")</f>
      </c>
      <c r="AK245" s="37">
        <f>IF(AND(OR(O245=3, P245=1, Q245=1, T245=1), AJ245="no Match"), "CUSM, CHU SJ, CHUQ", "")</f>
      </c>
      <c r="AL245" s="37">
        <f>IF(AND(O245=2, ISBLANK(P245), ISBLANK(Q245), ISBLANK(R245), ISBLANK(S245), ISBLANK(T245)), "CUSM, CHU SJ, CHUS, CHUQ", "")</f>
      </c>
      <c r="AM245" s="37">
        <f>IF(AND(AJ245="no match", AK245="", AL245="", K245&lt;26), "CUSM, CHU SJ, HGJ, CHUQ, CHUS", "")</f>
      </c>
      <c r="AN245" s="37">
        <f>IF(AND(AJ245="no match", AK245="", AL245="", K245&gt;26), "CUSM, CHU SJ, HGJ, CHUQ, CHUS, HMR", "")</f>
      </c>
    </row>
    <row x14ac:dyDescent="0.25" r="246" customHeight="1" ht="17.25">
      <c r="A246" s="27" t="s">
        <v>575</v>
      </c>
      <c r="B246" s="28">
        <v>2</v>
      </c>
      <c r="C246" s="28">
        <v>825</v>
      </c>
      <c r="D246" s="29" t="s">
        <v>77</v>
      </c>
      <c r="E246" s="30" t="s">
        <v>50</v>
      </c>
      <c r="F246" s="31">
        <v>44703</v>
      </c>
      <c r="G246" s="32">
        <v>4.694444444444445</v>
      </c>
      <c r="H246" s="31">
        <v>44702</v>
      </c>
      <c r="I246" s="32">
        <v>4.695138888888889</v>
      </c>
      <c r="J246" s="33">
        <f>F246-H246</f>
      </c>
      <c r="K246" s="28">
        <v>38</v>
      </c>
      <c r="L246" s="28">
        <v>4</v>
      </c>
      <c r="M246" s="28">
        <v>1</v>
      </c>
      <c r="N246" s="34"/>
      <c r="O246" s="34"/>
      <c r="P246" s="34"/>
      <c r="Q246" s="34"/>
      <c r="R246" s="34"/>
      <c r="S246" s="34"/>
      <c r="T246" s="34"/>
      <c r="U246" s="34"/>
      <c r="V246" s="34"/>
      <c r="W246" s="29"/>
      <c r="X246" s="28">
        <v>26</v>
      </c>
      <c r="Y246" s="28">
        <v>1</v>
      </c>
      <c r="Z246" s="28">
        <v>1</v>
      </c>
      <c r="AA246" s="28">
        <v>3</v>
      </c>
      <c r="AB246" s="28">
        <v>1</v>
      </c>
      <c r="AC246" s="28">
        <v>2</v>
      </c>
      <c r="AD246" s="28">
        <v>2</v>
      </c>
      <c r="AE246" s="28">
        <v>4</v>
      </c>
      <c r="AF246" s="28">
        <v>3</v>
      </c>
      <c r="AG246" s="28">
        <v>2</v>
      </c>
      <c r="AH246" s="29" t="s">
        <v>576</v>
      </c>
      <c r="AI246" s="36">
        <f>IF(OR(AND(K246&lt;32, J246&lt;2), O246=1, P246=1, Q246=1, R246=1, S246=1, T246=1, U246=1, AND(W246&lt;&gt;"", W246&lt;&gt;"Oxygen", W246&lt;&gt;"LowFlow")), "Intensive", "Intermediate")</f>
      </c>
      <c r="AJ246" s="37">
        <f>IF(OR(LEFT(AH246, 1)="X", LEFT(AH246, 1)="Y", LEFT(AH246, 3)="J50M"), "CUSM", "No Match")</f>
      </c>
      <c r="AK246" s="37">
        <f>IF(AND(OR(O246=3, P246=1, Q246=1, T246=1), AJ246="no Match"), "CUSM, CHU SJ, CHUQ", "")</f>
      </c>
      <c r="AL246" s="37">
        <f>IF(AND(O246=2, ISBLANK(P246), ISBLANK(Q246), ISBLANK(R246), ISBLANK(S246), ISBLANK(T246)), "CUSM, CHU SJ, CHUS, CHUQ", "")</f>
      </c>
      <c r="AM246" s="37">
        <f>IF(AND(AJ246="no match", AK246="", AL246="", K246&lt;26), "CUSM, CHU SJ, HGJ, CHUQ, CHUS", "")</f>
      </c>
      <c r="AN246" s="37">
        <f>IF(AND(AJ246="no match", AK246="", AL246="", K246&gt;26), "CUSM, CHU SJ, HGJ, CHUQ, CHUS, HMR", "")</f>
      </c>
    </row>
    <row x14ac:dyDescent="0.25" r="247" customHeight="1" ht="17.25">
      <c r="A247" s="27" t="s">
        <v>577</v>
      </c>
      <c r="B247" s="28">
        <v>2</v>
      </c>
      <c r="C247" s="28">
        <v>822</v>
      </c>
      <c r="D247" s="29" t="s">
        <v>167</v>
      </c>
      <c r="E247" s="30" t="s">
        <v>54</v>
      </c>
      <c r="F247" s="31">
        <v>44704</v>
      </c>
      <c r="G247" s="32">
        <v>4.791666666666666</v>
      </c>
      <c r="H247" s="31">
        <v>44704</v>
      </c>
      <c r="I247" s="32">
        <v>4.590972222222222</v>
      </c>
      <c r="J247" s="33">
        <f>F247-H247</f>
      </c>
      <c r="K247" s="28">
        <v>38</v>
      </c>
      <c r="L247" s="28">
        <v>6</v>
      </c>
      <c r="M247" s="28">
        <v>2</v>
      </c>
      <c r="N247" s="34"/>
      <c r="O247" s="34"/>
      <c r="P247" s="34"/>
      <c r="Q247" s="34"/>
      <c r="R247" s="34"/>
      <c r="S247" s="34"/>
      <c r="T247" s="34"/>
      <c r="U247" s="34"/>
      <c r="V247" s="34"/>
      <c r="W247" s="29"/>
      <c r="X247" s="28">
        <v>27</v>
      </c>
      <c r="Y247" s="28">
        <v>1</v>
      </c>
      <c r="Z247" s="28">
        <v>2</v>
      </c>
      <c r="AA247" s="28">
        <v>3</v>
      </c>
      <c r="AB247" s="28">
        <v>4</v>
      </c>
      <c r="AC247" s="28">
        <v>2</v>
      </c>
      <c r="AD247" s="28">
        <v>1</v>
      </c>
      <c r="AE247" s="28">
        <v>4</v>
      </c>
      <c r="AF247" s="28">
        <v>3</v>
      </c>
      <c r="AG247" s="28">
        <v>2</v>
      </c>
      <c r="AH247" s="29" t="s">
        <v>578</v>
      </c>
      <c r="AI247" s="36">
        <f>IF(OR(AND(K247&lt;32, J247&lt;2), O247=1, P247=1, Q247=1, R247=1, S247=1, T247=1, U247=1, AND(W247&lt;&gt;"", W247&lt;&gt;"Oxygen", W247&lt;&gt;"LowFlow")), "Intensive", "Intermediate")</f>
      </c>
      <c r="AJ247" s="37">
        <f>IF(OR(LEFT(AH247, 1)="X", LEFT(AH247, 1)="Y", LEFT(AH247, 3)="J51M"), "CUSM", "No Match")</f>
      </c>
      <c r="AK247" s="37">
        <f>IF(AND(OR(O247=3, P247=1, Q247=1, T247=1), AJ247="no Match"), "CUSM, CHU SJ, CHUQ", "")</f>
      </c>
      <c r="AL247" s="37">
        <f>IF(AND(O247=2, ISBLANK(P247), ISBLANK(Q247), ISBLANK(R247), ISBLANK(S247), ISBLANK(T247)), "CUSM, CHU SJ, CHUS, CHUQ", "")</f>
      </c>
      <c r="AM247" s="37">
        <f>IF(AND(AJ247="no match", AK247="", AL247="", K247&lt;26), "CUSM, CHU SJ, HGJ, CHUQ, CHUS", "")</f>
      </c>
      <c r="AN247" s="37">
        <f>IF(AND(AJ247="no match", AK247="", AL247="", K247&gt;26), "CUSM, CHU SJ, HGJ, CHUQ, CHUS, HMR", "")</f>
      </c>
    </row>
    <row x14ac:dyDescent="0.25" r="248" customHeight="1" ht="17.25">
      <c r="A248" s="27" t="s">
        <v>579</v>
      </c>
      <c r="B248" s="28">
        <v>2</v>
      </c>
      <c r="C248" s="28">
        <v>825</v>
      </c>
      <c r="D248" s="29" t="s">
        <v>77</v>
      </c>
      <c r="E248" s="30" t="s">
        <v>54</v>
      </c>
      <c r="F248" s="31">
        <v>44704</v>
      </c>
      <c r="G248" s="32">
        <v>4.899305555555555</v>
      </c>
      <c r="H248" s="31">
        <v>44702</v>
      </c>
      <c r="I248" s="32">
        <v>4.071527777777778</v>
      </c>
      <c r="J248" s="33">
        <f>F248-H248</f>
      </c>
      <c r="K248" s="28">
        <v>37</v>
      </c>
      <c r="L248" s="28">
        <v>0</v>
      </c>
      <c r="M248" s="28">
        <v>1</v>
      </c>
      <c r="N248" s="35">
        <v>1</v>
      </c>
      <c r="O248" s="34"/>
      <c r="P248" s="35">
        <v>1</v>
      </c>
      <c r="Q248" s="34"/>
      <c r="R248" s="34"/>
      <c r="S248" s="34"/>
      <c r="T248" s="34"/>
      <c r="U248" s="34"/>
      <c r="V248" s="34"/>
      <c r="W248" s="29"/>
      <c r="X248" s="28">
        <v>36</v>
      </c>
      <c r="Y248" s="28">
        <v>2</v>
      </c>
      <c r="Z248" s="28">
        <v>2</v>
      </c>
      <c r="AA248" s="28">
        <v>2</v>
      </c>
      <c r="AB248" s="28">
        <v>1</v>
      </c>
      <c r="AC248" s="28">
        <v>2</v>
      </c>
      <c r="AD248" s="28">
        <v>2</v>
      </c>
      <c r="AE248" s="28">
        <v>4</v>
      </c>
      <c r="AF248" s="28">
        <v>3</v>
      </c>
      <c r="AG248" s="28">
        <v>2</v>
      </c>
      <c r="AH248" s="29" t="s">
        <v>580</v>
      </c>
      <c r="AI248" s="36">
        <f>IF(OR(AND(K248&lt;32, J248&lt;2), O248=1, P248=1, Q248=1, R248=1, S248=1, T248=1, U248=1, AND(W248&lt;&gt;"", W248&lt;&gt;"Oxygen", W248&lt;&gt;"LowFlow")), "Intensive", "Intermediate")</f>
      </c>
      <c r="AJ248" s="37">
        <f>IF(OR(LEFT(AH248, 1)="X", LEFT(AH248, 1)="Y", LEFT(AH248, 3)="J52M"), "CUSM", "No Match")</f>
      </c>
      <c r="AK248" s="37">
        <f>IF(AND(OR(O248=3, P248=1, Q248=1, T248=1), AJ248="no Match"), "CUSM, CHU SJ, CHUQ", "")</f>
      </c>
      <c r="AL248" s="37">
        <f>IF(AND(O248=2, ISBLANK(P248), ISBLANK(Q248), ISBLANK(R248), ISBLANK(S248), ISBLANK(T248)), "CUSM, CHU SJ, CHUS, CHUQ", "")</f>
      </c>
      <c r="AM248" s="37">
        <f>IF(AND(AJ248="no match", AK248="", AL248="", K248&lt;26), "CUSM, CHU SJ, HGJ, CHUQ, CHUS", "")</f>
      </c>
      <c r="AN248" s="37">
        <f>IF(AND(AJ248="no match", AK248="", AL248="", K248&gt;26), "CUSM, CHU SJ, HGJ, CHUQ, CHUS, HMR", "")</f>
      </c>
    </row>
    <row x14ac:dyDescent="0.25" r="249" customHeight="1" ht="17.25">
      <c r="A249" s="27" t="s">
        <v>581</v>
      </c>
      <c r="B249" s="28">
        <v>2</v>
      </c>
      <c r="C249" s="35">
        <v>825</v>
      </c>
      <c r="D249" s="29" t="s">
        <v>77</v>
      </c>
      <c r="E249" s="30" t="s">
        <v>54</v>
      </c>
      <c r="F249" s="31">
        <v>44704</v>
      </c>
      <c r="G249" s="32">
        <v>4.75</v>
      </c>
      <c r="H249" s="31">
        <v>44702</v>
      </c>
      <c r="I249" s="32">
        <v>4.072222222222223</v>
      </c>
      <c r="J249" s="33">
        <f>F249-H249</f>
      </c>
      <c r="K249" s="28">
        <v>37</v>
      </c>
      <c r="L249" s="28">
        <v>0</v>
      </c>
      <c r="M249" s="28">
        <v>1</v>
      </c>
      <c r="N249" s="35">
        <v>1</v>
      </c>
      <c r="O249" s="34"/>
      <c r="P249" s="35">
        <v>1</v>
      </c>
      <c r="Q249" s="34"/>
      <c r="R249" s="34"/>
      <c r="S249" s="34"/>
      <c r="T249" s="34"/>
      <c r="U249" s="34"/>
      <c r="V249" s="34"/>
      <c r="W249" s="29"/>
      <c r="X249" s="28">
        <v>36</v>
      </c>
      <c r="Y249" s="28">
        <v>2</v>
      </c>
      <c r="Z249" s="28">
        <v>2</v>
      </c>
      <c r="AA249" s="28">
        <v>2</v>
      </c>
      <c r="AB249" s="28">
        <v>1</v>
      </c>
      <c r="AC249" s="28">
        <v>2</v>
      </c>
      <c r="AD249" s="28">
        <v>2</v>
      </c>
      <c r="AE249" s="28">
        <v>4</v>
      </c>
      <c r="AF249" s="28">
        <v>1</v>
      </c>
      <c r="AG249" s="28">
        <v>2</v>
      </c>
      <c r="AH249" s="29" t="s">
        <v>580</v>
      </c>
      <c r="AI249" s="36">
        <f>IF(OR(AND(K249&lt;32, J249&lt;2), O249=1, P249=1, Q249=1, R249=1, S249=1, T249=1, U249=1, AND(W249&lt;&gt;"", W249&lt;&gt;"Oxygen", W249&lt;&gt;"LowFlow")), "Intensive", "Intermediate")</f>
      </c>
      <c r="AJ249" s="37">
        <f>IF(OR(LEFT(AH249, 1)="X", LEFT(AH249, 1)="Y", LEFT(AH249, 3)="J53M"), "CUSM", "No Match")</f>
      </c>
      <c r="AK249" s="37">
        <f>IF(AND(OR(O249=3, P249=1, Q249=1, T249=1), AJ249="no Match"), "CUSM, CHU SJ, CHUQ", "")</f>
      </c>
      <c r="AL249" s="37">
        <f>IF(AND(O249=2, ISBLANK(P249), ISBLANK(Q249), ISBLANK(R249), ISBLANK(S249), ISBLANK(T249)), "CUSM, CHU SJ, CHUS, CHUQ", "")</f>
      </c>
      <c r="AM249" s="37">
        <f>IF(AND(AJ249="no match", AK249="", AL249="", K249&lt;26), "CUSM, CHU SJ, HGJ, CHUQ, CHUS", "")</f>
      </c>
      <c r="AN249" s="37">
        <f>IF(AND(AJ249="no match", AK249="", AL249="", K249&gt;26), "CUSM, CHU SJ, HGJ, CHUQ, CHUS, HMR", "")</f>
      </c>
    </row>
    <row x14ac:dyDescent="0.25" r="250" customHeight="1" ht="17.25">
      <c r="A250" s="27" t="s">
        <v>582</v>
      </c>
      <c r="B250" s="28">
        <v>2</v>
      </c>
      <c r="C250" s="35">
        <v>734</v>
      </c>
      <c r="D250" s="29" t="s">
        <v>264</v>
      </c>
      <c r="E250" s="30" t="s">
        <v>50</v>
      </c>
      <c r="F250" s="31">
        <v>44704</v>
      </c>
      <c r="G250" s="32">
        <v>4.581944444444444</v>
      </c>
      <c r="H250" s="31">
        <v>44704</v>
      </c>
      <c r="I250" s="32">
        <v>4.4534722222222225</v>
      </c>
      <c r="J250" s="33">
        <f>F250-H250</f>
      </c>
      <c r="K250" s="28">
        <v>24</v>
      </c>
      <c r="L250" s="28">
        <v>4</v>
      </c>
      <c r="M250" s="28">
        <v>1</v>
      </c>
      <c r="N250" s="28">
        <v>1</v>
      </c>
      <c r="O250" s="38"/>
      <c r="P250" s="28">
        <v>1</v>
      </c>
      <c r="Q250" s="38"/>
      <c r="R250" s="34"/>
      <c r="S250" s="34"/>
      <c r="T250" s="34"/>
      <c r="U250" s="34"/>
      <c r="V250" s="34"/>
      <c r="W250" s="29" t="s">
        <v>70</v>
      </c>
      <c r="X250" s="28">
        <v>32</v>
      </c>
      <c r="Y250" s="28">
        <v>2</v>
      </c>
      <c r="Z250" s="28">
        <v>2</v>
      </c>
      <c r="AA250" s="28">
        <v>2</v>
      </c>
      <c r="AB250" s="28">
        <v>4</v>
      </c>
      <c r="AC250" s="28">
        <v>2</v>
      </c>
      <c r="AD250" s="28">
        <v>2</v>
      </c>
      <c r="AE250" s="28">
        <v>1</v>
      </c>
      <c r="AF250" s="38"/>
      <c r="AG250" s="28">
        <v>2</v>
      </c>
      <c r="AH250" s="29" t="s">
        <v>583</v>
      </c>
      <c r="AI250" s="36">
        <f>IF(OR(AND(K250&lt;32, J250&lt;2), O250=1, P250=1, Q250=1, R250=1, S250=1, T250=1, U250=1, AND(W250&lt;&gt;"", W250&lt;&gt;"Oxygen", W250&lt;&gt;"LowFlow")), "Intensive", "Intermediate")</f>
      </c>
      <c r="AJ250" s="37">
        <f>IF(OR(LEFT(AH250, 1)="X", LEFT(AH250, 1)="Y", LEFT(AH250, 3)="J54M"), "CUSM", "No Match")</f>
      </c>
      <c r="AK250" s="37">
        <f>IF(AND(OR(O250=3, P250=1, Q250=1, T250=1), AJ250="no Match"), "CUSM, CHU SJ, CHUQ", "")</f>
      </c>
      <c r="AL250" s="37">
        <f>IF(AND(O250=2, ISBLANK(P250), ISBLANK(Q250), ISBLANK(R250), ISBLANK(S250), ISBLANK(T250)), "CUSM, CHU SJ, CHUS, CHUQ", "")</f>
      </c>
      <c r="AM250" s="37">
        <f>IF(AND(AJ250="no match", AK250="", AL250="", K250&lt;26), "CUSM, CHU SJ, HGJ, CHUQ, CHUS", "")</f>
      </c>
      <c r="AN250" s="37">
        <f>IF(AND(AJ250="no match", AK250="", AL250="", K250&gt;26), "CUSM, CHU SJ, HGJ, CHUQ, CHUS, HMR", "")</f>
      </c>
    </row>
    <row x14ac:dyDescent="0.25" r="251" customHeight="1" ht="17.25">
      <c r="A251" s="27" t="s">
        <v>584</v>
      </c>
      <c r="B251" s="28">
        <v>2</v>
      </c>
      <c r="C251" s="35">
        <v>734</v>
      </c>
      <c r="D251" s="29" t="s">
        <v>264</v>
      </c>
      <c r="E251" s="30" t="s">
        <v>50</v>
      </c>
      <c r="F251" s="31">
        <v>44704</v>
      </c>
      <c r="G251" s="32">
        <v>4.580555555555556</v>
      </c>
      <c r="H251" s="31">
        <v>44704</v>
      </c>
      <c r="I251" s="32">
        <v>4.454166666666667</v>
      </c>
      <c r="J251" s="33">
        <f>F251-H251</f>
      </c>
      <c r="K251" s="28">
        <v>24</v>
      </c>
      <c r="L251" s="28">
        <v>4</v>
      </c>
      <c r="M251" s="28">
        <v>2</v>
      </c>
      <c r="N251" s="35">
        <v>1</v>
      </c>
      <c r="O251" s="34"/>
      <c r="P251" s="35">
        <v>1</v>
      </c>
      <c r="Q251" s="34"/>
      <c r="R251" s="34"/>
      <c r="S251" s="34"/>
      <c r="T251" s="34"/>
      <c r="U251" s="34"/>
      <c r="V251" s="34"/>
      <c r="W251" s="29" t="s">
        <v>70</v>
      </c>
      <c r="X251" s="28">
        <v>32</v>
      </c>
      <c r="Y251" s="28">
        <v>2</v>
      </c>
      <c r="Z251" s="28">
        <v>2</v>
      </c>
      <c r="AA251" s="28">
        <v>2</v>
      </c>
      <c r="AB251" s="28">
        <v>4</v>
      </c>
      <c r="AC251" s="28">
        <v>2</v>
      </c>
      <c r="AD251" s="28">
        <v>2</v>
      </c>
      <c r="AE251" s="28">
        <v>1</v>
      </c>
      <c r="AF251" s="38"/>
      <c r="AG251" s="28">
        <v>2</v>
      </c>
      <c r="AH251" s="29" t="s">
        <v>583</v>
      </c>
      <c r="AI251" s="36">
        <f>IF(OR(AND(K251&lt;32, J251&lt;2), O251=1, P251=1, Q251=1, R251=1, S251=1, T251=1, U251=1, AND(W251&lt;&gt;"", W251&lt;&gt;"Oxygen", W251&lt;&gt;"LowFlow")), "Intensive", "Intermediate")</f>
      </c>
      <c r="AJ251" s="37">
        <f>IF(OR(LEFT(AH251, 1)="X", LEFT(AH251, 1)="Y", LEFT(AH251, 3)="J55M"), "CUSM", "No Match")</f>
      </c>
      <c r="AK251" s="37">
        <f>IF(AND(OR(O251=3, P251=1, Q251=1, T251=1), AJ251="no Match"), "CUSM, CHU SJ, CHUQ", "")</f>
      </c>
      <c r="AL251" s="37">
        <f>IF(AND(O251=2, ISBLANK(P251), ISBLANK(Q251), ISBLANK(R251), ISBLANK(S251), ISBLANK(T251)), "CUSM, CHU SJ, CHUS, CHUQ", "")</f>
      </c>
      <c r="AM251" s="37">
        <f>IF(AND(AJ251="no match", AK251="", AL251="", K251&lt;26), "CUSM, CHU SJ, HGJ, CHUQ, CHUS", "")</f>
      </c>
      <c r="AN251" s="37">
        <f>IF(AND(AJ251="no match", AK251="", AL251="", K251&gt;26), "CUSM, CHU SJ, HGJ, CHUQ, CHUS, HMR", "")</f>
      </c>
    </row>
    <row x14ac:dyDescent="0.25" r="252" customHeight="1" ht="17.25">
      <c r="A252" s="27" t="s">
        <v>585</v>
      </c>
      <c r="B252" s="28">
        <v>2</v>
      </c>
      <c r="C252" s="28">
        <v>824</v>
      </c>
      <c r="D252" s="29" t="s">
        <v>57</v>
      </c>
      <c r="E252" s="30" t="s">
        <v>220</v>
      </c>
      <c r="F252" s="31">
        <v>44704</v>
      </c>
      <c r="G252" s="32">
        <v>4.372222222222222</v>
      </c>
      <c r="H252" s="31">
        <v>44704</v>
      </c>
      <c r="I252" s="32">
        <v>4.242361111111111</v>
      </c>
      <c r="J252" s="33">
        <f>F252-H252</f>
      </c>
      <c r="K252" s="28">
        <v>30</v>
      </c>
      <c r="L252" s="28">
        <v>0</v>
      </c>
      <c r="M252" s="28">
        <v>2</v>
      </c>
      <c r="N252" s="38"/>
      <c r="O252" s="34"/>
      <c r="P252" s="38"/>
      <c r="Q252" s="34"/>
      <c r="R252" s="34"/>
      <c r="S252" s="34"/>
      <c r="T252" s="34"/>
      <c r="U252" s="34"/>
      <c r="V252" s="38"/>
      <c r="W252" s="29" t="s">
        <v>58</v>
      </c>
      <c r="X252" s="28">
        <v>21</v>
      </c>
      <c r="Y252" s="28">
        <v>1</v>
      </c>
      <c r="Z252" s="28">
        <v>1</v>
      </c>
      <c r="AA252" s="28">
        <v>2</v>
      </c>
      <c r="AB252" s="28">
        <v>1</v>
      </c>
      <c r="AC252" s="28">
        <v>2</v>
      </c>
      <c r="AD252" s="28">
        <v>1</v>
      </c>
      <c r="AE252" s="28">
        <v>4</v>
      </c>
      <c r="AF252" s="28">
        <v>2</v>
      </c>
      <c r="AG252" s="28">
        <v>2</v>
      </c>
      <c r="AH252" s="29" t="s">
        <v>586</v>
      </c>
      <c r="AI252" s="36">
        <f>IF(OR(AND(K252&lt;32, J252&lt;2), O252=1, P252=1, Q252=1, R252=1, S252=1, T252=1, U252=1, AND(W252&lt;&gt;"", W252&lt;&gt;"Oxygen", W252&lt;&gt;"LowFlow")), "Intensive", "Intermediate")</f>
      </c>
      <c r="AJ252" s="37">
        <f>IF(OR(LEFT(AH252, 1)="X", LEFT(AH252, 1)="Y", LEFT(AH252, 3)="J56M"), "CUSM", "No Match")</f>
      </c>
      <c r="AK252" s="37">
        <f>IF(AND(OR(O252=3, P252=1, Q252=1, T252=1), AJ252="no Match"), "CUSM, CHU SJ, CHUQ", "")</f>
      </c>
      <c r="AL252" s="37">
        <f>IF(AND(O252=2, ISBLANK(P252), ISBLANK(Q252), ISBLANK(R252), ISBLANK(S252), ISBLANK(T252)), "CUSM, CHU SJ, CHUS, CHUQ", "")</f>
      </c>
      <c r="AM252" s="37">
        <f>IF(AND(AJ252="no match", AK252="", AL252="", K252&lt;26), "CUSM, CHU SJ, HGJ, CHUQ, CHUS", "")</f>
      </c>
      <c r="AN252" s="37">
        <f>IF(AND(AJ252="no match", AK252="", AL252="", K252&gt;26), "CUSM, CHU SJ, HGJ, CHUQ, CHUS, HMR", "")</f>
      </c>
    </row>
    <row x14ac:dyDescent="0.25" r="253" customHeight="1" ht="17.25">
      <c r="A253" s="27" t="s">
        <v>587</v>
      </c>
      <c r="B253" s="28">
        <v>2</v>
      </c>
      <c r="C253" s="28">
        <v>824</v>
      </c>
      <c r="D253" s="29" t="s">
        <v>57</v>
      </c>
      <c r="E253" s="30" t="s">
        <v>220</v>
      </c>
      <c r="F253" s="31">
        <v>44706</v>
      </c>
      <c r="G253" s="32">
        <v>4.607638888888889</v>
      </c>
      <c r="H253" s="31">
        <v>44706</v>
      </c>
      <c r="I253" s="32">
        <v>4.468055555555555</v>
      </c>
      <c r="J253" s="33">
        <f>F253-H253</f>
      </c>
      <c r="K253" s="28">
        <v>30</v>
      </c>
      <c r="L253" s="28">
        <v>0</v>
      </c>
      <c r="M253" s="28">
        <v>1</v>
      </c>
      <c r="N253" s="38"/>
      <c r="O253" s="34"/>
      <c r="P253" s="38"/>
      <c r="Q253" s="34"/>
      <c r="R253" s="34"/>
      <c r="S253" s="34"/>
      <c r="T253" s="34"/>
      <c r="U253" s="34"/>
      <c r="V253" s="38"/>
      <c r="W253" s="29" t="s">
        <v>58</v>
      </c>
      <c r="X253" s="28">
        <v>31</v>
      </c>
      <c r="Y253" s="28">
        <v>1</v>
      </c>
      <c r="Z253" s="28">
        <v>2</v>
      </c>
      <c r="AA253" s="28">
        <v>2</v>
      </c>
      <c r="AB253" s="28">
        <v>1</v>
      </c>
      <c r="AC253" s="28">
        <v>1</v>
      </c>
      <c r="AD253" s="28">
        <v>1</v>
      </c>
      <c r="AE253" s="28">
        <v>4</v>
      </c>
      <c r="AF253" s="28">
        <v>2</v>
      </c>
      <c r="AG253" s="28">
        <v>2</v>
      </c>
      <c r="AH253" s="29" t="s">
        <v>588</v>
      </c>
      <c r="AI253" s="36">
        <f>IF(OR(AND(K253&lt;32, J253&lt;2), O253=1, P253=1, Q253=1, R253=1, S253=1, T253=1, U253=1, AND(W253&lt;&gt;"", W253&lt;&gt;"Oxygen", W253&lt;&gt;"LowFlow")), "Intensive", "Intermediate")</f>
      </c>
      <c r="AJ253" s="37">
        <f>IF(OR(LEFT(AH253, 1)="X", LEFT(AH253, 1)="Y", LEFT(AH253, 3)="J57M"), "CUSM", "No Match")</f>
      </c>
      <c r="AK253" s="37">
        <f>IF(AND(OR(O253=3, P253=1, Q253=1, T253=1), AJ253="no Match"), "CUSM, CHU SJ, CHUQ", "")</f>
      </c>
      <c r="AL253" s="37">
        <f>IF(AND(O253=2, ISBLANK(P253), ISBLANK(Q253), ISBLANK(R253), ISBLANK(S253), ISBLANK(T253)), "CUSM, CHU SJ, CHUS, CHUQ", "")</f>
      </c>
      <c r="AM253" s="37">
        <f>IF(AND(AJ253="no match", AK253="", AL253="", K253&lt;26), "CUSM, CHU SJ, HGJ, CHUQ, CHUS", "")</f>
      </c>
      <c r="AN253" s="37">
        <f>IF(AND(AJ253="no match", AK253="", AL253="", K253&gt;26), "CUSM, CHU SJ, HGJ, CHUQ, CHUS, HMR", "")</f>
      </c>
    </row>
    <row x14ac:dyDescent="0.25" r="254" customHeight="1" ht="17.25">
      <c r="A254" s="27" t="s">
        <v>589</v>
      </c>
      <c r="B254" s="28">
        <v>2</v>
      </c>
      <c r="C254" s="28">
        <v>731</v>
      </c>
      <c r="D254" s="29" t="s">
        <v>103</v>
      </c>
      <c r="E254" s="30" t="s">
        <v>54</v>
      </c>
      <c r="F254" s="31">
        <v>44707</v>
      </c>
      <c r="G254" s="32">
        <v>4.916666666666666</v>
      </c>
      <c r="H254" s="31">
        <v>44707</v>
      </c>
      <c r="I254" s="32">
        <v>4.554166666666667</v>
      </c>
      <c r="J254" s="33">
        <f>F254-H254</f>
      </c>
      <c r="K254" s="28">
        <v>39</v>
      </c>
      <c r="L254" s="28">
        <v>5</v>
      </c>
      <c r="M254" s="28">
        <v>2</v>
      </c>
      <c r="N254" s="28">
        <v>1</v>
      </c>
      <c r="O254" s="34"/>
      <c r="P254" s="38"/>
      <c r="Q254" s="34"/>
      <c r="R254" s="34"/>
      <c r="S254" s="34"/>
      <c r="T254" s="34"/>
      <c r="U254" s="34"/>
      <c r="V254" s="38"/>
      <c r="W254" s="29"/>
      <c r="X254" s="28">
        <v>31</v>
      </c>
      <c r="Y254" s="28">
        <v>1</v>
      </c>
      <c r="Z254" s="28">
        <v>2</v>
      </c>
      <c r="AA254" s="28">
        <v>1</v>
      </c>
      <c r="AB254" s="28">
        <v>1</v>
      </c>
      <c r="AC254" s="28">
        <v>2</v>
      </c>
      <c r="AD254" s="28">
        <v>2</v>
      </c>
      <c r="AE254" s="28">
        <v>4</v>
      </c>
      <c r="AF254" s="28">
        <v>2</v>
      </c>
      <c r="AG254" s="28">
        <v>2</v>
      </c>
      <c r="AH254" s="29" t="s">
        <v>590</v>
      </c>
      <c r="AI254" s="36">
        <f>IF(OR(AND(K254&lt;32, J254&lt;2), O254=1, P254=1, Q254=1, R254=1, S254=1, T254=1, U254=1, AND(W254&lt;&gt;"", W254&lt;&gt;"Oxygen", W254&lt;&gt;"LowFlow")), "Intensive", "Intermediate")</f>
      </c>
      <c r="AJ254" s="37">
        <f>IF(OR(LEFT(AH254, 1)="X", LEFT(AH254, 1)="Y", LEFT(AH254, 3)="J58M"), "CUSM", "No Match")</f>
      </c>
      <c r="AK254" s="37">
        <f>IF(AND(OR(O254=3, P254=1, Q254=1, T254=1), AJ254="no Match"), "CUSM, CHU SJ, CHUQ", "")</f>
      </c>
      <c r="AL254" s="37">
        <f>IF(AND(O254=2, ISBLANK(P254), ISBLANK(Q254), ISBLANK(R254), ISBLANK(S254), ISBLANK(T254)), "CUSM, CHU SJ, CHUS, CHUQ", "")</f>
      </c>
      <c r="AM254" s="37">
        <f>IF(AND(AJ254="no match", AK254="", AL254="", K254&lt;26), "CUSM, CHU SJ, HGJ, CHUQ, CHUS", "")</f>
      </c>
      <c r="AN254" s="37">
        <f>IF(AND(AJ254="no match", AK254="", AL254="", K254&gt;26), "CUSM, CHU SJ, HGJ, CHUQ, CHUS, HMR", "")</f>
      </c>
    </row>
    <row x14ac:dyDescent="0.25" r="255" customHeight="1" ht="17.25">
      <c r="A255" s="27" t="s">
        <v>591</v>
      </c>
      <c r="B255" s="28">
        <v>2</v>
      </c>
      <c r="C255" s="35">
        <v>756</v>
      </c>
      <c r="D255" s="29" t="s">
        <v>66</v>
      </c>
      <c r="E255" s="30" t="s">
        <v>50</v>
      </c>
      <c r="F255" s="31">
        <v>44707</v>
      </c>
      <c r="G255" s="32">
        <v>4.229166666666666</v>
      </c>
      <c r="H255" s="31">
        <v>44703</v>
      </c>
      <c r="I255" s="32">
        <v>4.925</v>
      </c>
      <c r="J255" s="33">
        <f>F255-H255</f>
      </c>
      <c r="K255" s="28">
        <v>32</v>
      </c>
      <c r="L255" s="28">
        <v>0</v>
      </c>
      <c r="M255" s="28">
        <v>1</v>
      </c>
      <c r="N255" s="38"/>
      <c r="O255" s="38"/>
      <c r="P255" s="38"/>
      <c r="Q255" s="34"/>
      <c r="R255" s="34"/>
      <c r="S255" s="34"/>
      <c r="T255" s="38"/>
      <c r="U255" s="34"/>
      <c r="V255" s="34"/>
      <c r="W255" s="29" t="s">
        <v>58</v>
      </c>
      <c r="X255" s="28">
        <v>31</v>
      </c>
      <c r="Y255" s="28">
        <v>1</v>
      </c>
      <c r="Z255" s="28">
        <v>2</v>
      </c>
      <c r="AA255" s="28">
        <v>1</v>
      </c>
      <c r="AB255" s="28">
        <v>1</v>
      </c>
      <c r="AC255" s="28">
        <v>2</v>
      </c>
      <c r="AD255" s="28">
        <v>1</v>
      </c>
      <c r="AE255" s="28">
        <v>4</v>
      </c>
      <c r="AF255" s="28">
        <v>3</v>
      </c>
      <c r="AG255" s="28">
        <v>3</v>
      </c>
      <c r="AH255" s="29" t="s">
        <v>592</v>
      </c>
      <c r="AI255" s="36">
        <f>IF(OR(AND(K255&lt;32, J255&lt;2), O255=1, P255=1, Q255=1, R255=1, S255=1, T255=1, U255=1, AND(W255&lt;&gt;"", W255&lt;&gt;"Oxygen", W255&lt;&gt;"LowFlow")), "Intensive", "Intermediate")</f>
      </c>
      <c r="AJ255" s="37">
        <f>IF(OR(LEFT(AH255, 1)="X", LEFT(AH255, 1)="Y", LEFT(AH255, 3)="J59M"), "CUSM", "No Match")</f>
      </c>
      <c r="AK255" s="37">
        <f>IF(AND(OR(O255=3, P255=1, Q255=1, T255=1), AJ255="no Match"), "CUSM, CHU SJ, CHUQ", "")</f>
      </c>
      <c r="AL255" s="37">
        <f>IF(AND(O255=2, ISBLANK(P255), ISBLANK(Q255), ISBLANK(R255), ISBLANK(S255), ISBLANK(T255)), "CUSM, CHU SJ, CHUS, CHUQ", "")</f>
      </c>
      <c r="AM255" s="37">
        <f>IF(AND(AJ255="no match", AK255="", AL255="", K255&lt;26), "CUSM, CHU SJ, HGJ, CHUQ, CHUS", "")</f>
      </c>
      <c r="AN255" s="37">
        <f>IF(AND(AJ255="no match", AK255="", AL255="", K255&gt;26), "CUSM, CHU SJ, HGJ, CHUQ, CHUS, HMR", "")</f>
      </c>
    </row>
    <row x14ac:dyDescent="0.25" r="256" customHeight="1" ht="17.25">
      <c r="A256" s="27" t="s">
        <v>593</v>
      </c>
      <c r="B256" s="28">
        <v>2</v>
      </c>
      <c r="C256" s="28">
        <v>1019</v>
      </c>
      <c r="D256" s="29" t="s">
        <v>354</v>
      </c>
      <c r="E256" s="30" t="s">
        <v>54</v>
      </c>
      <c r="F256" s="31">
        <v>44708</v>
      </c>
      <c r="G256" s="32">
        <v>4.25</v>
      </c>
      <c r="H256" s="31">
        <v>44701</v>
      </c>
      <c r="I256" s="32">
        <v>4.647222222222222</v>
      </c>
      <c r="J256" s="33">
        <f>F256-H256</f>
      </c>
      <c r="K256" s="28">
        <v>30</v>
      </c>
      <c r="L256" s="28">
        <v>1</v>
      </c>
      <c r="M256" s="28">
        <v>2</v>
      </c>
      <c r="N256" s="35">
        <v>1</v>
      </c>
      <c r="O256" s="34"/>
      <c r="P256" s="35">
        <v>1</v>
      </c>
      <c r="Q256" s="34"/>
      <c r="R256" s="34"/>
      <c r="S256" s="34"/>
      <c r="T256" s="34"/>
      <c r="U256" s="34"/>
      <c r="V256" s="34"/>
      <c r="W256" s="29" t="s">
        <v>74</v>
      </c>
      <c r="X256" s="28">
        <v>22</v>
      </c>
      <c r="Y256" s="28">
        <v>1</v>
      </c>
      <c r="Z256" s="28">
        <v>1</v>
      </c>
      <c r="AA256" s="28">
        <v>2</v>
      </c>
      <c r="AB256" s="28">
        <v>3</v>
      </c>
      <c r="AC256" s="28">
        <v>2</v>
      </c>
      <c r="AD256" s="28">
        <v>2</v>
      </c>
      <c r="AE256" s="28">
        <v>4</v>
      </c>
      <c r="AF256" s="28">
        <v>2</v>
      </c>
      <c r="AG256" s="28">
        <v>2</v>
      </c>
      <c r="AH256" s="29" t="s">
        <v>572</v>
      </c>
      <c r="AI256" s="36">
        <f>IF(OR(AND(K256&lt;32, J256&lt;2), O256=1, P256=1, Q256=1, R256=1, S256=1, T256=1, U256=1, AND(W256&lt;&gt;"", W256&lt;&gt;"Oxygen", W256&lt;&gt;"LowFlow")), "Intensive", "Intermediate")</f>
      </c>
      <c r="AJ256" s="37">
        <f>IF(OR(LEFT(AH256, 1)="X", LEFT(AH256, 1)="Y", LEFT(AH256, 3)="J60M"), "CUSM", "No Match")</f>
      </c>
      <c r="AK256" s="37">
        <f>IF(AND(OR(O256=3, P256=1, Q256=1, T256=1), AJ256="no Match"), "CUSM, CHU SJ, CHUQ", "")</f>
      </c>
      <c r="AL256" s="37">
        <f>IF(AND(O256=2, ISBLANK(P256), ISBLANK(Q256), ISBLANK(R256), ISBLANK(S256), ISBLANK(T256)), "CUSM, CHU SJ, CHUS, CHUQ", "")</f>
      </c>
      <c r="AM256" s="37">
        <f>IF(AND(AJ256="no match", AK256="", AL256="", K256&lt;26), "CUSM, CHU SJ, HGJ, CHUQ, CHUS", "")</f>
      </c>
      <c r="AN256" s="37">
        <f>IF(AND(AJ256="no match", AK256="", AL256="", K256&gt;26), "CUSM, CHU SJ, HGJ, CHUQ, CHUS, HMR", "")</f>
      </c>
    </row>
    <row x14ac:dyDescent="0.25" r="257" customHeight="1" ht="17.25">
      <c r="A257" s="27" t="s">
        <v>594</v>
      </c>
      <c r="B257" s="28">
        <v>2</v>
      </c>
      <c r="C257" s="35">
        <v>825</v>
      </c>
      <c r="D257" s="29" t="s">
        <v>77</v>
      </c>
      <c r="E257" s="30" t="s">
        <v>50</v>
      </c>
      <c r="F257" s="31">
        <v>44708</v>
      </c>
      <c r="G257" s="32">
        <v>4.666666666666666</v>
      </c>
      <c r="H257" s="31">
        <v>44708</v>
      </c>
      <c r="I257" s="32">
        <v>4.502083333333333</v>
      </c>
      <c r="J257" s="33">
        <f>F257-H257</f>
      </c>
      <c r="K257" s="28">
        <v>41</v>
      </c>
      <c r="L257" s="28">
        <v>1</v>
      </c>
      <c r="M257" s="28">
        <v>2</v>
      </c>
      <c r="N257" s="34"/>
      <c r="O257" s="34"/>
      <c r="P257" s="34"/>
      <c r="Q257" s="34"/>
      <c r="R257" s="34"/>
      <c r="S257" s="34"/>
      <c r="T257" s="34"/>
      <c r="U257" s="34"/>
      <c r="V257" s="34"/>
      <c r="W257" s="29"/>
      <c r="X257" s="28">
        <v>34</v>
      </c>
      <c r="Y257" s="28">
        <v>1</v>
      </c>
      <c r="Z257" s="28">
        <v>1</v>
      </c>
      <c r="AA257" s="28">
        <v>2</v>
      </c>
      <c r="AB257" s="28">
        <v>1</v>
      </c>
      <c r="AC257" s="28">
        <v>2</v>
      </c>
      <c r="AD257" s="28">
        <v>2</v>
      </c>
      <c r="AE257" s="28">
        <v>4</v>
      </c>
      <c r="AF257" s="28">
        <v>3</v>
      </c>
      <c r="AG257" s="28">
        <v>2</v>
      </c>
      <c r="AH257" s="29" t="s">
        <v>566</v>
      </c>
      <c r="AI257" s="36">
        <f>IF(OR(AND(K257&lt;32, J257&lt;2), O257=1, P257=1, Q257=1, R257=1, S257=1, T257=1, U257=1, AND(W257&lt;&gt;"", W257&lt;&gt;"Oxygen", W257&lt;&gt;"LowFlow")), "Intensive", "Intermediate")</f>
      </c>
      <c r="AJ257" s="37">
        <f>IF(OR(LEFT(AH257, 1)="X", LEFT(AH257, 1)="Y", LEFT(AH257, 3)="J61M"), "CUSM", "No Match")</f>
      </c>
      <c r="AK257" s="37">
        <f>IF(AND(OR(O257=3, P257=1, Q257=1, T257=1), AJ257="no Match"), "CUSM, CHU SJ, CHUQ", "")</f>
      </c>
      <c r="AL257" s="37">
        <f>IF(AND(O257=2, ISBLANK(P257), ISBLANK(Q257), ISBLANK(R257), ISBLANK(S257), ISBLANK(T257)), "CUSM, CHU SJ, CHUS, CHUQ", "")</f>
      </c>
      <c r="AM257" s="37">
        <f>IF(AND(AJ257="no match", AK257="", AL257="", K257&lt;26), "CUSM, CHU SJ, HGJ, CHUQ, CHUS", "")</f>
      </c>
      <c r="AN257" s="37">
        <f>IF(AND(AJ257="no match", AK257="", AL257="", K257&gt;26), "CUSM, CHU SJ, HGJ, CHUQ, CHUS, HMR", "")</f>
      </c>
    </row>
    <row x14ac:dyDescent="0.25" r="258" customHeight="1" ht="17.25">
      <c r="A258" s="27" t="s">
        <v>595</v>
      </c>
      <c r="B258" s="28">
        <v>2</v>
      </c>
      <c r="C258" s="28">
        <v>756</v>
      </c>
      <c r="D258" s="29" t="s">
        <v>66</v>
      </c>
      <c r="E258" s="30" t="s">
        <v>50</v>
      </c>
      <c r="F258" s="31">
        <v>44709</v>
      </c>
      <c r="G258" s="32">
        <v>4.799305555555556</v>
      </c>
      <c r="H258" s="31">
        <v>44709</v>
      </c>
      <c r="I258" s="32">
        <v>4.6618055555555555</v>
      </c>
      <c r="J258" s="33">
        <f>F258-H258</f>
      </c>
      <c r="K258" s="28">
        <v>40</v>
      </c>
      <c r="L258" s="28">
        <v>4</v>
      </c>
      <c r="M258" s="28">
        <v>2</v>
      </c>
      <c r="N258" s="28">
        <v>1</v>
      </c>
      <c r="O258" s="34"/>
      <c r="P258" s="28">
        <v>1</v>
      </c>
      <c r="Q258" s="34"/>
      <c r="R258" s="34"/>
      <c r="S258" s="34"/>
      <c r="T258" s="35">
        <v>1</v>
      </c>
      <c r="U258" s="34"/>
      <c r="V258" s="38"/>
      <c r="W258" s="29" t="s">
        <v>58</v>
      </c>
      <c r="X258" s="28">
        <v>25</v>
      </c>
      <c r="Y258" s="28">
        <v>1</v>
      </c>
      <c r="Z258" s="28">
        <v>1</v>
      </c>
      <c r="AA258" s="28">
        <v>2</v>
      </c>
      <c r="AB258" s="28">
        <v>1</v>
      </c>
      <c r="AC258" s="28">
        <v>2</v>
      </c>
      <c r="AD258" s="28">
        <v>2</v>
      </c>
      <c r="AE258" s="28">
        <v>4</v>
      </c>
      <c r="AF258" s="28">
        <v>3</v>
      </c>
      <c r="AG258" s="28">
        <v>2</v>
      </c>
      <c r="AH258" s="29" t="s">
        <v>596</v>
      </c>
      <c r="AI258" s="36">
        <f>IF(OR(AND(K258&lt;32, J258&lt;2), O258=1, P258=1, Q258=1, R258=1, S258=1, T258=1, U258=1, AND(W258&lt;&gt;"", W258&lt;&gt;"Oxygen", W258&lt;&gt;"LowFlow")), "Intensive", "Intermediate")</f>
      </c>
      <c r="AJ258" s="37">
        <f>IF(OR(LEFT(AH258, 1)="X", LEFT(AH258, 1)="Y", LEFT(AH258, 3)="J62M"), "CUSM", "No Match")</f>
      </c>
      <c r="AK258" s="37">
        <f>IF(AND(OR(O258=3, P258=1, Q258=1, T258=1), AJ258="no Match"), "CUSM, CHU SJ, CHUQ", "")</f>
      </c>
      <c r="AL258" s="37">
        <f>IF(AND(O258=2, ISBLANK(P258), ISBLANK(Q258), ISBLANK(R258), ISBLANK(S258), ISBLANK(T258)), "CUSM, CHU SJ, CHUS, CHUQ", "")</f>
      </c>
      <c r="AM258" s="37">
        <f>IF(AND(AJ258="no match", AK258="", AL258="", K258&lt;26), "CUSM, CHU SJ, HGJ, CHUQ, CHUS", "")</f>
      </c>
      <c r="AN258" s="37">
        <f>IF(AND(AJ258="no match", AK258="", AL258="", K258&gt;26), "CUSM, CHU SJ, HGJ, CHUQ, CHUS, HMR", "")</f>
      </c>
    </row>
    <row x14ac:dyDescent="0.25" r="259" customHeight="1" ht="17.25">
      <c r="A259" s="27" t="s">
        <v>597</v>
      </c>
      <c r="B259" s="28">
        <v>2</v>
      </c>
      <c r="C259" s="28">
        <v>795</v>
      </c>
      <c r="D259" s="29" t="s">
        <v>73</v>
      </c>
      <c r="E259" s="30" t="s">
        <v>54</v>
      </c>
      <c r="F259" s="31">
        <v>44710</v>
      </c>
      <c r="G259" s="32">
        <v>4.861111111111111</v>
      </c>
      <c r="H259" s="31">
        <v>44697</v>
      </c>
      <c r="I259" s="32">
        <v>4.353472222222223</v>
      </c>
      <c r="J259" s="33">
        <f>F259-H259</f>
      </c>
      <c r="K259" s="28">
        <v>34</v>
      </c>
      <c r="L259" s="28">
        <v>3</v>
      </c>
      <c r="M259" s="28">
        <v>1</v>
      </c>
      <c r="N259" s="34"/>
      <c r="O259" s="34"/>
      <c r="P259" s="34"/>
      <c r="Q259" s="34"/>
      <c r="R259" s="34"/>
      <c r="S259" s="34"/>
      <c r="T259" s="38"/>
      <c r="U259" s="34"/>
      <c r="V259" s="34"/>
      <c r="W259" s="29"/>
      <c r="X259" s="28">
        <v>30</v>
      </c>
      <c r="Y259" s="28">
        <v>1</v>
      </c>
      <c r="Z259" s="28">
        <v>2</v>
      </c>
      <c r="AA259" s="28">
        <v>1</v>
      </c>
      <c r="AB259" s="28">
        <v>2</v>
      </c>
      <c r="AC259" s="28">
        <v>3</v>
      </c>
      <c r="AD259" s="28">
        <v>3</v>
      </c>
      <c r="AE259" s="28">
        <v>4</v>
      </c>
      <c r="AF259" s="28">
        <v>2</v>
      </c>
      <c r="AG259" s="28">
        <v>2</v>
      </c>
      <c r="AH259" s="29" t="s">
        <v>598</v>
      </c>
      <c r="AI259" s="36">
        <f>IF(OR(AND(K259&lt;32, J259&lt;2), O259=1, P259=1, Q259=1, R259=1, S259=1, T259=1, U259=1, AND(W259&lt;&gt;"", W259&lt;&gt;"Oxygen", W259&lt;&gt;"LowFlow")), "Intensive", "Intermediate")</f>
      </c>
      <c r="AJ259" s="37">
        <f>IF(OR(LEFT(AH259, 1)="X", LEFT(AH259, 1)="Y", LEFT(AH259, 3)="J63M"), "CUSM", "No Match")</f>
      </c>
      <c r="AK259" s="37">
        <f>IF(AND(OR(O259=3, P259=1, Q259=1, T259=1), AJ259="no Match"), "CUSM, CHU SJ, CHUQ", "")</f>
      </c>
      <c r="AL259" s="37">
        <f>IF(AND(O259=2, ISBLANK(P259), ISBLANK(Q259), ISBLANK(R259), ISBLANK(S259), ISBLANK(T259)), "CUSM, CHU SJ, CHUS, CHUQ", "")</f>
      </c>
      <c r="AM259" s="37">
        <f>IF(AND(AJ259="no match", AK259="", AL259="", K259&lt;26), "CUSM, CHU SJ, HGJ, CHUQ, CHUS", "")</f>
      </c>
      <c r="AN259" s="37">
        <f>IF(AND(AJ259="no match", AK259="", AL259="", K259&gt;26), "CUSM, CHU SJ, HGJ, CHUQ, CHUS, HMR", "")</f>
      </c>
    </row>
    <row x14ac:dyDescent="0.25" r="260" customHeight="1" ht="17.25">
      <c r="A260" s="27" t="s">
        <v>599</v>
      </c>
      <c r="B260" s="28">
        <v>2</v>
      </c>
      <c r="C260" s="35">
        <v>831</v>
      </c>
      <c r="D260" s="29" t="s">
        <v>313</v>
      </c>
      <c r="E260" s="30" t="s">
        <v>54</v>
      </c>
      <c r="F260" s="31">
        <v>44711</v>
      </c>
      <c r="G260" s="32">
        <v>4.5</v>
      </c>
      <c r="H260" s="31">
        <v>44703</v>
      </c>
      <c r="I260" s="32">
        <v>4.394444444444444</v>
      </c>
      <c r="J260" s="33">
        <f>F260-H260</f>
      </c>
      <c r="K260" s="28">
        <v>39</v>
      </c>
      <c r="L260" s="28">
        <v>0</v>
      </c>
      <c r="M260" s="28">
        <v>1</v>
      </c>
      <c r="N260" s="28">
        <v>1</v>
      </c>
      <c r="O260" s="38"/>
      <c r="P260" s="28">
        <v>1</v>
      </c>
      <c r="Q260" s="34"/>
      <c r="R260" s="34"/>
      <c r="S260" s="34"/>
      <c r="T260" s="34"/>
      <c r="U260" s="34"/>
      <c r="V260" s="34"/>
      <c r="W260" s="29" t="s">
        <v>600</v>
      </c>
      <c r="X260" s="28">
        <v>32</v>
      </c>
      <c r="Y260" s="28">
        <v>1</v>
      </c>
      <c r="Z260" s="28">
        <v>2</v>
      </c>
      <c r="AA260" s="28">
        <v>1</v>
      </c>
      <c r="AB260" s="28">
        <v>1</v>
      </c>
      <c r="AC260" s="28">
        <v>3</v>
      </c>
      <c r="AD260" s="28">
        <v>3</v>
      </c>
      <c r="AE260" s="28">
        <v>4</v>
      </c>
      <c r="AF260" s="28">
        <v>3</v>
      </c>
      <c r="AG260" s="28">
        <v>2</v>
      </c>
      <c r="AH260" s="29" t="s">
        <v>601</v>
      </c>
      <c r="AI260" s="36">
        <f>IF(OR(AND(K260&lt;32, J260&lt;2), O260=1, P260=1, Q260=1, R260=1, S260=1, T260=1, U260=1, AND(W260&lt;&gt;"", W260&lt;&gt;"Oxygen", W260&lt;&gt;"LowFlow")), "Intensive", "Intermediate")</f>
      </c>
      <c r="AJ260" s="37">
        <f>IF(OR(LEFT(AH260, 1)="X", LEFT(AH260, 1)="Y", LEFT(AH260, 3)="J0M"), "CUSM", "No Match")</f>
      </c>
      <c r="AK260" s="37">
        <f>IF(AND(OR(O260=3, P260=1, Q260=1, T260=1), AJ260="no Match"), "CUSM, CHU SJ, CHUQ", "")</f>
      </c>
      <c r="AL260" s="37">
        <f>IF(AND(O260=2, ISBLANK(P260), ISBLANK(Q260), ISBLANK(R260), ISBLANK(S260), ISBLANK(T260)), "CUSM, CHU SJ, CHUS, CHUQ", "")</f>
      </c>
      <c r="AM260" s="37">
        <f>IF(AND(AJ260="no match", AK260="", AL260="", K260&lt;26), "CUSM, CHU SJ, HGJ, CHUQ, CHUS", "")</f>
      </c>
      <c r="AN260" s="37">
        <f>IF(AND(AJ260="no match", AK260="", AL260="", K260&gt;26), "CUSM, CHU SJ, HGJ, CHUQ, CHUS, HMR", "")</f>
      </c>
    </row>
    <row x14ac:dyDescent="0.25" r="261" customHeight="1" ht="17.25">
      <c r="A261" s="27" t="s">
        <v>602</v>
      </c>
      <c r="B261" s="28">
        <v>2</v>
      </c>
      <c r="C261" s="35">
        <v>734</v>
      </c>
      <c r="D261" s="29" t="s">
        <v>264</v>
      </c>
      <c r="E261" s="30" t="s">
        <v>50</v>
      </c>
      <c r="F261" s="31">
        <v>44711</v>
      </c>
      <c r="G261" s="32">
        <v>4.670138888888889</v>
      </c>
      <c r="H261" s="31">
        <v>44711</v>
      </c>
      <c r="I261" s="32">
        <v>4.263888888888889</v>
      </c>
      <c r="J261" s="33">
        <f>F261-H261</f>
      </c>
      <c r="K261" s="28">
        <v>39</v>
      </c>
      <c r="L261" s="28">
        <v>4</v>
      </c>
      <c r="M261" s="28">
        <v>2</v>
      </c>
      <c r="N261" s="28">
        <v>1</v>
      </c>
      <c r="O261" s="35">
        <v>2</v>
      </c>
      <c r="P261" s="28">
        <v>1</v>
      </c>
      <c r="Q261" s="34"/>
      <c r="R261" s="34"/>
      <c r="S261" s="34"/>
      <c r="T261" s="34"/>
      <c r="U261" s="28">
        <v>1</v>
      </c>
      <c r="V261" s="28">
        <v>1</v>
      </c>
      <c r="W261" s="29" t="s">
        <v>74</v>
      </c>
      <c r="X261" s="28">
        <v>41</v>
      </c>
      <c r="Y261" s="28">
        <v>1</v>
      </c>
      <c r="Z261" s="28">
        <v>1</v>
      </c>
      <c r="AA261" s="28">
        <v>2</v>
      </c>
      <c r="AB261" s="28">
        <v>1</v>
      </c>
      <c r="AC261" s="28">
        <v>2</v>
      </c>
      <c r="AD261" s="28">
        <v>2</v>
      </c>
      <c r="AE261" s="28">
        <v>4</v>
      </c>
      <c r="AF261" s="28">
        <v>3</v>
      </c>
      <c r="AG261" s="28">
        <v>2</v>
      </c>
      <c r="AH261" s="29" t="s">
        <v>603</v>
      </c>
      <c r="AI261" s="36">
        <f>IF(OR(AND(K261&lt;32, J261&lt;2), O261=1, P261=1, Q261=1, R261=1, S261=1, T261=1, U261=1, AND(W261&lt;&gt;"", W261&lt;&gt;"Oxygen", W261&lt;&gt;"LowFlow")), "Intensive", "Intermediate")</f>
      </c>
      <c r="AJ261" s="37">
        <f>IF(OR(LEFT(AH261, 1)="X", LEFT(AH261, 1)="Y", LEFT(AH261, 3)="J1M"), "CUSM", "No Match")</f>
      </c>
      <c r="AK261" s="37">
        <f>IF(AND(OR(O261=3, P261=1, Q261=1, T261=1), AJ261="no Match"), "CUSM, CHU SJ, CHUQ", "")</f>
      </c>
      <c r="AL261" s="37">
        <f>IF(AND(O261=2, ISBLANK(P261), ISBLANK(Q261), ISBLANK(R261), ISBLANK(S261), ISBLANK(T261)), "CUSM, CHU SJ, CHUS, CHUQ", "")</f>
      </c>
      <c r="AM261" s="37">
        <f>IF(AND(AJ261="no match", AK261="", AL261="", K261&lt;26), "CUSM, CHU SJ, HGJ, CHUQ, CHUS", "")</f>
      </c>
      <c r="AN261" s="37">
        <f>IF(AND(AJ261="no match", AK261="", AL261="", K261&gt;26), "CUSM, CHU SJ, HGJ, CHUQ, CHUS, HMR", "")</f>
      </c>
    </row>
    <row x14ac:dyDescent="0.25" r="262" customHeight="1" ht="17.25">
      <c r="A262" s="27" t="s">
        <v>604</v>
      </c>
      <c r="B262" s="28">
        <v>2</v>
      </c>
      <c r="C262" s="28">
        <v>839</v>
      </c>
      <c r="D262" s="29" t="s">
        <v>53</v>
      </c>
      <c r="E262" s="30" t="s">
        <v>54</v>
      </c>
      <c r="F262" s="31">
        <v>44712</v>
      </c>
      <c r="G262" s="32">
        <v>4.875</v>
      </c>
      <c r="H262" s="31">
        <v>44710</v>
      </c>
      <c r="I262" s="32">
        <v>4.569444444444445</v>
      </c>
      <c r="J262" s="33">
        <f>F262-H262</f>
      </c>
      <c r="K262" s="28">
        <v>40</v>
      </c>
      <c r="L262" s="28">
        <v>3</v>
      </c>
      <c r="M262" s="28">
        <v>1</v>
      </c>
      <c r="N262" s="34"/>
      <c r="O262" s="34"/>
      <c r="P262" s="34"/>
      <c r="Q262" s="34"/>
      <c r="R262" s="34"/>
      <c r="S262" s="34"/>
      <c r="T262" s="34"/>
      <c r="U262" s="34"/>
      <c r="V262" s="34"/>
      <c r="W262" s="29"/>
      <c r="X262" s="28">
        <v>37</v>
      </c>
      <c r="Y262" s="28">
        <v>1</v>
      </c>
      <c r="Z262" s="28">
        <v>1</v>
      </c>
      <c r="AA262" s="28">
        <v>2</v>
      </c>
      <c r="AB262" s="28">
        <v>1</v>
      </c>
      <c r="AC262" s="28">
        <v>2</v>
      </c>
      <c r="AD262" s="28">
        <v>2</v>
      </c>
      <c r="AE262" s="28">
        <v>4</v>
      </c>
      <c r="AF262" s="28">
        <v>2</v>
      </c>
      <c r="AG262" s="28">
        <v>2</v>
      </c>
      <c r="AH262" s="29" t="s">
        <v>605</v>
      </c>
      <c r="AI262" s="36">
        <f>IF(OR(AND(K262&lt;32, J262&lt;2), O262=1, P262=1, Q262=1, R262=1, S262=1, T262=1, U262=1, AND(W262&lt;&gt;"", W262&lt;&gt;"Oxygen", W262&lt;&gt;"LowFlow")), "Intensive", "Intermediate")</f>
      </c>
      <c r="AJ262" s="37">
        <f>IF(OR(LEFT(AH262, 1)="X", LEFT(AH262, 1)="Y", LEFT(AH262, 3)="J2M"), "CUSM", "No Match")</f>
      </c>
      <c r="AK262" s="37">
        <f>IF(AND(OR(O262=3, P262=1, Q262=1, T262=1), AJ262="no Match"), "CUSM, CHU SJ, CHUQ", "")</f>
      </c>
      <c r="AL262" s="37">
        <f>IF(AND(O262=2, ISBLANK(P262), ISBLANK(Q262), ISBLANK(R262), ISBLANK(S262), ISBLANK(T262)), "CUSM, CHU SJ, CHUS, CHUQ", "")</f>
      </c>
      <c r="AM262" s="37">
        <f>IF(AND(AJ262="no match", AK262="", AL262="", K262&lt;26), "CUSM, CHU SJ, HGJ, CHUQ, CHUS", "")</f>
      </c>
      <c r="AN262" s="37">
        <f>IF(AND(AJ262="no match", AK262="", AL262="", K262&gt;26), "CUSM, CHU SJ, HGJ, CHUQ, CHUS, HMR", "")</f>
      </c>
    </row>
    <row x14ac:dyDescent="0.25" r="263" customHeight="1" ht="17.25">
      <c r="A263" s="27" t="s">
        <v>606</v>
      </c>
      <c r="B263" s="28">
        <v>2</v>
      </c>
      <c r="C263" s="28">
        <v>815</v>
      </c>
      <c r="D263" s="29" t="s">
        <v>100</v>
      </c>
      <c r="E263" s="30" t="s">
        <v>54</v>
      </c>
      <c r="F263" s="31">
        <v>44712</v>
      </c>
      <c r="G263" s="32">
        <v>4.510416666666666</v>
      </c>
      <c r="H263" s="31">
        <v>44705</v>
      </c>
      <c r="I263" s="32">
        <v>4.702083333333333</v>
      </c>
      <c r="J263" s="33">
        <f>F263-H263</f>
      </c>
      <c r="K263" s="28">
        <v>41</v>
      </c>
      <c r="L263" s="28">
        <v>1</v>
      </c>
      <c r="M263" s="28">
        <v>2</v>
      </c>
      <c r="N263" s="38"/>
      <c r="O263" s="34"/>
      <c r="P263" s="38"/>
      <c r="Q263" s="34"/>
      <c r="R263" s="34"/>
      <c r="S263" s="34"/>
      <c r="T263" s="34"/>
      <c r="U263" s="34"/>
      <c r="V263" s="38"/>
      <c r="W263" s="29" t="s">
        <v>106</v>
      </c>
      <c r="X263" s="28">
        <v>24</v>
      </c>
      <c r="Y263" s="28">
        <v>1</v>
      </c>
      <c r="Z263" s="28">
        <v>2</v>
      </c>
      <c r="AA263" s="28">
        <v>2</v>
      </c>
      <c r="AB263" s="28">
        <v>1</v>
      </c>
      <c r="AC263" s="28">
        <v>3</v>
      </c>
      <c r="AD263" s="28">
        <v>3</v>
      </c>
      <c r="AE263" s="28">
        <v>4</v>
      </c>
      <c r="AF263" s="28">
        <v>2</v>
      </c>
      <c r="AG263" s="28">
        <v>2</v>
      </c>
      <c r="AH263" s="29" t="s">
        <v>607</v>
      </c>
      <c r="AI263" s="36">
        <f>IF(OR(AND(K263&lt;32, J263&lt;2), O263=1, P263=1, Q263=1, R263=1, S263=1, T263=1, U263=1, AND(W263&lt;&gt;"", W263&lt;&gt;"Oxygen", W263&lt;&gt;"LowFlow")), "Intensive", "Intermediate")</f>
      </c>
      <c r="AJ263" s="37">
        <f>IF(OR(LEFT(AH263, 1)="X", LEFT(AH263, 1)="Y", LEFT(AH263, 3)="J3M"), "CUSM", "No Match")</f>
      </c>
      <c r="AK263" s="37">
        <f>IF(AND(OR(O263=3, P263=1, Q263=1, T263=1), AJ263="no Match"), "CUSM, CHU SJ, CHUQ", "")</f>
      </c>
      <c r="AL263" s="37">
        <f>IF(AND(O263=2, ISBLANK(P263), ISBLANK(Q263), ISBLANK(R263), ISBLANK(S263), ISBLANK(T263)), "CUSM, CHU SJ, CHUS, CHUQ", "")</f>
      </c>
      <c r="AM263" s="37">
        <f>IF(AND(AJ263="no match", AK263="", AL263="", K263&lt;26), "CUSM, CHU SJ, HGJ, CHUQ, CHUS", "")</f>
      </c>
      <c r="AN263" s="37">
        <f>IF(AND(AJ263="no match", AK263="", AL263="", K263&gt;26), "CUSM, CHU SJ, HGJ, CHUQ, CHUS, HMR", "")</f>
      </c>
    </row>
    <row x14ac:dyDescent="0.25" r="264" customHeight="1" ht="17.25">
      <c r="A264" s="27" t="s">
        <v>608</v>
      </c>
      <c r="B264" s="28">
        <v>2</v>
      </c>
      <c r="C264" s="28">
        <v>831</v>
      </c>
      <c r="D264" s="29" t="s">
        <v>313</v>
      </c>
      <c r="E264" s="30" t="s">
        <v>54</v>
      </c>
      <c r="F264" s="31">
        <v>44712</v>
      </c>
      <c r="G264" s="32">
        <v>4.625</v>
      </c>
      <c r="H264" s="31">
        <v>44712</v>
      </c>
      <c r="I264" s="32">
        <v>4.434722222222222</v>
      </c>
      <c r="J264" s="33">
        <f>F264-H264</f>
      </c>
      <c r="K264" s="28">
        <v>41</v>
      </c>
      <c r="L264" s="28">
        <v>0</v>
      </c>
      <c r="M264" s="28">
        <v>2</v>
      </c>
      <c r="N264" s="35">
        <v>1</v>
      </c>
      <c r="O264" s="34"/>
      <c r="P264" s="35">
        <v>1</v>
      </c>
      <c r="Q264" s="34"/>
      <c r="R264" s="34"/>
      <c r="S264" s="34"/>
      <c r="T264" s="35">
        <v>1</v>
      </c>
      <c r="U264" s="34"/>
      <c r="V264" s="35">
        <v>1</v>
      </c>
      <c r="W264" s="29" t="s">
        <v>58</v>
      </c>
      <c r="X264" s="28">
        <v>38</v>
      </c>
      <c r="Y264" s="28">
        <v>1</v>
      </c>
      <c r="Z264" s="28">
        <v>2</v>
      </c>
      <c r="AA264" s="28">
        <v>2</v>
      </c>
      <c r="AB264" s="28">
        <v>1</v>
      </c>
      <c r="AC264" s="28">
        <v>2</v>
      </c>
      <c r="AD264" s="28">
        <v>2</v>
      </c>
      <c r="AE264" s="28">
        <v>4</v>
      </c>
      <c r="AF264" s="28">
        <v>2</v>
      </c>
      <c r="AG264" s="28">
        <v>2</v>
      </c>
      <c r="AH264" s="29" t="s">
        <v>609</v>
      </c>
      <c r="AI264" s="36">
        <f>IF(OR(AND(K264&lt;32, J264&lt;2), O264=1, P264=1, Q264=1, R264=1, S264=1, T264=1, U264=1, AND(W264&lt;&gt;"", W264&lt;&gt;"Oxygen", W264&lt;&gt;"LowFlow")), "Intensive", "Intermediate")</f>
      </c>
      <c r="AJ264" s="37">
        <f>IF(OR(LEFT(AH264, 1)="X", LEFT(AH264, 1)="Y", LEFT(AH264, 3)="J4M"), "CUSM", "No Match")</f>
      </c>
      <c r="AK264" s="37">
        <f>IF(AND(OR(O264=3, P264=1, Q264=1, T264=1), AJ264="no Match"), "CUSM, CHU SJ, CHUQ", "")</f>
      </c>
      <c r="AL264" s="37">
        <f>IF(AND(O264=2, ISBLANK(P264), ISBLANK(Q264), ISBLANK(R264), ISBLANK(S264), ISBLANK(T264)), "CUSM, CHU SJ, CHUS, CHUQ", "")</f>
      </c>
      <c r="AM264" s="37">
        <f>IF(AND(AJ264="no match", AK264="", AL264="", K264&lt;26), "CUSM, CHU SJ, HGJ, CHUQ, CHUS", "")</f>
      </c>
      <c r="AN264" s="37">
        <f>IF(AND(AJ264="no match", AK264="", AL264="", K264&gt;26), "CUSM, CHU SJ, HGJ, CHUQ, CHUS, HMR", "")</f>
      </c>
    </row>
    <row x14ac:dyDescent="0.25" r="265" customHeight="1" ht="17.25">
      <c r="A265" s="27" t="s">
        <v>610</v>
      </c>
      <c r="B265" s="28">
        <v>2</v>
      </c>
      <c r="C265" s="28">
        <v>839</v>
      </c>
      <c r="D265" s="29" t="s">
        <v>53</v>
      </c>
      <c r="E265" s="30" t="s">
        <v>54</v>
      </c>
      <c r="F265" s="31">
        <v>44713</v>
      </c>
      <c r="G265" s="32">
        <v>4.635416666666666</v>
      </c>
      <c r="H265" s="31">
        <v>44711</v>
      </c>
      <c r="I265" s="32">
        <v>4.6875</v>
      </c>
      <c r="J265" s="33">
        <f>F265-H265</f>
      </c>
      <c r="K265" s="28">
        <v>38</v>
      </c>
      <c r="L265" s="28">
        <v>5</v>
      </c>
      <c r="M265" s="28">
        <v>1</v>
      </c>
      <c r="N265" s="34"/>
      <c r="O265" s="34"/>
      <c r="P265" s="34"/>
      <c r="Q265" s="34"/>
      <c r="R265" s="34"/>
      <c r="S265" s="34"/>
      <c r="T265" s="34"/>
      <c r="U265" s="34"/>
      <c r="V265" s="34"/>
      <c r="W265" s="29"/>
      <c r="X265" s="28">
        <v>31</v>
      </c>
      <c r="Y265" s="28">
        <v>1</v>
      </c>
      <c r="Z265" s="28">
        <v>1</v>
      </c>
      <c r="AA265" s="28">
        <v>3</v>
      </c>
      <c r="AB265" s="28">
        <v>1</v>
      </c>
      <c r="AC265" s="28">
        <v>2</v>
      </c>
      <c r="AD265" s="28">
        <v>2</v>
      </c>
      <c r="AE265" s="28">
        <v>4</v>
      </c>
      <c r="AF265" s="28">
        <v>3</v>
      </c>
      <c r="AG265" s="28">
        <v>2</v>
      </c>
      <c r="AH265" s="29" t="s">
        <v>611</v>
      </c>
      <c r="AI265" s="36">
        <f>IF(OR(AND(K265&lt;32, J265&lt;2), O265=1, P265=1, Q265=1, R265=1, S265=1, T265=1, U265=1, AND(W265&lt;&gt;"", W265&lt;&gt;"Oxygen", W265&lt;&gt;"LowFlow")), "Intensive", "Intermediate")</f>
      </c>
      <c r="AJ265" s="37">
        <f>IF(OR(LEFT(AH265, 1)="X", LEFT(AH265, 1)="Y", LEFT(AH265, 3)="J5M"), "CUSM", "No Match")</f>
      </c>
      <c r="AK265" s="37">
        <f>IF(AND(OR(O265=3, P265=1, Q265=1, T265=1), AJ265="no Match"), "CUSM, CHU SJ, CHUQ", "")</f>
      </c>
      <c r="AL265" s="37">
        <f>IF(AND(O265=2, ISBLANK(P265), ISBLANK(Q265), ISBLANK(R265), ISBLANK(S265), ISBLANK(T265)), "CUSM, CHU SJ, CHUS, CHUQ", "")</f>
      </c>
      <c r="AM265" s="37">
        <f>IF(AND(AJ265="no match", AK265="", AL265="", K265&lt;26), "CUSM, CHU SJ, HGJ, CHUQ, CHUS", "")</f>
      </c>
      <c r="AN265" s="37">
        <f>IF(AND(AJ265="no match", AK265="", AL265="", K265&gt;26), "CUSM, CHU SJ, HGJ, CHUQ, CHUS, HMR", "")</f>
      </c>
    </row>
    <row x14ac:dyDescent="0.25" r="266" customHeight="1" ht="17.25">
      <c r="A266" s="27" t="s">
        <v>612</v>
      </c>
      <c r="B266" s="28">
        <v>2</v>
      </c>
      <c r="C266" s="28">
        <v>836</v>
      </c>
      <c r="D266" s="29" t="s">
        <v>613</v>
      </c>
      <c r="E266" s="30" t="s">
        <v>50</v>
      </c>
      <c r="F266" s="31">
        <v>44714</v>
      </c>
      <c r="G266" s="32">
        <v>4.229166666666666</v>
      </c>
      <c r="H266" s="31">
        <v>44700</v>
      </c>
      <c r="I266" s="32">
        <v>4</v>
      </c>
      <c r="J266" s="33">
        <f>F266-H266</f>
      </c>
      <c r="K266" s="28">
        <v>37</v>
      </c>
      <c r="L266" s="28">
        <v>1</v>
      </c>
      <c r="M266" s="28">
        <v>1</v>
      </c>
      <c r="N266" s="38"/>
      <c r="O266" s="38"/>
      <c r="P266" s="38"/>
      <c r="Q266" s="34"/>
      <c r="R266" s="34"/>
      <c r="S266" s="34"/>
      <c r="T266" s="34"/>
      <c r="U266" s="34"/>
      <c r="V266" s="34"/>
      <c r="W266" s="29"/>
      <c r="X266" s="28">
        <v>25</v>
      </c>
      <c r="Y266" s="28">
        <v>1</v>
      </c>
      <c r="Z266" s="28">
        <v>1</v>
      </c>
      <c r="AA266" s="28">
        <v>1</v>
      </c>
      <c r="AB266" s="28">
        <v>4</v>
      </c>
      <c r="AC266" s="28">
        <v>1</v>
      </c>
      <c r="AD266" s="28">
        <v>1</v>
      </c>
      <c r="AE266" s="28">
        <v>4</v>
      </c>
      <c r="AF266" s="28">
        <v>3</v>
      </c>
      <c r="AG266" s="28">
        <v>2</v>
      </c>
      <c r="AH266" s="29" t="s">
        <v>85</v>
      </c>
      <c r="AI266" s="36">
        <f>IF(OR(AND(K266&lt;32, J266&lt;2), O266=1, P266=1, Q266=1, R266=1, S266=1, T266=1, U266=1, AND(W266&lt;&gt;"", W266&lt;&gt;"Oxygen", W266&lt;&gt;"LowFlow")), "Intensive", "Intermediate")</f>
      </c>
      <c r="AJ266" s="37">
        <f>IF(OR(LEFT(AH266, 1)="X", LEFT(AH266, 1)="Y", LEFT(AH266, 3)="J6M"), "CUSM", "No Match")</f>
      </c>
      <c r="AK266" s="37">
        <f>IF(AND(OR(O266=3, P266=1, Q266=1, T266=1), AJ266="no Match"), "CUSM, CHU SJ, CHUQ", "")</f>
      </c>
      <c r="AL266" s="37">
        <f>IF(AND(O266=2, ISBLANK(P266), ISBLANK(Q266), ISBLANK(R266), ISBLANK(S266), ISBLANK(T266)), "CUSM, CHU SJ, CHUS, CHUQ", "")</f>
      </c>
      <c r="AM266" s="37">
        <f>IF(AND(AJ266="no match", AK266="", AL266="", K266&lt;26), "CUSM, CHU SJ, HGJ, CHUQ, CHUS", "")</f>
      </c>
      <c r="AN266" s="37">
        <f>IF(AND(AJ266="no match", AK266="", AL266="", K266&gt;26), "CUSM, CHU SJ, HGJ, CHUQ, CHUS, HMR", "")</f>
      </c>
    </row>
    <row x14ac:dyDescent="0.25" r="267" customHeight="1" ht="17.25">
      <c r="A267" s="27" t="s">
        <v>614</v>
      </c>
      <c r="B267" s="28">
        <v>2</v>
      </c>
      <c r="C267" s="35">
        <v>756</v>
      </c>
      <c r="D267" s="29" t="s">
        <v>66</v>
      </c>
      <c r="E267" s="30" t="s">
        <v>54</v>
      </c>
      <c r="F267" s="31">
        <v>44715</v>
      </c>
      <c r="G267" s="32">
        <v>4.106944444444444</v>
      </c>
      <c r="H267" s="31">
        <v>44714</v>
      </c>
      <c r="I267" s="32">
        <v>4.9847222222222225</v>
      </c>
      <c r="J267" s="33">
        <f>F267-H267</f>
      </c>
      <c r="K267" s="28">
        <v>37</v>
      </c>
      <c r="L267" s="28">
        <v>4</v>
      </c>
      <c r="M267" s="28">
        <v>1</v>
      </c>
      <c r="N267" s="35">
        <v>1</v>
      </c>
      <c r="O267" s="34"/>
      <c r="P267" s="35">
        <v>1</v>
      </c>
      <c r="Q267" s="34"/>
      <c r="R267" s="34"/>
      <c r="S267" s="34"/>
      <c r="T267" s="35">
        <v>1</v>
      </c>
      <c r="U267" s="34"/>
      <c r="V267" s="34"/>
      <c r="W267" s="29" t="s">
        <v>74</v>
      </c>
      <c r="X267" s="28">
        <v>31</v>
      </c>
      <c r="Y267" s="28">
        <v>1</v>
      </c>
      <c r="Z267" s="28">
        <v>1</v>
      </c>
      <c r="AA267" s="28">
        <v>3</v>
      </c>
      <c r="AB267" s="28">
        <v>1</v>
      </c>
      <c r="AC267" s="28">
        <v>2</v>
      </c>
      <c r="AD267" s="28">
        <v>1</v>
      </c>
      <c r="AE267" s="28">
        <v>4</v>
      </c>
      <c r="AF267" s="28">
        <v>1</v>
      </c>
      <c r="AG267" s="28">
        <v>2</v>
      </c>
      <c r="AH267" s="29" t="s">
        <v>615</v>
      </c>
      <c r="AI267" s="36">
        <f>IF(OR(AND(K267&lt;32, J267&lt;2), O267=1, P267=1, Q267=1, R267=1, S267=1, T267=1, U267=1, AND(W267&lt;&gt;"", W267&lt;&gt;"Oxygen", W267&lt;&gt;"LowFlow")), "Intensive", "Intermediate")</f>
      </c>
      <c r="AJ267" s="37">
        <f>IF(OR(LEFT(AH267, 1)="X", LEFT(AH267, 1)="Y", LEFT(AH267, 3)="J7M"), "CUSM", "No Match")</f>
      </c>
      <c r="AK267" s="37">
        <f>IF(AND(OR(O267=3, P267=1, Q267=1, T267=1), AJ267="no Match"), "CUSM, CHU SJ, CHUQ", "")</f>
      </c>
      <c r="AL267" s="37">
        <f>IF(AND(O267=2, ISBLANK(P267), ISBLANK(Q267), ISBLANK(R267), ISBLANK(S267), ISBLANK(T267)), "CUSM, CHU SJ, CHUS, CHUQ", "")</f>
      </c>
      <c r="AM267" s="37">
        <f>IF(AND(AJ267="no match", AK267="", AL267="", K267&lt;26), "CUSM, CHU SJ, HGJ, CHUQ, CHUS", "")</f>
      </c>
      <c r="AN267" s="37">
        <f>IF(AND(AJ267="no match", AK267="", AL267="", K267&gt;26), "CUSM, CHU SJ, HGJ, CHUQ, CHUS, HMR", "")</f>
      </c>
    </row>
    <row x14ac:dyDescent="0.25" r="268" customHeight="1" ht="17.25">
      <c r="A268" s="27" t="s">
        <v>616</v>
      </c>
      <c r="B268" s="28">
        <v>2</v>
      </c>
      <c r="C268" s="35">
        <v>809</v>
      </c>
      <c r="D268" s="29" t="s">
        <v>117</v>
      </c>
      <c r="E268" s="30" t="s">
        <v>54</v>
      </c>
      <c r="F268" s="31">
        <v>44715</v>
      </c>
      <c r="G268" s="32">
        <v>4.229166666666666</v>
      </c>
      <c r="H268" s="31">
        <v>44714</v>
      </c>
      <c r="I268" s="32">
        <v>4.643055555555556</v>
      </c>
      <c r="J268" s="33">
        <f>F268-H268</f>
      </c>
      <c r="K268" s="28">
        <v>41</v>
      </c>
      <c r="L268" s="28">
        <v>4</v>
      </c>
      <c r="M268" s="28">
        <v>1</v>
      </c>
      <c r="N268" s="28">
        <v>1</v>
      </c>
      <c r="O268" s="35">
        <v>2</v>
      </c>
      <c r="P268" s="35">
        <v>1</v>
      </c>
      <c r="Q268" s="38"/>
      <c r="R268" s="34"/>
      <c r="S268" s="34"/>
      <c r="T268" s="34"/>
      <c r="U268" s="34"/>
      <c r="V268" s="34"/>
      <c r="W268" s="29" t="s">
        <v>58</v>
      </c>
      <c r="X268" s="28">
        <v>29</v>
      </c>
      <c r="Y268" s="28">
        <v>1</v>
      </c>
      <c r="Z268" s="28">
        <v>1</v>
      </c>
      <c r="AA268" s="28">
        <v>3</v>
      </c>
      <c r="AB268" s="28">
        <v>1</v>
      </c>
      <c r="AC268" s="28">
        <v>2</v>
      </c>
      <c r="AD268" s="28">
        <v>2</v>
      </c>
      <c r="AE268" s="28">
        <v>4</v>
      </c>
      <c r="AF268" s="28">
        <v>3</v>
      </c>
      <c r="AG268" s="28">
        <v>2</v>
      </c>
      <c r="AH268" s="29" t="s">
        <v>617</v>
      </c>
      <c r="AI268" s="36">
        <f>IF(OR(AND(K268&lt;32, J268&lt;2), O268=1, P268=1, Q268=1, R268=1, S268=1, T268=1, U268=1, AND(W268&lt;&gt;"", W268&lt;&gt;"Oxygen", W268&lt;&gt;"LowFlow")), "Intensive", "Intermediate")</f>
      </c>
      <c r="AJ268" s="37">
        <f>IF(OR(LEFT(AH268, 1)="X", LEFT(AH268, 1)="Y", LEFT(AH268, 3)="J8M"), "CUSM", "No Match")</f>
      </c>
      <c r="AK268" s="37">
        <f>IF(AND(OR(O268=3, P268=1, Q268=1, T268=1), AJ268="no Match"), "CUSM, CHU SJ, CHUQ", "")</f>
      </c>
      <c r="AL268" s="37">
        <f>IF(AND(O268=2, ISBLANK(P268), ISBLANK(Q268), ISBLANK(R268), ISBLANK(S268), ISBLANK(T268)), "CUSM, CHU SJ, CHUS, CHUQ", "")</f>
      </c>
      <c r="AM268" s="37">
        <f>IF(AND(AJ268="no match", AK268="", AL268="", K268&lt;26), "CUSM, CHU SJ, HGJ, CHUQ, CHUS", "")</f>
      </c>
      <c r="AN268" s="37">
        <f>IF(AND(AJ268="no match", AK268="", AL268="", K268&gt;26), "CUSM, CHU SJ, HGJ, CHUQ, CHUS, HMR", "")</f>
      </c>
    </row>
    <row x14ac:dyDescent="0.25" r="269" customHeight="1" ht="17.25">
      <c r="A269" s="27" t="s">
        <v>618</v>
      </c>
      <c r="B269" s="28">
        <v>2</v>
      </c>
      <c r="C269" s="28">
        <v>564</v>
      </c>
      <c r="D269" s="29" t="s">
        <v>153</v>
      </c>
      <c r="E269" s="30" t="s">
        <v>50</v>
      </c>
      <c r="F269" s="31">
        <v>44715</v>
      </c>
      <c r="G269" s="32">
        <v>4.645833333333334</v>
      </c>
      <c r="H269" s="31">
        <v>44715</v>
      </c>
      <c r="I269" s="32">
        <v>4.368055555555555</v>
      </c>
      <c r="J269" s="33">
        <f>F269-H269</f>
      </c>
      <c r="K269" s="28">
        <v>41</v>
      </c>
      <c r="L269" s="28">
        <v>2</v>
      </c>
      <c r="M269" s="28">
        <v>1</v>
      </c>
      <c r="N269" s="35">
        <v>1</v>
      </c>
      <c r="O269" s="35">
        <v>2</v>
      </c>
      <c r="P269" s="35">
        <v>1</v>
      </c>
      <c r="Q269" s="34"/>
      <c r="R269" s="34"/>
      <c r="S269" s="34"/>
      <c r="T269" s="34"/>
      <c r="U269" s="34"/>
      <c r="V269" s="34"/>
      <c r="W269" s="29"/>
      <c r="X269" s="28">
        <v>34</v>
      </c>
      <c r="Y269" s="28">
        <v>1</v>
      </c>
      <c r="Z269" s="28">
        <v>1</v>
      </c>
      <c r="AA269" s="28">
        <v>2</v>
      </c>
      <c r="AB269" s="28">
        <v>1</v>
      </c>
      <c r="AC269" s="28">
        <v>2</v>
      </c>
      <c r="AD269" s="28">
        <v>1</v>
      </c>
      <c r="AE269" s="28">
        <v>4</v>
      </c>
      <c r="AF269" s="28">
        <v>2</v>
      </c>
      <c r="AG269" s="28">
        <v>2</v>
      </c>
      <c r="AH269" s="29" t="s">
        <v>379</v>
      </c>
      <c r="AI269" s="36">
        <f>IF(OR(AND(K269&lt;32, J269&lt;2), O269=1, P269=1, Q269=1, R269=1, S269=1, T269=1, U269=1, AND(W269&lt;&gt;"", W269&lt;&gt;"Oxygen", W269&lt;&gt;"LowFlow")), "Intensive", "Intermediate")</f>
      </c>
      <c r="AJ269" s="37">
        <f>IF(OR(LEFT(AH269, 1)="X", LEFT(AH269, 1)="Y", LEFT(AH269, 3)="J9M"), "CUSM", "No Match")</f>
      </c>
      <c r="AK269" s="37">
        <f>IF(AND(OR(O269=3, P269=1, Q269=1, T269=1), AJ269="no Match"), "CUSM, CHU SJ, CHUQ", "")</f>
      </c>
      <c r="AL269" s="37">
        <f>IF(AND(O269=2, ISBLANK(P269), ISBLANK(Q269), ISBLANK(R269), ISBLANK(S269), ISBLANK(T269)), "CUSM, CHU SJ, CHUS, CHUQ", "")</f>
      </c>
      <c r="AM269" s="37">
        <f>IF(AND(AJ269="no match", AK269="", AL269="", K269&lt;26), "CUSM, CHU SJ, HGJ, CHUQ, CHUS", "")</f>
      </c>
      <c r="AN269" s="37">
        <f>IF(AND(AJ269="no match", AK269="", AL269="", K269&gt;26), "CUSM, CHU SJ, HGJ, CHUQ, CHUS, HMR", "")</f>
      </c>
    </row>
    <row x14ac:dyDescent="0.25" r="270" customHeight="1" ht="17.25">
      <c r="A270" s="27" t="s">
        <v>619</v>
      </c>
      <c r="B270" s="28">
        <v>2</v>
      </c>
      <c r="C270" s="35">
        <v>734</v>
      </c>
      <c r="D270" s="29" t="s">
        <v>264</v>
      </c>
      <c r="E270" s="30" t="s">
        <v>50</v>
      </c>
      <c r="F270" s="31">
        <v>44716</v>
      </c>
      <c r="G270" s="32">
        <v>4.618055555555555</v>
      </c>
      <c r="H270" s="31">
        <v>44715</v>
      </c>
      <c r="I270" s="32">
        <v>4.80625</v>
      </c>
      <c r="J270" s="33">
        <f>F270-H270</f>
      </c>
      <c r="K270" s="28">
        <v>39</v>
      </c>
      <c r="L270" s="28">
        <v>1</v>
      </c>
      <c r="M270" s="28">
        <v>1</v>
      </c>
      <c r="N270" s="35">
        <v>1</v>
      </c>
      <c r="O270" s="34"/>
      <c r="P270" s="35">
        <v>1</v>
      </c>
      <c r="Q270" s="34"/>
      <c r="R270" s="34"/>
      <c r="S270" s="34"/>
      <c r="T270" s="34"/>
      <c r="U270" s="34"/>
      <c r="V270" s="34"/>
      <c r="W270" s="29"/>
      <c r="X270" s="28">
        <v>35</v>
      </c>
      <c r="Y270" s="28">
        <v>1</v>
      </c>
      <c r="Z270" s="28">
        <v>1</v>
      </c>
      <c r="AA270" s="28">
        <v>3</v>
      </c>
      <c r="AB270" s="28">
        <v>4</v>
      </c>
      <c r="AC270" s="28">
        <v>2</v>
      </c>
      <c r="AD270" s="28">
        <v>2</v>
      </c>
      <c r="AE270" s="28">
        <v>4</v>
      </c>
      <c r="AF270" s="28">
        <v>2</v>
      </c>
      <c r="AG270" s="28">
        <v>2</v>
      </c>
      <c r="AH270" s="29" t="s">
        <v>620</v>
      </c>
      <c r="AI270" s="36">
        <f>IF(OR(AND(K270&lt;32, J270&lt;2), O270=1, P270=1, Q270=1, R270=1, S270=1, T270=1, U270=1, AND(W270&lt;&gt;"", W270&lt;&gt;"Oxygen", W270&lt;&gt;"LowFlow")), "Intensive", "Intermediate")</f>
      </c>
      <c r="AJ270" s="37">
        <f>IF(OR(LEFT(AH270, 1)="X", LEFT(AH270, 1)="Y", LEFT(AH270, 3)="J10M"), "CUSM", "No Match")</f>
      </c>
      <c r="AK270" s="37">
        <f>IF(AND(OR(O270=3, P270=1, Q270=1, T270=1), AJ270="no Match"), "CUSM, CHU SJ, CHUQ", "")</f>
      </c>
      <c r="AL270" s="37">
        <f>IF(AND(O270=2, ISBLANK(P270), ISBLANK(Q270), ISBLANK(R270), ISBLANK(S270), ISBLANK(T270)), "CUSM, CHU SJ, CHUS, CHUQ", "")</f>
      </c>
      <c r="AM270" s="37">
        <f>IF(AND(AJ270="no match", AK270="", AL270="", K270&lt;26), "CUSM, CHU SJ, HGJ, CHUQ, CHUS", "")</f>
      </c>
      <c r="AN270" s="37">
        <f>IF(AND(AJ270="no match", AK270="", AL270="", K270&gt;26), "CUSM, CHU SJ, HGJ, CHUQ, CHUS, HMR", "")</f>
      </c>
    </row>
    <row x14ac:dyDescent="0.25" r="271" customHeight="1" ht="17.25">
      <c r="A271" s="27" t="s">
        <v>621</v>
      </c>
      <c r="B271" s="28">
        <v>2</v>
      </c>
      <c r="C271" s="35">
        <v>779</v>
      </c>
      <c r="D271" s="29" t="s">
        <v>136</v>
      </c>
      <c r="E271" s="30" t="s">
        <v>54</v>
      </c>
      <c r="F271" s="31">
        <v>44717</v>
      </c>
      <c r="G271" s="32">
        <v>4.479166666666666</v>
      </c>
      <c r="H271" s="31">
        <v>44715</v>
      </c>
      <c r="I271" s="32">
        <v>4.684722222222222</v>
      </c>
      <c r="J271" s="33">
        <f>F271-H271</f>
      </c>
      <c r="K271" s="28">
        <v>40</v>
      </c>
      <c r="L271" s="28">
        <v>0</v>
      </c>
      <c r="M271" s="28">
        <v>2</v>
      </c>
      <c r="N271" s="28">
        <v>1</v>
      </c>
      <c r="O271" s="34"/>
      <c r="P271" s="28">
        <v>1</v>
      </c>
      <c r="Q271" s="34"/>
      <c r="R271" s="34"/>
      <c r="S271" s="34"/>
      <c r="T271" s="34"/>
      <c r="U271" s="34"/>
      <c r="V271" s="34"/>
      <c r="W271" s="29" t="s">
        <v>106</v>
      </c>
      <c r="X271" s="28">
        <v>33</v>
      </c>
      <c r="Y271" s="28">
        <v>1</v>
      </c>
      <c r="Z271" s="28">
        <v>1</v>
      </c>
      <c r="AA271" s="28">
        <v>3</v>
      </c>
      <c r="AB271" s="28">
        <v>1</v>
      </c>
      <c r="AC271" s="28">
        <v>1</v>
      </c>
      <c r="AD271" s="28">
        <v>2</v>
      </c>
      <c r="AE271" s="28">
        <v>4</v>
      </c>
      <c r="AF271" s="28">
        <v>3</v>
      </c>
      <c r="AG271" s="28">
        <v>2</v>
      </c>
      <c r="AH271" s="29" t="s">
        <v>622</v>
      </c>
      <c r="AI271" s="36">
        <f>IF(OR(AND(K271&lt;32, J271&lt;2), O271=1, P271=1, Q271=1, R271=1, S271=1, T271=1, U271=1, AND(W271&lt;&gt;"", W271&lt;&gt;"Oxygen", W271&lt;&gt;"LowFlow")), "Intensive", "Intermediate")</f>
      </c>
      <c r="AJ271" s="37">
        <f>IF(OR(LEFT(AH271, 1)="X", LEFT(AH271, 1)="Y", LEFT(AH271, 3)="J11M"), "CUSM", "No Match")</f>
      </c>
      <c r="AK271" s="37">
        <f>IF(AND(OR(O271=3, P271=1, Q271=1, T271=1), AJ271="no Match"), "CUSM, CHU SJ, CHUQ", "")</f>
      </c>
      <c r="AL271" s="37">
        <f>IF(AND(O271=2, ISBLANK(P271), ISBLANK(Q271), ISBLANK(R271), ISBLANK(S271), ISBLANK(T271)), "CUSM, CHU SJ, CHUS, CHUQ", "")</f>
      </c>
      <c r="AM271" s="37">
        <f>IF(AND(AJ271="no match", AK271="", AL271="", K271&lt;26), "CUSM, CHU SJ, HGJ, CHUQ, CHUS", "")</f>
      </c>
      <c r="AN271" s="37">
        <f>IF(AND(AJ271="no match", AK271="", AL271="", K271&gt;26), "CUSM, CHU SJ, HGJ, CHUQ, CHUS, HMR", "")</f>
      </c>
    </row>
    <row x14ac:dyDescent="0.25" r="272" customHeight="1" ht="17.25">
      <c r="A272" s="27" t="s">
        <v>623</v>
      </c>
      <c r="B272" s="28">
        <v>2</v>
      </c>
      <c r="C272" s="28">
        <v>782</v>
      </c>
      <c r="D272" s="29" t="s">
        <v>95</v>
      </c>
      <c r="E272" s="30" t="s">
        <v>50</v>
      </c>
      <c r="F272" s="31">
        <v>44717</v>
      </c>
      <c r="G272" s="32">
        <v>4.052083333333334</v>
      </c>
      <c r="H272" s="31">
        <v>44716</v>
      </c>
      <c r="I272" s="32">
        <v>4.910416666666666</v>
      </c>
      <c r="J272" s="33">
        <f>F272-H272</f>
      </c>
      <c r="K272" s="28">
        <v>38</v>
      </c>
      <c r="L272" s="28">
        <v>5</v>
      </c>
      <c r="M272" s="28">
        <v>2</v>
      </c>
      <c r="N272" s="34"/>
      <c r="O272" s="34"/>
      <c r="P272" s="34"/>
      <c r="Q272" s="34"/>
      <c r="R272" s="34"/>
      <c r="S272" s="34"/>
      <c r="T272" s="35">
        <v>1</v>
      </c>
      <c r="U272" s="34"/>
      <c r="V272" s="34"/>
      <c r="W272" s="29" t="s">
        <v>70</v>
      </c>
      <c r="X272" s="28">
        <v>35</v>
      </c>
      <c r="Y272" s="28">
        <v>1</v>
      </c>
      <c r="Z272" s="28">
        <v>1</v>
      </c>
      <c r="AA272" s="28">
        <v>1</v>
      </c>
      <c r="AB272" s="28">
        <v>4</v>
      </c>
      <c r="AC272" s="28">
        <v>2</v>
      </c>
      <c r="AD272" s="28">
        <v>2</v>
      </c>
      <c r="AE272" s="28">
        <v>4</v>
      </c>
      <c r="AF272" s="28">
        <v>2</v>
      </c>
      <c r="AG272" s="28">
        <v>2</v>
      </c>
      <c r="AH272" s="29" t="s">
        <v>624</v>
      </c>
      <c r="AI272" s="36">
        <f>IF(OR(AND(K272&lt;32, J272&lt;2), O272=1, P272=1, Q272=1, R272=1, S272=1, T272=1, U272=1, AND(W272&lt;&gt;"", W272&lt;&gt;"Oxygen", W272&lt;&gt;"LowFlow")), "Intensive", "Intermediate")</f>
      </c>
      <c r="AJ272" s="37">
        <f>IF(OR(LEFT(AH272, 1)="X", LEFT(AH272, 1)="Y", LEFT(AH272, 3)="J12M"), "CUSM", "No Match")</f>
      </c>
      <c r="AK272" s="37">
        <f>IF(AND(OR(O272=3, P272=1, Q272=1, T272=1), AJ272="no Match"), "CUSM, CHU SJ, CHUQ", "")</f>
      </c>
      <c r="AL272" s="37">
        <f>IF(AND(O272=2, ISBLANK(P272), ISBLANK(Q272), ISBLANK(R272), ISBLANK(S272), ISBLANK(T272)), "CUSM, CHU SJ, CHUS, CHUQ", "")</f>
      </c>
      <c r="AM272" s="37">
        <f>IF(AND(AJ272="no match", AK272="", AL272="", K272&lt;26), "CUSM, CHU SJ, HGJ, CHUQ, CHUS", "")</f>
      </c>
      <c r="AN272" s="37">
        <f>IF(AND(AJ272="no match", AK272="", AL272="", K272&gt;26), "CUSM, CHU SJ, HGJ, CHUQ, CHUS, HMR", "")</f>
      </c>
    </row>
    <row x14ac:dyDescent="0.25" r="273" customHeight="1" ht="17.25">
      <c r="A273" s="27" t="s">
        <v>625</v>
      </c>
      <c r="B273" s="28">
        <v>2</v>
      </c>
      <c r="C273" s="35">
        <v>720</v>
      </c>
      <c r="D273" s="29" t="s">
        <v>626</v>
      </c>
      <c r="E273" s="30" t="s">
        <v>50</v>
      </c>
      <c r="F273" s="31">
        <v>44718</v>
      </c>
      <c r="G273" s="32">
        <v>4.760416666666666</v>
      </c>
      <c r="H273" s="31">
        <v>44717</v>
      </c>
      <c r="I273" s="32">
        <v>4.444444444444445</v>
      </c>
      <c r="J273" s="33">
        <f>F273-H273</f>
      </c>
      <c r="K273" s="28">
        <v>40</v>
      </c>
      <c r="L273" s="28">
        <v>0</v>
      </c>
      <c r="M273" s="28">
        <v>2</v>
      </c>
      <c r="N273" s="35">
        <v>1</v>
      </c>
      <c r="O273" s="34"/>
      <c r="P273" s="34"/>
      <c r="Q273" s="34"/>
      <c r="R273" s="34"/>
      <c r="S273" s="34"/>
      <c r="T273" s="34"/>
      <c r="U273" s="34"/>
      <c r="V273" s="34"/>
      <c r="W273" s="29" t="s">
        <v>106</v>
      </c>
      <c r="X273" s="28">
        <v>28</v>
      </c>
      <c r="Y273" s="28">
        <v>1</v>
      </c>
      <c r="Z273" s="28">
        <v>1</v>
      </c>
      <c r="AA273" s="28">
        <v>3</v>
      </c>
      <c r="AB273" s="28">
        <v>1</v>
      </c>
      <c r="AC273" s="28">
        <v>2</v>
      </c>
      <c r="AD273" s="28">
        <v>2</v>
      </c>
      <c r="AE273" s="28">
        <v>4</v>
      </c>
      <c r="AF273" s="28">
        <v>3</v>
      </c>
      <c r="AG273" s="28">
        <v>2</v>
      </c>
      <c r="AH273" s="29" t="s">
        <v>627</v>
      </c>
      <c r="AI273" s="36">
        <f>IF(OR(AND(K273&lt;32, J273&lt;2), O273=1, P273=1, Q273=1, R273=1, S273=1, T273=1, U273=1, AND(W273&lt;&gt;"", W273&lt;&gt;"Oxygen", W273&lt;&gt;"LowFlow")), "Intensive", "Intermediate")</f>
      </c>
      <c r="AJ273" s="37">
        <f>IF(OR(LEFT(AH273, 1)="X", LEFT(AH273, 1)="Y", LEFT(AH273, 3)="J13M"), "CUSM", "No Match")</f>
      </c>
      <c r="AK273" s="37">
        <f>IF(AND(OR(O273=3, P273=1, Q273=1, T273=1), AJ273="no Match"), "CUSM, CHU SJ, CHUQ", "")</f>
      </c>
      <c r="AL273" s="37">
        <f>IF(AND(O273=2, ISBLANK(P273), ISBLANK(Q273), ISBLANK(R273), ISBLANK(S273), ISBLANK(T273)), "CUSM, CHU SJ, CHUS, CHUQ", "")</f>
      </c>
      <c r="AM273" s="37">
        <f>IF(AND(AJ273="no match", AK273="", AL273="", K273&lt;26), "CUSM, CHU SJ, HGJ, CHUQ, CHUS", "")</f>
      </c>
      <c r="AN273" s="37">
        <f>IF(AND(AJ273="no match", AK273="", AL273="", K273&gt;26), "CUSM, CHU SJ, HGJ, CHUQ, CHUS, HMR", "")</f>
      </c>
    </row>
    <row x14ac:dyDescent="0.25" r="274" customHeight="1" ht="17.25">
      <c r="A274" s="27" t="s">
        <v>628</v>
      </c>
      <c r="B274" s="28">
        <v>2</v>
      </c>
      <c r="C274" s="28">
        <v>730</v>
      </c>
      <c r="D274" s="29" t="s">
        <v>81</v>
      </c>
      <c r="E274" s="30" t="s">
        <v>50</v>
      </c>
      <c r="F274" s="31">
        <v>44718</v>
      </c>
      <c r="G274" s="32">
        <v>4.798611111111111</v>
      </c>
      <c r="H274" s="31">
        <v>44718</v>
      </c>
      <c r="I274" s="32">
        <v>4.679861111111111</v>
      </c>
      <c r="J274" s="33">
        <f>F274-H274</f>
      </c>
      <c r="K274" s="28">
        <v>41</v>
      </c>
      <c r="L274" s="28">
        <v>0</v>
      </c>
      <c r="M274" s="28">
        <v>2</v>
      </c>
      <c r="N274" s="38"/>
      <c r="O274" s="34"/>
      <c r="P274" s="34"/>
      <c r="Q274" s="34"/>
      <c r="R274" s="34"/>
      <c r="S274" s="34"/>
      <c r="T274" s="35">
        <v>1</v>
      </c>
      <c r="U274" s="34"/>
      <c r="V274" s="34"/>
      <c r="W274" s="29" t="s">
        <v>74</v>
      </c>
      <c r="X274" s="28">
        <v>20</v>
      </c>
      <c r="Y274" s="28">
        <v>1</v>
      </c>
      <c r="Z274" s="28">
        <v>1</v>
      </c>
      <c r="AA274" s="28">
        <v>1</v>
      </c>
      <c r="AB274" s="28">
        <v>1</v>
      </c>
      <c r="AC274" s="28">
        <v>2</v>
      </c>
      <c r="AD274" s="28">
        <v>2</v>
      </c>
      <c r="AE274" s="28">
        <v>4</v>
      </c>
      <c r="AF274" s="28">
        <v>1</v>
      </c>
      <c r="AG274" s="28">
        <v>2</v>
      </c>
      <c r="AH274" s="29" t="s">
        <v>629</v>
      </c>
      <c r="AI274" s="36">
        <f>IF(OR(AND(K274&lt;32, J274&lt;2), O274=1, P274=1, Q274=1, R274=1, S274=1, T274=1, U274=1, AND(W274&lt;&gt;"", W274&lt;&gt;"Oxygen", W274&lt;&gt;"LowFlow")), "Intensive", "Intermediate")</f>
      </c>
      <c r="AJ274" s="37">
        <f>IF(OR(LEFT(AH274, 1)="X", LEFT(AH274, 1)="Y", LEFT(AH274, 3)="J14M"), "CUSM", "No Match")</f>
      </c>
      <c r="AK274" s="37">
        <f>IF(AND(OR(O274=3, P274=1, Q274=1, T274=1), AJ274="no Match"), "CUSM, CHU SJ, CHUQ", "")</f>
      </c>
      <c r="AL274" s="37">
        <f>IF(AND(O274=2, ISBLANK(P274), ISBLANK(Q274), ISBLANK(R274), ISBLANK(S274), ISBLANK(T274)), "CUSM, CHU SJ, CHUS, CHUQ", "")</f>
      </c>
      <c r="AM274" s="37">
        <f>IF(AND(AJ274="no match", AK274="", AL274="", K274&lt;26), "CUSM, CHU SJ, HGJ, CHUQ, CHUS", "")</f>
      </c>
      <c r="AN274" s="37">
        <f>IF(AND(AJ274="no match", AK274="", AL274="", K274&gt;26), "CUSM, CHU SJ, HGJ, CHUQ, CHUS, HMR", "")</f>
      </c>
    </row>
    <row x14ac:dyDescent="0.25" r="275" customHeight="1" ht="17.25">
      <c r="A275" s="27" t="s">
        <v>630</v>
      </c>
      <c r="B275" s="28">
        <v>2</v>
      </c>
      <c r="C275" s="28">
        <v>831</v>
      </c>
      <c r="D275" s="29" t="s">
        <v>313</v>
      </c>
      <c r="E275" s="30" t="s">
        <v>54</v>
      </c>
      <c r="F275" s="31">
        <v>44719</v>
      </c>
      <c r="G275" s="32">
        <v>4.791666666666666</v>
      </c>
      <c r="H275" s="31">
        <v>44719</v>
      </c>
      <c r="I275" s="32">
        <v>4.544444444444444</v>
      </c>
      <c r="J275" s="33">
        <f>F275-H275</f>
      </c>
      <c r="K275" s="28">
        <v>39</v>
      </c>
      <c r="L275" s="28">
        <v>6</v>
      </c>
      <c r="M275" s="28">
        <v>2</v>
      </c>
      <c r="N275" s="38"/>
      <c r="O275" s="34"/>
      <c r="P275" s="38"/>
      <c r="Q275" s="34"/>
      <c r="R275" s="34"/>
      <c r="S275" s="34"/>
      <c r="T275" s="35">
        <v>1</v>
      </c>
      <c r="U275" s="34"/>
      <c r="V275" s="34"/>
      <c r="W275" s="29"/>
      <c r="X275" s="28">
        <v>27</v>
      </c>
      <c r="Y275" s="28">
        <v>1</v>
      </c>
      <c r="Z275" s="28">
        <v>2</v>
      </c>
      <c r="AA275" s="28">
        <v>1</v>
      </c>
      <c r="AB275" s="28">
        <v>1</v>
      </c>
      <c r="AC275" s="28">
        <v>2</v>
      </c>
      <c r="AD275" s="28">
        <v>2</v>
      </c>
      <c r="AE275" s="28">
        <v>4</v>
      </c>
      <c r="AF275" s="28">
        <v>2</v>
      </c>
      <c r="AG275" s="28">
        <v>2</v>
      </c>
      <c r="AH275" s="29" t="s">
        <v>631</v>
      </c>
      <c r="AI275" s="36">
        <f>IF(OR(AND(K275&lt;32, J275&lt;2), O275=1, P275=1, Q275=1, R275=1, S275=1, T275=1, U275=1, AND(W275&lt;&gt;"", W275&lt;&gt;"Oxygen", W275&lt;&gt;"LowFlow")), "Intensive", "Intermediate")</f>
      </c>
      <c r="AJ275" s="37">
        <f>IF(OR(LEFT(AH275, 1)="X", LEFT(AH275, 1)="Y", LEFT(AH275, 3)="J15M"), "CUSM", "No Match")</f>
      </c>
      <c r="AK275" s="37">
        <f>IF(AND(OR(O275=3, P275=1, Q275=1, T275=1), AJ275="no Match"), "CUSM, CHU SJ, CHUQ", "")</f>
      </c>
      <c r="AL275" s="37">
        <f>IF(AND(O275=2, ISBLANK(P275), ISBLANK(Q275), ISBLANK(R275), ISBLANK(S275), ISBLANK(T275)), "CUSM, CHU SJ, CHUS, CHUQ", "")</f>
      </c>
      <c r="AM275" s="37">
        <f>IF(AND(AJ275="no match", AK275="", AL275="", K275&lt;26), "CUSM, CHU SJ, HGJ, CHUQ, CHUS", "")</f>
      </c>
      <c r="AN275" s="37">
        <f>IF(AND(AJ275="no match", AK275="", AL275="", K275&gt;26), "CUSM, CHU SJ, HGJ, CHUQ, CHUS, HMR", "")</f>
      </c>
    </row>
    <row x14ac:dyDescent="0.25" r="276" customHeight="1" ht="17.25">
      <c r="A276" s="27" t="s">
        <v>632</v>
      </c>
      <c r="B276" s="28">
        <v>2</v>
      </c>
      <c r="C276" s="35">
        <v>735</v>
      </c>
      <c r="D276" s="29" t="s">
        <v>49</v>
      </c>
      <c r="E276" s="30" t="s">
        <v>54</v>
      </c>
      <c r="F276" s="31">
        <v>44719</v>
      </c>
      <c r="G276" s="32">
        <v>4.694444444444445</v>
      </c>
      <c r="H276" s="31">
        <v>44702</v>
      </c>
      <c r="I276" s="32">
        <v>4.286111111111111</v>
      </c>
      <c r="J276" s="33">
        <f>F276-H276</f>
      </c>
      <c r="K276" s="28">
        <v>40</v>
      </c>
      <c r="L276" s="28">
        <v>4</v>
      </c>
      <c r="M276" s="28">
        <v>1</v>
      </c>
      <c r="N276" s="35">
        <v>1</v>
      </c>
      <c r="O276" s="34"/>
      <c r="P276" s="35">
        <v>1</v>
      </c>
      <c r="Q276" s="34"/>
      <c r="R276" s="34"/>
      <c r="S276" s="34"/>
      <c r="T276" s="34"/>
      <c r="U276" s="34"/>
      <c r="V276" s="34"/>
      <c r="W276" s="29"/>
      <c r="X276" s="28">
        <v>28</v>
      </c>
      <c r="Y276" s="28">
        <v>1</v>
      </c>
      <c r="Z276" s="28">
        <v>1</v>
      </c>
      <c r="AA276" s="28">
        <v>2</v>
      </c>
      <c r="AB276" s="28">
        <v>1</v>
      </c>
      <c r="AC276" s="28">
        <v>2</v>
      </c>
      <c r="AD276" s="28">
        <v>2</v>
      </c>
      <c r="AE276" s="28">
        <v>4</v>
      </c>
      <c r="AF276" s="28">
        <v>3</v>
      </c>
      <c r="AG276" s="28">
        <v>2</v>
      </c>
      <c r="AH276" s="29" t="s">
        <v>633</v>
      </c>
      <c r="AI276" s="36">
        <f>IF(OR(AND(K276&lt;32, J276&lt;2), O276=1, P276=1, Q276=1, R276=1, S276=1, T276=1, U276=1, AND(W276&lt;&gt;"", W276&lt;&gt;"Oxygen", W276&lt;&gt;"LowFlow")), "Intensive", "Intermediate")</f>
      </c>
      <c r="AJ276" s="37">
        <f>IF(OR(LEFT(AH276, 1)="X", LEFT(AH276, 1)="Y", LEFT(AH276, 3)="J16M"), "CUSM", "No Match")</f>
      </c>
      <c r="AK276" s="37">
        <f>IF(AND(OR(O276=3, P276=1, Q276=1, T276=1), AJ276="no Match"), "CUSM, CHU SJ, CHUQ", "")</f>
      </c>
      <c r="AL276" s="37">
        <f>IF(AND(O276=2, ISBLANK(P276), ISBLANK(Q276), ISBLANK(R276), ISBLANK(S276), ISBLANK(T276)), "CUSM, CHU SJ, CHUS, CHUQ", "")</f>
      </c>
      <c r="AM276" s="37">
        <f>IF(AND(AJ276="no match", AK276="", AL276="", K276&lt;26), "CUSM, CHU SJ, HGJ, CHUQ, CHUS", "")</f>
      </c>
      <c r="AN276" s="37">
        <f>IF(AND(AJ276="no match", AK276="", AL276="", K276&gt;26), "CUSM, CHU SJ, HGJ, CHUQ, CHUS, HMR", "")</f>
      </c>
    </row>
    <row x14ac:dyDescent="0.25" r="277" customHeight="1" ht="17.25">
      <c r="A277" s="27" t="s">
        <v>634</v>
      </c>
      <c r="B277" s="28">
        <v>2</v>
      </c>
      <c r="C277" s="28">
        <v>831</v>
      </c>
      <c r="D277" s="29" t="s">
        <v>313</v>
      </c>
      <c r="E277" s="30" t="s">
        <v>54</v>
      </c>
      <c r="F277" s="31">
        <v>44719</v>
      </c>
      <c r="G277" s="32">
        <v>4.625</v>
      </c>
      <c r="H277" s="31">
        <v>44717</v>
      </c>
      <c r="I277" s="32">
        <v>4.8180555555555555</v>
      </c>
      <c r="J277" s="33">
        <f>F277-H277</f>
      </c>
      <c r="K277" s="28">
        <v>37</v>
      </c>
      <c r="L277" s="28">
        <v>0</v>
      </c>
      <c r="M277" s="28">
        <v>2</v>
      </c>
      <c r="N277" s="34"/>
      <c r="O277" s="34"/>
      <c r="P277" s="34"/>
      <c r="Q277" s="34"/>
      <c r="R277" s="34"/>
      <c r="S277" s="34"/>
      <c r="T277" s="34"/>
      <c r="U277" s="34"/>
      <c r="V277" s="34"/>
      <c r="W277" s="29"/>
      <c r="X277" s="28">
        <v>38</v>
      </c>
      <c r="Y277" s="28">
        <v>1</v>
      </c>
      <c r="Z277" s="28">
        <v>1</v>
      </c>
      <c r="AA277" s="28">
        <v>1</v>
      </c>
      <c r="AB277" s="28">
        <v>1</v>
      </c>
      <c r="AC277" s="28">
        <v>1</v>
      </c>
      <c r="AD277" s="28">
        <v>1</v>
      </c>
      <c r="AE277" s="28">
        <v>4</v>
      </c>
      <c r="AF277" s="28">
        <v>3</v>
      </c>
      <c r="AG277" s="28">
        <v>2</v>
      </c>
      <c r="AH277" s="29" t="s">
        <v>635</v>
      </c>
      <c r="AI277" s="36">
        <f>IF(OR(AND(K277&lt;32, J277&lt;2), O277=1, P277=1, Q277=1, R277=1, S277=1, T277=1, U277=1, AND(W277&lt;&gt;"", W277&lt;&gt;"Oxygen", W277&lt;&gt;"LowFlow")), "Intensive", "Intermediate")</f>
      </c>
      <c r="AJ277" s="37">
        <f>IF(OR(LEFT(AH277, 1)="X", LEFT(AH277, 1)="Y", LEFT(AH277, 3)="J17M"), "CUSM", "No Match")</f>
      </c>
      <c r="AK277" s="37">
        <f>IF(AND(OR(O277=3, P277=1, Q277=1, T277=1), AJ277="no Match"), "CUSM, CHU SJ, CHUQ", "")</f>
      </c>
      <c r="AL277" s="37">
        <f>IF(AND(O277=2, ISBLANK(P277), ISBLANK(Q277), ISBLANK(R277), ISBLANK(S277), ISBLANK(T277)), "CUSM, CHU SJ, CHUS, CHUQ", "")</f>
      </c>
      <c r="AM277" s="37">
        <f>IF(AND(AJ277="no match", AK277="", AL277="", K277&lt;26), "CUSM, CHU SJ, HGJ, CHUQ, CHUS", "")</f>
      </c>
      <c r="AN277" s="37">
        <f>IF(AND(AJ277="no match", AK277="", AL277="", K277&gt;26), "CUSM, CHU SJ, HGJ, CHUQ, CHUS, HMR", "")</f>
      </c>
    </row>
    <row x14ac:dyDescent="0.25" r="278" customHeight="1" ht="17.25">
      <c r="A278" s="27" t="s">
        <v>636</v>
      </c>
      <c r="B278" s="28">
        <v>2</v>
      </c>
      <c r="C278" s="28">
        <v>735</v>
      </c>
      <c r="D278" s="29" t="s">
        <v>49</v>
      </c>
      <c r="E278" s="30" t="s">
        <v>54</v>
      </c>
      <c r="F278" s="31">
        <v>44719</v>
      </c>
      <c r="G278" s="32">
        <v>4.461805555555555</v>
      </c>
      <c r="H278" s="31">
        <v>44704</v>
      </c>
      <c r="I278" s="39"/>
      <c r="J278" s="33">
        <f>F278-H278</f>
      </c>
      <c r="K278" s="28">
        <v>40</v>
      </c>
      <c r="L278" s="28">
        <v>5</v>
      </c>
      <c r="M278" s="28">
        <v>2</v>
      </c>
      <c r="N278" s="35">
        <v>1</v>
      </c>
      <c r="O278" s="34"/>
      <c r="P278" s="34"/>
      <c r="Q278" s="34"/>
      <c r="R278" s="34"/>
      <c r="S278" s="34"/>
      <c r="T278" s="34"/>
      <c r="U278" s="34"/>
      <c r="V278" s="34"/>
      <c r="W278" s="29"/>
      <c r="X278" s="28">
        <v>30</v>
      </c>
      <c r="Y278" s="28">
        <v>1</v>
      </c>
      <c r="Z278" s="28">
        <v>1</v>
      </c>
      <c r="AA278" s="28">
        <v>3</v>
      </c>
      <c r="AB278" s="28">
        <v>4</v>
      </c>
      <c r="AC278" s="28">
        <v>2</v>
      </c>
      <c r="AD278" s="28">
        <v>2</v>
      </c>
      <c r="AE278" s="28">
        <v>4</v>
      </c>
      <c r="AF278" s="28">
        <v>3</v>
      </c>
      <c r="AG278" s="28">
        <v>2</v>
      </c>
      <c r="AH278" s="29" t="s">
        <v>637</v>
      </c>
      <c r="AI278" s="36">
        <f>IF(OR(AND(K278&lt;32, J278&lt;2), O278=1, P278=1, Q278=1, R278=1, S278=1, T278=1, U278=1, AND(W278&lt;&gt;"", W278&lt;&gt;"Oxygen", W278&lt;&gt;"LowFlow")), "Intensive", "Intermediate")</f>
      </c>
      <c r="AJ278" s="37">
        <f>IF(OR(LEFT(AH278, 1)="X", LEFT(AH278, 1)="Y", LEFT(AH278, 3)="J18M"), "CUSM", "No Match")</f>
      </c>
      <c r="AK278" s="37">
        <f>IF(AND(OR(O278=3, P278=1, Q278=1, T278=1), AJ278="no Match"), "CUSM, CHU SJ, CHUQ", "")</f>
      </c>
      <c r="AL278" s="37">
        <f>IF(AND(O278=2, ISBLANK(P278), ISBLANK(Q278), ISBLANK(R278), ISBLANK(S278), ISBLANK(T278)), "CUSM, CHU SJ, CHUS, CHUQ", "")</f>
      </c>
      <c r="AM278" s="37">
        <f>IF(AND(AJ278="no match", AK278="", AL278="", K278&lt;26), "CUSM, CHU SJ, HGJ, CHUQ, CHUS", "")</f>
      </c>
      <c r="AN278" s="37">
        <f>IF(AND(AJ278="no match", AK278="", AL278="", K278&gt;26), "CUSM, CHU SJ, HGJ, CHUQ, CHUS, HMR", "")</f>
      </c>
    </row>
    <row x14ac:dyDescent="0.25" r="279" customHeight="1" ht="17.25">
      <c r="A279" s="27" t="s">
        <v>638</v>
      </c>
      <c r="B279" s="28">
        <v>2</v>
      </c>
      <c r="C279" s="28">
        <v>730</v>
      </c>
      <c r="D279" s="29" t="s">
        <v>81</v>
      </c>
      <c r="E279" s="30" t="s">
        <v>50</v>
      </c>
      <c r="F279" s="31">
        <v>44719</v>
      </c>
      <c r="G279" s="32">
        <v>4.708333333333334</v>
      </c>
      <c r="H279" s="31">
        <v>44710</v>
      </c>
      <c r="I279" s="32">
        <v>4.197222222222223</v>
      </c>
      <c r="J279" s="33">
        <f>F279-H279</f>
      </c>
      <c r="K279" s="28">
        <v>34</v>
      </c>
      <c r="L279" s="28">
        <v>4</v>
      </c>
      <c r="M279" s="28">
        <v>1</v>
      </c>
      <c r="N279" s="34"/>
      <c r="O279" s="34"/>
      <c r="P279" s="34"/>
      <c r="Q279" s="34"/>
      <c r="R279" s="34"/>
      <c r="S279" s="34"/>
      <c r="T279" s="34"/>
      <c r="U279" s="34"/>
      <c r="V279" s="34"/>
      <c r="W279" s="29"/>
      <c r="X279" s="28">
        <v>35</v>
      </c>
      <c r="Y279" s="28">
        <v>1</v>
      </c>
      <c r="Z279" s="28">
        <v>2</v>
      </c>
      <c r="AA279" s="28">
        <v>2</v>
      </c>
      <c r="AB279" s="28">
        <v>1</v>
      </c>
      <c r="AC279" s="28">
        <v>1</v>
      </c>
      <c r="AD279" s="28">
        <v>1</v>
      </c>
      <c r="AE279" s="28">
        <v>4</v>
      </c>
      <c r="AF279" s="28">
        <v>1</v>
      </c>
      <c r="AG279" s="28">
        <v>2</v>
      </c>
      <c r="AH279" s="29" t="s">
        <v>639</v>
      </c>
      <c r="AI279" s="36">
        <f>IF(OR(AND(K279&lt;32, J279&lt;2), O279=1, P279=1, Q279=1, R279=1, S279=1, T279=1, U279=1, AND(W279&lt;&gt;"", W279&lt;&gt;"Oxygen", W279&lt;&gt;"LowFlow")), "Intensive", "Intermediate")</f>
      </c>
      <c r="AJ279" s="37">
        <f>IF(OR(LEFT(AH279, 1)="X", LEFT(AH279, 1)="Y", LEFT(AH279, 3)="J19M"), "CUSM", "No Match")</f>
      </c>
      <c r="AK279" s="37">
        <f>IF(AND(OR(O279=3, P279=1, Q279=1, T279=1), AJ279="no Match"), "CUSM, CHU SJ, CHUQ", "")</f>
      </c>
      <c r="AL279" s="37">
        <f>IF(AND(O279=2, ISBLANK(P279), ISBLANK(Q279), ISBLANK(R279), ISBLANK(S279), ISBLANK(T279)), "CUSM, CHU SJ, CHUS, CHUQ", "")</f>
      </c>
      <c r="AM279" s="37">
        <f>IF(AND(AJ279="no match", AK279="", AL279="", K279&lt;26), "CUSM, CHU SJ, HGJ, CHUQ, CHUS", "")</f>
      </c>
      <c r="AN279" s="37">
        <f>IF(AND(AJ279="no match", AK279="", AL279="", K279&gt;26), "CUSM, CHU SJ, HGJ, CHUQ, CHUS, HMR", "")</f>
      </c>
    </row>
    <row x14ac:dyDescent="0.25" r="280" customHeight="1" ht="17.25">
      <c r="A280" s="27" t="s">
        <v>640</v>
      </c>
      <c r="B280" s="28">
        <v>2</v>
      </c>
      <c r="C280" s="28">
        <v>820</v>
      </c>
      <c r="D280" s="29" t="s">
        <v>69</v>
      </c>
      <c r="E280" s="30" t="s">
        <v>54</v>
      </c>
      <c r="F280" s="31">
        <v>44720</v>
      </c>
      <c r="G280" s="32">
        <v>4.625</v>
      </c>
      <c r="H280" s="31">
        <v>44706</v>
      </c>
      <c r="I280" s="32">
        <v>4.363888888888889</v>
      </c>
      <c r="J280" s="33">
        <f>F280-H280</f>
      </c>
      <c r="K280" s="28">
        <v>34</v>
      </c>
      <c r="L280" s="28">
        <v>6</v>
      </c>
      <c r="M280" s="28">
        <v>1</v>
      </c>
      <c r="N280" s="38"/>
      <c r="O280" s="34"/>
      <c r="P280" s="38"/>
      <c r="Q280" s="34"/>
      <c r="R280" s="34"/>
      <c r="S280" s="34"/>
      <c r="T280" s="34"/>
      <c r="U280" s="34"/>
      <c r="V280" s="34"/>
      <c r="W280" s="29" t="s">
        <v>600</v>
      </c>
      <c r="X280" s="28">
        <v>26</v>
      </c>
      <c r="Y280" s="28">
        <v>1</v>
      </c>
      <c r="Z280" s="28">
        <v>1</v>
      </c>
      <c r="AA280" s="28">
        <v>3</v>
      </c>
      <c r="AB280" s="28">
        <v>1</v>
      </c>
      <c r="AC280" s="28">
        <v>2</v>
      </c>
      <c r="AD280" s="28">
        <v>1</v>
      </c>
      <c r="AE280" s="28">
        <v>4</v>
      </c>
      <c r="AF280" s="28">
        <v>3</v>
      </c>
      <c r="AG280" s="28">
        <v>3</v>
      </c>
      <c r="AH280" s="29" t="s">
        <v>641</v>
      </c>
      <c r="AI280" s="36">
        <f>IF(OR(AND(K280&lt;32, J280&lt;2), O280=1, P280=1, Q280=1, R280=1, S280=1, T280=1, U280=1, AND(W280&lt;&gt;"", W280&lt;&gt;"Oxygen", W280&lt;&gt;"LowFlow")), "Intensive", "Intermediate")</f>
      </c>
      <c r="AJ280" s="37">
        <f>IF(OR(LEFT(AH280, 1)="X", LEFT(AH280, 1)="Y", LEFT(AH280, 3)="J20M"), "CUSM", "No Match")</f>
      </c>
      <c r="AK280" s="37">
        <f>IF(AND(OR(O280=3, P280=1, Q280=1, T280=1), AJ280="no Match"), "CUSM, CHU SJ, CHUQ", "")</f>
      </c>
      <c r="AL280" s="37">
        <f>IF(AND(O280=2, ISBLANK(P280), ISBLANK(Q280), ISBLANK(R280), ISBLANK(S280), ISBLANK(T280)), "CUSM, CHU SJ, CHUS, CHUQ", "")</f>
      </c>
      <c r="AM280" s="37">
        <f>IF(AND(AJ280="no match", AK280="", AL280="", K280&lt;26), "CUSM, CHU SJ, HGJ, CHUQ, CHUS", "")</f>
      </c>
      <c r="AN280" s="37">
        <f>IF(AND(AJ280="no match", AK280="", AL280="", K280&gt;26), "CUSM, CHU SJ, HGJ, CHUQ, CHUS, HMR", "")</f>
      </c>
    </row>
    <row x14ac:dyDescent="0.25" r="281" customHeight="1" ht="17.25">
      <c r="A281" s="27" t="s">
        <v>642</v>
      </c>
      <c r="B281" s="28">
        <v>2</v>
      </c>
      <c r="C281" s="35">
        <v>730</v>
      </c>
      <c r="D281" s="29" t="s">
        <v>81</v>
      </c>
      <c r="E281" s="30" t="s">
        <v>50</v>
      </c>
      <c r="F281" s="31">
        <v>44720</v>
      </c>
      <c r="G281" s="32">
        <v>4.673611111111111</v>
      </c>
      <c r="H281" s="31">
        <v>44720</v>
      </c>
      <c r="I281" s="32">
        <v>4.324305555555556</v>
      </c>
      <c r="J281" s="33">
        <f>F281-H281</f>
      </c>
      <c r="K281" s="28">
        <v>39</v>
      </c>
      <c r="L281" s="28">
        <v>4</v>
      </c>
      <c r="M281" s="28">
        <v>1</v>
      </c>
      <c r="N281" s="35">
        <v>1</v>
      </c>
      <c r="O281" s="34"/>
      <c r="P281" s="34"/>
      <c r="Q281" s="34"/>
      <c r="R281" s="34"/>
      <c r="S281" s="34"/>
      <c r="T281" s="34"/>
      <c r="U281" s="34"/>
      <c r="V281" s="34"/>
      <c r="W281" s="29"/>
      <c r="X281" s="28">
        <v>32</v>
      </c>
      <c r="Y281" s="28">
        <v>1</v>
      </c>
      <c r="Z281" s="28">
        <v>1</v>
      </c>
      <c r="AA281" s="28">
        <v>2</v>
      </c>
      <c r="AB281" s="28">
        <v>1</v>
      </c>
      <c r="AC281" s="28">
        <v>2</v>
      </c>
      <c r="AD281" s="28">
        <v>2</v>
      </c>
      <c r="AE281" s="28">
        <v>4</v>
      </c>
      <c r="AF281" s="28">
        <v>2</v>
      </c>
      <c r="AG281" s="28">
        <v>2</v>
      </c>
      <c r="AH281" s="29" t="s">
        <v>643</v>
      </c>
      <c r="AI281" s="36">
        <f>IF(OR(AND(K281&lt;32, J281&lt;2), O281=1, P281=1, Q281=1, R281=1, S281=1, T281=1, U281=1, AND(W281&lt;&gt;"", W281&lt;&gt;"Oxygen", W281&lt;&gt;"LowFlow")), "Intensive", "Intermediate")</f>
      </c>
      <c r="AJ281" s="37">
        <f>IF(OR(LEFT(AH281, 1)="X", LEFT(AH281, 1)="Y", LEFT(AH281, 3)="J21M"), "CUSM", "No Match")</f>
      </c>
      <c r="AK281" s="37">
        <f>IF(AND(OR(O281=3, P281=1, Q281=1, T281=1), AJ281="no Match"), "CUSM, CHU SJ, CHUQ", "")</f>
      </c>
      <c r="AL281" s="37">
        <f>IF(AND(O281=2, ISBLANK(P281), ISBLANK(Q281), ISBLANK(R281), ISBLANK(S281), ISBLANK(T281)), "CUSM, CHU SJ, CHUS, CHUQ", "")</f>
      </c>
      <c r="AM281" s="37">
        <f>IF(AND(AJ281="no match", AK281="", AL281="", K281&lt;26), "CUSM, CHU SJ, HGJ, CHUQ, CHUS", "")</f>
      </c>
      <c r="AN281" s="37">
        <f>IF(AND(AJ281="no match", AK281="", AL281="", K281&gt;26), "CUSM, CHU SJ, HGJ, CHUQ, CHUS, HMR", "")</f>
      </c>
    </row>
    <row x14ac:dyDescent="0.25" r="282" customHeight="1" ht="17.25">
      <c r="A282" s="27" t="s">
        <v>644</v>
      </c>
      <c r="B282" s="28">
        <v>2</v>
      </c>
      <c r="C282" s="28">
        <v>734</v>
      </c>
      <c r="D282" s="29" t="s">
        <v>264</v>
      </c>
      <c r="E282" s="30" t="s">
        <v>50</v>
      </c>
      <c r="F282" s="31">
        <v>44722</v>
      </c>
      <c r="G282" s="32">
        <v>4.979166666666666</v>
      </c>
      <c r="H282" s="31">
        <v>44717</v>
      </c>
      <c r="I282" s="32">
        <v>4.85625</v>
      </c>
      <c r="J282" s="33">
        <f>F282-H282</f>
      </c>
      <c r="K282" s="28">
        <v>32</v>
      </c>
      <c r="L282" s="28">
        <v>2</v>
      </c>
      <c r="M282" s="28">
        <v>2</v>
      </c>
      <c r="N282" s="34"/>
      <c r="O282" s="34"/>
      <c r="P282" s="34"/>
      <c r="Q282" s="34"/>
      <c r="R282" s="34"/>
      <c r="S282" s="34"/>
      <c r="T282" s="34"/>
      <c r="U282" s="34"/>
      <c r="V282" s="34"/>
      <c r="W282" s="29"/>
      <c r="X282" s="28">
        <v>29</v>
      </c>
      <c r="Y282" s="28">
        <v>2</v>
      </c>
      <c r="Z282" s="28">
        <v>1</v>
      </c>
      <c r="AA282" s="28">
        <v>1</v>
      </c>
      <c r="AB282" s="28">
        <v>2</v>
      </c>
      <c r="AC282" s="28">
        <v>2</v>
      </c>
      <c r="AD282" s="28">
        <v>2</v>
      </c>
      <c r="AE282" s="28">
        <v>4</v>
      </c>
      <c r="AF282" s="28">
        <v>1</v>
      </c>
      <c r="AG282" s="28">
        <v>2</v>
      </c>
      <c r="AH282" s="29" t="s">
        <v>645</v>
      </c>
      <c r="AI282" s="36">
        <f>IF(OR(AND(K282&lt;32, J282&lt;2), O282=1, P282=1, Q282=1, R282=1, S282=1, T282=1, U282=1, AND(W282&lt;&gt;"", W282&lt;&gt;"Oxygen", W282&lt;&gt;"LowFlow")), "Intensive", "Intermediate")</f>
      </c>
      <c r="AJ282" s="37">
        <f>IF(OR(LEFT(AH282, 1)="X", LEFT(AH282, 1)="Y", LEFT(AH282, 3)="J22M"), "CUSM", "No Match")</f>
      </c>
      <c r="AK282" s="37">
        <f>IF(AND(OR(O282=3, P282=1, Q282=1, T282=1), AJ282="no Match"), "CUSM, CHU SJ, CHUQ", "")</f>
      </c>
      <c r="AL282" s="37">
        <f>IF(AND(O282=2, ISBLANK(P282), ISBLANK(Q282), ISBLANK(R282), ISBLANK(S282), ISBLANK(T282)), "CUSM, CHU SJ, CHUS, CHUQ", "")</f>
      </c>
      <c r="AM282" s="37">
        <f>IF(AND(AJ282="no match", AK282="", AL282="", K282&lt;26), "CUSM, CHU SJ, HGJ, CHUQ, CHUS", "")</f>
      </c>
      <c r="AN282" s="37">
        <f>IF(AND(AJ282="no match", AK282="", AL282="", K282&gt;26), "CUSM, CHU SJ, HGJ, CHUQ, CHUS, HMR", "")</f>
      </c>
    </row>
    <row x14ac:dyDescent="0.25" r="283" customHeight="1" ht="17.25">
      <c r="A283" s="27" t="s">
        <v>646</v>
      </c>
      <c r="B283" s="28">
        <v>2</v>
      </c>
      <c r="C283" s="35">
        <v>806</v>
      </c>
      <c r="D283" s="29" t="s">
        <v>438</v>
      </c>
      <c r="E283" s="30" t="s">
        <v>78</v>
      </c>
      <c r="F283" s="31">
        <v>44723</v>
      </c>
      <c r="G283" s="32">
        <v>4.333333333333334</v>
      </c>
      <c r="H283" s="31">
        <v>44722</v>
      </c>
      <c r="I283" s="32">
        <v>4.948611111111111</v>
      </c>
      <c r="J283" s="33">
        <f>F283-H283</f>
      </c>
      <c r="K283" s="28">
        <v>41</v>
      </c>
      <c r="L283" s="28">
        <v>0</v>
      </c>
      <c r="M283" s="28">
        <v>1</v>
      </c>
      <c r="N283" s="34"/>
      <c r="O283" s="34"/>
      <c r="P283" s="34"/>
      <c r="Q283" s="34"/>
      <c r="R283" s="34"/>
      <c r="S283" s="34"/>
      <c r="T283" s="34"/>
      <c r="U283" s="38"/>
      <c r="V283" s="38"/>
      <c r="W283" s="29" t="s">
        <v>58</v>
      </c>
      <c r="X283" s="28">
        <v>34</v>
      </c>
      <c r="Y283" s="28">
        <v>1</v>
      </c>
      <c r="Z283" s="28">
        <v>2</v>
      </c>
      <c r="AA283" s="35">
        <v>1</v>
      </c>
      <c r="AB283" s="28">
        <v>1</v>
      </c>
      <c r="AC283" s="28">
        <v>2</v>
      </c>
      <c r="AD283" s="28">
        <v>2</v>
      </c>
      <c r="AE283" s="35">
        <v>4</v>
      </c>
      <c r="AF283" s="35">
        <v>3</v>
      </c>
      <c r="AG283" s="28">
        <v>2</v>
      </c>
      <c r="AH283" s="29" t="s">
        <v>647</v>
      </c>
      <c r="AI283" s="36">
        <f>IF(OR(AND(K283&lt;32, J283&lt;2), O283=1, P283=1, Q283=1, R283=1, S283=1, T283=1, U283=1, AND(W283&lt;&gt;"", W283&lt;&gt;"Oxygen", W283&lt;&gt;"LowFlow")), "Intensive", "Intermediate")</f>
      </c>
      <c r="AJ283" s="37">
        <f>IF(OR(LEFT(AH283, 1)="X", LEFT(AH283, 1)="Y", LEFT(AH283, 3)="J23M"), "CUSM", "No Match")</f>
      </c>
      <c r="AK283" s="37">
        <f>IF(AND(OR(O283=3, P283=1, Q283=1, T283=1), AJ283="no Match"), "CUSM, CHU SJ, CHUQ", "")</f>
      </c>
      <c r="AL283" s="37">
        <f>IF(AND(O283=2, ISBLANK(P283), ISBLANK(Q283), ISBLANK(R283), ISBLANK(S283), ISBLANK(T283)), "CUSM, CHU SJ, CHUS, CHUQ", "")</f>
      </c>
      <c r="AM283" s="37">
        <f>IF(AND(AJ283="no match", AK283="", AL283="", K283&lt;26), "CUSM, CHU SJ, HGJ, CHUQ, CHUS", "")</f>
      </c>
      <c r="AN283" s="37">
        <f>IF(AND(AJ283="no match", AK283="", AL283="", K283&gt;26), "CUSM, CHU SJ, HGJ, CHUQ, CHUS, HMR", "")</f>
      </c>
    </row>
    <row x14ac:dyDescent="0.25" r="284" customHeight="1" ht="17.25">
      <c r="A284" s="27" t="s">
        <v>648</v>
      </c>
      <c r="B284" s="28">
        <v>2</v>
      </c>
      <c r="C284" s="35">
        <v>817</v>
      </c>
      <c r="D284" s="29" t="s">
        <v>163</v>
      </c>
      <c r="E284" s="30" t="s">
        <v>78</v>
      </c>
      <c r="F284" s="31">
        <v>44723</v>
      </c>
      <c r="G284" s="32">
        <v>4.645833333333334</v>
      </c>
      <c r="H284" s="31">
        <v>44723</v>
      </c>
      <c r="I284" s="32">
        <v>4.0625</v>
      </c>
      <c r="J284" s="33">
        <f>F284-H284</f>
      </c>
      <c r="K284" s="28">
        <v>38</v>
      </c>
      <c r="L284" s="28">
        <v>4</v>
      </c>
      <c r="M284" s="28">
        <v>1</v>
      </c>
      <c r="N284" s="34"/>
      <c r="O284" s="34"/>
      <c r="P284" s="34"/>
      <c r="Q284" s="34"/>
      <c r="R284" s="34"/>
      <c r="S284" s="34"/>
      <c r="T284" s="34"/>
      <c r="U284" s="34"/>
      <c r="V284" s="38"/>
      <c r="W284" s="29" t="s">
        <v>600</v>
      </c>
      <c r="X284" s="28">
        <v>35</v>
      </c>
      <c r="Y284" s="28">
        <v>1</v>
      </c>
      <c r="Z284" s="28">
        <v>1</v>
      </c>
      <c r="AA284" s="28">
        <v>1</v>
      </c>
      <c r="AB284" s="28">
        <v>1</v>
      </c>
      <c r="AC284" s="28">
        <v>1</v>
      </c>
      <c r="AD284" s="28">
        <v>1</v>
      </c>
      <c r="AE284" s="28">
        <v>4</v>
      </c>
      <c r="AF284" s="28">
        <v>2</v>
      </c>
      <c r="AG284" s="28">
        <v>2</v>
      </c>
      <c r="AH284" s="29" t="s">
        <v>649</v>
      </c>
      <c r="AI284" s="36">
        <f>IF(OR(AND(K284&lt;32, J284&lt;2), O284=1, P284=1, Q284=1, R284=1, S284=1, T284=1, U284=1, AND(W284&lt;&gt;"", W284&lt;&gt;"Oxygen", W284&lt;&gt;"LowFlow")), "Intensive", "Intermediate")</f>
      </c>
      <c r="AJ284" s="37">
        <f>IF(OR(LEFT(AH284, 1)="X", LEFT(AH284, 1)="Y", LEFT(AH284, 3)="J24M"), "CUSM", "No Match")</f>
      </c>
      <c r="AK284" s="37">
        <f>IF(AND(OR(O284=3, P284=1, Q284=1, T284=1), AJ284="no Match"), "CUSM, CHU SJ, CHUQ", "")</f>
      </c>
      <c r="AL284" s="37">
        <f>IF(AND(O284=2, ISBLANK(P284), ISBLANK(Q284), ISBLANK(R284), ISBLANK(S284), ISBLANK(T284)), "CUSM, CHU SJ, CHUS, CHUQ", "")</f>
      </c>
      <c r="AM284" s="37">
        <f>IF(AND(AJ284="no match", AK284="", AL284="", K284&lt;26), "CUSM, CHU SJ, HGJ, CHUQ, CHUS", "")</f>
      </c>
      <c r="AN284" s="37">
        <f>IF(AND(AJ284="no match", AK284="", AL284="", K284&gt;26), "CUSM, CHU SJ, HGJ, CHUQ, CHUS, HMR", "")</f>
      </c>
    </row>
    <row x14ac:dyDescent="0.25" r="285" customHeight="1" ht="17.25">
      <c r="A285" s="27" t="s">
        <v>650</v>
      </c>
      <c r="B285" s="28">
        <v>2</v>
      </c>
      <c r="C285" s="35">
        <v>734</v>
      </c>
      <c r="D285" s="29" t="s">
        <v>264</v>
      </c>
      <c r="E285" s="30" t="s">
        <v>50</v>
      </c>
      <c r="F285" s="31">
        <v>44723</v>
      </c>
      <c r="G285" s="32">
        <v>4.375</v>
      </c>
      <c r="H285" s="31">
        <v>44717</v>
      </c>
      <c r="I285" s="32">
        <v>4.851388888888889</v>
      </c>
      <c r="J285" s="33">
        <f>F285-H285</f>
      </c>
      <c r="K285" s="28">
        <v>32</v>
      </c>
      <c r="L285" s="28">
        <v>2</v>
      </c>
      <c r="M285" s="28">
        <v>2</v>
      </c>
      <c r="N285" s="34"/>
      <c r="O285" s="34"/>
      <c r="P285" s="34"/>
      <c r="Q285" s="34"/>
      <c r="R285" s="34"/>
      <c r="S285" s="34"/>
      <c r="T285" s="34"/>
      <c r="U285" s="34"/>
      <c r="V285" s="34"/>
      <c r="W285" s="29"/>
      <c r="X285" s="28">
        <v>29</v>
      </c>
      <c r="Y285" s="28">
        <v>2</v>
      </c>
      <c r="Z285" s="28">
        <v>1</v>
      </c>
      <c r="AA285" s="28">
        <v>1</v>
      </c>
      <c r="AB285" s="28">
        <v>2</v>
      </c>
      <c r="AC285" s="28">
        <v>2</v>
      </c>
      <c r="AD285" s="28">
        <v>2</v>
      </c>
      <c r="AE285" s="28">
        <v>4</v>
      </c>
      <c r="AF285" s="28">
        <v>1</v>
      </c>
      <c r="AG285" s="28">
        <v>2</v>
      </c>
      <c r="AH285" s="29" t="s">
        <v>645</v>
      </c>
      <c r="AI285" s="36">
        <f>IF(OR(AND(K285&lt;32, J285&lt;2), O285=1, P285=1, Q285=1, R285=1, S285=1, T285=1, U285=1, AND(W285&lt;&gt;"", W285&lt;&gt;"Oxygen", W285&lt;&gt;"LowFlow")), "Intensive", "Intermediate")</f>
      </c>
      <c r="AJ285" s="37">
        <f>IF(OR(LEFT(AH285, 1)="X", LEFT(AH285, 1)="Y", LEFT(AH285, 3)="J25M"), "CUSM", "No Match")</f>
      </c>
      <c r="AK285" s="37">
        <f>IF(AND(OR(O285=3, P285=1, Q285=1, T285=1), AJ285="no Match"), "CUSM, CHU SJ, CHUQ", "")</f>
      </c>
      <c r="AL285" s="37">
        <f>IF(AND(O285=2, ISBLANK(P285), ISBLANK(Q285), ISBLANK(R285), ISBLANK(S285), ISBLANK(T285)), "CUSM, CHU SJ, CHUS, CHUQ", "")</f>
      </c>
      <c r="AM285" s="37">
        <f>IF(AND(AJ285="no match", AK285="", AL285="", K285&lt;26), "CUSM, CHU SJ, HGJ, CHUQ, CHUS", "")</f>
      </c>
      <c r="AN285" s="37">
        <f>IF(AND(AJ285="no match", AK285="", AL285="", K285&gt;26), "CUSM, CHU SJ, HGJ, CHUQ, CHUS, HMR", "")</f>
      </c>
    </row>
    <row x14ac:dyDescent="0.25" r="286" customHeight="1" ht="17.25">
      <c r="A286" s="27" t="s">
        <v>651</v>
      </c>
      <c r="B286" s="28">
        <v>2</v>
      </c>
      <c r="C286" s="35">
        <v>730</v>
      </c>
      <c r="D286" s="29" t="s">
        <v>81</v>
      </c>
      <c r="E286" s="30" t="s">
        <v>50</v>
      </c>
      <c r="F286" s="31">
        <v>44723</v>
      </c>
      <c r="G286" s="32">
        <v>4.472222222222222</v>
      </c>
      <c r="H286" s="31">
        <v>44719</v>
      </c>
      <c r="I286" s="32">
        <v>4.277777777777778</v>
      </c>
      <c r="J286" s="33">
        <f>F286-H286</f>
      </c>
      <c r="K286" s="28">
        <v>41</v>
      </c>
      <c r="L286" s="28">
        <v>0</v>
      </c>
      <c r="M286" s="28">
        <v>1</v>
      </c>
      <c r="N286" s="34"/>
      <c r="O286" s="35">
        <v>2</v>
      </c>
      <c r="P286" s="34"/>
      <c r="Q286" s="34"/>
      <c r="R286" s="34"/>
      <c r="S286" s="34"/>
      <c r="T286" s="34"/>
      <c r="U286" s="34"/>
      <c r="V286" s="34"/>
      <c r="W286" s="29"/>
      <c r="X286" s="28">
        <v>32</v>
      </c>
      <c r="Y286" s="28">
        <v>1</v>
      </c>
      <c r="Z286" s="28">
        <v>1</v>
      </c>
      <c r="AA286" s="28">
        <v>2</v>
      </c>
      <c r="AB286" s="28">
        <v>1</v>
      </c>
      <c r="AC286" s="28">
        <v>2</v>
      </c>
      <c r="AD286" s="28">
        <v>2</v>
      </c>
      <c r="AE286" s="28">
        <v>4</v>
      </c>
      <c r="AF286" s="28">
        <v>2</v>
      </c>
      <c r="AG286" s="28">
        <v>2</v>
      </c>
      <c r="AH286" s="29" t="s">
        <v>652</v>
      </c>
      <c r="AI286" s="36">
        <f>IF(OR(AND(K286&lt;32, J286&lt;2), O286=1, P286=1, Q286=1, R286=1, S286=1, T286=1, U286=1, AND(W286&lt;&gt;"", W286&lt;&gt;"Oxygen", W286&lt;&gt;"LowFlow")), "Intensive", "Intermediate")</f>
      </c>
      <c r="AJ286" s="37">
        <f>IF(OR(LEFT(AH286, 1)="X", LEFT(AH286, 1)="Y", LEFT(AH286, 3)="J26M"), "CUSM", "No Match")</f>
      </c>
      <c r="AK286" s="37">
        <f>IF(AND(OR(O286=3, P286=1, Q286=1, T286=1), AJ286="no Match"), "CUSM, CHU SJ, CHUQ", "")</f>
      </c>
      <c r="AL286" s="37">
        <f>IF(AND(O286=2, ISBLANK(P286), ISBLANK(Q286), ISBLANK(R286), ISBLANK(S286), ISBLANK(T286)), "CUSM, CHU SJ, CHUS, CHUQ", "")</f>
      </c>
      <c r="AM286" s="37">
        <f>IF(AND(AJ286="no match", AK286="", AL286="", K286&lt;26), "CUSM, CHU SJ, HGJ, CHUQ, CHUS", "")</f>
      </c>
      <c r="AN286" s="37">
        <f>IF(AND(AJ286="no match", AK286="", AL286="", K286&gt;26), "CUSM, CHU SJ, HGJ, CHUQ, CHUS, HMR", "")</f>
      </c>
    </row>
    <row x14ac:dyDescent="0.25" r="287" customHeight="1" ht="17.25">
      <c r="A287" s="27" t="s">
        <v>653</v>
      </c>
      <c r="B287" s="28">
        <v>2</v>
      </c>
      <c r="C287" s="28">
        <v>730</v>
      </c>
      <c r="D287" s="29" t="s">
        <v>81</v>
      </c>
      <c r="E287" s="30" t="s">
        <v>78</v>
      </c>
      <c r="F287" s="31">
        <v>44724</v>
      </c>
      <c r="G287" s="32">
        <v>4.104166666666666</v>
      </c>
      <c r="H287" s="31">
        <v>44723</v>
      </c>
      <c r="I287" s="32">
        <v>4.697222222222223</v>
      </c>
      <c r="J287" s="33">
        <f>F287-H287</f>
      </c>
      <c r="K287" s="28">
        <v>38</v>
      </c>
      <c r="L287" s="28">
        <v>0</v>
      </c>
      <c r="M287" s="28">
        <v>2</v>
      </c>
      <c r="N287" s="34"/>
      <c r="O287" s="34"/>
      <c r="P287" s="34"/>
      <c r="Q287" s="34"/>
      <c r="R287" s="34"/>
      <c r="S287" s="34"/>
      <c r="T287" s="34"/>
      <c r="U287" s="34"/>
      <c r="V287" s="34"/>
      <c r="W287" s="29" t="s">
        <v>74</v>
      </c>
      <c r="X287" s="28">
        <v>40</v>
      </c>
      <c r="Y287" s="28">
        <v>1</v>
      </c>
      <c r="Z287" s="28">
        <v>2</v>
      </c>
      <c r="AA287" s="28">
        <v>1</v>
      </c>
      <c r="AB287" s="28">
        <v>1</v>
      </c>
      <c r="AC287" s="28">
        <v>2</v>
      </c>
      <c r="AD287" s="28">
        <v>1</v>
      </c>
      <c r="AE287" s="28">
        <v>4</v>
      </c>
      <c r="AF287" s="28">
        <v>2</v>
      </c>
      <c r="AG287" s="28">
        <v>2</v>
      </c>
      <c r="AH287" s="29" t="s">
        <v>654</v>
      </c>
      <c r="AI287" s="36">
        <f>IF(OR(AND(K287&lt;32, J287&lt;2), O287=1, P287=1, Q287=1, R287=1, S287=1, T287=1, U287=1, AND(W287&lt;&gt;"", W287&lt;&gt;"Oxygen", W287&lt;&gt;"LowFlow")), "Intensive", "Intermediate")</f>
      </c>
      <c r="AJ287" s="37">
        <f>IF(OR(LEFT(AH287, 1)="X", LEFT(AH287, 1)="Y", LEFT(AH287, 3)="J27M"), "CUSM", "No Match")</f>
      </c>
      <c r="AK287" s="37">
        <f>IF(AND(OR(O287=3, P287=1, Q287=1, T287=1), AJ287="no Match"), "CUSM, CHU SJ, CHUQ", "")</f>
      </c>
      <c r="AL287" s="37">
        <f>IF(AND(O287=2, ISBLANK(P287), ISBLANK(Q287), ISBLANK(R287), ISBLANK(S287), ISBLANK(T287)), "CUSM, CHU SJ, CHUS, CHUQ", "")</f>
      </c>
      <c r="AM287" s="37">
        <f>IF(AND(AJ287="no match", AK287="", AL287="", K287&lt;26), "CUSM, CHU SJ, HGJ, CHUQ, CHUS", "")</f>
      </c>
      <c r="AN287" s="37">
        <f>IF(AND(AJ287="no match", AK287="", AL287="", K287&gt;26), "CUSM, CHU SJ, HGJ, CHUQ, CHUS, HMR", "")</f>
      </c>
    </row>
    <row x14ac:dyDescent="0.25" r="288" customHeight="1" ht="17.25">
      <c r="A288" s="27" t="s">
        <v>655</v>
      </c>
      <c r="B288" s="28">
        <v>2</v>
      </c>
      <c r="C288" s="28">
        <v>782</v>
      </c>
      <c r="D288" s="29" t="s">
        <v>95</v>
      </c>
      <c r="E288" s="30" t="s">
        <v>54</v>
      </c>
      <c r="F288" s="31">
        <v>44725</v>
      </c>
      <c r="G288" s="32">
        <v>4.2972222222222225</v>
      </c>
      <c r="H288" s="31">
        <v>44725</v>
      </c>
      <c r="I288" s="32">
        <v>4.134722222222223</v>
      </c>
      <c r="J288" s="33">
        <f>F288-H288</f>
      </c>
      <c r="K288" s="28">
        <v>39</v>
      </c>
      <c r="L288" s="28">
        <v>6</v>
      </c>
      <c r="M288" s="28">
        <v>1</v>
      </c>
      <c r="N288" s="34"/>
      <c r="O288" s="38"/>
      <c r="P288" s="34"/>
      <c r="Q288" s="34"/>
      <c r="R288" s="38"/>
      <c r="S288" s="34"/>
      <c r="T288" s="35">
        <v>1</v>
      </c>
      <c r="U288" s="38"/>
      <c r="V288" s="38"/>
      <c r="W288" s="29"/>
      <c r="X288" s="28">
        <v>31</v>
      </c>
      <c r="Y288" s="28">
        <v>1</v>
      </c>
      <c r="Z288" s="28">
        <v>1</v>
      </c>
      <c r="AA288" s="28">
        <v>1</v>
      </c>
      <c r="AB288" s="28">
        <v>1</v>
      </c>
      <c r="AC288" s="28">
        <v>2</v>
      </c>
      <c r="AD288" s="28">
        <v>2</v>
      </c>
      <c r="AE288" s="28">
        <v>4</v>
      </c>
      <c r="AF288" s="28">
        <v>1</v>
      </c>
      <c r="AG288" s="28">
        <v>2</v>
      </c>
      <c r="AH288" s="29" t="s">
        <v>656</v>
      </c>
      <c r="AI288" s="36">
        <f>IF(OR(AND(K288&lt;32, J288&lt;2), O288=1, P288=1, Q288=1, R288=1, S288=1, T288=1, U288=1, AND(W288&lt;&gt;"", W288&lt;&gt;"Oxygen", W288&lt;&gt;"LowFlow")), "Intensive", "Intermediate")</f>
      </c>
      <c r="AJ288" s="37">
        <f>IF(OR(LEFT(AH288, 1)="X", LEFT(AH288, 1)="Y", LEFT(AH288, 3)="J28M"), "CUSM", "No Match")</f>
      </c>
      <c r="AK288" s="37">
        <f>IF(AND(OR(O288=3, P288=1, Q288=1, T288=1), AJ288="no Match"), "CUSM, CHU SJ, CHUQ", "")</f>
      </c>
      <c r="AL288" s="37">
        <f>IF(AND(O288=2, ISBLANK(P288), ISBLANK(Q288), ISBLANK(R288), ISBLANK(S288), ISBLANK(T288)), "CUSM, CHU SJ, CHUS, CHUQ", "")</f>
      </c>
      <c r="AM288" s="37">
        <f>IF(AND(AJ288="no match", AK288="", AL288="", K288&lt;26), "CUSM, CHU SJ, HGJ, CHUQ, CHUS", "")</f>
      </c>
      <c r="AN288" s="37">
        <f>IF(AND(AJ288="no match", AK288="", AL288="", K288&gt;26), "CUSM, CHU SJ, HGJ, CHUQ, CHUS, HMR", "")</f>
      </c>
    </row>
    <row x14ac:dyDescent="0.25" r="289" customHeight="1" ht="17.25">
      <c r="A289" s="27" t="s">
        <v>657</v>
      </c>
      <c r="B289" s="28">
        <v>2</v>
      </c>
      <c r="C289" s="35">
        <v>839</v>
      </c>
      <c r="D289" s="29" t="s">
        <v>53</v>
      </c>
      <c r="E289" s="30" t="s">
        <v>54</v>
      </c>
      <c r="F289" s="31">
        <v>44725</v>
      </c>
      <c r="G289" s="32">
        <v>4.51875</v>
      </c>
      <c r="H289" s="31">
        <v>44723</v>
      </c>
      <c r="I289" s="32">
        <v>4.352777777777778</v>
      </c>
      <c r="J289" s="33">
        <f>F289-H289</f>
      </c>
      <c r="K289" s="28">
        <v>40</v>
      </c>
      <c r="L289" s="28">
        <v>1</v>
      </c>
      <c r="M289" s="28">
        <v>2</v>
      </c>
      <c r="N289" s="35">
        <v>1</v>
      </c>
      <c r="O289" s="34"/>
      <c r="P289" s="35">
        <v>1</v>
      </c>
      <c r="Q289" s="34"/>
      <c r="R289" s="34"/>
      <c r="S289" s="34"/>
      <c r="T289" s="34"/>
      <c r="U289" s="34"/>
      <c r="V289" s="38"/>
      <c r="W289" s="29" t="s">
        <v>106</v>
      </c>
      <c r="X289" s="28">
        <v>25</v>
      </c>
      <c r="Y289" s="28">
        <v>1</v>
      </c>
      <c r="Z289" s="28">
        <v>2</v>
      </c>
      <c r="AA289" s="28">
        <v>1</v>
      </c>
      <c r="AB289" s="28">
        <v>1</v>
      </c>
      <c r="AC289" s="28">
        <v>2</v>
      </c>
      <c r="AD289" s="28">
        <v>2</v>
      </c>
      <c r="AE289" s="28">
        <v>4</v>
      </c>
      <c r="AF289" s="28">
        <v>2</v>
      </c>
      <c r="AG289" s="28">
        <v>2</v>
      </c>
      <c r="AH289" s="29" t="s">
        <v>658</v>
      </c>
      <c r="AI289" s="36">
        <f>IF(OR(AND(K289&lt;32, J289&lt;2), O289=1, P289=1, Q289=1, R289=1, S289=1, T289=1, U289=1, AND(W289&lt;&gt;"", W289&lt;&gt;"Oxygen", W289&lt;&gt;"LowFlow")), "Intensive", "Intermediate")</f>
      </c>
      <c r="AJ289" s="37">
        <f>IF(OR(LEFT(AH289, 1)="X", LEFT(AH289, 1)="Y", LEFT(AH289, 3)="J29M"), "CUSM", "No Match")</f>
      </c>
      <c r="AK289" s="37">
        <f>IF(AND(OR(O289=3, P289=1, Q289=1, T289=1), AJ289="no Match"), "CUSM, CHU SJ, CHUQ", "")</f>
      </c>
      <c r="AL289" s="37">
        <f>IF(AND(O289=2, ISBLANK(P289), ISBLANK(Q289), ISBLANK(R289), ISBLANK(S289), ISBLANK(T289)), "CUSM, CHU SJ, CHUS, CHUQ", "")</f>
      </c>
      <c r="AM289" s="37">
        <f>IF(AND(AJ289="no match", AK289="", AL289="", K289&lt;26), "CUSM, CHU SJ, HGJ, CHUQ, CHUS", "")</f>
      </c>
      <c r="AN289" s="37">
        <f>IF(AND(AJ289="no match", AK289="", AL289="", K289&gt;26), "CUSM, CHU SJ, HGJ, CHUQ, CHUS, HMR", "")</f>
      </c>
    </row>
    <row x14ac:dyDescent="0.25" r="290" customHeight="1" ht="17.25">
      <c r="A290" s="27" t="s">
        <v>659</v>
      </c>
      <c r="B290" s="28">
        <v>2</v>
      </c>
      <c r="C290" s="35">
        <v>782</v>
      </c>
      <c r="D290" s="29" t="s">
        <v>95</v>
      </c>
      <c r="E290" s="30" t="s">
        <v>78</v>
      </c>
      <c r="F290" s="31">
        <v>44725</v>
      </c>
      <c r="G290" s="32">
        <v>4.15625</v>
      </c>
      <c r="H290" s="31">
        <v>44724</v>
      </c>
      <c r="I290" s="32">
        <v>4.730555555555556</v>
      </c>
      <c r="J290" s="33">
        <f>F290-H290</f>
      </c>
      <c r="K290" s="28">
        <v>40</v>
      </c>
      <c r="L290" s="28">
        <v>0</v>
      </c>
      <c r="M290" s="28">
        <v>2</v>
      </c>
      <c r="N290" s="34"/>
      <c r="O290" s="34"/>
      <c r="P290" s="34"/>
      <c r="Q290" s="34"/>
      <c r="R290" s="34"/>
      <c r="S290" s="34"/>
      <c r="T290" s="34"/>
      <c r="U290" s="34"/>
      <c r="V290" s="34"/>
      <c r="W290" s="29" t="s">
        <v>58</v>
      </c>
      <c r="X290" s="28">
        <v>25</v>
      </c>
      <c r="Y290" s="28">
        <v>1</v>
      </c>
      <c r="Z290" s="28">
        <v>2</v>
      </c>
      <c r="AA290" s="28">
        <v>1</v>
      </c>
      <c r="AB290" s="28">
        <v>1</v>
      </c>
      <c r="AC290" s="28">
        <v>2</v>
      </c>
      <c r="AD290" s="28">
        <v>2</v>
      </c>
      <c r="AE290" s="28">
        <v>2</v>
      </c>
      <c r="AF290" s="28">
        <v>2</v>
      </c>
      <c r="AG290" s="28">
        <v>2</v>
      </c>
      <c r="AH290" s="29" t="s">
        <v>660</v>
      </c>
      <c r="AI290" s="36">
        <f>IF(OR(AND(K290&lt;32, J290&lt;2), O290=1, P290=1, Q290=1, R290=1, S290=1, T290=1, U290=1, AND(W290&lt;&gt;"", W290&lt;&gt;"Oxygen", W290&lt;&gt;"LowFlow")), "Intensive", "Intermediate")</f>
      </c>
      <c r="AJ290" s="37">
        <f>IF(OR(LEFT(AH290, 1)="X", LEFT(AH290, 1)="Y", LEFT(AH290, 3)="J30M"), "CUSM", "No Match")</f>
      </c>
      <c r="AK290" s="37">
        <f>IF(AND(OR(O290=3, P290=1, Q290=1, T290=1), AJ290="no Match"), "CUSM, CHU SJ, CHUQ", "")</f>
      </c>
      <c r="AL290" s="37">
        <f>IF(AND(O290=2, ISBLANK(P290), ISBLANK(Q290), ISBLANK(R290), ISBLANK(S290), ISBLANK(T290)), "CUSM, CHU SJ, CHUS, CHUQ", "")</f>
      </c>
      <c r="AM290" s="37">
        <f>IF(AND(AJ290="no match", AK290="", AL290="", K290&lt;26), "CUSM, CHU SJ, HGJ, CHUQ, CHUS", "")</f>
      </c>
      <c r="AN290" s="37">
        <f>IF(AND(AJ290="no match", AK290="", AL290="", K290&gt;26), "CUSM, CHU SJ, HGJ, CHUQ, CHUS, HMR", "")</f>
      </c>
    </row>
    <row x14ac:dyDescent="0.25" r="291" customHeight="1" ht="17.25">
      <c r="A291" s="27" t="s">
        <v>661</v>
      </c>
      <c r="B291" s="28">
        <v>2</v>
      </c>
      <c r="C291" s="35">
        <v>756</v>
      </c>
      <c r="D291" s="29" t="s">
        <v>66</v>
      </c>
      <c r="E291" s="30" t="s">
        <v>50</v>
      </c>
      <c r="F291" s="31">
        <v>44726</v>
      </c>
      <c r="G291" s="32">
        <v>4.736111111111111</v>
      </c>
      <c r="H291" s="31">
        <v>44726</v>
      </c>
      <c r="I291" s="32">
        <v>4.560416666666667</v>
      </c>
      <c r="J291" s="33">
        <f>F291-H291</f>
      </c>
      <c r="K291" s="28">
        <v>38</v>
      </c>
      <c r="L291" s="28">
        <v>6</v>
      </c>
      <c r="M291" s="28">
        <v>1</v>
      </c>
      <c r="N291" s="28">
        <v>1</v>
      </c>
      <c r="O291" s="34"/>
      <c r="P291" s="35">
        <v>1</v>
      </c>
      <c r="Q291" s="34"/>
      <c r="R291" s="34"/>
      <c r="S291" s="34"/>
      <c r="T291" s="34"/>
      <c r="U291" s="34"/>
      <c r="V291" s="34"/>
      <c r="W291" s="29" t="s">
        <v>58</v>
      </c>
      <c r="X291" s="28">
        <v>24</v>
      </c>
      <c r="Y291" s="28">
        <v>1</v>
      </c>
      <c r="Z291" s="28">
        <v>2</v>
      </c>
      <c r="AA291" s="28">
        <v>2</v>
      </c>
      <c r="AB291" s="28">
        <v>1</v>
      </c>
      <c r="AC291" s="28">
        <v>2</v>
      </c>
      <c r="AD291" s="28">
        <v>2</v>
      </c>
      <c r="AE291" s="28">
        <v>4</v>
      </c>
      <c r="AF291" s="35">
        <v>2</v>
      </c>
      <c r="AG291" s="28">
        <v>2</v>
      </c>
      <c r="AH291" s="29" t="s">
        <v>662</v>
      </c>
      <c r="AI291" s="36">
        <f>IF(OR(AND(K291&lt;32, J291&lt;2), O291=1, P291=1, Q291=1, R291=1, S291=1, T291=1, U291=1, AND(W291&lt;&gt;"", W291&lt;&gt;"Oxygen", W291&lt;&gt;"LowFlow")), "Intensive", "Intermediate")</f>
      </c>
      <c r="AJ291" s="37">
        <f>IF(OR(LEFT(AH291, 1)="X", LEFT(AH291, 1)="Y", LEFT(AH291, 3)="J31M"), "CUSM", "No Match")</f>
      </c>
      <c r="AK291" s="37">
        <f>IF(AND(OR(O291=3, P291=1, Q291=1, T291=1), AJ291="no Match"), "CUSM, CHU SJ, CHUQ", "")</f>
      </c>
      <c r="AL291" s="37">
        <f>IF(AND(O291=2, ISBLANK(P291), ISBLANK(Q291), ISBLANK(R291), ISBLANK(S291), ISBLANK(T291)), "CUSM, CHU SJ, CHUS, CHUQ", "")</f>
      </c>
      <c r="AM291" s="37">
        <f>IF(AND(AJ291="no match", AK291="", AL291="", K291&lt;26), "CUSM, CHU SJ, HGJ, CHUQ, CHUS", "")</f>
      </c>
      <c r="AN291" s="37">
        <f>IF(AND(AJ291="no match", AK291="", AL291="", K291&gt;26), "CUSM, CHU SJ, HGJ, CHUQ, CHUS, HMR", "")</f>
      </c>
    </row>
    <row x14ac:dyDescent="0.25" r="292" customHeight="1" ht="17.25">
      <c r="A292" s="27" t="s">
        <v>663</v>
      </c>
      <c r="B292" s="28">
        <v>2</v>
      </c>
      <c r="C292" s="35">
        <v>779</v>
      </c>
      <c r="D292" s="29" t="s">
        <v>136</v>
      </c>
      <c r="E292" s="30" t="s">
        <v>54</v>
      </c>
      <c r="F292" s="31">
        <v>44727</v>
      </c>
      <c r="G292" s="32">
        <v>4.017361111111111</v>
      </c>
      <c r="H292" s="31">
        <v>44726</v>
      </c>
      <c r="I292" s="32">
        <v>4.6305555555555555</v>
      </c>
      <c r="J292" s="33">
        <f>F292-H292</f>
      </c>
      <c r="K292" s="28">
        <v>39</v>
      </c>
      <c r="L292" s="28">
        <v>1</v>
      </c>
      <c r="M292" s="28">
        <v>1</v>
      </c>
      <c r="N292" s="35">
        <v>1</v>
      </c>
      <c r="O292" s="34"/>
      <c r="P292" s="35">
        <v>1</v>
      </c>
      <c r="Q292" s="34"/>
      <c r="R292" s="34"/>
      <c r="S292" s="34"/>
      <c r="T292" s="34"/>
      <c r="U292" s="34"/>
      <c r="V292" s="34"/>
      <c r="W292" s="29"/>
      <c r="X292" s="28">
        <v>32</v>
      </c>
      <c r="Y292" s="28">
        <v>1</v>
      </c>
      <c r="Z292" s="28">
        <v>1</v>
      </c>
      <c r="AA292" s="28">
        <v>1</v>
      </c>
      <c r="AB292" s="28">
        <v>1</v>
      </c>
      <c r="AC292" s="28">
        <v>2</v>
      </c>
      <c r="AD292" s="28">
        <v>1</v>
      </c>
      <c r="AE292" s="28">
        <v>4</v>
      </c>
      <c r="AF292" s="28">
        <v>2</v>
      </c>
      <c r="AG292" s="28">
        <v>2</v>
      </c>
      <c r="AH292" s="29" t="s">
        <v>664</v>
      </c>
      <c r="AI292" s="36">
        <f>IF(OR(AND(K292&lt;32, J292&lt;2), O292=1, P292=1, Q292=1, R292=1, S292=1, T292=1, U292=1, AND(W292&lt;&gt;"", W292&lt;&gt;"Oxygen", W292&lt;&gt;"LowFlow")), "Intensive", "Intermediate")</f>
      </c>
      <c r="AJ292" s="37">
        <f>IF(OR(LEFT(AH292, 1)="X", LEFT(AH292, 1)="Y", LEFT(AH292, 3)="J32M"), "CUSM", "No Match")</f>
      </c>
      <c r="AK292" s="37">
        <f>IF(AND(OR(O292=3, P292=1, Q292=1, T292=1), AJ292="no Match"), "CUSM, CHU SJ, CHUQ", "")</f>
      </c>
      <c r="AL292" s="37">
        <f>IF(AND(O292=2, ISBLANK(P292), ISBLANK(Q292), ISBLANK(R292), ISBLANK(S292), ISBLANK(T292)), "CUSM, CHU SJ, CHUS, CHUQ", "")</f>
      </c>
      <c r="AM292" s="37">
        <f>IF(AND(AJ292="no match", AK292="", AL292="", K292&lt;26), "CUSM, CHU SJ, HGJ, CHUQ, CHUS", "")</f>
      </c>
      <c r="AN292" s="37">
        <f>IF(AND(AJ292="no match", AK292="", AL292="", K292&gt;26), "CUSM, CHU SJ, HGJ, CHUQ, CHUS, HMR", "")</f>
      </c>
    </row>
    <row x14ac:dyDescent="0.25" r="293" customHeight="1" ht="17.25">
      <c r="A293" s="27" t="s">
        <v>665</v>
      </c>
      <c r="B293" s="28">
        <v>2</v>
      </c>
      <c r="C293" s="35">
        <v>734</v>
      </c>
      <c r="D293" s="29" t="s">
        <v>264</v>
      </c>
      <c r="E293" s="30" t="s">
        <v>50</v>
      </c>
      <c r="F293" s="31">
        <v>44727</v>
      </c>
      <c r="G293" s="32">
        <v>4.097222222222222</v>
      </c>
      <c r="H293" s="31">
        <v>44727</v>
      </c>
      <c r="I293" s="32">
        <v>4.013194444444444</v>
      </c>
      <c r="J293" s="33">
        <f>F293-H293</f>
      </c>
      <c r="K293" s="28">
        <v>24</v>
      </c>
      <c r="L293" s="28">
        <v>4</v>
      </c>
      <c r="M293" s="28">
        <v>2</v>
      </c>
      <c r="N293" s="35">
        <v>1</v>
      </c>
      <c r="O293" s="34"/>
      <c r="P293" s="35">
        <v>1</v>
      </c>
      <c r="Q293" s="34"/>
      <c r="R293" s="34"/>
      <c r="S293" s="34"/>
      <c r="T293" s="34"/>
      <c r="U293" s="34"/>
      <c r="V293" s="34"/>
      <c r="W293" s="29" t="s">
        <v>70</v>
      </c>
      <c r="X293" s="28">
        <v>30</v>
      </c>
      <c r="Y293" s="28">
        <v>1</v>
      </c>
      <c r="Z293" s="28">
        <v>2</v>
      </c>
      <c r="AA293" s="28">
        <v>1</v>
      </c>
      <c r="AB293" s="28">
        <v>1</v>
      </c>
      <c r="AC293" s="28">
        <v>2</v>
      </c>
      <c r="AD293" s="28">
        <v>1</v>
      </c>
      <c r="AE293" s="28">
        <v>4</v>
      </c>
      <c r="AF293" s="28">
        <v>3</v>
      </c>
      <c r="AG293" s="28">
        <v>2</v>
      </c>
      <c r="AH293" s="29" t="s">
        <v>666</v>
      </c>
      <c r="AI293" s="36">
        <f>IF(OR(AND(K293&lt;32, J293&lt;2), O293=1, P293=1, Q293=1, R293=1, S293=1, T293=1, U293=1, AND(W293&lt;&gt;"", W293&lt;&gt;"Oxygen", W293&lt;&gt;"LowFlow")), "Intensive", "Intermediate")</f>
      </c>
      <c r="AJ293" s="37">
        <f>IF(OR(LEFT(AH293, 1)="X", LEFT(AH293, 1)="Y", LEFT(AH293, 3)="J33M"), "CUSM", "No Match")</f>
      </c>
      <c r="AK293" s="37">
        <f>IF(AND(OR(O293=3, P293=1, Q293=1, T293=1), AJ293="no Match"), "CUSM, CHU SJ, CHUQ", "")</f>
      </c>
      <c r="AL293" s="37">
        <f>IF(AND(O293=2, ISBLANK(P293), ISBLANK(Q293), ISBLANK(R293), ISBLANK(S293), ISBLANK(T293)), "CUSM, CHU SJ, CHUS, CHUQ", "")</f>
      </c>
      <c r="AM293" s="37">
        <f>IF(AND(AJ293="no match", AK293="", AL293="", K293&lt;26), "CUSM, CHU SJ, HGJ, CHUQ, CHUS", "")</f>
      </c>
      <c r="AN293" s="37">
        <f>IF(AND(AJ293="no match", AK293="", AL293="", K293&gt;26), "CUSM, CHU SJ, HGJ, CHUQ, CHUS, HMR", "")</f>
      </c>
    </row>
    <row x14ac:dyDescent="0.25" r="294" customHeight="1" ht="17.25">
      <c r="A294" s="27" t="s">
        <v>667</v>
      </c>
      <c r="B294" s="28">
        <v>2</v>
      </c>
      <c r="C294" s="35">
        <v>1019</v>
      </c>
      <c r="D294" s="29" t="s">
        <v>354</v>
      </c>
      <c r="E294" s="30" t="s">
        <v>50</v>
      </c>
      <c r="F294" s="31">
        <v>44728</v>
      </c>
      <c r="G294" s="32">
        <v>4.548611111111111</v>
      </c>
      <c r="H294" s="31">
        <v>44728</v>
      </c>
      <c r="I294" s="32">
        <v>4.2875</v>
      </c>
      <c r="J294" s="33">
        <f>F294-H294</f>
      </c>
      <c r="K294" s="28">
        <v>40</v>
      </c>
      <c r="L294" s="28">
        <v>6</v>
      </c>
      <c r="M294" s="28">
        <v>2</v>
      </c>
      <c r="N294" s="28">
        <v>1</v>
      </c>
      <c r="O294" s="35">
        <v>2</v>
      </c>
      <c r="P294" s="28">
        <v>1</v>
      </c>
      <c r="Q294" s="34"/>
      <c r="R294" s="34"/>
      <c r="S294" s="34"/>
      <c r="T294" s="34"/>
      <c r="U294" s="34"/>
      <c r="V294" s="34"/>
      <c r="W294" s="29"/>
      <c r="X294" s="28">
        <v>38</v>
      </c>
      <c r="Y294" s="28">
        <v>1</v>
      </c>
      <c r="Z294" s="28">
        <v>1</v>
      </c>
      <c r="AA294" s="28">
        <v>1</v>
      </c>
      <c r="AB294" s="28">
        <v>1</v>
      </c>
      <c r="AC294" s="28">
        <v>2</v>
      </c>
      <c r="AD294" s="28">
        <v>2</v>
      </c>
      <c r="AE294" s="28">
        <v>4</v>
      </c>
      <c r="AF294" s="28">
        <v>1</v>
      </c>
      <c r="AG294" s="28">
        <v>2</v>
      </c>
      <c r="AH294" s="29" t="s">
        <v>668</v>
      </c>
      <c r="AI294" s="36">
        <f>IF(OR(AND(K294&lt;32, J294&lt;2), O294=1, P294=1, Q294=1, R294=1, S294=1, T294=1, U294=1, AND(W294&lt;&gt;"", W294&lt;&gt;"Oxygen", W294&lt;&gt;"LowFlow")), "Intensive", "Intermediate")</f>
      </c>
      <c r="AJ294" s="37">
        <f>IF(OR(LEFT(AH294, 1)="X", LEFT(AH294, 1)="Y", LEFT(AH294, 3)="J34M"), "CUSM", "No Match")</f>
      </c>
      <c r="AK294" s="37">
        <f>IF(AND(OR(O294=3, P294=1, Q294=1, T294=1), AJ294="no Match"), "CUSM, CHU SJ, CHUQ", "")</f>
      </c>
      <c r="AL294" s="37">
        <f>IF(AND(O294=2, ISBLANK(P294), ISBLANK(Q294), ISBLANK(R294), ISBLANK(S294), ISBLANK(T294)), "CUSM, CHU SJ, CHUS, CHUQ", "")</f>
      </c>
      <c r="AM294" s="37">
        <f>IF(AND(AJ294="no match", AK294="", AL294="", K294&lt;26), "CUSM, CHU SJ, HGJ, CHUQ, CHUS", "")</f>
      </c>
      <c r="AN294" s="37">
        <f>IF(AND(AJ294="no match", AK294="", AL294="", K294&gt;26), "CUSM, CHU SJ, HGJ, CHUQ, CHUS, HMR", "")</f>
      </c>
    </row>
    <row x14ac:dyDescent="0.25" r="295" customHeight="1" ht="17.25">
      <c r="A295" s="27" t="s">
        <v>669</v>
      </c>
      <c r="B295" s="28">
        <v>2</v>
      </c>
      <c r="C295" s="35">
        <v>795</v>
      </c>
      <c r="D295" s="29" t="s">
        <v>73</v>
      </c>
      <c r="E295" s="30" t="s">
        <v>220</v>
      </c>
      <c r="F295" s="31">
        <v>44728</v>
      </c>
      <c r="G295" s="32">
        <v>4.895833333333334</v>
      </c>
      <c r="H295" s="31">
        <v>44728</v>
      </c>
      <c r="I295" s="32">
        <v>4.364583333333334</v>
      </c>
      <c r="J295" s="33">
        <f>F295-H295</f>
      </c>
      <c r="K295" s="28">
        <v>31</v>
      </c>
      <c r="L295" s="28">
        <v>0</v>
      </c>
      <c r="M295" s="28">
        <v>1</v>
      </c>
      <c r="N295" s="34"/>
      <c r="O295" s="34"/>
      <c r="P295" s="34"/>
      <c r="Q295" s="34"/>
      <c r="R295" s="34"/>
      <c r="S295" s="34"/>
      <c r="T295" s="34"/>
      <c r="U295" s="34"/>
      <c r="V295" s="34"/>
      <c r="W295" s="29" t="s">
        <v>58</v>
      </c>
      <c r="X295" s="28">
        <v>27</v>
      </c>
      <c r="Y295" s="28">
        <v>1</v>
      </c>
      <c r="Z295" s="28">
        <v>2</v>
      </c>
      <c r="AA295" s="28">
        <v>2</v>
      </c>
      <c r="AB295" s="28">
        <v>1</v>
      </c>
      <c r="AC295" s="28">
        <v>2</v>
      </c>
      <c r="AD295" s="28">
        <v>1</v>
      </c>
      <c r="AE295" s="28">
        <v>4</v>
      </c>
      <c r="AF295" s="28">
        <v>2</v>
      </c>
      <c r="AG295" s="28">
        <v>2</v>
      </c>
      <c r="AH295" s="29" t="s">
        <v>670</v>
      </c>
      <c r="AI295" s="36">
        <f>IF(OR(AND(K295&lt;32, J295&lt;2), O295=1, P295=1, Q295=1, R295=1, S295=1, T295=1, U295=1, AND(W295&lt;&gt;"", W295&lt;&gt;"Oxygen", W295&lt;&gt;"LowFlow")), "Intensive", "Intermediate")</f>
      </c>
      <c r="AJ295" s="37">
        <f>IF(OR(LEFT(AH295, 1)="X", LEFT(AH295, 1)="Y", LEFT(AH295, 3)="J35M"), "CUSM", "No Match")</f>
      </c>
      <c r="AK295" s="37">
        <f>IF(AND(OR(O295=3, P295=1, Q295=1, T295=1), AJ295="no Match"), "CUSM, CHU SJ, CHUQ", "")</f>
      </c>
      <c r="AL295" s="37">
        <f>IF(AND(O295=2, ISBLANK(P295), ISBLANK(Q295), ISBLANK(R295), ISBLANK(S295), ISBLANK(T295)), "CUSM, CHU SJ, CHUS, CHUQ", "")</f>
      </c>
      <c r="AM295" s="37">
        <f>IF(AND(AJ295="no match", AK295="", AL295="", K295&lt;26), "CUSM, CHU SJ, HGJ, CHUQ, CHUS", "")</f>
      </c>
      <c r="AN295" s="37">
        <f>IF(AND(AJ295="no match", AK295="", AL295="", K295&gt;26), "CUSM, CHU SJ, HGJ, CHUQ, CHUS, HMR", "")</f>
      </c>
    </row>
    <row x14ac:dyDescent="0.25" r="296" customHeight="1" ht="17.25">
      <c r="A296" s="27" t="s">
        <v>671</v>
      </c>
      <c r="B296" s="28">
        <v>2</v>
      </c>
      <c r="C296" s="35">
        <v>839</v>
      </c>
      <c r="D296" s="29" t="s">
        <v>53</v>
      </c>
      <c r="E296" s="30" t="s">
        <v>54</v>
      </c>
      <c r="F296" s="31">
        <v>44729</v>
      </c>
      <c r="G296" s="32">
        <v>4.122222222222222</v>
      </c>
      <c r="H296" s="31">
        <v>44729</v>
      </c>
      <c r="I296" s="32">
        <v>4.020833333333334</v>
      </c>
      <c r="J296" s="33">
        <f>F296-H296</f>
      </c>
      <c r="K296" s="28">
        <v>26</v>
      </c>
      <c r="L296" s="28">
        <v>2</v>
      </c>
      <c r="M296" s="28">
        <v>2</v>
      </c>
      <c r="N296" s="28">
        <v>1</v>
      </c>
      <c r="O296" s="34"/>
      <c r="P296" s="35">
        <v>1</v>
      </c>
      <c r="Q296" s="34"/>
      <c r="R296" s="34"/>
      <c r="S296" s="34"/>
      <c r="T296" s="34"/>
      <c r="U296" s="34"/>
      <c r="V296" s="34"/>
      <c r="W296" s="29" t="s">
        <v>164</v>
      </c>
      <c r="X296" s="28">
        <v>30</v>
      </c>
      <c r="Y296" s="28">
        <v>1</v>
      </c>
      <c r="Z296" s="28">
        <v>1</v>
      </c>
      <c r="AA296" s="28">
        <v>1</v>
      </c>
      <c r="AB296" s="28">
        <v>1</v>
      </c>
      <c r="AC296" s="28">
        <v>1</v>
      </c>
      <c r="AD296" s="28">
        <v>2</v>
      </c>
      <c r="AE296" s="28">
        <v>4</v>
      </c>
      <c r="AF296" s="28">
        <v>2</v>
      </c>
      <c r="AG296" s="28">
        <v>2</v>
      </c>
      <c r="AH296" s="29" t="s">
        <v>672</v>
      </c>
      <c r="AI296" s="36">
        <f>IF(OR(AND(K296&lt;32, J296&lt;2), O296=1, P296=1, Q296=1, R296=1, S296=1, T296=1, U296=1, AND(W296&lt;&gt;"", W296&lt;&gt;"Oxygen", W296&lt;&gt;"LowFlow")), "Intensive", "Intermediate")</f>
      </c>
      <c r="AJ296" s="37">
        <f>IF(OR(LEFT(AH296, 1)="X", LEFT(AH296, 1)="Y", LEFT(AH296, 3)="J36M"), "CUSM", "No Match")</f>
      </c>
      <c r="AK296" s="37">
        <f>IF(AND(OR(O296=3, P296=1, Q296=1, T296=1), AJ296="no Match"), "CUSM, CHU SJ, CHUQ", "")</f>
      </c>
      <c r="AL296" s="37">
        <f>IF(AND(O296=2, ISBLANK(P296), ISBLANK(Q296), ISBLANK(R296), ISBLANK(S296), ISBLANK(T296)), "CUSM, CHU SJ, CHUS, CHUQ", "")</f>
      </c>
      <c r="AM296" s="37">
        <f>IF(AND(AJ296="no match", AK296="", AL296="", K296&lt;26), "CUSM, CHU SJ, HGJ, CHUQ, CHUS", "")</f>
      </c>
      <c r="AN296" s="37">
        <f>IF(AND(AJ296="no match", AK296="", AL296="", K296&gt;26), "CUSM, CHU SJ, HGJ, CHUQ, CHUS, HMR", "")</f>
      </c>
    </row>
    <row x14ac:dyDescent="0.25" r="297" customHeight="1" ht="17.25">
      <c r="A297" s="27" t="s">
        <v>673</v>
      </c>
      <c r="B297" s="28">
        <v>2</v>
      </c>
      <c r="C297" s="28">
        <v>856</v>
      </c>
      <c r="D297" s="29" t="s">
        <v>674</v>
      </c>
      <c r="E297" s="30" t="s">
        <v>54</v>
      </c>
      <c r="F297" s="31">
        <v>44731</v>
      </c>
      <c r="G297" s="32">
        <v>4.602777777777778</v>
      </c>
      <c r="H297" s="31">
        <v>44731</v>
      </c>
      <c r="I297" s="32">
        <v>4.042361111111111</v>
      </c>
      <c r="J297" s="33">
        <f>F297-H297</f>
      </c>
      <c r="K297" s="28">
        <v>36</v>
      </c>
      <c r="L297" s="28">
        <v>6</v>
      </c>
      <c r="M297" s="28">
        <v>2</v>
      </c>
      <c r="N297" s="35">
        <v>1</v>
      </c>
      <c r="O297" s="34"/>
      <c r="P297" s="35">
        <v>1</v>
      </c>
      <c r="Q297" s="34"/>
      <c r="R297" s="34"/>
      <c r="S297" s="34"/>
      <c r="T297" s="34"/>
      <c r="U297" s="34"/>
      <c r="V297" s="34"/>
      <c r="W297" s="29" t="s">
        <v>70</v>
      </c>
      <c r="X297" s="28">
        <v>34</v>
      </c>
      <c r="Y297" s="28">
        <v>1</v>
      </c>
      <c r="Z297" s="28">
        <v>2</v>
      </c>
      <c r="AA297" s="28">
        <v>3</v>
      </c>
      <c r="AB297" s="28">
        <v>4</v>
      </c>
      <c r="AC297" s="28">
        <v>1</v>
      </c>
      <c r="AD297" s="28">
        <v>2</v>
      </c>
      <c r="AE297" s="28">
        <v>4</v>
      </c>
      <c r="AF297" s="35">
        <v>1</v>
      </c>
      <c r="AG297" s="28">
        <v>2</v>
      </c>
      <c r="AH297" s="29" t="s">
        <v>675</v>
      </c>
      <c r="AI297" s="36">
        <f>IF(OR(AND(K297&lt;32, J297&lt;2), O297=1, P297=1, Q297=1, R297=1, S297=1, T297=1, U297=1, AND(W297&lt;&gt;"", W297&lt;&gt;"Oxygen", W297&lt;&gt;"LowFlow")), "Intensive", "Intermediate")</f>
      </c>
      <c r="AJ297" s="37">
        <f>IF(OR(LEFT(AH297, 1)="X", LEFT(AH297, 1)="Y", LEFT(AH297, 3)="J37M"), "CUSM", "No Match")</f>
      </c>
      <c r="AK297" s="37">
        <f>IF(AND(OR(O297=3, P297=1, Q297=1, T297=1), AJ297="no Match"), "CUSM, CHU SJ, CHUQ", "")</f>
      </c>
      <c r="AL297" s="37">
        <f>IF(AND(O297=2, ISBLANK(P297), ISBLANK(Q297), ISBLANK(R297), ISBLANK(S297), ISBLANK(T297)), "CUSM, CHU SJ, CHUS, CHUQ", "")</f>
      </c>
      <c r="AM297" s="37">
        <f>IF(AND(AJ297="no match", AK297="", AL297="", K297&lt;26), "CUSM, CHU SJ, HGJ, CHUQ, CHUS", "")</f>
      </c>
      <c r="AN297" s="37">
        <f>IF(AND(AJ297="no match", AK297="", AL297="", K297&gt;26), "CUSM, CHU SJ, HGJ, CHUQ, CHUS, HMR", "")</f>
      </c>
    </row>
    <row x14ac:dyDescent="0.25" r="298" customHeight="1" ht="17.25">
      <c r="A298" s="27" t="s">
        <v>676</v>
      </c>
      <c r="B298" s="28">
        <v>2</v>
      </c>
      <c r="C298" s="35">
        <v>825</v>
      </c>
      <c r="D298" s="29" t="s">
        <v>77</v>
      </c>
      <c r="E298" s="30" t="s">
        <v>50</v>
      </c>
      <c r="F298" s="31">
        <v>44731</v>
      </c>
      <c r="G298" s="32">
        <v>4.319444444444445</v>
      </c>
      <c r="H298" s="31">
        <v>44731</v>
      </c>
      <c r="I298" s="32">
        <v>4.021527777777777</v>
      </c>
      <c r="J298" s="33">
        <f>F298-H298</f>
      </c>
      <c r="K298" s="28">
        <v>39</v>
      </c>
      <c r="L298" s="28">
        <v>2</v>
      </c>
      <c r="M298" s="28">
        <v>2</v>
      </c>
      <c r="N298" s="34"/>
      <c r="O298" s="34"/>
      <c r="P298" s="34"/>
      <c r="Q298" s="34"/>
      <c r="R298" s="34"/>
      <c r="S298" s="34"/>
      <c r="T298" s="34"/>
      <c r="U298" s="34"/>
      <c r="V298" s="34"/>
      <c r="W298" s="29" t="s">
        <v>74</v>
      </c>
      <c r="X298" s="28">
        <v>34</v>
      </c>
      <c r="Y298" s="28">
        <v>1</v>
      </c>
      <c r="Z298" s="28">
        <v>2</v>
      </c>
      <c r="AA298" s="28">
        <v>3</v>
      </c>
      <c r="AB298" s="28">
        <v>1</v>
      </c>
      <c r="AC298" s="28">
        <v>2</v>
      </c>
      <c r="AD298" s="28">
        <v>2</v>
      </c>
      <c r="AE298" s="28">
        <v>4</v>
      </c>
      <c r="AF298" s="28">
        <v>2</v>
      </c>
      <c r="AG298" s="28">
        <v>2</v>
      </c>
      <c r="AH298" s="29" t="s">
        <v>677</v>
      </c>
      <c r="AI298" s="36">
        <f>IF(OR(AND(K298&lt;32, J298&lt;2), O298=1, P298=1, Q298=1, R298=1, S298=1, T298=1, U298=1, AND(W298&lt;&gt;"", W298&lt;&gt;"Oxygen", W298&lt;&gt;"LowFlow")), "Intensive", "Intermediate")</f>
      </c>
      <c r="AJ298" s="37">
        <f>IF(OR(LEFT(AH298, 1)="X", LEFT(AH298, 1)="Y", LEFT(AH298, 3)="J38M"), "CUSM", "No Match")</f>
      </c>
      <c r="AK298" s="37">
        <f>IF(AND(OR(O298=3, P298=1, Q298=1, T298=1), AJ298="no Match"), "CUSM, CHU SJ, CHUQ", "")</f>
      </c>
      <c r="AL298" s="37">
        <f>IF(AND(O298=2, ISBLANK(P298), ISBLANK(Q298), ISBLANK(R298), ISBLANK(S298), ISBLANK(T298)), "CUSM, CHU SJ, CHUS, CHUQ", "")</f>
      </c>
      <c r="AM298" s="37">
        <f>IF(AND(AJ298="no match", AK298="", AL298="", K298&lt;26), "CUSM, CHU SJ, HGJ, CHUQ, CHUS", "")</f>
      </c>
      <c r="AN298" s="37">
        <f>IF(AND(AJ298="no match", AK298="", AL298="", K298&gt;26), "CUSM, CHU SJ, HGJ, CHUQ, CHUS, HMR", "")</f>
      </c>
    </row>
    <row x14ac:dyDescent="0.25" r="299" customHeight="1" ht="17.25">
      <c r="A299" s="27" t="s">
        <v>678</v>
      </c>
      <c r="B299" s="28">
        <v>2</v>
      </c>
      <c r="C299" s="35">
        <v>796</v>
      </c>
      <c r="D299" s="29" t="s">
        <v>63</v>
      </c>
      <c r="E299" s="30" t="s">
        <v>54</v>
      </c>
      <c r="F299" s="31">
        <v>44732</v>
      </c>
      <c r="G299" s="32">
        <v>4.666666666666666</v>
      </c>
      <c r="H299" s="31">
        <v>44728</v>
      </c>
      <c r="I299" s="32">
        <v>4.33125</v>
      </c>
      <c r="J299" s="33">
        <f>F299-H299</f>
      </c>
      <c r="K299" s="28">
        <v>38</v>
      </c>
      <c r="L299" s="28">
        <v>3</v>
      </c>
      <c r="M299" s="28">
        <v>1</v>
      </c>
      <c r="N299" s="35">
        <v>1</v>
      </c>
      <c r="O299" s="34"/>
      <c r="P299" s="35">
        <v>1</v>
      </c>
      <c r="Q299" s="34"/>
      <c r="R299" s="34"/>
      <c r="S299" s="34"/>
      <c r="T299" s="34"/>
      <c r="U299" s="34"/>
      <c r="V299" s="34"/>
      <c r="W299" s="29"/>
      <c r="X299" s="28">
        <v>26</v>
      </c>
      <c r="Y299" s="28">
        <v>1</v>
      </c>
      <c r="Z299" s="28">
        <v>1</v>
      </c>
      <c r="AA299" s="28">
        <v>2</v>
      </c>
      <c r="AB299" s="28">
        <v>1</v>
      </c>
      <c r="AC299" s="28">
        <v>2</v>
      </c>
      <c r="AD299" s="28">
        <v>1</v>
      </c>
      <c r="AE299" s="28">
        <v>4</v>
      </c>
      <c r="AF299" s="28">
        <v>2</v>
      </c>
      <c r="AG299" s="28">
        <v>2</v>
      </c>
      <c r="AH299" s="29" t="s">
        <v>679</v>
      </c>
      <c r="AI299" s="36">
        <f>IF(OR(AND(K299&lt;32, J299&lt;2), O299=1, P299=1, Q299=1, R299=1, S299=1, T299=1, U299=1, AND(W299&lt;&gt;"", W299&lt;&gt;"Oxygen", W299&lt;&gt;"LowFlow")), "Intensive", "Intermediate")</f>
      </c>
      <c r="AJ299" s="37">
        <f>IF(OR(LEFT(AH299, 1)="X", LEFT(AH299, 1)="Y", LEFT(AH299, 3)="J39M"), "CUSM", "No Match")</f>
      </c>
      <c r="AK299" s="37">
        <f>IF(AND(OR(O299=3, P299=1, Q299=1, T299=1), AJ299="no Match"), "CUSM, CHU SJ, CHUQ", "")</f>
      </c>
      <c r="AL299" s="37">
        <f>IF(AND(O299=2, ISBLANK(P299), ISBLANK(Q299), ISBLANK(R299), ISBLANK(S299), ISBLANK(T299)), "CUSM, CHU SJ, CHUS, CHUQ", "")</f>
      </c>
      <c r="AM299" s="37">
        <f>IF(AND(AJ299="no match", AK299="", AL299="", K299&lt;26), "CUSM, CHU SJ, HGJ, CHUQ, CHUS", "")</f>
      </c>
      <c r="AN299" s="37">
        <f>IF(AND(AJ299="no match", AK299="", AL299="", K299&gt;26), "CUSM, CHU SJ, HGJ, CHUQ, CHUS, HMR", "")</f>
      </c>
    </row>
    <row x14ac:dyDescent="0.25" r="300" customHeight="1" ht="17.25">
      <c r="A300" s="27" t="s">
        <v>680</v>
      </c>
      <c r="B300" s="28">
        <v>2</v>
      </c>
      <c r="C300" s="35">
        <v>779</v>
      </c>
      <c r="D300" s="29" t="s">
        <v>136</v>
      </c>
      <c r="E300" s="30" t="s">
        <v>54</v>
      </c>
      <c r="F300" s="31">
        <v>44732</v>
      </c>
      <c r="G300" s="32">
        <v>4.909722222222222</v>
      </c>
      <c r="H300" s="31">
        <v>44732</v>
      </c>
      <c r="I300" s="32">
        <v>4.459722222222222</v>
      </c>
      <c r="J300" s="33">
        <f>F300-H300</f>
      </c>
      <c r="K300" s="28">
        <v>35</v>
      </c>
      <c r="L300" s="28">
        <v>3</v>
      </c>
      <c r="M300" s="28">
        <v>1</v>
      </c>
      <c r="N300" s="34"/>
      <c r="O300" s="34"/>
      <c r="P300" s="34"/>
      <c r="Q300" s="34"/>
      <c r="R300" s="34"/>
      <c r="S300" s="34"/>
      <c r="T300" s="34"/>
      <c r="U300" s="34"/>
      <c r="V300" s="34"/>
      <c r="W300" s="29" t="s">
        <v>164</v>
      </c>
      <c r="X300" s="28">
        <v>29</v>
      </c>
      <c r="Y300" s="28">
        <v>1</v>
      </c>
      <c r="Z300" s="28">
        <v>1</v>
      </c>
      <c r="AA300" s="28">
        <v>3</v>
      </c>
      <c r="AB300" s="28">
        <v>1</v>
      </c>
      <c r="AC300" s="28">
        <v>1</v>
      </c>
      <c r="AD300" s="28">
        <v>2</v>
      </c>
      <c r="AE300" s="28">
        <v>4</v>
      </c>
      <c r="AF300" s="28">
        <v>2</v>
      </c>
      <c r="AG300" s="28">
        <v>2</v>
      </c>
      <c r="AH300" s="29" t="s">
        <v>681</v>
      </c>
      <c r="AI300" s="36">
        <f>IF(OR(AND(K300&lt;32, J300&lt;2), O300=1, P300=1, Q300=1, R300=1, S300=1, T300=1, U300=1, AND(W300&lt;&gt;"", W300&lt;&gt;"Oxygen", W300&lt;&gt;"LowFlow")), "Intensive", "Intermediate")</f>
      </c>
      <c r="AJ300" s="37">
        <f>IF(OR(LEFT(AH300, 1)="X", LEFT(AH300, 1)="Y", LEFT(AH300, 3)="J40M"), "CUSM", "No Match")</f>
      </c>
      <c r="AK300" s="37">
        <f>IF(AND(OR(O300=3, P300=1, Q300=1, T300=1), AJ300="no Match"), "CUSM, CHU SJ, CHUQ", "")</f>
      </c>
      <c r="AL300" s="37">
        <f>IF(AND(O300=2, ISBLANK(P300), ISBLANK(Q300), ISBLANK(R300), ISBLANK(S300), ISBLANK(T300)), "CUSM, CHU SJ, CHUS, CHUQ", "")</f>
      </c>
      <c r="AM300" s="37">
        <f>IF(AND(AJ300="no match", AK300="", AL300="", K300&lt;26), "CUSM, CHU SJ, HGJ, CHUQ, CHUS", "")</f>
      </c>
      <c r="AN300" s="37">
        <f>IF(AND(AJ300="no match", AK300="", AL300="", K300&gt;26), "CUSM, CHU SJ, HGJ, CHUQ, CHUS, HMR", "")</f>
      </c>
    </row>
    <row x14ac:dyDescent="0.25" r="301" customHeight="1" ht="17.25">
      <c r="A301" s="27" t="s">
        <v>682</v>
      </c>
      <c r="B301" s="28">
        <v>2</v>
      </c>
      <c r="C301" s="35">
        <v>831</v>
      </c>
      <c r="D301" s="29" t="s">
        <v>313</v>
      </c>
      <c r="E301" s="30" t="s">
        <v>54</v>
      </c>
      <c r="F301" s="31">
        <v>44733</v>
      </c>
      <c r="G301" s="32">
        <v>4.59375</v>
      </c>
      <c r="H301" s="31">
        <v>44732</v>
      </c>
      <c r="I301" s="32">
        <v>4.014583333333333</v>
      </c>
      <c r="J301" s="33">
        <f>F301-H301</f>
      </c>
      <c r="K301" s="28">
        <v>39</v>
      </c>
      <c r="L301" s="28">
        <v>2</v>
      </c>
      <c r="M301" s="28">
        <v>1</v>
      </c>
      <c r="N301" s="34"/>
      <c r="O301" s="34"/>
      <c r="P301" s="34"/>
      <c r="Q301" s="34"/>
      <c r="R301" s="34"/>
      <c r="S301" s="34"/>
      <c r="T301" s="34"/>
      <c r="U301" s="34"/>
      <c r="V301" s="34"/>
      <c r="W301" s="29" t="s">
        <v>106</v>
      </c>
      <c r="X301" s="28">
        <v>35</v>
      </c>
      <c r="Y301" s="28">
        <v>1</v>
      </c>
      <c r="Z301" s="28">
        <v>1</v>
      </c>
      <c r="AA301" s="28">
        <v>2</v>
      </c>
      <c r="AB301" s="28">
        <v>1</v>
      </c>
      <c r="AC301" s="28">
        <v>2</v>
      </c>
      <c r="AD301" s="28">
        <v>2</v>
      </c>
      <c r="AE301" s="28">
        <v>4</v>
      </c>
      <c r="AF301" s="28">
        <v>2</v>
      </c>
      <c r="AG301" s="28">
        <v>2</v>
      </c>
      <c r="AH301" s="29" t="s">
        <v>683</v>
      </c>
      <c r="AI301" s="36">
        <f>IF(OR(AND(K301&lt;32, J301&lt;2), O301=1, P301=1, Q301=1, R301=1, S301=1, T301=1, U301=1, AND(W301&lt;&gt;"", W301&lt;&gt;"Oxygen", W301&lt;&gt;"LowFlow")), "Intensive", "Intermediate")</f>
      </c>
      <c r="AJ301" s="37">
        <f>IF(OR(LEFT(AH301, 1)="X", LEFT(AH301, 1)="Y", LEFT(AH301, 3)="J41M"), "CUSM", "No Match")</f>
      </c>
      <c r="AK301" s="37">
        <f>IF(AND(OR(O301=3, P301=1, Q301=1, T301=1), AJ301="no Match"), "CUSM, CHU SJ, CHUQ", "")</f>
      </c>
      <c r="AL301" s="37">
        <f>IF(AND(O301=2, ISBLANK(P301), ISBLANK(Q301), ISBLANK(R301), ISBLANK(S301), ISBLANK(T301)), "CUSM, CHU SJ, CHUS, CHUQ", "")</f>
      </c>
      <c r="AM301" s="37">
        <f>IF(AND(AJ301="no match", AK301="", AL301="", K301&lt;26), "CUSM, CHU SJ, HGJ, CHUQ, CHUS", "")</f>
      </c>
      <c r="AN301" s="37">
        <f>IF(AND(AJ301="no match", AK301="", AL301="", K301&gt;26), "CUSM, CHU SJ, HGJ, CHUQ, CHUS, HMR", "")</f>
      </c>
    </row>
    <row x14ac:dyDescent="0.25" r="302" customHeight="1" ht="17.25">
      <c r="A302" s="27" t="s">
        <v>684</v>
      </c>
      <c r="B302" s="28">
        <v>2</v>
      </c>
      <c r="C302" s="35">
        <v>806</v>
      </c>
      <c r="D302" s="29" t="s">
        <v>438</v>
      </c>
      <c r="E302" s="30" t="s">
        <v>50</v>
      </c>
      <c r="F302" s="31">
        <v>44733</v>
      </c>
      <c r="G302" s="40">
        <v>4.006944444444445</v>
      </c>
      <c r="H302" s="31">
        <v>44732</v>
      </c>
      <c r="I302" s="40">
        <v>4.28125</v>
      </c>
      <c r="J302" s="33">
        <f>F302-H302</f>
      </c>
      <c r="K302" s="28">
        <v>39</v>
      </c>
      <c r="L302" s="28">
        <v>1</v>
      </c>
      <c r="M302" s="28">
        <v>2</v>
      </c>
      <c r="N302" s="34"/>
      <c r="O302" s="34"/>
      <c r="P302" s="34"/>
      <c r="Q302" s="34"/>
      <c r="R302" s="34"/>
      <c r="S302" s="34"/>
      <c r="T302" s="34"/>
      <c r="U302" s="34"/>
      <c r="V302" s="34"/>
      <c r="W302" s="29"/>
      <c r="X302" s="35">
        <v>28</v>
      </c>
      <c r="Y302" s="28">
        <v>1</v>
      </c>
      <c r="Z302" s="28">
        <v>1</v>
      </c>
      <c r="AA302" s="28">
        <v>3</v>
      </c>
      <c r="AB302" s="28">
        <v>1</v>
      </c>
      <c r="AC302" s="28">
        <v>2</v>
      </c>
      <c r="AD302" s="28">
        <v>2</v>
      </c>
      <c r="AE302" s="28">
        <v>4</v>
      </c>
      <c r="AF302" s="28">
        <v>2</v>
      </c>
      <c r="AG302" s="28">
        <v>2</v>
      </c>
      <c r="AH302" s="29" t="s">
        <v>685</v>
      </c>
      <c r="AI302" s="36">
        <f>IF(OR(AND(K302&lt;32, J302&lt;2), O302=1, P302=1, Q302=1, R302=1, S302=1, T302=1, U302=1, AND(W302&lt;&gt;"", W302&lt;&gt;"Oxygen", W302&lt;&gt;"LowFlow")), "Intensive", "Intermediate")</f>
      </c>
      <c r="AJ302" s="37">
        <f>IF(OR(LEFT(AH302, 1)="X", LEFT(AH302, 1)="Y", LEFT(AH302, 3)="J42M"), "CUSM", "No Match")</f>
      </c>
      <c r="AK302" s="37">
        <f>IF(AND(OR(O302=3, P302=1, Q302=1, T302=1), AJ302="no Match"), "CUSM, CHU SJ, CHUQ", "")</f>
      </c>
      <c r="AL302" s="37">
        <f>IF(AND(O302=2, ISBLANK(P302), ISBLANK(Q302), ISBLANK(R302), ISBLANK(S302), ISBLANK(T302)), "CUSM, CHU SJ, CHUS, CHUQ", "")</f>
      </c>
      <c r="AM302" s="37">
        <f>IF(AND(AJ302="no match", AK302="", AL302="", K302&lt;26), "CUSM, CHU SJ, HGJ, CHUQ, CHUS", "")</f>
      </c>
      <c r="AN302" s="37">
        <f>IF(AND(AJ302="no match", AK302="", AL302="", K302&gt;26), "CUSM, CHU SJ, HGJ, CHUQ, CHUS, HMR", "")</f>
      </c>
    </row>
    <row x14ac:dyDescent="0.25" r="303" customHeight="1" ht="17.25">
      <c r="A303" s="27" t="s">
        <v>686</v>
      </c>
      <c r="B303" s="28">
        <v>2</v>
      </c>
      <c r="C303" s="35">
        <v>820</v>
      </c>
      <c r="D303" s="29" t="s">
        <v>69</v>
      </c>
      <c r="E303" s="30" t="s">
        <v>54</v>
      </c>
      <c r="F303" s="31">
        <v>44734</v>
      </c>
      <c r="G303" s="32">
        <v>4.541666666666666</v>
      </c>
      <c r="H303" s="31">
        <v>44733</v>
      </c>
      <c r="I303" s="32">
        <v>4.429166666666667</v>
      </c>
      <c r="J303" s="33">
        <f>F303-H303</f>
      </c>
      <c r="K303" s="28">
        <v>39</v>
      </c>
      <c r="L303" s="28">
        <v>3</v>
      </c>
      <c r="M303" s="28">
        <v>1</v>
      </c>
      <c r="N303" s="35">
        <v>1</v>
      </c>
      <c r="O303" s="34"/>
      <c r="P303" s="35">
        <v>1</v>
      </c>
      <c r="Q303" s="34"/>
      <c r="R303" s="34"/>
      <c r="S303" s="34"/>
      <c r="T303" s="34"/>
      <c r="U303" s="34"/>
      <c r="V303" s="34"/>
      <c r="W303" s="29"/>
      <c r="X303" s="28">
        <v>30</v>
      </c>
      <c r="Y303" s="28">
        <v>1</v>
      </c>
      <c r="Z303" s="28">
        <v>2</v>
      </c>
      <c r="AA303" s="28">
        <v>2</v>
      </c>
      <c r="AB303" s="28">
        <v>1</v>
      </c>
      <c r="AC303" s="28">
        <v>2</v>
      </c>
      <c r="AD303" s="28">
        <v>2</v>
      </c>
      <c r="AE303" s="28">
        <v>4</v>
      </c>
      <c r="AF303" s="28">
        <v>2</v>
      </c>
      <c r="AG303" s="28">
        <v>2</v>
      </c>
      <c r="AH303" s="29" t="s">
        <v>687</v>
      </c>
      <c r="AI303" s="36">
        <f>IF(OR(AND(K303&lt;32, J303&lt;2), O303=1, P303=1, Q303=1, R303=1, S303=1, T303=1, U303=1, AND(W303&lt;&gt;"", W303&lt;&gt;"Oxygen", W303&lt;&gt;"LowFlow")), "Intensive", "Intermediate")</f>
      </c>
      <c r="AJ303" s="37">
        <f>IF(OR(LEFT(AH303, 1)="X", LEFT(AH303, 1)="Y", LEFT(AH303, 3)="J43M"), "CUSM", "No Match")</f>
      </c>
      <c r="AK303" s="37">
        <f>IF(AND(OR(O303=3, P303=1, Q303=1, T303=1), AJ303="no Match"), "CUSM, CHU SJ, CHUQ", "")</f>
      </c>
      <c r="AL303" s="37">
        <f>IF(AND(O303=2, ISBLANK(P303), ISBLANK(Q303), ISBLANK(R303), ISBLANK(S303), ISBLANK(T303)), "CUSM, CHU SJ, CHUS, CHUQ", "")</f>
      </c>
      <c r="AM303" s="37">
        <f>IF(AND(AJ303="no match", AK303="", AL303="", K303&lt;26), "CUSM, CHU SJ, HGJ, CHUQ, CHUS", "")</f>
      </c>
      <c r="AN303" s="37">
        <f>IF(AND(AJ303="no match", AK303="", AL303="", K303&gt;26), "CUSM, CHU SJ, HGJ, CHUQ, CHUS, HMR", "")</f>
      </c>
    </row>
    <row x14ac:dyDescent="0.25" r="304" customHeight="1" ht="17.25">
      <c r="A304" s="27" t="s">
        <v>688</v>
      </c>
      <c r="B304" s="28">
        <v>2</v>
      </c>
      <c r="C304" s="28">
        <v>820</v>
      </c>
      <c r="D304" s="29" t="s">
        <v>69</v>
      </c>
      <c r="E304" s="30" t="s">
        <v>50</v>
      </c>
      <c r="F304" s="31">
        <v>44734</v>
      </c>
      <c r="G304" s="32">
        <v>4.852777777777778</v>
      </c>
      <c r="H304" s="31">
        <v>44734</v>
      </c>
      <c r="I304" s="32">
        <v>4.710416666666667</v>
      </c>
      <c r="J304" s="33">
        <f>F304-H304</f>
      </c>
      <c r="K304" s="28">
        <v>34</v>
      </c>
      <c r="L304" s="28">
        <v>4</v>
      </c>
      <c r="M304" s="28">
        <v>1</v>
      </c>
      <c r="N304" s="38"/>
      <c r="O304" s="34"/>
      <c r="P304" s="38"/>
      <c r="Q304" s="34"/>
      <c r="R304" s="34"/>
      <c r="S304" s="34"/>
      <c r="T304" s="34"/>
      <c r="U304" s="34"/>
      <c r="V304" s="35">
        <v>1</v>
      </c>
      <c r="W304" s="29" t="s">
        <v>74</v>
      </c>
      <c r="X304" s="28">
        <v>35</v>
      </c>
      <c r="Y304" s="28">
        <v>1</v>
      </c>
      <c r="Z304" s="28">
        <v>2</v>
      </c>
      <c r="AA304" s="28">
        <v>3</v>
      </c>
      <c r="AB304" s="28">
        <v>1</v>
      </c>
      <c r="AC304" s="28">
        <v>2</v>
      </c>
      <c r="AD304" s="28">
        <v>2</v>
      </c>
      <c r="AE304" s="28">
        <v>4</v>
      </c>
      <c r="AF304" s="35">
        <v>2</v>
      </c>
      <c r="AG304" s="28">
        <v>2</v>
      </c>
      <c r="AH304" s="29" t="s">
        <v>689</v>
      </c>
      <c r="AI304" s="36">
        <f>IF(OR(AND(K304&lt;32, J304&lt;2), O304=1, P304=1, Q304=1, R304=1, S304=1, T304=1, U304=1, AND(W304&lt;&gt;"", W304&lt;&gt;"Oxygen", W304&lt;&gt;"LowFlow")), "Intensive", "Intermediate")</f>
      </c>
      <c r="AJ304" s="37">
        <f>IF(OR(LEFT(AH304, 1)="X", LEFT(AH304, 1)="Y", LEFT(AH304, 3)="J44M"), "CUSM", "No Match")</f>
      </c>
      <c r="AK304" s="37">
        <f>IF(AND(OR(O304=3, P304=1, Q304=1, T304=1), AJ304="no Match"), "CUSM, CHU SJ, CHUQ", "")</f>
      </c>
      <c r="AL304" s="37">
        <f>IF(AND(O304=2, ISBLANK(P304), ISBLANK(Q304), ISBLANK(R304), ISBLANK(S304), ISBLANK(T304)), "CUSM, CHU SJ, CHUS, CHUQ", "")</f>
      </c>
      <c r="AM304" s="37">
        <f>IF(AND(AJ304="no match", AK304="", AL304="", K304&lt;26), "CUSM, CHU SJ, HGJ, CHUQ, CHUS", "")</f>
      </c>
      <c r="AN304" s="37">
        <f>IF(AND(AJ304="no match", AK304="", AL304="", K304&gt;26), "CUSM, CHU SJ, HGJ, CHUQ, CHUS, HMR", "")</f>
      </c>
    </row>
    <row x14ac:dyDescent="0.25" r="305" customHeight="1" ht="17.25">
      <c r="A305" s="27" t="s">
        <v>690</v>
      </c>
      <c r="B305" s="28">
        <v>2</v>
      </c>
      <c r="C305" s="28">
        <v>832</v>
      </c>
      <c r="D305" s="29" t="s">
        <v>308</v>
      </c>
      <c r="E305" s="30" t="s">
        <v>50</v>
      </c>
      <c r="F305" s="31">
        <v>44735</v>
      </c>
      <c r="G305" s="32">
        <v>4.631944444444445</v>
      </c>
      <c r="H305" s="31">
        <v>44734</v>
      </c>
      <c r="I305" s="32">
        <v>4.763194444444444</v>
      </c>
      <c r="J305" s="33">
        <f>F305-H305</f>
      </c>
      <c r="K305" s="28">
        <v>36</v>
      </c>
      <c r="L305" s="28">
        <v>2</v>
      </c>
      <c r="M305" s="28">
        <v>2</v>
      </c>
      <c r="N305" s="38"/>
      <c r="O305" s="34"/>
      <c r="P305" s="38"/>
      <c r="Q305" s="34"/>
      <c r="R305" s="34"/>
      <c r="S305" s="34"/>
      <c r="T305" s="34"/>
      <c r="U305" s="34"/>
      <c r="V305" s="34"/>
      <c r="W305" s="29"/>
      <c r="X305" s="28">
        <v>30</v>
      </c>
      <c r="Y305" s="28">
        <v>1</v>
      </c>
      <c r="Z305" s="28">
        <v>2</v>
      </c>
      <c r="AA305" s="28">
        <v>2</v>
      </c>
      <c r="AB305" s="28">
        <v>1</v>
      </c>
      <c r="AC305" s="28">
        <v>2</v>
      </c>
      <c r="AD305" s="28">
        <v>2</v>
      </c>
      <c r="AE305" s="28">
        <v>4</v>
      </c>
      <c r="AF305" s="28">
        <v>2</v>
      </c>
      <c r="AG305" s="28">
        <v>2</v>
      </c>
      <c r="AH305" s="29" t="s">
        <v>691</v>
      </c>
      <c r="AI305" s="36">
        <f>IF(OR(AND(K305&lt;32, J305&lt;2), O305=1, P305=1, Q305=1, R305=1, S305=1, T305=1, U305=1, AND(W305&lt;&gt;"", W305&lt;&gt;"Oxygen", W305&lt;&gt;"LowFlow")), "Intensive", "Intermediate")</f>
      </c>
      <c r="AJ305" s="37">
        <f>IF(OR(LEFT(AH305, 1)="X", LEFT(AH305, 1)="Y", LEFT(AH305, 3)="J45M"), "CUSM", "No Match")</f>
      </c>
      <c r="AK305" s="37">
        <f>IF(AND(OR(O305=3, P305=1, Q305=1, T305=1), AJ305="no Match"), "CUSM, CHU SJ, CHUQ", "")</f>
      </c>
      <c r="AL305" s="37">
        <f>IF(AND(O305=2, ISBLANK(P305), ISBLANK(Q305), ISBLANK(R305), ISBLANK(S305), ISBLANK(T305)), "CUSM, CHU SJ, CHUS, CHUQ", "")</f>
      </c>
      <c r="AM305" s="37">
        <f>IF(AND(AJ305="no match", AK305="", AL305="", K305&lt;26), "CUSM, CHU SJ, HGJ, CHUQ, CHUS", "")</f>
      </c>
      <c r="AN305" s="37">
        <f>IF(AND(AJ305="no match", AK305="", AL305="", K305&gt;26), "CUSM, CHU SJ, HGJ, CHUQ, CHUS, HMR", "")</f>
      </c>
    </row>
    <row x14ac:dyDescent="0.25" r="306" customHeight="1" ht="17.25">
      <c r="A306" s="27" t="s">
        <v>692</v>
      </c>
      <c r="B306" s="28">
        <v>2</v>
      </c>
      <c r="C306" s="28">
        <v>779</v>
      </c>
      <c r="D306" s="29" t="s">
        <v>136</v>
      </c>
      <c r="E306" s="30" t="s">
        <v>50</v>
      </c>
      <c r="F306" s="31">
        <v>44735</v>
      </c>
      <c r="G306" s="32">
        <v>4.809027777777778</v>
      </c>
      <c r="H306" s="31">
        <v>44734</v>
      </c>
      <c r="I306" s="32">
        <v>4.309027777777778</v>
      </c>
      <c r="J306" s="33">
        <f>F306-H306</f>
      </c>
      <c r="K306" s="28">
        <v>39</v>
      </c>
      <c r="L306" s="28">
        <v>6</v>
      </c>
      <c r="M306" s="28">
        <v>1</v>
      </c>
      <c r="N306" s="28">
        <v>1</v>
      </c>
      <c r="O306" s="35">
        <v>2</v>
      </c>
      <c r="P306" s="28">
        <v>1</v>
      </c>
      <c r="Q306" s="34"/>
      <c r="R306" s="34"/>
      <c r="S306" s="34"/>
      <c r="T306" s="34"/>
      <c r="U306" s="38"/>
      <c r="V306" s="38"/>
      <c r="W306" s="29"/>
      <c r="X306" s="28">
        <v>30</v>
      </c>
      <c r="Y306" s="28">
        <v>1</v>
      </c>
      <c r="Z306" s="28">
        <v>2</v>
      </c>
      <c r="AA306" s="28">
        <v>2</v>
      </c>
      <c r="AB306" s="28">
        <v>1</v>
      </c>
      <c r="AC306" s="28">
        <v>2</v>
      </c>
      <c r="AD306" s="28">
        <v>2</v>
      </c>
      <c r="AE306" s="28">
        <v>4</v>
      </c>
      <c r="AF306" s="28">
        <v>2</v>
      </c>
      <c r="AG306" s="28">
        <v>2</v>
      </c>
      <c r="AH306" s="29" t="s">
        <v>693</v>
      </c>
      <c r="AI306" s="36">
        <f>IF(OR(AND(K306&lt;32, J306&lt;2), O306=1, P306=1, Q306=1, R306=1, S306=1, T306=1, U306=1, AND(W306&lt;&gt;"", W306&lt;&gt;"Oxygen", W306&lt;&gt;"LowFlow")), "Intensive", "Intermediate")</f>
      </c>
      <c r="AJ306" s="37">
        <f>IF(OR(LEFT(AH306, 1)="X", LEFT(AH306, 1)="Y", LEFT(AH306, 3)="J46M"), "CUSM", "No Match")</f>
      </c>
      <c r="AK306" s="37">
        <f>IF(AND(OR(O306=3, P306=1, Q306=1, T306=1), AJ306="no Match"), "CUSM, CHU SJ, CHUQ", "")</f>
      </c>
      <c r="AL306" s="37">
        <f>IF(AND(O306=2, ISBLANK(P306), ISBLANK(Q306), ISBLANK(R306), ISBLANK(S306), ISBLANK(T306)), "CUSM, CHU SJ, CHUS, CHUQ", "")</f>
      </c>
      <c r="AM306" s="37">
        <f>IF(AND(AJ306="no match", AK306="", AL306="", K306&lt;26), "CUSM, CHU SJ, HGJ, CHUQ, CHUS", "")</f>
      </c>
      <c r="AN306" s="37">
        <f>IF(AND(AJ306="no match", AK306="", AL306="", K306&gt;26), "CUSM, CHU SJ, HGJ, CHUQ, CHUS, HMR", "")</f>
      </c>
    </row>
    <row x14ac:dyDescent="0.25" r="307" customHeight="1" ht="17.25">
      <c r="A307" s="27" t="s">
        <v>694</v>
      </c>
      <c r="B307" s="28">
        <v>2</v>
      </c>
      <c r="C307" s="28">
        <v>822</v>
      </c>
      <c r="D307" s="29" t="s">
        <v>167</v>
      </c>
      <c r="E307" s="30" t="s">
        <v>54</v>
      </c>
      <c r="F307" s="31">
        <v>44736</v>
      </c>
      <c r="G307" s="32">
        <v>4.5</v>
      </c>
      <c r="H307" s="31">
        <v>44735</v>
      </c>
      <c r="I307" s="32">
        <v>4.281944444444445</v>
      </c>
      <c r="J307" s="33">
        <f>F307-H307</f>
      </c>
      <c r="K307" s="28">
        <v>39</v>
      </c>
      <c r="L307" s="28">
        <v>5</v>
      </c>
      <c r="M307" s="28">
        <v>2</v>
      </c>
      <c r="N307" s="38"/>
      <c r="O307" s="34"/>
      <c r="P307" s="38"/>
      <c r="Q307" s="34"/>
      <c r="R307" s="34"/>
      <c r="S307" s="34"/>
      <c r="T307" s="34"/>
      <c r="U307" s="34"/>
      <c r="V307" s="34"/>
      <c r="W307" s="29"/>
      <c r="X307" s="28">
        <v>27</v>
      </c>
      <c r="Y307" s="28">
        <v>1</v>
      </c>
      <c r="Z307" s="28">
        <v>1</v>
      </c>
      <c r="AA307" s="28">
        <v>1</v>
      </c>
      <c r="AB307" s="28">
        <v>1</v>
      </c>
      <c r="AC307" s="28">
        <v>2</v>
      </c>
      <c r="AD307" s="28">
        <v>2</v>
      </c>
      <c r="AE307" s="28">
        <v>4</v>
      </c>
      <c r="AF307" s="28">
        <v>2</v>
      </c>
      <c r="AG307" s="28">
        <v>2</v>
      </c>
      <c r="AH307" s="29" t="s">
        <v>695</v>
      </c>
      <c r="AI307" s="36">
        <f>IF(OR(AND(K307&lt;32, J307&lt;2), O307=1, P307=1, Q307=1, R307=1, S307=1, T307=1, U307=1, AND(W307&lt;&gt;"", W307&lt;&gt;"Oxygen", W307&lt;&gt;"LowFlow")), "Intensive", "Intermediate")</f>
      </c>
      <c r="AJ307" s="37">
        <f>IF(OR(LEFT(AH307, 1)="X", LEFT(AH307, 1)="Y", LEFT(AH307, 3)="J47M"), "CUSM", "No Match")</f>
      </c>
      <c r="AK307" s="37">
        <f>IF(AND(OR(O307=3, P307=1, Q307=1, T307=1), AJ307="no Match"), "CUSM, CHU SJ, CHUQ", "")</f>
      </c>
      <c r="AL307" s="37">
        <f>IF(AND(O307=2, ISBLANK(P307), ISBLANK(Q307), ISBLANK(R307), ISBLANK(S307), ISBLANK(T307)), "CUSM, CHU SJ, CHUS, CHUQ", "")</f>
      </c>
      <c r="AM307" s="37">
        <f>IF(AND(AJ307="no match", AK307="", AL307="", K307&lt;26), "CUSM, CHU SJ, HGJ, CHUQ, CHUS", "")</f>
      </c>
      <c r="AN307" s="37">
        <f>IF(AND(AJ307="no match", AK307="", AL307="", K307&gt;26), "CUSM, CHU SJ, HGJ, CHUQ, CHUS, HMR", "")</f>
      </c>
    </row>
    <row x14ac:dyDescent="0.25" r="308" customHeight="1" ht="17.25">
      <c r="A308" s="27" t="s">
        <v>696</v>
      </c>
      <c r="B308" s="28">
        <v>2</v>
      </c>
      <c r="C308" s="28">
        <v>748</v>
      </c>
      <c r="D308" s="29" t="s">
        <v>145</v>
      </c>
      <c r="E308" s="30" t="s">
        <v>54</v>
      </c>
      <c r="F308" s="31">
        <v>44736</v>
      </c>
      <c r="G308" s="32">
        <v>4.576388888888889</v>
      </c>
      <c r="H308" s="31">
        <v>44734</v>
      </c>
      <c r="I308" s="32">
        <v>4.842361111111111</v>
      </c>
      <c r="J308" s="33">
        <f>F308-H308</f>
      </c>
      <c r="K308" s="28">
        <v>37</v>
      </c>
      <c r="L308" s="28">
        <v>1</v>
      </c>
      <c r="M308" s="28">
        <v>1</v>
      </c>
      <c r="N308" s="34"/>
      <c r="O308" s="34"/>
      <c r="P308" s="34"/>
      <c r="Q308" s="34"/>
      <c r="R308" s="34"/>
      <c r="S308" s="34"/>
      <c r="T308" s="34"/>
      <c r="U308" s="34"/>
      <c r="V308" s="34"/>
      <c r="W308" s="29"/>
      <c r="X308" s="28">
        <v>30</v>
      </c>
      <c r="Y308" s="28">
        <v>2</v>
      </c>
      <c r="Z308" s="28">
        <v>2</v>
      </c>
      <c r="AA308" s="28">
        <v>1</v>
      </c>
      <c r="AB308" s="28">
        <v>4</v>
      </c>
      <c r="AC308" s="28">
        <v>2</v>
      </c>
      <c r="AD308" s="28">
        <v>2</v>
      </c>
      <c r="AE308" s="28">
        <v>4</v>
      </c>
      <c r="AF308" s="35">
        <v>2</v>
      </c>
      <c r="AG308" s="28">
        <v>2</v>
      </c>
      <c r="AH308" s="29" t="s">
        <v>697</v>
      </c>
      <c r="AI308" s="36">
        <f>IF(OR(AND(K308&lt;32, J308&lt;2), O308=1, P308=1, Q308=1, R308=1, S308=1, T308=1, U308=1, AND(W308&lt;&gt;"", W308&lt;&gt;"Oxygen", W308&lt;&gt;"LowFlow")), "Intensive", "Intermediate")</f>
      </c>
      <c r="AJ308" s="37">
        <f>IF(OR(LEFT(AH308, 1)="X", LEFT(AH308, 1)="Y", LEFT(AH308, 3)="J48M"), "CUSM", "No Match")</f>
      </c>
      <c r="AK308" s="37">
        <f>IF(AND(OR(O308=3, P308=1, Q308=1, T308=1), AJ308="no Match"), "CUSM, CHU SJ, CHUQ", "")</f>
      </c>
      <c r="AL308" s="37">
        <f>IF(AND(O308=2, ISBLANK(P308), ISBLANK(Q308), ISBLANK(R308), ISBLANK(S308), ISBLANK(T308)), "CUSM, CHU SJ, CHUS, CHUQ", "")</f>
      </c>
      <c r="AM308" s="37">
        <f>IF(AND(AJ308="no match", AK308="", AL308="", K308&lt;26), "CUSM, CHU SJ, HGJ, CHUQ, CHUS", "")</f>
      </c>
      <c r="AN308" s="37">
        <f>IF(AND(AJ308="no match", AK308="", AL308="", K308&gt;26), "CUSM, CHU SJ, HGJ, CHUQ, CHUS, HMR", "")</f>
      </c>
    </row>
    <row x14ac:dyDescent="0.25" r="309" customHeight="1" ht="17.25">
      <c r="A309" s="27" t="s">
        <v>698</v>
      </c>
      <c r="B309" s="28">
        <v>2</v>
      </c>
      <c r="C309" s="35">
        <v>753</v>
      </c>
      <c r="D309" s="29" t="s">
        <v>699</v>
      </c>
      <c r="E309" s="30" t="s">
        <v>149</v>
      </c>
      <c r="F309" s="31">
        <v>44737</v>
      </c>
      <c r="G309" s="32">
        <v>4.513888888888889</v>
      </c>
      <c r="H309" s="31">
        <v>44737</v>
      </c>
      <c r="I309" s="32">
        <v>4.289583333333333</v>
      </c>
      <c r="J309" s="33">
        <f>F309-H309</f>
      </c>
      <c r="K309" s="28">
        <v>30</v>
      </c>
      <c r="L309" s="28">
        <v>0</v>
      </c>
      <c r="M309" s="28">
        <v>2</v>
      </c>
      <c r="N309" s="34"/>
      <c r="O309" s="34"/>
      <c r="P309" s="34"/>
      <c r="Q309" s="34"/>
      <c r="R309" s="34"/>
      <c r="S309" s="34"/>
      <c r="T309" s="34"/>
      <c r="U309" s="34"/>
      <c r="V309" s="34"/>
      <c r="W309" s="29" t="s">
        <v>74</v>
      </c>
      <c r="X309" s="28">
        <v>29</v>
      </c>
      <c r="Y309" s="28">
        <v>1</v>
      </c>
      <c r="Z309" s="28">
        <v>2</v>
      </c>
      <c r="AA309" s="28">
        <v>3</v>
      </c>
      <c r="AB309" s="28">
        <v>4</v>
      </c>
      <c r="AC309" s="28">
        <v>2</v>
      </c>
      <c r="AD309" s="28">
        <v>2</v>
      </c>
      <c r="AE309" s="28">
        <v>4</v>
      </c>
      <c r="AF309" s="28">
        <v>3</v>
      </c>
      <c r="AG309" s="28">
        <v>3</v>
      </c>
      <c r="AH309" s="29"/>
      <c r="AI309" s="36">
        <f>IF(OR(AND(K309&lt;32, J309&lt;2), O309=1, P309=1, Q309=1, R309=1, S309=1, T309=1, U309=1, AND(W309&lt;&gt;"", W309&lt;&gt;"Oxygen", W309&lt;&gt;"LowFlow")), "Intensive", "Intermediate")</f>
      </c>
      <c r="AJ309" s="37">
        <f>IF(OR(LEFT(AH309, 1)="X", LEFT(AH309, 1)="Y", LEFT(AH309, 3)="J49M"), "CUSM", "No Match")</f>
      </c>
      <c r="AK309" s="37">
        <f>IF(AND(OR(O309=3, P309=1, Q309=1, T309=1), AJ309="no Match"), "CUSM, CHU SJ, CHUQ", "")</f>
      </c>
      <c r="AL309" s="37">
        <f>IF(AND(O309=2, ISBLANK(P309), ISBLANK(Q309), ISBLANK(R309), ISBLANK(S309), ISBLANK(T309)), "CUSM, CHU SJ, CHUS, CHUQ", "")</f>
      </c>
      <c r="AM309" s="37">
        <f>IF(AND(AJ309="no match", AK309="", AL309="", K309&lt;26), "CUSM, CHU SJ, HGJ, CHUQ, CHUS", "")</f>
      </c>
      <c r="AN309" s="37">
        <f>IF(AND(AJ309="no match", AK309="", AL309="", K309&gt;26), "CUSM, CHU SJ, HGJ, CHUQ, CHUS, HMR", "")</f>
      </c>
    </row>
    <row x14ac:dyDescent="0.25" r="310" customHeight="1" ht="17.25">
      <c r="A310" s="27" t="s">
        <v>700</v>
      </c>
      <c r="B310" s="28">
        <v>2</v>
      </c>
      <c r="C310" s="35">
        <v>796</v>
      </c>
      <c r="D310" s="29" t="s">
        <v>63</v>
      </c>
      <c r="E310" s="30" t="s">
        <v>54</v>
      </c>
      <c r="F310" s="31">
        <v>44737</v>
      </c>
      <c r="G310" s="32">
        <v>4.541666666666666</v>
      </c>
      <c r="H310" s="31">
        <v>44737</v>
      </c>
      <c r="I310" s="32">
        <v>4.377083333333333</v>
      </c>
      <c r="J310" s="33">
        <f>F310-H310</f>
      </c>
      <c r="K310" s="28">
        <v>39</v>
      </c>
      <c r="L310" s="28">
        <v>3</v>
      </c>
      <c r="M310" s="28">
        <v>1</v>
      </c>
      <c r="N310" s="35">
        <v>1</v>
      </c>
      <c r="O310" s="34"/>
      <c r="P310" s="34"/>
      <c r="Q310" s="34"/>
      <c r="R310" s="34"/>
      <c r="S310" s="34"/>
      <c r="T310" s="34"/>
      <c r="U310" s="34"/>
      <c r="V310" s="34"/>
      <c r="W310" s="29"/>
      <c r="X310" s="28">
        <v>21</v>
      </c>
      <c r="Y310" s="28">
        <v>1</v>
      </c>
      <c r="Z310" s="28">
        <v>1</v>
      </c>
      <c r="AA310" s="28">
        <v>2</v>
      </c>
      <c r="AB310" s="28">
        <v>2</v>
      </c>
      <c r="AC310" s="28">
        <v>2</v>
      </c>
      <c r="AD310" s="28">
        <v>2</v>
      </c>
      <c r="AE310" s="28">
        <v>4</v>
      </c>
      <c r="AF310" s="35">
        <v>2</v>
      </c>
      <c r="AG310" s="28">
        <v>2</v>
      </c>
      <c r="AH310" s="29" t="s">
        <v>701</v>
      </c>
      <c r="AI310" s="36">
        <f>IF(OR(AND(K310&lt;32, J310&lt;2), O310=1, P310=1, Q310=1, R310=1, S310=1, T310=1, U310=1, AND(W310&lt;&gt;"", W310&lt;&gt;"Oxygen", W310&lt;&gt;"LowFlow")), "Intensive", "Intermediate")</f>
      </c>
      <c r="AJ310" s="37">
        <f>IF(OR(LEFT(AH310, 1)="X", LEFT(AH310, 1)="Y", LEFT(AH310, 3)="J50M"), "CUSM", "No Match")</f>
      </c>
      <c r="AK310" s="37">
        <f>IF(AND(OR(O310=3, P310=1, Q310=1, T310=1), AJ310="no Match"), "CUSM, CHU SJ, CHUQ", "")</f>
      </c>
      <c r="AL310" s="37">
        <f>IF(AND(O310=2, ISBLANK(P310), ISBLANK(Q310), ISBLANK(R310), ISBLANK(S310), ISBLANK(T310)), "CUSM, CHU SJ, CHUS, CHUQ", "")</f>
      </c>
      <c r="AM310" s="37">
        <f>IF(AND(AJ310="no match", AK310="", AL310="", K310&lt;26), "CUSM, CHU SJ, HGJ, CHUQ, CHUS", "")</f>
      </c>
      <c r="AN310" s="37">
        <f>IF(AND(AJ310="no match", AK310="", AL310="", K310&gt;26), "CUSM, CHU SJ, HGJ, CHUQ, CHUS, HMR", "")</f>
      </c>
    </row>
    <row x14ac:dyDescent="0.25" r="311" customHeight="1" ht="17.25">
      <c r="A311" s="27" t="s">
        <v>702</v>
      </c>
      <c r="B311" s="28">
        <v>2</v>
      </c>
      <c r="C311" s="28">
        <v>782</v>
      </c>
      <c r="D311" s="29" t="s">
        <v>95</v>
      </c>
      <c r="E311" s="30" t="s">
        <v>50</v>
      </c>
      <c r="F311" s="31">
        <v>44737</v>
      </c>
      <c r="G311" s="32">
        <v>4.895833333333334</v>
      </c>
      <c r="H311" s="31">
        <v>44737</v>
      </c>
      <c r="I311" s="32">
        <v>4.754861111111111</v>
      </c>
      <c r="J311" s="33">
        <f>F311-H311</f>
      </c>
      <c r="K311" s="28">
        <v>33</v>
      </c>
      <c r="L311" s="28">
        <v>2</v>
      </c>
      <c r="M311" s="28">
        <v>1</v>
      </c>
      <c r="N311" s="38"/>
      <c r="O311" s="34"/>
      <c r="P311" s="38"/>
      <c r="Q311" s="34"/>
      <c r="R311" s="34"/>
      <c r="S311" s="34"/>
      <c r="T311" s="38"/>
      <c r="U311" s="38"/>
      <c r="V311" s="38"/>
      <c r="W311" s="29" t="s">
        <v>58</v>
      </c>
      <c r="X311" s="28">
        <v>29</v>
      </c>
      <c r="Y311" s="28">
        <v>1</v>
      </c>
      <c r="Z311" s="28">
        <v>1</v>
      </c>
      <c r="AA311" s="28">
        <v>1</v>
      </c>
      <c r="AB311" s="28">
        <v>1</v>
      </c>
      <c r="AC311" s="28">
        <v>2</v>
      </c>
      <c r="AD311" s="28">
        <v>2</v>
      </c>
      <c r="AE311" s="28">
        <v>4</v>
      </c>
      <c r="AF311" s="35">
        <v>2</v>
      </c>
      <c r="AG311" s="28">
        <v>2</v>
      </c>
      <c r="AH311" s="29" t="s">
        <v>703</v>
      </c>
      <c r="AI311" s="36">
        <f>IF(OR(AND(K311&lt;32, J311&lt;2), O311=1, P311=1, Q311=1, R311=1, S311=1, T311=1, U311=1, AND(W311&lt;&gt;"", W311&lt;&gt;"Oxygen", W311&lt;&gt;"LowFlow")), "Intensive", "Intermediate")</f>
      </c>
      <c r="AJ311" s="37">
        <f>IF(OR(LEFT(AH311, 1)="X", LEFT(AH311, 1)="Y", LEFT(AH311, 3)="J51M"), "CUSM", "No Match")</f>
      </c>
      <c r="AK311" s="37">
        <f>IF(AND(OR(O311=3, P311=1, Q311=1, T311=1), AJ311="no Match"), "CUSM, CHU SJ, CHUQ", "")</f>
      </c>
      <c r="AL311" s="37">
        <f>IF(AND(O311=2, ISBLANK(P311), ISBLANK(Q311), ISBLANK(R311), ISBLANK(S311), ISBLANK(T311)), "CUSM, CHU SJ, CHUS, CHUQ", "")</f>
      </c>
      <c r="AM311" s="37">
        <f>IF(AND(AJ311="no match", AK311="", AL311="", K311&lt;26), "CUSM, CHU SJ, HGJ, CHUQ, CHUS", "")</f>
      </c>
      <c r="AN311" s="37">
        <f>IF(AND(AJ311="no match", AK311="", AL311="", K311&gt;26), "CUSM, CHU SJ, HGJ, CHUQ, CHUS, HMR", "")</f>
      </c>
    </row>
    <row x14ac:dyDescent="0.25" r="312" customHeight="1" ht="17.25">
      <c r="A312" s="27" t="s">
        <v>704</v>
      </c>
      <c r="B312" s="28">
        <v>2</v>
      </c>
      <c r="C312" s="35">
        <v>817</v>
      </c>
      <c r="D312" s="29" t="s">
        <v>163</v>
      </c>
      <c r="E312" s="30" t="s">
        <v>54</v>
      </c>
      <c r="F312" s="31">
        <v>44738</v>
      </c>
      <c r="G312" s="32">
        <v>4.78125</v>
      </c>
      <c r="H312" s="31">
        <v>44736</v>
      </c>
      <c r="I312" s="32">
        <v>4.742361111111111</v>
      </c>
      <c r="J312" s="33">
        <f>F312-H312</f>
      </c>
      <c r="K312" s="28">
        <v>40</v>
      </c>
      <c r="L312" s="28">
        <v>5</v>
      </c>
      <c r="M312" s="28">
        <v>1</v>
      </c>
      <c r="N312" s="35">
        <v>1</v>
      </c>
      <c r="O312" s="34"/>
      <c r="P312" s="35">
        <v>1</v>
      </c>
      <c r="Q312" s="34"/>
      <c r="R312" s="34"/>
      <c r="S312" s="34"/>
      <c r="T312" s="34"/>
      <c r="U312" s="34"/>
      <c r="V312" s="34"/>
      <c r="W312" s="29"/>
      <c r="X312" s="28">
        <v>39</v>
      </c>
      <c r="Y312" s="28">
        <v>1</v>
      </c>
      <c r="Z312" s="28">
        <v>1</v>
      </c>
      <c r="AA312" s="28">
        <v>2</v>
      </c>
      <c r="AB312" s="28">
        <v>1</v>
      </c>
      <c r="AC312" s="28">
        <v>2</v>
      </c>
      <c r="AD312" s="28">
        <v>2</v>
      </c>
      <c r="AE312" s="28">
        <v>4</v>
      </c>
      <c r="AF312" s="28">
        <v>2</v>
      </c>
      <c r="AG312" s="28">
        <v>2</v>
      </c>
      <c r="AH312" s="29" t="s">
        <v>705</v>
      </c>
      <c r="AI312" s="36">
        <f>IF(OR(AND(K312&lt;32, J312&lt;2), O312=1, P312=1, Q312=1, R312=1, S312=1, T312=1, U312=1, AND(W312&lt;&gt;"", W312&lt;&gt;"Oxygen", W312&lt;&gt;"LowFlow")), "Intensive", "Intermediate")</f>
      </c>
      <c r="AJ312" s="37">
        <f>IF(OR(LEFT(AH312, 1)="X", LEFT(AH312, 1)="Y", LEFT(AH312, 3)="J52M"), "CUSM", "No Match")</f>
      </c>
      <c r="AK312" s="37">
        <f>IF(AND(OR(O312=3, P312=1, Q312=1, T312=1), AJ312="no Match"), "CUSM, CHU SJ, CHUQ", "")</f>
      </c>
      <c r="AL312" s="37">
        <f>IF(AND(O312=2, ISBLANK(P312), ISBLANK(Q312), ISBLANK(R312), ISBLANK(S312), ISBLANK(T312)), "CUSM, CHU SJ, CHUS, CHUQ", "")</f>
      </c>
      <c r="AM312" s="37">
        <f>IF(AND(AJ312="no match", AK312="", AL312="", K312&lt;26), "CUSM, CHU SJ, HGJ, CHUQ, CHUS", "")</f>
      </c>
      <c r="AN312" s="37">
        <f>IF(AND(AJ312="no match", AK312="", AL312="", K312&gt;26), "CUSM, CHU SJ, HGJ, CHUQ, CHUS, HMR", "")</f>
      </c>
    </row>
    <row x14ac:dyDescent="0.25" r="313" customHeight="1" ht="17.25">
      <c r="A313" s="27" t="s">
        <v>706</v>
      </c>
      <c r="B313" s="28">
        <v>2</v>
      </c>
      <c r="C313" s="35">
        <v>756</v>
      </c>
      <c r="D313" s="29" t="s">
        <v>66</v>
      </c>
      <c r="E313" s="30" t="s">
        <v>50</v>
      </c>
      <c r="F313" s="31">
        <v>44738</v>
      </c>
      <c r="G313" s="32">
        <v>4.4375</v>
      </c>
      <c r="H313" s="31">
        <v>44738</v>
      </c>
      <c r="I313" s="32">
        <v>4.24375</v>
      </c>
      <c r="J313" s="33">
        <f>F313-H313</f>
      </c>
      <c r="K313" s="28">
        <v>32</v>
      </c>
      <c r="L313" s="28">
        <v>0</v>
      </c>
      <c r="M313" s="28">
        <v>1</v>
      </c>
      <c r="N313" s="35">
        <v>1</v>
      </c>
      <c r="O313" s="35">
        <v>2</v>
      </c>
      <c r="P313" s="35">
        <v>1</v>
      </c>
      <c r="Q313" s="34"/>
      <c r="R313" s="34"/>
      <c r="S313" s="34"/>
      <c r="T313" s="34"/>
      <c r="U313" s="34"/>
      <c r="V313" s="34"/>
      <c r="W313" s="29" t="s">
        <v>58</v>
      </c>
      <c r="X313" s="28">
        <v>31</v>
      </c>
      <c r="Y313" s="28">
        <v>1</v>
      </c>
      <c r="Z313" s="28">
        <v>1</v>
      </c>
      <c r="AA313" s="28">
        <v>1</v>
      </c>
      <c r="AB313" s="28">
        <v>1</v>
      </c>
      <c r="AC313" s="28">
        <v>2</v>
      </c>
      <c r="AD313" s="28">
        <v>2</v>
      </c>
      <c r="AE313" s="28">
        <v>4</v>
      </c>
      <c r="AF313" s="35">
        <v>2</v>
      </c>
      <c r="AG313" s="28">
        <v>2</v>
      </c>
      <c r="AH313" s="29" t="s">
        <v>707</v>
      </c>
      <c r="AI313" s="36">
        <f>IF(OR(AND(K313&lt;32, J313&lt;2), O313=1, P313=1, Q313=1, R313=1, S313=1, T313=1, U313=1, AND(W313&lt;&gt;"", W313&lt;&gt;"Oxygen", W313&lt;&gt;"LowFlow")), "Intensive", "Intermediate")</f>
      </c>
      <c r="AJ313" s="37">
        <f>IF(OR(LEFT(AH313, 1)="X", LEFT(AH313, 1)="Y", LEFT(AH313, 3)="J53M"), "CUSM", "No Match")</f>
      </c>
      <c r="AK313" s="37">
        <f>IF(AND(OR(O313=3, P313=1, Q313=1, T313=1), AJ313="no Match"), "CUSM, CHU SJ, CHUQ", "")</f>
      </c>
      <c r="AL313" s="37">
        <f>IF(AND(O313=2, ISBLANK(P313), ISBLANK(Q313), ISBLANK(R313), ISBLANK(S313), ISBLANK(T313)), "CUSM, CHU SJ, CHUS, CHUQ", "")</f>
      </c>
      <c r="AM313" s="37">
        <f>IF(AND(AJ313="no match", AK313="", AL313="", K313&lt;26), "CUSM, CHU SJ, HGJ, CHUQ, CHUS", "")</f>
      </c>
      <c r="AN313" s="37">
        <f>IF(AND(AJ313="no match", AK313="", AL313="", K313&gt;26), "CUSM, CHU SJ, HGJ, CHUQ, CHUS, HMR", "")</f>
      </c>
    </row>
    <row x14ac:dyDescent="0.25" r="314" customHeight="1" ht="17.25">
      <c r="A314" s="27" t="s">
        <v>708</v>
      </c>
      <c r="B314" s="28">
        <v>2</v>
      </c>
      <c r="C314" s="35">
        <v>779</v>
      </c>
      <c r="D314" s="29" t="s">
        <v>136</v>
      </c>
      <c r="E314" s="30" t="s">
        <v>54</v>
      </c>
      <c r="F314" s="31">
        <v>44739</v>
      </c>
      <c r="G314" s="32">
        <v>4.8125</v>
      </c>
      <c r="H314" s="31">
        <v>44739</v>
      </c>
      <c r="I314" s="32">
        <v>4.466666666666667</v>
      </c>
      <c r="J314" s="33">
        <f>F314-H314</f>
      </c>
      <c r="K314" s="28">
        <v>32</v>
      </c>
      <c r="L314" s="28">
        <v>5</v>
      </c>
      <c r="M314" s="28">
        <v>1</v>
      </c>
      <c r="N314" s="34"/>
      <c r="O314" s="34"/>
      <c r="P314" s="34"/>
      <c r="Q314" s="34"/>
      <c r="R314" s="34"/>
      <c r="S314" s="34"/>
      <c r="T314" s="34"/>
      <c r="U314" s="34"/>
      <c r="V314" s="34"/>
      <c r="W314" s="29" t="s">
        <v>74</v>
      </c>
      <c r="X314" s="28">
        <v>37</v>
      </c>
      <c r="Y314" s="28">
        <v>1</v>
      </c>
      <c r="Z314" s="28">
        <v>1</v>
      </c>
      <c r="AA314" s="28">
        <v>1</v>
      </c>
      <c r="AB314" s="28">
        <v>3</v>
      </c>
      <c r="AC314" s="28">
        <v>2</v>
      </c>
      <c r="AD314" s="28">
        <v>2</v>
      </c>
      <c r="AE314" s="28">
        <v>4</v>
      </c>
      <c r="AF314" s="28">
        <v>3</v>
      </c>
      <c r="AG314" s="28">
        <v>2</v>
      </c>
      <c r="AH314" s="29" t="s">
        <v>709</v>
      </c>
      <c r="AI314" s="36">
        <f>IF(OR(AND(K314&lt;32, J314&lt;2), O314=1, P314=1, Q314=1, R314=1, S314=1, T314=1, U314=1, AND(W314&lt;&gt;"", W314&lt;&gt;"Oxygen", W314&lt;&gt;"LowFlow")), "Intensive", "Intermediate")</f>
      </c>
      <c r="AJ314" s="37">
        <f>IF(OR(LEFT(AH314, 1)="X", LEFT(AH314, 1)="Y", LEFT(AH314, 3)="J54M"), "CUSM", "No Match")</f>
      </c>
      <c r="AK314" s="37">
        <f>IF(AND(OR(O314=3, P314=1, Q314=1, T314=1), AJ314="no Match"), "CUSM, CHU SJ, CHUQ", "")</f>
      </c>
      <c r="AL314" s="37">
        <f>IF(AND(O314=2, ISBLANK(P314), ISBLANK(Q314), ISBLANK(R314), ISBLANK(S314), ISBLANK(T314)), "CUSM, CHU SJ, CHUS, CHUQ", "")</f>
      </c>
      <c r="AM314" s="37">
        <f>IF(AND(AJ314="no match", AK314="", AL314="", K314&lt;26), "CUSM, CHU SJ, HGJ, CHUQ, CHUS", "")</f>
      </c>
      <c r="AN314" s="37">
        <f>IF(AND(AJ314="no match", AK314="", AL314="", K314&gt;26), "CUSM, CHU SJ, HGJ, CHUQ, CHUS, HMR", "")</f>
      </c>
    </row>
    <row x14ac:dyDescent="0.25" r="315" customHeight="1" ht="17.25">
      <c r="A315" s="27" t="s">
        <v>710</v>
      </c>
      <c r="B315" s="28">
        <v>2</v>
      </c>
      <c r="C315" s="28">
        <v>822</v>
      </c>
      <c r="D315" s="29" t="s">
        <v>167</v>
      </c>
      <c r="E315" s="30" t="s">
        <v>50</v>
      </c>
      <c r="F315" s="31">
        <v>44740</v>
      </c>
      <c r="G315" s="32">
        <v>4.958333333333334</v>
      </c>
      <c r="H315" s="31">
        <v>44740</v>
      </c>
      <c r="I315" s="32">
        <v>4.8277777777777775</v>
      </c>
      <c r="J315" s="33">
        <f>F315-H315</f>
      </c>
      <c r="K315" s="28">
        <v>39</v>
      </c>
      <c r="L315" s="28">
        <v>0</v>
      </c>
      <c r="M315" s="28">
        <v>1</v>
      </c>
      <c r="N315" s="34"/>
      <c r="O315" s="34"/>
      <c r="P315" s="34"/>
      <c r="Q315" s="34"/>
      <c r="R315" s="34"/>
      <c r="S315" s="34"/>
      <c r="T315" s="34"/>
      <c r="U315" s="34"/>
      <c r="V315" s="34"/>
      <c r="W315" s="29" t="s">
        <v>58</v>
      </c>
      <c r="X315" s="28">
        <v>29</v>
      </c>
      <c r="Y315" s="28">
        <v>1</v>
      </c>
      <c r="Z315" s="28">
        <v>1</v>
      </c>
      <c r="AA315" s="28">
        <v>2</v>
      </c>
      <c r="AB315" s="28">
        <v>1</v>
      </c>
      <c r="AC315" s="28">
        <v>2</v>
      </c>
      <c r="AD315" s="28">
        <v>1</v>
      </c>
      <c r="AE315" s="28">
        <v>4</v>
      </c>
      <c r="AF315" s="28">
        <v>2</v>
      </c>
      <c r="AG315" s="28">
        <v>2</v>
      </c>
      <c r="AH315" s="29" t="s">
        <v>711</v>
      </c>
      <c r="AI315" s="36">
        <f>IF(OR(AND(K315&lt;32, J315&lt;2), O315=1, P315=1, Q315=1, R315=1, S315=1, T315=1, U315=1, AND(W315&lt;&gt;"", W315&lt;&gt;"Oxygen", W315&lt;&gt;"LowFlow")), "Intensive", "Intermediate")</f>
      </c>
      <c r="AJ315" s="37">
        <f>IF(OR(LEFT(AH315, 1)="X", LEFT(AH315, 1)="Y", LEFT(AH315, 3)="J55M"), "CUSM", "No Match")</f>
      </c>
      <c r="AK315" s="37">
        <f>IF(AND(OR(O315=3, P315=1, Q315=1, T315=1), AJ315="no Match"), "CUSM, CHU SJ, CHUQ", "")</f>
      </c>
      <c r="AL315" s="37">
        <f>IF(AND(O315=2, ISBLANK(P315), ISBLANK(Q315), ISBLANK(R315), ISBLANK(S315), ISBLANK(T315)), "CUSM, CHU SJ, CHUS, CHUQ", "")</f>
      </c>
      <c r="AM315" s="37">
        <f>IF(AND(AJ315="no match", AK315="", AL315="", K315&lt;26), "CUSM, CHU SJ, HGJ, CHUQ, CHUS", "")</f>
      </c>
      <c r="AN315" s="37">
        <f>IF(AND(AJ315="no match", AK315="", AL315="", K315&gt;26), "CUSM, CHU SJ, HGJ, CHUQ, CHUS, HMR", "")</f>
      </c>
    </row>
    <row x14ac:dyDescent="0.25" r="316" customHeight="1" ht="17.25">
      <c r="A316" s="27" t="s">
        <v>712</v>
      </c>
      <c r="B316" s="28">
        <v>2</v>
      </c>
      <c r="C316" s="35">
        <v>815</v>
      </c>
      <c r="D316" s="29" t="s">
        <v>100</v>
      </c>
      <c r="E316" s="30" t="s">
        <v>54</v>
      </c>
      <c r="F316" s="31">
        <v>44741</v>
      </c>
      <c r="G316" s="32">
        <v>4.822916666666666</v>
      </c>
      <c r="H316" s="31">
        <v>44740</v>
      </c>
      <c r="I316" s="32">
        <v>4.579166666666667</v>
      </c>
      <c r="J316" s="33">
        <f>F316-H316</f>
      </c>
      <c r="K316" s="28">
        <v>37</v>
      </c>
      <c r="L316" s="28">
        <v>2</v>
      </c>
      <c r="M316" s="28">
        <v>1</v>
      </c>
      <c r="N316" s="34"/>
      <c r="O316" s="38"/>
      <c r="P316" s="34"/>
      <c r="Q316" s="34"/>
      <c r="R316" s="34"/>
      <c r="S316" s="38"/>
      <c r="T316" s="34"/>
      <c r="U316" s="34"/>
      <c r="V316" s="34"/>
      <c r="W316" s="29" t="s">
        <v>58</v>
      </c>
      <c r="X316" s="28">
        <v>35</v>
      </c>
      <c r="Y316" s="28">
        <v>1</v>
      </c>
      <c r="Z316" s="28">
        <v>1</v>
      </c>
      <c r="AA316" s="28">
        <v>2</v>
      </c>
      <c r="AB316" s="28">
        <v>1</v>
      </c>
      <c r="AC316" s="28">
        <v>2</v>
      </c>
      <c r="AD316" s="28">
        <v>2</v>
      </c>
      <c r="AE316" s="28">
        <v>4</v>
      </c>
      <c r="AF316" s="28">
        <v>2</v>
      </c>
      <c r="AG316" s="28">
        <v>2</v>
      </c>
      <c r="AH316" s="29" t="s">
        <v>713</v>
      </c>
      <c r="AI316" s="36">
        <f>IF(OR(AND(K316&lt;32, J316&lt;2), O316=1, P316=1, Q316=1, R316=1, S316=1, T316=1, U316=1, AND(W316&lt;&gt;"", W316&lt;&gt;"Oxygen", W316&lt;&gt;"LowFlow")), "Intensive", "Intermediate")</f>
      </c>
      <c r="AJ316" s="37">
        <f>IF(OR(LEFT(AH316, 1)="X", LEFT(AH316, 1)="Y", LEFT(AH316, 3)="J56M"), "CUSM", "No Match")</f>
      </c>
      <c r="AK316" s="37">
        <f>IF(AND(OR(O316=3, P316=1, Q316=1, T316=1), AJ316="no Match"), "CUSM, CHU SJ, CHUQ", "")</f>
      </c>
      <c r="AL316" s="37">
        <f>IF(AND(O316=2, ISBLANK(P316), ISBLANK(Q316), ISBLANK(R316), ISBLANK(S316), ISBLANK(T316)), "CUSM, CHU SJ, CHUS, CHUQ", "")</f>
      </c>
      <c r="AM316" s="37">
        <f>IF(AND(AJ316="no match", AK316="", AL316="", K316&lt;26), "CUSM, CHU SJ, HGJ, CHUQ, CHUS", "")</f>
      </c>
      <c r="AN316" s="37">
        <f>IF(AND(AJ316="no match", AK316="", AL316="", K316&gt;26), "CUSM, CHU SJ, HGJ, CHUQ, CHUS, HMR", "")</f>
      </c>
    </row>
    <row x14ac:dyDescent="0.25" r="317" customHeight="1" ht="17.25">
      <c r="A317" s="27" t="s">
        <v>714</v>
      </c>
      <c r="B317" s="28">
        <v>2</v>
      </c>
      <c r="C317" s="35">
        <v>822</v>
      </c>
      <c r="D317" s="29" t="s">
        <v>167</v>
      </c>
      <c r="E317" s="30" t="s">
        <v>50</v>
      </c>
      <c r="F317" s="31">
        <v>44741</v>
      </c>
      <c r="G317" s="32">
        <v>4.090277777777778</v>
      </c>
      <c r="H317" s="31">
        <v>44739</v>
      </c>
      <c r="I317" s="32">
        <v>4.644444444444444</v>
      </c>
      <c r="J317" s="33">
        <f>F317-H317</f>
      </c>
      <c r="K317" s="28">
        <v>40</v>
      </c>
      <c r="L317" s="28">
        <v>1</v>
      </c>
      <c r="M317" s="28">
        <v>1</v>
      </c>
      <c r="N317" s="34"/>
      <c r="O317" s="34"/>
      <c r="P317" s="34"/>
      <c r="Q317" s="34"/>
      <c r="R317" s="34"/>
      <c r="S317" s="34"/>
      <c r="T317" s="34"/>
      <c r="U317" s="34"/>
      <c r="V317" s="34"/>
      <c r="W317" s="29"/>
      <c r="X317" s="28">
        <v>27</v>
      </c>
      <c r="Y317" s="28">
        <v>1</v>
      </c>
      <c r="Z317" s="28">
        <v>1</v>
      </c>
      <c r="AA317" s="28">
        <v>2</v>
      </c>
      <c r="AB317" s="28">
        <v>1</v>
      </c>
      <c r="AC317" s="28">
        <v>2</v>
      </c>
      <c r="AD317" s="28">
        <v>2</v>
      </c>
      <c r="AE317" s="28">
        <v>4</v>
      </c>
      <c r="AF317" s="28">
        <v>2</v>
      </c>
      <c r="AG317" s="28">
        <v>2</v>
      </c>
      <c r="AH317" s="29" t="s">
        <v>715</v>
      </c>
      <c r="AI317" s="36">
        <f>IF(OR(AND(K317&lt;32, J317&lt;2), O317=1, P317=1, Q317=1, R317=1, S317=1, T317=1, U317=1, AND(W317&lt;&gt;"", W317&lt;&gt;"Oxygen", W317&lt;&gt;"LowFlow")), "Intensive", "Intermediate")</f>
      </c>
      <c r="AJ317" s="37">
        <f>IF(OR(LEFT(AH317, 1)="X", LEFT(AH317, 1)="Y", LEFT(AH317, 3)="J57M"), "CUSM", "No Match")</f>
      </c>
      <c r="AK317" s="37">
        <f>IF(AND(OR(O317=3, P317=1, Q317=1, T317=1), AJ317="no Match"), "CUSM, CHU SJ, CHUQ", "")</f>
      </c>
      <c r="AL317" s="37">
        <f>IF(AND(O317=2, ISBLANK(P317), ISBLANK(Q317), ISBLANK(R317), ISBLANK(S317), ISBLANK(T317)), "CUSM, CHU SJ, CHUS, CHUQ", "")</f>
      </c>
      <c r="AM317" s="37">
        <f>IF(AND(AJ317="no match", AK317="", AL317="", K317&lt;26), "CUSM, CHU SJ, HGJ, CHUQ, CHUS", "")</f>
      </c>
      <c r="AN317" s="37">
        <f>IF(AND(AJ317="no match", AK317="", AL317="", K317&gt;26), "CUSM, CHU SJ, HGJ, CHUQ, CHUS, HMR", "")</f>
      </c>
    </row>
    <row x14ac:dyDescent="0.25" r="318" customHeight="1" ht="17.25">
      <c r="A318" s="27" t="s">
        <v>716</v>
      </c>
      <c r="B318" s="28">
        <v>2</v>
      </c>
      <c r="C318" s="35">
        <v>6</v>
      </c>
      <c r="D318" s="29" t="s">
        <v>131</v>
      </c>
      <c r="E318" s="30" t="s">
        <v>50</v>
      </c>
      <c r="F318" s="31">
        <v>44741</v>
      </c>
      <c r="G318" s="32">
        <v>4.072916666666666</v>
      </c>
      <c r="H318" s="31">
        <v>44738</v>
      </c>
      <c r="I318" s="32">
        <v>4.56875</v>
      </c>
      <c r="J318" s="33">
        <f>F318-H318</f>
      </c>
      <c r="K318" s="28">
        <v>40</v>
      </c>
      <c r="L318" s="28">
        <v>0</v>
      </c>
      <c r="M318" s="28">
        <v>2</v>
      </c>
      <c r="N318" s="34"/>
      <c r="O318" s="34"/>
      <c r="P318" s="34"/>
      <c r="Q318" s="34"/>
      <c r="R318" s="34"/>
      <c r="S318" s="34"/>
      <c r="T318" s="34"/>
      <c r="U318" s="34"/>
      <c r="V318" s="34"/>
      <c r="W318" s="29"/>
      <c r="X318" s="28">
        <v>37</v>
      </c>
      <c r="Y318" s="28">
        <v>1</v>
      </c>
      <c r="Z318" s="28">
        <v>1</v>
      </c>
      <c r="AA318" s="28">
        <v>3</v>
      </c>
      <c r="AB318" s="28">
        <v>4</v>
      </c>
      <c r="AC318" s="28">
        <v>2</v>
      </c>
      <c r="AD318" s="28">
        <v>2</v>
      </c>
      <c r="AE318" s="28">
        <v>4</v>
      </c>
      <c r="AF318" s="28">
        <v>3</v>
      </c>
      <c r="AG318" s="28">
        <v>3</v>
      </c>
      <c r="AH318" s="29" t="s">
        <v>717</v>
      </c>
      <c r="AI318" s="36">
        <f>IF(OR(AND(K318&lt;32, J318&lt;2), O318=1, P318=1, Q318=1, R318=1, S318=1, T318=1, U318=1, AND(W318&lt;&gt;"", W318&lt;&gt;"Oxygen", W318&lt;&gt;"LowFlow")), "Intensive", "Intermediate")</f>
      </c>
      <c r="AJ318" s="37">
        <f>IF(OR(LEFT(AH318, 1)="X", LEFT(AH318, 1)="Y", LEFT(AH318, 3)="J58M"), "CUSM", "No Match")</f>
      </c>
      <c r="AK318" s="37">
        <f>IF(AND(OR(O318=3, P318=1, Q318=1, T318=1), AJ318="no Match"), "CUSM, CHU SJ, CHUQ", "")</f>
      </c>
      <c r="AL318" s="37">
        <f>IF(AND(O318=2, ISBLANK(P318), ISBLANK(Q318), ISBLANK(R318), ISBLANK(S318), ISBLANK(T318)), "CUSM, CHU SJ, CHUS, CHUQ", "")</f>
      </c>
      <c r="AM318" s="37">
        <f>IF(AND(AJ318="no match", AK318="", AL318="", K318&lt;26), "CUSM, CHU SJ, HGJ, CHUQ, CHUS", "")</f>
      </c>
      <c r="AN318" s="37">
        <f>IF(AND(AJ318="no match", AK318="", AL318="", K318&gt;26), "CUSM, CHU SJ, HGJ, CHUQ, CHUS, HMR", "")</f>
      </c>
    </row>
    <row x14ac:dyDescent="0.25" r="319" customHeight="1" ht="17.25">
      <c r="A319" s="27" t="s">
        <v>718</v>
      </c>
      <c r="B319" s="28">
        <v>2</v>
      </c>
      <c r="C319" s="35">
        <v>828</v>
      </c>
      <c r="D319" s="29" t="s">
        <v>518</v>
      </c>
      <c r="E319" s="30" t="s">
        <v>50</v>
      </c>
      <c r="F319" s="31">
        <v>44743</v>
      </c>
      <c r="G319" s="32">
        <v>4.131944444444445</v>
      </c>
      <c r="H319" s="31">
        <v>44742</v>
      </c>
      <c r="I319" s="32">
        <v>4.792361111111111</v>
      </c>
      <c r="J319" s="33">
        <f>F319-H319</f>
      </c>
      <c r="K319" s="28">
        <v>39</v>
      </c>
      <c r="L319" s="28">
        <v>4</v>
      </c>
      <c r="M319" s="28">
        <v>2</v>
      </c>
      <c r="N319" s="34"/>
      <c r="O319" s="34"/>
      <c r="P319" s="34"/>
      <c r="Q319" s="34"/>
      <c r="R319" s="34"/>
      <c r="S319" s="34"/>
      <c r="T319" s="34"/>
      <c r="U319" s="34"/>
      <c r="V319" s="34"/>
      <c r="W319" s="29"/>
      <c r="X319" s="28">
        <v>35</v>
      </c>
      <c r="Y319" s="28">
        <v>1</v>
      </c>
      <c r="Z319" s="28">
        <v>2</v>
      </c>
      <c r="AA319" s="28">
        <v>1</v>
      </c>
      <c r="AB319" s="28">
        <v>1</v>
      </c>
      <c r="AC319" s="28">
        <v>1</v>
      </c>
      <c r="AD319" s="28">
        <v>1</v>
      </c>
      <c r="AE319" s="28">
        <v>4</v>
      </c>
      <c r="AF319" s="28">
        <v>3</v>
      </c>
      <c r="AG319" s="28">
        <v>2</v>
      </c>
      <c r="AH319" s="29" t="s">
        <v>719</v>
      </c>
      <c r="AI319" s="36">
        <f>IF(OR(AND(K319&lt;32, J319&lt;2), O319=1, P319=1, Q319=1, R319=1, S319=1, T319=1, U319=1, AND(W319&lt;&gt;"", W319&lt;&gt;"Oxygen", W319&lt;&gt;"LowFlow")), "Intensive", "Intermediate")</f>
      </c>
      <c r="AJ319" s="37">
        <f>IF(OR(LEFT(AH319, 1)="X", LEFT(AH319, 1)="Y", LEFT(AH319, 3)="J59M"), "CUSM", "No Match")</f>
      </c>
      <c r="AK319" s="37">
        <f>IF(AND(OR(O319=3, P319=1, Q319=1, T319=1), AJ319="no Match"), "CUSM, CHU SJ, CHUQ", "")</f>
      </c>
      <c r="AL319" s="37">
        <f>IF(AND(O319=2, ISBLANK(P319), ISBLANK(Q319), ISBLANK(R319), ISBLANK(S319), ISBLANK(T319)), "CUSM, CHU SJ, CHUS, CHUQ", "")</f>
      </c>
      <c r="AM319" s="37">
        <f>IF(AND(AJ319="no match", AK319="", AL319="", K319&lt;26), "CUSM, CHU SJ, HGJ, CHUQ, CHUS", "")</f>
      </c>
      <c r="AN319" s="37">
        <f>IF(AND(AJ319="no match", AK319="", AL319="", K319&gt;26), "CUSM, CHU SJ, HGJ, CHUQ, CHUS, HMR", "")</f>
      </c>
    </row>
    <row x14ac:dyDescent="0.25" r="320" customHeight="1" ht="17.25">
      <c r="A320" s="27" t="s">
        <v>720</v>
      </c>
      <c r="B320" s="28">
        <v>2</v>
      </c>
      <c r="C320" s="35">
        <v>737</v>
      </c>
      <c r="D320" s="29" t="s">
        <v>202</v>
      </c>
      <c r="E320" s="30" t="s">
        <v>54</v>
      </c>
      <c r="F320" s="31">
        <v>44744</v>
      </c>
      <c r="G320" s="32">
        <v>4.416666666666666</v>
      </c>
      <c r="H320" s="31">
        <v>44744</v>
      </c>
      <c r="I320" s="32">
        <v>4.371527777777778</v>
      </c>
      <c r="J320" s="33">
        <f>F320-H320</f>
      </c>
      <c r="K320" s="28">
        <v>28</v>
      </c>
      <c r="L320" s="28">
        <v>3</v>
      </c>
      <c r="M320" s="28">
        <v>1</v>
      </c>
      <c r="N320" s="34"/>
      <c r="O320" s="34"/>
      <c r="P320" s="34"/>
      <c r="Q320" s="34"/>
      <c r="R320" s="34"/>
      <c r="S320" s="34"/>
      <c r="T320" s="34"/>
      <c r="U320" s="34"/>
      <c r="V320" s="34"/>
      <c r="W320" s="29" t="s">
        <v>164</v>
      </c>
      <c r="X320" s="28">
        <v>31</v>
      </c>
      <c r="Y320" s="28">
        <v>1</v>
      </c>
      <c r="Z320" s="28">
        <v>1</v>
      </c>
      <c r="AA320" s="28">
        <v>2</v>
      </c>
      <c r="AB320" s="28">
        <v>4</v>
      </c>
      <c r="AC320" s="28">
        <v>3</v>
      </c>
      <c r="AD320" s="28">
        <v>2</v>
      </c>
      <c r="AE320" s="28">
        <v>2</v>
      </c>
      <c r="AF320" s="35">
        <v>2</v>
      </c>
      <c r="AG320" s="28">
        <v>2</v>
      </c>
      <c r="AH320" s="29" t="s">
        <v>721</v>
      </c>
      <c r="AI320" s="36">
        <f>IF(OR(AND(K320&lt;32, J320&lt;2), O320=1, P320=1, Q320=1, R320=1, S320=1, T320=1, U320=1, AND(W320&lt;&gt;"", W320&lt;&gt;"Oxygen", W320&lt;&gt;"LowFlow")), "Intensive", "Intermediate")</f>
      </c>
      <c r="AJ320" s="37">
        <f>IF(OR(LEFT(AH320, 1)="X", LEFT(AH320, 1)="Y", LEFT(AH320, 3)="J60M"), "CUSM", "No Match")</f>
      </c>
      <c r="AK320" s="37">
        <f>IF(AND(OR(O320=3, P320=1, Q320=1, T320=1), AJ320="no Match"), "CUSM, CHU SJ, CHUQ", "")</f>
      </c>
      <c r="AL320" s="37">
        <f>IF(AND(O320=2, ISBLANK(P320), ISBLANK(Q320), ISBLANK(R320), ISBLANK(S320), ISBLANK(T320)), "CUSM, CHU SJ, CHUS, CHUQ", "")</f>
      </c>
      <c r="AM320" s="37">
        <f>IF(AND(AJ320="no match", AK320="", AL320="", K320&lt;26), "CUSM, CHU SJ, HGJ, CHUQ, CHUS", "")</f>
      </c>
      <c r="AN320" s="37">
        <f>IF(AND(AJ320="no match", AK320="", AL320="", K320&gt;26), "CUSM, CHU SJ, HGJ, CHUQ, CHUS, HMR", "")</f>
      </c>
    </row>
    <row x14ac:dyDescent="0.25" r="321" customHeight="1" ht="17.25">
      <c r="A321" s="27" t="s">
        <v>722</v>
      </c>
      <c r="B321" s="28">
        <v>2</v>
      </c>
      <c r="C321" s="35">
        <v>815</v>
      </c>
      <c r="D321" s="29" t="s">
        <v>100</v>
      </c>
      <c r="E321" s="30" t="s">
        <v>54</v>
      </c>
      <c r="F321" s="31">
        <v>44745</v>
      </c>
      <c r="G321" s="32">
        <v>4.586805555555555</v>
      </c>
      <c r="H321" s="31">
        <v>44741</v>
      </c>
      <c r="I321" s="32">
        <v>4.788194444444445</v>
      </c>
      <c r="J321" s="33">
        <f>F321-H321</f>
      </c>
      <c r="K321" s="28">
        <v>38</v>
      </c>
      <c r="L321" s="28">
        <v>2</v>
      </c>
      <c r="M321" s="28">
        <v>1</v>
      </c>
      <c r="N321" s="35">
        <v>1</v>
      </c>
      <c r="O321" s="34"/>
      <c r="P321" s="35">
        <v>1</v>
      </c>
      <c r="Q321" s="34"/>
      <c r="R321" s="34"/>
      <c r="S321" s="34"/>
      <c r="T321" s="34"/>
      <c r="U321" s="34"/>
      <c r="V321" s="34"/>
      <c r="W321" s="29"/>
      <c r="X321" s="28">
        <v>32</v>
      </c>
      <c r="Y321" s="28">
        <v>1</v>
      </c>
      <c r="Z321" s="28">
        <v>1</v>
      </c>
      <c r="AA321" s="28">
        <v>2</v>
      </c>
      <c r="AB321" s="28">
        <v>1</v>
      </c>
      <c r="AC321" s="28">
        <v>3</v>
      </c>
      <c r="AD321" s="28">
        <v>2</v>
      </c>
      <c r="AE321" s="28">
        <v>2</v>
      </c>
      <c r="AF321" s="28">
        <v>2</v>
      </c>
      <c r="AG321" s="28">
        <v>2</v>
      </c>
      <c r="AH321" s="29" t="s">
        <v>723</v>
      </c>
      <c r="AI321" s="36">
        <f>IF(OR(AND(K321&lt;32, J321&lt;2), O321=1, P321=1, Q321=1, R321=1, S321=1, T321=1, U321=1, AND(W321&lt;&gt;"", W321&lt;&gt;"Oxygen", W321&lt;&gt;"LowFlow")), "Intensive", "Intermediate")</f>
      </c>
      <c r="AJ321" s="37">
        <f>IF(OR(LEFT(AH321, 1)="X", LEFT(AH321, 1)="Y", LEFT(AH321, 3)="J61M"), "CUSM", "No Match")</f>
      </c>
      <c r="AK321" s="37">
        <f>IF(AND(OR(O321=3, P321=1, Q321=1, T321=1), AJ321="no Match"), "CUSM, CHU SJ, CHUQ", "")</f>
      </c>
      <c r="AL321" s="37">
        <f>IF(AND(O321=2, ISBLANK(P321), ISBLANK(Q321), ISBLANK(R321), ISBLANK(S321), ISBLANK(T321)), "CUSM, CHU SJ, CHUS, CHUQ", "")</f>
      </c>
      <c r="AM321" s="37">
        <f>IF(AND(AJ321="no match", AK321="", AL321="", K321&lt;26), "CUSM, CHU SJ, HGJ, CHUQ, CHUS", "")</f>
      </c>
      <c r="AN321" s="37">
        <f>IF(AND(AJ321="no match", AK321="", AL321="", K321&gt;26), "CUSM, CHU SJ, HGJ, CHUQ, CHUS, HMR", "")</f>
      </c>
    </row>
    <row x14ac:dyDescent="0.25" r="322" customHeight="1" ht="17.25">
      <c r="A322" s="27" t="s">
        <v>724</v>
      </c>
      <c r="B322" s="28">
        <v>2</v>
      </c>
      <c r="C322" s="35">
        <v>730</v>
      </c>
      <c r="D322" s="29" t="s">
        <v>81</v>
      </c>
      <c r="E322" s="30" t="s">
        <v>54</v>
      </c>
      <c r="F322" s="31">
        <v>44745</v>
      </c>
      <c r="G322" s="32">
        <v>4.6722222222222225</v>
      </c>
      <c r="H322" s="31">
        <v>44745</v>
      </c>
      <c r="I322" s="32">
        <v>4.475694444444445</v>
      </c>
      <c r="J322" s="33">
        <f>F322-H322</f>
      </c>
      <c r="K322" s="28">
        <v>38</v>
      </c>
      <c r="L322" s="28">
        <v>0</v>
      </c>
      <c r="M322" s="28">
        <v>2</v>
      </c>
      <c r="N322" s="34"/>
      <c r="O322" s="34"/>
      <c r="P322" s="34"/>
      <c r="Q322" s="34"/>
      <c r="R322" s="34"/>
      <c r="S322" s="34"/>
      <c r="T322" s="35">
        <v>1</v>
      </c>
      <c r="U322" s="34"/>
      <c r="V322" s="34"/>
      <c r="W322" s="29"/>
      <c r="X322" s="28">
        <v>24</v>
      </c>
      <c r="Y322" s="28">
        <v>1</v>
      </c>
      <c r="Z322" s="28">
        <v>1</v>
      </c>
      <c r="AA322" s="28">
        <v>2</v>
      </c>
      <c r="AB322" s="28">
        <v>1</v>
      </c>
      <c r="AC322" s="28">
        <v>3</v>
      </c>
      <c r="AD322" s="28">
        <v>3</v>
      </c>
      <c r="AE322" s="28">
        <v>4</v>
      </c>
      <c r="AF322" s="28">
        <v>2</v>
      </c>
      <c r="AG322" s="28">
        <v>1</v>
      </c>
      <c r="AH322" s="29" t="s">
        <v>725</v>
      </c>
      <c r="AI322" s="36">
        <f>IF(OR(AND(K322&lt;32, J322&lt;2), O322=1, P322=1, Q322=1, R322=1, S322=1, T322=1, U322=1, AND(W322&lt;&gt;"", W322&lt;&gt;"Oxygen", W322&lt;&gt;"LowFlow")), "Intensive", "Intermediate")</f>
      </c>
      <c r="AJ322" s="37">
        <f>IF(OR(LEFT(AH322, 1)="X", LEFT(AH322, 1)="Y", LEFT(AH322, 3)="J62M"), "CUSM", "No Match")</f>
      </c>
      <c r="AK322" s="37">
        <f>IF(AND(OR(O322=3, P322=1, Q322=1, T322=1), AJ322="no Match"), "CUSM, CHU SJ, CHUQ", "")</f>
      </c>
      <c r="AL322" s="37">
        <f>IF(AND(O322=2, ISBLANK(P322), ISBLANK(Q322), ISBLANK(R322), ISBLANK(S322), ISBLANK(T322)), "CUSM, CHU SJ, CHUS, CHUQ", "")</f>
      </c>
      <c r="AM322" s="37">
        <f>IF(AND(AJ322="no match", AK322="", AL322="", K322&lt;26), "CUSM, CHU SJ, HGJ, CHUQ, CHUS", "")</f>
      </c>
      <c r="AN322" s="37">
        <f>IF(AND(AJ322="no match", AK322="", AL322="", K322&gt;26), "CUSM, CHU SJ, HGJ, CHUQ, CHUS, HMR", "")</f>
      </c>
    </row>
    <row x14ac:dyDescent="0.25" r="323" customHeight="1" ht="17.25">
      <c r="A323" s="27" t="s">
        <v>726</v>
      </c>
      <c r="B323" s="28">
        <v>2</v>
      </c>
      <c r="C323" s="35">
        <v>815</v>
      </c>
      <c r="D323" s="29" t="s">
        <v>100</v>
      </c>
      <c r="E323" s="30" t="s">
        <v>50</v>
      </c>
      <c r="F323" s="31">
        <v>44745</v>
      </c>
      <c r="G323" s="32">
        <v>4.115277777777777</v>
      </c>
      <c r="H323" s="31">
        <v>44743</v>
      </c>
      <c r="I323" s="32">
        <v>4.454861111111111</v>
      </c>
      <c r="J323" s="33">
        <f>F323-H323</f>
      </c>
      <c r="K323" s="28">
        <v>40</v>
      </c>
      <c r="L323" s="28">
        <v>1</v>
      </c>
      <c r="M323" s="28">
        <v>1</v>
      </c>
      <c r="N323" s="34"/>
      <c r="O323" s="34"/>
      <c r="P323" s="34"/>
      <c r="Q323" s="34"/>
      <c r="R323" s="34"/>
      <c r="S323" s="34"/>
      <c r="T323" s="35">
        <v>1</v>
      </c>
      <c r="U323" s="34"/>
      <c r="V323" s="34"/>
      <c r="W323" s="29"/>
      <c r="X323" s="28">
        <v>25</v>
      </c>
      <c r="Y323" s="28">
        <v>1</v>
      </c>
      <c r="Z323" s="28">
        <v>1</v>
      </c>
      <c r="AA323" s="28">
        <v>2</v>
      </c>
      <c r="AB323" s="28">
        <v>1</v>
      </c>
      <c r="AC323" s="28">
        <v>2</v>
      </c>
      <c r="AD323" s="28">
        <v>2</v>
      </c>
      <c r="AE323" s="28">
        <v>4</v>
      </c>
      <c r="AF323" s="28">
        <v>2</v>
      </c>
      <c r="AG323" s="28">
        <v>2</v>
      </c>
      <c r="AH323" s="29" t="s">
        <v>727</v>
      </c>
      <c r="AI323" s="36">
        <f>IF(OR(AND(K323&lt;32, J323&lt;2), O323=1, P323=1, Q323=1, R323=1, S323=1, T323=1, U323=1, AND(W323&lt;&gt;"", W323&lt;&gt;"Oxygen", W323&lt;&gt;"LowFlow")), "Intensive", "Intermediate")</f>
      </c>
      <c r="AJ323" s="37">
        <f>IF(OR(LEFT(AH323, 1)="X", LEFT(AH323, 1)="Y", LEFT(AH323, 3)="J63M"), "CUSM", "No Match")</f>
      </c>
      <c r="AK323" s="37">
        <f>IF(AND(OR(O323=3, P323=1, Q323=1, T323=1), AJ323="no Match"), "CUSM, CHU SJ, CHUQ", "")</f>
      </c>
      <c r="AL323" s="37">
        <f>IF(AND(O323=2, ISBLANK(P323), ISBLANK(Q323), ISBLANK(R323), ISBLANK(S323), ISBLANK(T323)), "CUSM, CHU SJ, CHUS, CHUQ", "")</f>
      </c>
      <c r="AM323" s="37">
        <f>IF(AND(AJ323="no match", AK323="", AL323="", K323&lt;26), "CUSM, CHU SJ, HGJ, CHUQ, CHUS", "")</f>
      </c>
      <c r="AN323" s="37">
        <f>IF(AND(AJ323="no match", AK323="", AL323="", K323&gt;26), "CUSM, CHU SJ, HGJ, CHUQ, CHUS, HMR", "")</f>
      </c>
    </row>
    <row x14ac:dyDescent="0.25" r="324" customHeight="1" ht="17.25">
      <c r="A324" s="27" t="s">
        <v>728</v>
      </c>
      <c r="B324" s="28">
        <v>2</v>
      </c>
      <c r="C324" s="28">
        <v>831</v>
      </c>
      <c r="D324" s="29" t="s">
        <v>313</v>
      </c>
      <c r="E324" s="30" t="s">
        <v>50</v>
      </c>
      <c r="F324" s="31">
        <v>44746</v>
      </c>
      <c r="G324" s="32">
        <v>4.898611111111111</v>
      </c>
      <c r="H324" s="31">
        <v>44746</v>
      </c>
      <c r="I324" s="32">
        <v>4.729861111111111</v>
      </c>
      <c r="J324" s="33">
        <f>F324-H324</f>
      </c>
      <c r="K324" s="28">
        <v>39</v>
      </c>
      <c r="L324" s="28">
        <v>5</v>
      </c>
      <c r="M324" s="28">
        <v>2</v>
      </c>
      <c r="N324" s="34"/>
      <c r="O324" s="34"/>
      <c r="P324" s="34"/>
      <c r="Q324" s="34"/>
      <c r="R324" s="34"/>
      <c r="S324" s="34"/>
      <c r="T324" s="35">
        <v>1</v>
      </c>
      <c r="U324" s="34"/>
      <c r="V324" s="34"/>
      <c r="W324" s="29"/>
      <c r="X324" s="28">
        <v>33</v>
      </c>
      <c r="Y324" s="28">
        <v>1</v>
      </c>
      <c r="Z324" s="28">
        <v>1</v>
      </c>
      <c r="AA324" s="28">
        <v>2</v>
      </c>
      <c r="AB324" s="28">
        <v>1</v>
      </c>
      <c r="AC324" s="28">
        <v>2</v>
      </c>
      <c r="AD324" s="28">
        <v>1</v>
      </c>
      <c r="AE324" s="28">
        <v>4</v>
      </c>
      <c r="AF324" s="28">
        <v>2</v>
      </c>
      <c r="AG324" s="28">
        <v>2</v>
      </c>
      <c r="AH324" s="29" t="s">
        <v>729</v>
      </c>
      <c r="AI324" s="36">
        <f>IF(OR(AND(K324&lt;32, J324&lt;2), O324=1, P324=1, Q324=1, R324=1, S324=1, T324=1, U324=1, AND(W324&lt;&gt;"", W324&lt;&gt;"Oxygen", W324&lt;&gt;"LowFlow")), "Intensive", "Intermediate")</f>
      </c>
      <c r="AJ324" s="37">
        <f>IF(OR(LEFT(AH324, 1)="X", LEFT(AH324, 1)="Y", LEFT(AH324, 3)="J0M"), "CUSM", "No Match")</f>
      </c>
      <c r="AK324" s="37">
        <f>IF(AND(OR(O324=3, P324=1, Q324=1, T324=1), AJ324="no Match"), "CUSM, CHU SJ, CHUQ", "")</f>
      </c>
      <c r="AL324" s="37">
        <f>IF(AND(O324=2, ISBLANK(P324), ISBLANK(Q324), ISBLANK(R324), ISBLANK(S324), ISBLANK(T324)), "CUSM, CHU SJ, CHUS, CHUQ", "")</f>
      </c>
      <c r="AM324" s="37">
        <f>IF(AND(AJ324="no match", AK324="", AL324="", K324&lt;26), "CUSM, CHU SJ, HGJ, CHUQ, CHUS", "")</f>
      </c>
      <c r="AN324" s="37">
        <f>IF(AND(AJ324="no match", AK324="", AL324="", K324&gt;26), "CUSM, CHU SJ, HGJ, CHUQ, CHUS, HMR", "")</f>
      </c>
    </row>
    <row x14ac:dyDescent="0.25" r="325" customHeight="1" ht="17.25">
      <c r="A325" s="27" t="s">
        <v>730</v>
      </c>
      <c r="B325" s="28">
        <v>2</v>
      </c>
      <c r="C325" s="28">
        <v>730</v>
      </c>
      <c r="D325" s="29" t="s">
        <v>81</v>
      </c>
      <c r="E325" s="30" t="s">
        <v>50</v>
      </c>
      <c r="F325" s="31">
        <v>44746</v>
      </c>
      <c r="G325" s="32">
        <v>4.510416666666666</v>
      </c>
      <c r="H325" s="31">
        <v>44746</v>
      </c>
      <c r="I325" s="32">
        <v>4.168055555555556</v>
      </c>
      <c r="J325" s="33">
        <f>F325-H325</f>
      </c>
      <c r="K325" s="28">
        <v>39</v>
      </c>
      <c r="L325" s="28">
        <v>4</v>
      </c>
      <c r="M325" s="28">
        <v>2</v>
      </c>
      <c r="N325" s="34"/>
      <c r="O325" s="34"/>
      <c r="P325" s="34"/>
      <c r="Q325" s="34"/>
      <c r="R325" s="34"/>
      <c r="S325" s="34"/>
      <c r="T325" s="34"/>
      <c r="U325" s="34"/>
      <c r="V325" s="34"/>
      <c r="W325" s="29" t="s">
        <v>58</v>
      </c>
      <c r="X325" s="28">
        <v>32</v>
      </c>
      <c r="Y325" s="28">
        <v>1</v>
      </c>
      <c r="Z325" s="28">
        <v>1</v>
      </c>
      <c r="AA325" s="28">
        <v>1</v>
      </c>
      <c r="AB325" s="28">
        <v>4</v>
      </c>
      <c r="AC325" s="28">
        <v>2</v>
      </c>
      <c r="AD325" s="28">
        <v>2</v>
      </c>
      <c r="AE325" s="28">
        <v>4</v>
      </c>
      <c r="AF325" s="28">
        <v>2</v>
      </c>
      <c r="AG325" s="28">
        <v>2</v>
      </c>
      <c r="AH325" s="29" t="s">
        <v>731</v>
      </c>
      <c r="AI325" s="36">
        <f>IF(OR(AND(K325&lt;32, J325&lt;2), O325=1, P325=1, Q325=1, R325=1, S325=1, T325=1, U325=1, AND(W325&lt;&gt;"", W325&lt;&gt;"Oxygen", W325&lt;&gt;"LowFlow")), "Intensive", "Intermediate")</f>
      </c>
      <c r="AJ325" s="37">
        <f>IF(OR(LEFT(AH325, 1)="X", LEFT(AH325, 1)="Y", LEFT(AH325, 3)="J1M"), "CUSM", "No Match")</f>
      </c>
      <c r="AK325" s="37">
        <f>IF(AND(OR(O325=3, P325=1, Q325=1, T325=1), AJ325="no Match"), "CUSM, CHU SJ, CHUQ", "")</f>
      </c>
      <c r="AL325" s="37">
        <f>IF(AND(O325=2, ISBLANK(P325), ISBLANK(Q325), ISBLANK(R325), ISBLANK(S325), ISBLANK(T325)), "CUSM, CHU SJ, CHUS, CHUQ", "")</f>
      </c>
      <c r="AM325" s="37">
        <f>IF(AND(AJ325="no match", AK325="", AL325="", K325&lt;26), "CUSM, CHU SJ, HGJ, CHUQ, CHUS", "")</f>
      </c>
      <c r="AN325" s="37">
        <f>IF(AND(AJ325="no match", AK325="", AL325="", K325&gt;26), "CUSM, CHU SJ, HGJ, CHUQ, CHUS, HMR", "")</f>
      </c>
    </row>
    <row x14ac:dyDescent="0.25" r="326" customHeight="1" ht="17.25">
      <c r="A326" s="27" t="s">
        <v>732</v>
      </c>
      <c r="B326" s="28">
        <v>2</v>
      </c>
      <c r="C326" s="28">
        <v>820</v>
      </c>
      <c r="D326" s="29" t="s">
        <v>69</v>
      </c>
      <c r="E326" s="30" t="s">
        <v>54</v>
      </c>
      <c r="F326" s="31">
        <v>44747</v>
      </c>
      <c r="G326" s="32">
        <v>4.352777777777778</v>
      </c>
      <c r="H326" s="31">
        <v>44745</v>
      </c>
      <c r="I326" s="32">
        <v>4.825</v>
      </c>
      <c r="J326" s="33">
        <f>F326-H326</f>
      </c>
      <c r="K326" s="28">
        <v>33</v>
      </c>
      <c r="L326" s="28">
        <v>3</v>
      </c>
      <c r="M326" s="28">
        <v>2</v>
      </c>
      <c r="N326" s="34"/>
      <c r="O326" s="34"/>
      <c r="P326" s="34"/>
      <c r="Q326" s="34"/>
      <c r="R326" s="34"/>
      <c r="S326" s="34"/>
      <c r="T326" s="34"/>
      <c r="U326" s="34"/>
      <c r="V326" s="34"/>
      <c r="W326" s="29" t="s">
        <v>164</v>
      </c>
      <c r="X326" s="28">
        <v>39</v>
      </c>
      <c r="Y326" s="28">
        <v>2</v>
      </c>
      <c r="Z326" s="28">
        <v>2</v>
      </c>
      <c r="AA326" s="28">
        <v>2</v>
      </c>
      <c r="AB326" s="28">
        <v>1</v>
      </c>
      <c r="AC326" s="28">
        <v>2</v>
      </c>
      <c r="AD326" s="28">
        <v>2</v>
      </c>
      <c r="AE326" s="28">
        <v>4</v>
      </c>
      <c r="AF326" s="28">
        <v>2</v>
      </c>
      <c r="AG326" s="28">
        <v>2</v>
      </c>
      <c r="AH326" s="29" t="s">
        <v>733</v>
      </c>
      <c r="AI326" s="36">
        <f>IF(OR(AND(K326&lt;32, J326&lt;2), O326=1, P326=1, Q326=1, R326=1, S326=1, T326=1, U326=1, AND(W326&lt;&gt;"", W326&lt;&gt;"Oxygen", W326&lt;&gt;"LowFlow")), "Intensive", "Intermediate")</f>
      </c>
      <c r="AJ326" s="37">
        <f>IF(OR(LEFT(AH326, 1)="X", LEFT(AH326, 1)="Y", LEFT(AH326, 3)="J2M"), "CUSM", "No Match")</f>
      </c>
      <c r="AK326" s="37">
        <f>IF(AND(OR(O326=3, P326=1, Q326=1, T326=1), AJ326="no Match"), "CUSM, CHU SJ, CHUQ", "")</f>
      </c>
      <c r="AL326" s="37">
        <f>IF(AND(O326=2, ISBLANK(P326), ISBLANK(Q326), ISBLANK(R326), ISBLANK(S326), ISBLANK(T326)), "CUSM, CHU SJ, CHUS, CHUQ", "")</f>
      </c>
      <c r="AM326" s="37">
        <f>IF(AND(AJ326="no match", AK326="", AL326="", K326&lt;26), "CUSM, CHU SJ, HGJ, CHUQ, CHUS", "")</f>
      </c>
      <c r="AN326" s="37">
        <f>IF(AND(AJ326="no match", AK326="", AL326="", K326&gt;26), "CUSM, CHU SJ, HGJ, CHUQ, CHUS, HMR", "")</f>
      </c>
    </row>
    <row x14ac:dyDescent="0.25" r="327" customHeight="1" ht="17.25">
      <c r="A327" s="27" t="s">
        <v>734</v>
      </c>
      <c r="B327" s="28">
        <v>2</v>
      </c>
      <c r="C327" s="35">
        <v>839</v>
      </c>
      <c r="D327" s="29" t="s">
        <v>53</v>
      </c>
      <c r="E327" s="30" t="s">
        <v>78</v>
      </c>
      <c r="F327" s="31">
        <v>44747</v>
      </c>
      <c r="G327" s="32">
        <v>4.628472222222222</v>
      </c>
      <c r="H327" s="31">
        <v>44747</v>
      </c>
      <c r="I327" s="32">
        <v>4.386805555555556</v>
      </c>
      <c r="J327" s="33">
        <f>F327-H327</f>
      </c>
      <c r="K327" s="28">
        <v>36</v>
      </c>
      <c r="L327" s="28">
        <v>0</v>
      </c>
      <c r="M327" s="28">
        <v>2</v>
      </c>
      <c r="N327" s="34"/>
      <c r="O327" s="34"/>
      <c r="P327" s="34"/>
      <c r="Q327" s="34"/>
      <c r="R327" s="34"/>
      <c r="S327" s="34"/>
      <c r="T327" s="34"/>
      <c r="U327" s="34"/>
      <c r="V327" s="34"/>
      <c r="W327" s="29" t="s">
        <v>58</v>
      </c>
      <c r="X327" s="28">
        <v>37</v>
      </c>
      <c r="Y327" s="28">
        <v>2</v>
      </c>
      <c r="Z327" s="28">
        <v>2</v>
      </c>
      <c r="AA327" s="28">
        <v>2</v>
      </c>
      <c r="AB327" s="28">
        <v>3</v>
      </c>
      <c r="AC327" s="28">
        <v>2</v>
      </c>
      <c r="AD327" s="28">
        <v>1</v>
      </c>
      <c r="AE327" s="28">
        <v>4</v>
      </c>
      <c r="AF327" s="28">
        <v>2</v>
      </c>
      <c r="AG327" s="28">
        <v>2</v>
      </c>
      <c r="AH327" s="29" t="s">
        <v>735</v>
      </c>
      <c r="AI327" s="36">
        <f>IF(OR(AND(K327&lt;32, J327&lt;2), O327=1, P327=1, Q327=1, R327=1, S327=1, T327=1, U327=1, AND(W327&lt;&gt;"", W327&lt;&gt;"Oxygen", W327&lt;&gt;"LowFlow")), "Intensive", "Intermediate")</f>
      </c>
      <c r="AJ327" s="37">
        <f>IF(OR(LEFT(AH327, 1)="X", LEFT(AH327, 1)="Y", LEFT(AH327, 3)="J3M"), "CUSM", "No Match")</f>
      </c>
      <c r="AK327" s="37">
        <f>IF(AND(OR(O327=3, P327=1, Q327=1, T327=1), AJ327="no Match"), "CUSM, CHU SJ, CHUQ", "")</f>
      </c>
      <c r="AL327" s="37">
        <f>IF(AND(O327=2, ISBLANK(P327), ISBLANK(Q327), ISBLANK(R327), ISBLANK(S327), ISBLANK(T327)), "CUSM, CHU SJ, CHUS, CHUQ", "")</f>
      </c>
      <c r="AM327" s="37">
        <f>IF(AND(AJ327="no match", AK327="", AL327="", K327&lt;26), "CUSM, CHU SJ, HGJ, CHUQ, CHUS", "")</f>
      </c>
      <c r="AN327" s="37">
        <f>IF(AND(AJ327="no match", AK327="", AL327="", K327&gt;26), "CUSM, CHU SJ, HGJ, CHUQ, CHUS, HMR", "")</f>
      </c>
    </row>
    <row x14ac:dyDescent="0.25" r="328" customHeight="1" ht="17.25">
      <c r="A328" s="27" t="s">
        <v>736</v>
      </c>
      <c r="B328" s="28">
        <v>2</v>
      </c>
      <c r="C328" s="35">
        <v>809</v>
      </c>
      <c r="D328" s="29" t="s">
        <v>117</v>
      </c>
      <c r="E328" s="30" t="s">
        <v>50</v>
      </c>
      <c r="F328" s="31">
        <v>44747</v>
      </c>
      <c r="G328" s="32">
        <v>4.990972222222222</v>
      </c>
      <c r="H328" s="31">
        <v>44740</v>
      </c>
      <c r="I328" s="32">
        <v>4.9527777777777775</v>
      </c>
      <c r="J328" s="33">
        <f>F328-H328</f>
      </c>
      <c r="K328" s="28">
        <v>37</v>
      </c>
      <c r="L328" s="28">
        <v>1</v>
      </c>
      <c r="M328" s="28">
        <v>2</v>
      </c>
      <c r="N328" s="35">
        <v>1</v>
      </c>
      <c r="O328" s="35">
        <v>2</v>
      </c>
      <c r="P328" s="35">
        <v>1</v>
      </c>
      <c r="Q328" s="34"/>
      <c r="R328" s="34"/>
      <c r="S328" s="34"/>
      <c r="T328" s="34"/>
      <c r="U328" s="34"/>
      <c r="V328" s="34"/>
      <c r="W328" s="29" t="s">
        <v>58</v>
      </c>
      <c r="X328" s="28">
        <v>36</v>
      </c>
      <c r="Y328" s="28">
        <v>2</v>
      </c>
      <c r="Z328" s="28">
        <v>1</v>
      </c>
      <c r="AA328" s="28">
        <v>3</v>
      </c>
      <c r="AB328" s="28">
        <v>4</v>
      </c>
      <c r="AC328" s="28">
        <v>2</v>
      </c>
      <c r="AD328" s="28">
        <v>2</v>
      </c>
      <c r="AE328" s="28">
        <v>4</v>
      </c>
      <c r="AF328" s="28">
        <v>3</v>
      </c>
      <c r="AG328" s="28">
        <v>2</v>
      </c>
      <c r="AH328" s="29" t="s">
        <v>737</v>
      </c>
      <c r="AI328" s="36">
        <f>IF(OR(AND(K328&lt;32, J328&lt;2), O328=1, P328=1, Q328=1, R328=1, S328=1, T328=1, U328=1, AND(W328&lt;&gt;"", W328&lt;&gt;"Oxygen", W328&lt;&gt;"LowFlow")), "Intensive", "Intermediate")</f>
      </c>
      <c r="AJ328" s="37">
        <f>IF(OR(LEFT(AH328, 1)="X", LEFT(AH328, 1)="Y", LEFT(AH328, 3)="J4M"), "CUSM", "No Match")</f>
      </c>
      <c r="AK328" s="37">
        <f>IF(AND(OR(O328=3, P328=1, Q328=1, T328=1), AJ328="no Match"), "CUSM, CHU SJ, CHUQ", "")</f>
      </c>
      <c r="AL328" s="37">
        <f>IF(AND(O328=2, ISBLANK(P328), ISBLANK(Q328), ISBLANK(R328), ISBLANK(S328), ISBLANK(T328)), "CUSM, CHU SJ, CHUS, CHUQ", "")</f>
      </c>
      <c r="AM328" s="37">
        <f>IF(AND(AJ328="no match", AK328="", AL328="", K328&lt;26), "CUSM, CHU SJ, HGJ, CHUQ, CHUS", "")</f>
      </c>
      <c r="AN328" s="37">
        <f>IF(AND(AJ328="no match", AK328="", AL328="", K328&gt;26), "CUSM, CHU SJ, HGJ, CHUQ, CHUS, HMR", "")</f>
      </c>
    </row>
    <row x14ac:dyDescent="0.25" r="329" customHeight="1" ht="17.25">
      <c r="A329" s="27" t="s">
        <v>738</v>
      </c>
      <c r="B329" s="28">
        <v>2</v>
      </c>
      <c r="C329" s="35">
        <v>779</v>
      </c>
      <c r="D329" s="29" t="s">
        <v>136</v>
      </c>
      <c r="E329" s="30" t="s">
        <v>54</v>
      </c>
      <c r="F329" s="31">
        <v>44748</v>
      </c>
      <c r="G329" s="32">
        <v>4.75</v>
      </c>
      <c r="H329" s="31">
        <v>44748</v>
      </c>
      <c r="I329" s="32">
        <v>4.211805555555555</v>
      </c>
      <c r="J329" s="33">
        <f>F329-H329</f>
      </c>
      <c r="K329" s="28">
        <v>40</v>
      </c>
      <c r="L329" s="28">
        <v>2</v>
      </c>
      <c r="M329" s="28">
        <v>1</v>
      </c>
      <c r="N329" s="35">
        <v>1</v>
      </c>
      <c r="O329" s="34"/>
      <c r="P329" s="35">
        <v>1</v>
      </c>
      <c r="Q329" s="34"/>
      <c r="R329" s="34"/>
      <c r="S329" s="34"/>
      <c r="T329" s="34"/>
      <c r="U329" s="34"/>
      <c r="V329" s="34"/>
      <c r="W329" s="29"/>
      <c r="X329" s="28">
        <v>34</v>
      </c>
      <c r="Y329" s="28">
        <v>1</v>
      </c>
      <c r="Z329" s="28">
        <v>1</v>
      </c>
      <c r="AA329" s="28">
        <v>2</v>
      </c>
      <c r="AB329" s="28">
        <v>1</v>
      </c>
      <c r="AC329" s="28">
        <v>2</v>
      </c>
      <c r="AD329" s="28">
        <v>2</v>
      </c>
      <c r="AE329" s="28">
        <v>4</v>
      </c>
      <c r="AF329" s="28">
        <v>2</v>
      </c>
      <c r="AG329" s="28">
        <v>2</v>
      </c>
      <c r="AH329" s="29" t="s">
        <v>739</v>
      </c>
      <c r="AI329" s="36">
        <f>IF(OR(AND(K329&lt;32, J329&lt;2), O329=1, P329=1, Q329=1, R329=1, S329=1, T329=1, U329=1, AND(W329&lt;&gt;"", W329&lt;&gt;"Oxygen", W329&lt;&gt;"LowFlow")), "Intensive", "Intermediate")</f>
      </c>
      <c r="AJ329" s="37">
        <f>IF(OR(LEFT(AH329, 1)="X", LEFT(AH329, 1)="Y", LEFT(AH329, 3)="J5M"), "CUSM", "No Match")</f>
      </c>
      <c r="AK329" s="37">
        <f>IF(AND(OR(O329=3, P329=1, Q329=1, T329=1), AJ329="no Match"), "CUSM, CHU SJ, CHUQ", "")</f>
      </c>
      <c r="AL329" s="37">
        <f>IF(AND(O329=2, ISBLANK(P329), ISBLANK(Q329), ISBLANK(R329), ISBLANK(S329), ISBLANK(T329)), "CUSM, CHU SJ, CHUS, CHUQ", "")</f>
      </c>
      <c r="AM329" s="37">
        <f>IF(AND(AJ329="no match", AK329="", AL329="", K329&lt;26), "CUSM, CHU SJ, HGJ, CHUQ, CHUS", "")</f>
      </c>
      <c r="AN329" s="37">
        <f>IF(AND(AJ329="no match", AK329="", AL329="", K329&gt;26), "CUSM, CHU SJ, HGJ, CHUQ, CHUS, HMR", "")</f>
      </c>
    </row>
    <row x14ac:dyDescent="0.25" r="330" customHeight="1" ht="17.25">
      <c r="A330" s="27" t="s">
        <v>740</v>
      </c>
      <c r="B330" s="28">
        <v>2</v>
      </c>
      <c r="C330" s="35">
        <v>820</v>
      </c>
      <c r="D330" s="29" t="s">
        <v>69</v>
      </c>
      <c r="E330" s="30" t="s">
        <v>78</v>
      </c>
      <c r="F330" s="31">
        <v>44748</v>
      </c>
      <c r="G330" s="32">
        <v>4.625</v>
      </c>
      <c r="H330" s="31">
        <v>44748</v>
      </c>
      <c r="I330" s="32">
        <v>4.504861111111111</v>
      </c>
      <c r="J330" s="33">
        <f>F330-H330</f>
      </c>
      <c r="K330" s="28">
        <v>24</v>
      </c>
      <c r="L330" s="28">
        <v>0</v>
      </c>
      <c r="M330" s="28">
        <v>2</v>
      </c>
      <c r="N330" s="34"/>
      <c r="O330" s="34"/>
      <c r="P330" s="34"/>
      <c r="Q330" s="34"/>
      <c r="R330" s="34"/>
      <c r="S330" s="34"/>
      <c r="T330" s="34"/>
      <c r="U330" s="34"/>
      <c r="V330" s="34"/>
      <c r="W330" s="29" t="s">
        <v>74</v>
      </c>
      <c r="X330" s="28">
        <v>32</v>
      </c>
      <c r="Y330" s="28">
        <v>1</v>
      </c>
      <c r="Z330" s="28">
        <v>2</v>
      </c>
      <c r="AA330" s="28">
        <v>2</v>
      </c>
      <c r="AB330" s="28">
        <v>1</v>
      </c>
      <c r="AC330" s="28">
        <v>2</v>
      </c>
      <c r="AD330" s="28">
        <v>2</v>
      </c>
      <c r="AE330" s="28">
        <v>4</v>
      </c>
      <c r="AF330" s="28">
        <v>2</v>
      </c>
      <c r="AG330" s="28">
        <v>2</v>
      </c>
      <c r="AH330" s="29" t="s">
        <v>741</v>
      </c>
      <c r="AI330" s="36">
        <f>IF(OR(AND(K330&lt;32, J330&lt;2), O330=1, P330=1, Q330=1, R330=1, S330=1, T330=1, U330=1, AND(W330&lt;&gt;"", W330&lt;&gt;"Oxygen", W330&lt;&gt;"LowFlow")), "Intensive", "Intermediate")</f>
      </c>
      <c r="AJ330" s="37">
        <f>IF(OR(LEFT(AH330, 1)="X", LEFT(AH330, 1)="Y", LEFT(AH330, 3)="J6M"), "CUSM", "No Match")</f>
      </c>
      <c r="AK330" s="37">
        <f>IF(AND(OR(O330=3, P330=1, Q330=1, T330=1), AJ330="no Match"), "CUSM, CHU SJ, CHUQ", "")</f>
      </c>
      <c r="AL330" s="37">
        <f>IF(AND(O330=2, ISBLANK(P330), ISBLANK(Q330), ISBLANK(R330), ISBLANK(S330), ISBLANK(T330)), "CUSM, CHU SJ, CHUS, CHUQ", "")</f>
      </c>
      <c r="AM330" s="37">
        <f>IF(AND(AJ330="no match", AK330="", AL330="", K330&lt;26), "CUSM, CHU SJ, HGJ, CHUQ, CHUS", "")</f>
      </c>
      <c r="AN330" s="37">
        <f>IF(AND(AJ330="no match", AK330="", AL330="", K330&gt;26), "CUSM, CHU SJ, HGJ, CHUQ, CHUS, HMR", "")</f>
      </c>
    </row>
    <row x14ac:dyDescent="0.25" r="331" customHeight="1" ht="17.25">
      <c r="A331" s="27" t="s">
        <v>742</v>
      </c>
      <c r="B331" s="28">
        <v>2</v>
      </c>
      <c r="C331" s="28">
        <v>756</v>
      </c>
      <c r="D331" s="29" t="s">
        <v>66</v>
      </c>
      <c r="E331" s="30" t="s">
        <v>50</v>
      </c>
      <c r="F331" s="31">
        <v>44748</v>
      </c>
      <c r="G331" s="32">
        <v>4.517361111111111</v>
      </c>
      <c r="H331" s="31">
        <v>44741</v>
      </c>
      <c r="I331" s="32">
        <v>4.043055555555556</v>
      </c>
      <c r="J331" s="33">
        <f>F331-H331</f>
      </c>
      <c r="K331" s="28">
        <v>37</v>
      </c>
      <c r="L331" s="28">
        <v>1</v>
      </c>
      <c r="M331" s="28">
        <v>2</v>
      </c>
      <c r="N331" s="35">
        <v>1</v>
      </c>
      <c r="O331" s="34"/>
      <c r="P331" s="35">
        <v>1</v>
      </c>
      <c r="Q331" s="34"/>
      <c r="R331" s="34"/>
      <c r="S331" s="34"/>
      <c r="T331" s="34"/>
      <c r="U331" s="34"/>
      <c r="V331" s="34"/>
      <c r="W331" s="29"/>
      <c r="X331" s="28">
        <v>40</v>
      </c>
      <c r="Y331" s="28">
        <v>1</v>
      </c>
      <c r="Z331" s="28">
        <v>1</v>
      </c>
      <c r="AA331" s="28">
        <v>2</v>
      </c>
      <c r="AB331" s="28">
        <v>1</v>
      </c>
      <c r="AC331" s="28">
        <v>1</v>
      </c>
      <c r="AD331" s="28">
        <v>1</v>
      </c>
      <c r="AE331" s="28">
        <v>4</v>
      </c>
      <c r="AF331" s="28">
        <v>2</v>
      </c>
      <c r="AG331" s="28">
        <v>2</v>
      </c>
      <c r="AH331" s="29" t="s">
        <v>743</v>
      </c>
      <c r="AI331" s="36">
        <f>IF(OR(AND(K331&lt;32, J331&lt;2), O331=1, P331=1, Q331=1, R331=1, S331=1, T331=1, U331=1, AND(W331&lt;&gt;"", W331&lt;&gt;"Oxygen", W331&lt;&gt;"LowFlow")), "Intensive", "Intermediate")</f>
      </c>
      <c r="AJ331" s="37">
        <f>IF(OR(LEFT(AH331, 1)="X", LEFT(AH331, 1)="Y", LEFT(AH331, 3)="J7M"), "CUSM", "No Match")</f>
      </c>
      <c r="AK331" s="37">
        <f>IF(AND(OR(O331=3, P331=1, Q331=1, T331=1), AJ331="no Match"), "CUSM, CHU SJ, CHUQ", "")</f>
      </c>
      <c r="AL331" s="37">
        <f>IF(AND(O331=2, ISBLANK(P331), ISBLANK(Q331), ISBLANK(R331), ISBLANK(S331), ISBLANK(T331)), "CUSM, CHU SJ, CHUS, CHUQ", "")</f>
      </c>
      <c r="AM331" s="37">
        <f>IF(AND(AJ331="no match", AK331="", AL331="", K331&lt;26), "CUSM, CHU SJ, HGJ, CHUQ, CHUS", "")</f>
      </c>
      <c r="AN331" s="37">
        <f>IF(AND(AJ331="no match", AK331="", AL331="", K331&gt;26), "CUSM, CHU SJ, HGJ, CHUQ, CHUS, HMR", "")</f>
      </c>
    </row>
    <row x14ac:dyDescent="0.25" r="332" customHeight="1" ht="17.25">
      <c r="A332" s="27" t="s">
        <v>744</v>
      </c>
      <c r="B332" s="28">
        <v>2</v>
      </c>
      <c r="C332" s="28">
        <v>782</v>
      </c>
      <c r="D332" s="29" t="s">
        <v>95</v>
      </c>
      <c r="E332" s="30" t="s">
        <v>78</v>
      </c>
      <c r="F332" s="31">
        <v>44749</v>
      </c>
      <c r="G332" s="32">
        <v>4.670138888888889</v>
      </c>
      <c r="H332" s="31">
        <v>44743</v>
      </c>
      <c r="I332" s="32">
        <v>4.986111111111111</v>
      </c>
      <c r="J332" s="33">
        <f>F332-H332</f>
      </c>
      <c r="K332" s="28">
        <v>37</v>
      </c>
      <c r="L332" s="28">
        <v>0</v>
      </c>
      <c r="M332" s="28">
        <v>2</v>
      </c>
      <c r="N332" s="38"/>
      <c r="O332" s="34"/>
      <c r="P332" s="38"/>
      <c r="Q332" s="34"/>
      <c r="R332" s="34"/>
      <c r="S332" s="34"/>
      <c r="T332" s="34"/>
      <c r="U332" s="34"/>
      <c r="V332" s="34"/>
      <c r="W332" s="29"/>
      <c r="X332" s="28">
        <v>27</v>
      </c>
      <c r="Y332" s="28">
        <v>1</v>
      </c>
      <c r="Z332" s="28">
        <v>1</v>
      </c>
      <c r="AA332" s="28">
        <v>2</v>
      </c>
      <c r="AB332" s="28">
        <v>1</v>
      </c>
      <c r="AC332" s="28">
        <v>2</v>
      </c>
      <c r="AD332" s="28">
        <v>1</v>
      </c>
      <c r="AE332" s="28">
        <v>4</v>
      </c>
      <c r="AF332" s="28">
        <v>3</v>
      </c>
      <c r="AG332" s="28">
        <v>2</v>
      </c>
      <c r="AH332" s="29" t="s">
        <v>379</v>
      </c>
      <c r="AI332" s="36">
        <f>IF(OR(AND(K332&lt;32, J332&lt;2), O332=1, P332=1, Q332=1, R332=1, S332=1, T332=1, U332=1, AND(W332&lt;&gt;"", W332&lt;&gt;"Oxygen", W332&lt;&gt;"LowFlow")), "Intensive", "Intermediate")</f>
      </c>
      <c r="AJ332" s="37">
        <f>IF(OR(LEFT(AH332, 1)="X", LEFT(AH332, 1)="Y", LEFT(AH332, 3)="J8M"), "CUSM", "No Match")</f>
      </c>
      <c r="AK332" s="37">
        <f>IF(AND(OR(O332=3, P332=1, Q332=1, T332=1), AJ332="no Match"), "CUSM, CHU SJ, CHUQ", "")</f>
      </c>
      <c r="AL332" s="37">
        <f>IF(AND(O332=2, ISBLANK(P332), ISBLANK(Q332), ISBLANK(R332), ISBLANK(S332), ISBLANK(T332)), "CUSM, CHU SJ, CHUS, CHUQ", "")</f>
      </c>
      <c r="AM332" s="37">
        <f>IF(AND(AJ332="no match", AK332="", AL332="", K332&lt;26), "CUSM, CHU SJ, HGJ, CHUQ, CHUS", "")</f>
      </c>
      <c r="AN332" s="37">
        <f>IF(AND(AJ332="no match", AK332="", AL332="", K332&gt;26), "CUSM, CHU SJ, HGJ, CHUQ, CHUS, HMR", "")</f>
      </c>
    </row>
    <row x14ac:dyDescent="0.25" r="333" customHeight="1" ht="17.25">
      <c r="A333" s="27" t="s">
        <v>745</v>
      </c>
      <c r="B333" s="28">
        <v>2</v>
      </c>
      <c r="C333" s="35">
        <v>761</v>
      </c>
      <c r="D333" s="29" t="s">
        <v>746</v>
      </c>
      <c r="E333" s="30" t="s">
        <v>50</v>
      </c>
      <c r="F333" s="31">
        <v>44749</v>
      </c>
      <c r="G333" s="32">
        <v>4.135416666666666</v>
      </c>
      <c r="H333" s="31">
        <v>44741</v>
      </c>
      <c r="I333" s="32">
        <v>4.6625</v>
      </c>
      <c r="J333" s="33">
        <f>F333-H333</f>
      </c>
      <c r="K333" s="28">
        <v>37</v>
      </c>
      <c r="L333" s="28">
        <v>1</v>
      </c>
      <c r="M333" s="28">
        <v>2</v>
      </c>
      <c r="N333" s="35">
        <v>1</v>
      </c>
      <c r="O333" s="34"/>
      <c r="P333" s="35">
        <v>1</v>
      </c>
      <c r="Q333" s="34"/>
      <c r="R333" s="34"/>
      <c r="S333" s="34"/>
      <c r="T333" s="34"/>
      <c r="U333" s="34"/>
      <c r="V333" s="34"/>
      <c r="W333" s="29" t="s">
        <v>58</v>
      </c>
      <c r="X333" s="28">
        <v>43</v>
      </c>
      <c r="Y333" s="28">
        <v>1</v>
      </c>
      <c r="Z333" s="28">
        <v>1</v>
      </c>
      <c r="AA333" s="28">
        <v>1</v>
      </c>
      <c r="AB333" s="28">
        <v>4</v>
      </c>
      <c r="AC333" s="28">
        <v>2</v>
      </c>
      <c r="AD333" s="28">
        <v>1</v>
      </c>
      <c r="AE333" s="28">
        <v>4</v>
      </c>
      <c r="AF333" s="28">
        <v>3</v>
      </c>
      <c r="AG333" s="28">
        <v>2</v>
      </c>
      <c r="AH333" s="29" t="s">
        <v>747</v>
      </c>
      <c r="AI333" s="36">
        <f>IF(OR(AND(K333&lt;32, J333&lt;2), O333=1, P333=1, Q333=1, R333=1, S333=1, T333=1, U333=1, AND(W333&lt;&gt;"", W333&lt;&gt;"Oxygen", W333&lt;&gt;"LowFlow")), "Intensive", "Intermediate")</f>
      </c>
      <c r="AJ333" s="37">
        <f>IF(OR(LEFT(AH333, 1)="X", LEFT(AH333, 1)="Y", LEFT(AH333, 3)="J9M"), "CUSM", "No Match")</f>
      </c>
      <c r="AK333" s="37">
        <f>IF(AND(OR(O333=3, P333=1, Q333=1, T333=1), AJ333="no Match"), "CUSM, CHU SJ, CHUQ", "")</f>
      </c>
      <c r="AL333" s="37">
        <f>IF(AND(O333=2, ISBLANK(P333), ISBLANK(Q333), ISBLANK(R333), ISBLANK(S333), ISBLANK(T333)), "CUSM, CHU SJ, CHUS, CHUQ", "")</f>
      </c>
      <c r="AM333" s="37">
        <f>IF(AND(AJ333="no match", AK333="", AL333="", K333&lt;26), "CUSM, CHU SJ, HGJ, CHUQ, CHUS", "")</f>
      </c>
      <c r="AN333" s="37">
        <f>IF(AND(AJ333="no match", AK333="", AL333="", K333&gt;26), "CUSM, CHU SJ, HGJ, CHUQ, CHUS, HMR", "")</f>
      </c>
    </row>
    <row x14ac:dyDescent="0.25" r="334" customHeight="1" ht="17.25">
      <c r="A334" s="27" t="s">
        <v>748</v>
      </c>
      <c r="B334" s="28">
        <v>2</v>
      </c>
      <c r="C334" s="35">
        <v>779</v>
      </c>
      <c r="D334" s="29" t="s">
        <v>136</v>
      </c>
      <c r="E334" s="30" t="s">
        <v>54</v>
      </c>
      <c r="F334" s="31">
        <v>44750</v>
      </c>
      <c r="G334" s="32">
        <v>4.916666666666666</v>
      </c>
      <c r="H334" s="31">
        <v>44750</v>
      </c>
      <c r="I334" s="32">
        <v>4.5375</v>
      </c>
      <c r="J334" s="33">
        <f>F334-H334</f>
      </c>
      <c r="K334" s="28">
        <v>39</v>
      </c>
      <c r="L334" s="28">
        <v>0</v>
      </c>
      <c r="M334" s="28">
        <v>1</v>
      </c>
      <c r="N334" s="35">
        <v>1</v>
      </c>
      <c r="O334" s="34"/>
      <c r="P334" s="34"/>
      <c r="Q334" s="34"/>
      <c r="R334" s="34"/>
      <c r="S334" s="34"/>
      <c r="T334" s="34"/>
      <c r="U334" s="34"/>
      <c r="V334" s="35">
        <v>1</v>
      </c>
      <c r="W334" s="29"/>
      <c r="X334" s="28">
        <v>37</v>
      </c>
      <c r="Y334" s="28">
        <v>1</v>
      </c>
      <c r="Z334" s="28">
        <v>2</v>
      </c>
      <c r="AA334" s="28">
        <v>3</v>
      </c>
      <c r="AB334" s="28">
        <v>1</v>
      </c>
      <c r="AC334" s="28">
        <v>2</v>
      </c>
      <c r="AD334" s="28">
        <v>2</v>
      </c>
      <c r="AE334" s="28">
        <v>4</v>
      </c>
      <c r="AF334" s="28">
        <v>2</v>
      </c>
      <c r="AG334" s="28">
        <v>2</v>
      </c>
      <c r="AH334" s="29" t="s">
        <v>749</v>
      </c>
      <c r="AI334" s="36">
        <f>IF(OR(AND(K334&lt;32, J334&lt;2), O334=1, P334=1, Q334=1, R334=1, S334=1, T334=1, U334=1, AND(W334&lt;&gt;"", W334&lt;&gt;"Oxygen", W334&lt;&gt;"LowFlow")), "Intensive", "Intermediate")</f>
      </c>
      <c r="AJ334" s="37">
        <f>IF(OR(LEFT(AH334, 1)="X", LEFT(AH334, 1)="Y", LEFT(AH334, 3)="J10M"), "CUSM", "No Match")</f>
      </c>
      <c r="AK334" s="37">
        <f>IF(AND(OR(O334=3, P334=1, Q334=1, T334=1), AJ334="no Match"), "CUSM, CHU SJ, CHUQ", "")</f>
      </c>
      <c r="AL334" s="37">
        <f>IF(AND(O334=2, ISBLANK(P334), ISBLANK(Q334), ISBLANK(R334), ISBLANK(S334), ISBLANK(T334)), "CUSM, CHU SJ, CHUS, CHUQ", "")</f>
      </c>
      <c r="AM334" s="37">
        <f>IF(AND(AJ334="no match", AK334="", AL334="", K334&lt;26), "CUSM, CHU SJ, HGJ, CHUQ, CHUS", "")</f>
      </c>
      <c r="AN334" s="37">
        <f>IF(AND(AJ334="no match", AK334="", AL334="", K334&gt;26), "CUSM, CHU SJ, HGJ, CHUQ, CHUS, HMR", "")</f>
      </c>
    </row>
    <row x14ac:dyDescent="0.25" r="335" customHeight="1" ht="17.25">
      <c r="A335" s="27" t="s">
        <v>750</v>
      </c>
      <c r="B335" s="28">
        <v>2</v>
      </c>
      <c r="C335" s="35">
        <v>815</v>
      </c>
      <c r="D335" s="29" t="s">
        <v>100</v>
      </c>
      <c r="E335" s="30" t="s">
        <v>54</v>
      </c>
      <c r="F335" s="31">
        <v>44750</v>
      </c>
      <c r="G335" s="32">
        <v>4.684027777777778</v>
      </c>
      <c r="H335" s="31">
        <v>44750</v>
      </c>
      <c r="I335" s="32">
        <v>4.481944444444444</v>
      </c>
      <c r="J335" s="33">
        <f>F335-H335</f>
      </c>
      <c r="K335" s="28">
        <v>40</v>
      </c>
      <c r="L335" s="28">
        <v>5</v>
      </c>
      <c r="M335" s="28">
        <v>2</v>
      </c>
      <c r="N335" s="35">
        <v>1</v>
      </c>
      <c r="O335" s="35">
        <v>2</v>
      </c>
      <c r="P335" s="35">
        <v>1</v>
      </c>
      <c r="Q335" s="34"/>
      <c r="R335" s="34"/>
      <c r="S335" s="34"/>
      <c r="T335" s="34"/>
      <c r="U335" s="34"/>
      <c r="V335" s="34"/>
      <c r="W335" s="29"/>
      <c r="X335" s="28">
        <v>25</v>
      </c>
      <c r="Y335" s="28">
        <v>1</v>
      </c>
      <c r="Z335" s="28">
        <v>1</v>
      </c>
      <c r="AA335" s="28">
        <v>2</v>
      </c>
      <c r="AB335" s="28">
        <v>1</v>
      </c>
      <c r="AC335" s="28">
        <v>2</v>
      </c>
      <c r="AD335" s="28">
        <v>2</v>
      </c>
      <c r="AE335" s="28">
        <v>4</v>
      </c>
      <c r="AF335" s="28">
        <v>2</v>
      </c>
      <c r="AG335" s="28">
        <v>2</v>
      </c>
      <c r="AH335" s="29" t="s">
        <v>751</v>
      </c>
      <c r="AI335" s="36">
        <f>IF(OR(AND(K335&lt;32, J335&lt;2), O335=1, P335=1, Q335=1, R335=1, S335=1, T335=1, U335=1, AND(W335&lt;&gt;"", W335&lt;&gt;"Oxygen", W335&lt;&gt;"LowFlow")), "Intensive", "Intermediate")</f>
      </c>
      <c r="AJ335" s="37">
        <f>IF(OR(LEFT(AH335, 1)="X", LEFT(AH335, 1)="Y", LEFT(AH335, 3)="J11M"), "CUSM", "No Match")</f>
      </c>
      <c r="AK335" s="37">
        <f>IF(AND(OR(O335=3, P335=1, Q335=1, T335=1), AJ335="no Match"), "CUSM, CHU SJ, CHUQ", "")</f>
      </c>
      <c r="AL335" s="37">
        <f>IF(AND(O335=2, ISBLANK(P335), ISBLANK(Q335), ISBLANK(R335), ISBLANK(S335), ISBLANK(T335)), "CUSM, CHU SJ, CHUS, CHUQ", "")</f>
      </c>
      <c r="AM335" s="37">
        <f>IF(AND(AJ335="no match", AK335="", AL335="", K335&lt;26), "CUSM, CHU SJ, HGJ, CHUQ, CHUS", "")</f>
      </c>
      <c r="AN335" s="37">
        <f>IF(AND(AJ335="no match", AK335="", AL335="", K335&gt;26), "CUSM, CHU SJ, HGJ, CHUQ, CHUS, HMR", "")</f>
      </c>
    </row>
    <row x14ac:dyDescent="0.25" r="336" customHeight="1" ht="17.25">
      <c r="A336" s="27" t="s">
        <v>752</v>
      </c>
      <c r="B336" s="28">
        <v>2</v>
      </c>
      <c r="C336" s="35">
        <v>782</v>
      </c>
      <c r="D336" s="29" t="s">
        <v>95</v>
      </c>
      <c r="E336" s="30" t="s">
        <v>78</v>
      </c>
      <c r="F336" s="31">
        <v>44750</v>
      </c>
      <c r="G336" s="32">
        <v>4.75</v>
      </c>
      <c r="H336" s="31">
        <v>44746</v>
      </c>
      <c r="I336" s="32">
        <v>4.3180555555555555</v>
      </c>
      <c r="J336" s="33">
        <f>F336-H336</f>
      </c>
      <c r="K336" s="28">
        <v>40</v>
      </c>
      <c r="L336" s="28">
        <v>0</v>
      </c>
      <c r="M336" s="28">
        <v>2</v>
      </c>
      <c r="N336" s="38"/>
      <c r="O336" s="34"/>
      <c r="P336" s="34"/>
      <c r="Q336" s="34"/>
      <c r="R336" s="34"/>
      <c r="S336" s="34"/>
      <c r="T336" s="34"/>
      <c r="U336" s="34"/>
      <c r="V336" s="34"/>
      <c r="W336" s="29" t="s">
        <v>600</v>
      </c>
      <c r="X336" s="28">
        <v>33</v>
      </c>
      <c r="Y336" s="28">
        <v>1</v>
      </c>
      <c r="Z336" s="28">
        <v>1</v>
      </c>
      <c r="AA336" s="28">
        <v>3</v>
      </c>
      <c r="AB336" s="28">
        <v>4</v>
      </c>
      <c r="AC336" s="28">
        <v>2</v>
      </c>
      <c r="AD336" s="28">
        <v>2</v>
      </c>
      <c r="AE336" s="28">
        <v>4</v>
      </c>
      <c r="AF336" s="28">
        <v>3</v>
      </c>
      <c r="AG336" s="28">
        <v>2</v>
      </c>
      <c r="AH336" s="29" t="s">
        <v>143</v>
      </c>
      <c r="AI336" s="36">
        <f>IF(OR(AND(K336&lt;32, J336&lt;2), O336=1, P336=1, Q336=1, R336=1, S336=1, T336=1, U336=1, AND(W336&lt;&gt;"", W336&lt;&gt;"Oxygen", W336&lt;&gt;"LowFlow")), "Intensive", "Intermediate")</f>
      </c>
      <c r="AJ336" s="37">
        <f>IF(OR(LEFT(AH336, 1)="X", LEFT(AH336, 1)="Y", LEFT(AH336, 3)="J12M"), "CUSM", "No Match")</f>
      </c>
      <c r="AK336" s="37">
        <f>IF(AND(OR(O336=3, P336=1, Q336=1, T336=1), AJ336="no Match"), "CUSM, CHU SJ, CHUQ", "")</f>
      </c>
      <c r="AL336" s="37">
        <f>IF(AND(O336=2, ISBLANK(P336), ISBLANK(Q336), ISBLANK(R336), ISBLANK(S336), ISBLANK(T336)), "CUSM, CHU SJ, CHUS, CHUQ", "")</f>
      </c>
      <c r="AM336" s="37">
        <f>IF(AND(AJ336="no match", AK336="", AL336="", K336&lt;26), "CUSM, CHU SJ, HGJ, CHUQ, CHUS", "")</f>
      </c>
      <c r="AN336" s="37">
        <f>IF(AND(AJ336="no match", AK336="", AL336="", K336&gt;26), "CUSM, CHU SJ, HGJ, CHUQ, CHUS, HMR", "")</f>
      </c>
    </row>
    <row x14ac:dyDescent="0.25" r="337" customHeight="1" ht="17.25">
      <c r="A337" s="27" t="s">
        <v>753</v>
      </c>
      <c r="B337" s="28">
        <v>2</v>
      </c>
      <c r="C337" s="28">
        <v>822</v>
      </c>
      <c r="D337" s="29" t="s">
        <v>167</v>
      </c>
      <c r="E337" s="30" t="s">
        <v>50</v>
      </c>
      <c r="F337" s="31">
        <v>44750</v>
      </c>
      <c r="G337" s="32">
        <v>4.149305555555555</v>
      </c>
      <c r="H337" s="31">
        <v>44749</v>
      </c>
      <c r="I337" s="32">
        <v>4.952083333333333</v>
      </c>
      <c r="J337" s="33">
        <f>F337-H337</f>
      </c>
      <c r="K337" s="28">
        <v>39</v>
      </c>
      <c r="L337" s="28">
        <v>1</v>
      </c>
      <c r="M337" s="28">
        <v>2</v>
      </c>
      <c r="N337" s="35">
        <v>1</v>
      </c>
      <c r="O337" s="34"/>
      <c r="P337" s="34"/>
      <c r="Q337" s="34"/>
      <c r="R337" s="34"/>
      <c r="S337" s="34"/>
      <c r="T337" s="35">
        <v>1</v>
      </c>
      <c r="U337" s="34"/>
      <c r="V337" s="34"/>
      <c r="W337" s="29"/>
      <c r="X337" s="28">
        <v>28</v>
      </c>
      <c r="Y337" s="28">
        <v>1</v>
      </c>
      <c r="Z337" s="28">
        <v>1</v>
      </c>
      <c r="AA337" s="28">
        <v>2</v>
      </c>
      <c r="AB337" s="28">
        <v>1</v>
      </c>
      <c r="AC337" s="28">
        <v>2</v>
      </c>
      <c r="AD337" s="28">
        <v>2</v>
      </c>
      <c r="AE337" s="28">
        <v>4</v>
      </c>
      <c r="AF337" s="28">
        <v>2</v>
      </c>
      <c r="AG337" s="28">
        <v>2</v>
      </c>
      <c r="AH337" s="29" t="s">
        <v>754</v>
      </c>
      <c r="AI337" s="36">
        <f>IF(OR(AND(K337&lt;32, J337&lt;2), O337=1, P337=1, Q337=1, R337=1, S337=1, T337=1, U337=1, AND(W337&lt;&gt;"", W337&lt;&gt;"Oxygen", W337&lt;&gt;"LowFlow")), "Intensive", "Intermediate")</f>
      </c>
      <c r="AJ337" s="37">
        <f>IF(OR(LEFT(AH337, 1)="X", LEFT(AH337, 1)="Y", LEFT(AH337, 3)="J13M"), "CUSM", "No Match")</f>
      </c>
      <c r="AK337" s="37">
        <f>IF(AND(OR(O337=3, P337=1, Q337=1, T337=1), AJ337="no Match"), "CUSM, CHU SJ, CHUQ", "")</f>
      </c>
      <c r="AL337" s="37">
        <f>IF(AND(O337=2, ISBLANK(P337), ISBLANK(Q337), ISBLANK(R337), ISBLANK(S337), ISBLANK(T337)), "CUSM, CHU SJ, CHUS, CHUQ", "")</f>
      </c>
      <c r="AM337" s="37">
        <f>IF(AND(AJ337="no match", AK337="", AL337="", K337&lt;26), "CUSM, CHU SJ, HGJ, CHUQ, CHUS", "")</f>
      </c>
      <c r="AN337" s="37">
        <f>IF(AND(AJ337="no match", AK337="", AL337="", K337&gt;26), "CUSM, CHU SJ, HGJ, CHUQ, CHUS, HMR", "")</f>
      </c>
    </row>
    <row x14ac:dyDescent="0.25" r="338" customHeight="1" ht="17.25">
      <c r="A338" s="27" t="s">
        <v>755</v>
      </c>
      <c r="B338" s="28">
        <v>2</v>
      </c>
      <c r="C338" s="28">
        <v>746</v>
      </c>
      <c r="D338" s="29" t="s">
        <v>139</v>
      </c>
      <c r="E338" s="30" t="s">
        <v>50</v>
      </c>
      <c r="F338" s="31">
        <v>44750</v>
      </c>
      <c r="G338" s="32">
        <v>4.9875</v>
      </c>
      <c r="H338" s="31">
        <v>44749</v>
      </c>
      <c r="I338" s="32">
        <v>4.710416666666667</v>
      </c>
      <c r="J338" s="33">
        <f>F338-H338</f>
      </c>
      <c r="K338" s="28">
        <v>35</v>
      </c>
      <c r="L338" s="28">
        <v>2</v>
      </c>
      <c r="M338" s="28">
        <v>1</v>
      </c>
      <c r="N338" s="34"/>
      <c r="O338" s="34"/>
      <c r="P338" s="34"/>
      <c r="Q338" s="34"/>
      <c r="R338" s="34"/>
      <c r="S338" s="34"/>
      <c r="T338" s="34"/>
      <c r="U338" s="34"/>
      <c r="V338" s="34"/>
      <c r="W338" s="29" t="s">
        <v>58</v>
      </c>
      <c r="X338" s="28">
        <v>25</v>
      </c>
      <c r="Y338" s="28">
        <v>1</v>
      </c>
      <c r="Z338" s="28">
        <v>1</v>
      </c>
      <c r="AA338" s="28">
        <v>2</v>
      </c>
      <c r="AB338" s="28">
        <v>2</v>
      </c>
      <c r="AC338" s="28">
        <v>2</v>
      </c>
      <c r="AD338" s="28">
        <v>2</v>
      </c>
      <c r="AE338" s="28">
        <v>4</v>
      </c>
      <c r="AF338" s="28">
        <v>2</v>
      </c>
      <c r="AG338" s="28">
        <v>2</v>
      </c>
      <c r="AH338" s="29" t="s">
        <v>756</v>
      </c>
      <c r="AI338" s="36">
        <f>IF(OR(AND(K338&lt;32, J338&lt;2), O338=1, P338=1, Q338=1, R338=1, S338=1, T338=1, U338=1, AND(W338&lt;&gt;"", W338&lt;&gt;"Oxygen", W338&lt;&gt;"LowFlow")), "Intensive", "Intermediate")</f>
      </c>
      <c r="AJ338" s="37">
        <f>IF(OR(LEFT(AH338, 1)="X", LEFT(AH338, 1)="Y", LEFT(AH338, 3)="J14M"), "CUSM", "No Match")</f>
      </c>
      <c r="AK338" s="37">
        <f>IF(AND(OR(O338=3, P338=1, Q338=1, T338=1), AJ338="no Match"), "CUSM, CHU SJ, CHUQ", "")</f>
      </c>
      <c r="AL338" s="37">
        <f>IF(AND(O338=2, ISBLANK(P338), ISBLANK(Q338), ISBLANK(R338), ISBLANK(S338), ISBLANK(T338)), "CUSM, CHU SJ, CHUS, CHUQ", "")</f>
      </c>
      <c r="AM338" s="37">
        <f>IF(AND(AJ338="no match", AK338="", AL338="", K338&lt;26), "CUSM, CHU SJ, HGJ, CHUQ, CHUS", "")</f>
      </c>
      <c r="AN338" s="37">
        <f>IF(AND(AJ338="no match", AK338="", AL338="", K338&gt;26), "CUSM, CHU SJ, HGJ, CHUQ, CHUS, HMR", "")</f>
      </c>
    </row>
    <row x14ac:dyDescent="0.25" r="339" customHeight="1" ht="17.25">
      <c r="A339" s="27" t="s">
        <v>757</v>
      </c>
      <c r="B339" s="28">
        <v>2</v>
      </c>
      <c r="C339" s="35">
        <v>757</v>
      </c>
      <c r="D339" s="29" t="s">
        <v>124</v>
      </c>
      <c r="E339" s="30" t="s">
        <v>54</v>
      </c>
      <c r="F339" s="31">
        <v>44751</v>
      </c>
      <c r="G339" s="32">
        <v>4.513888888888889</v>
      </c>
      <c r="H339" s="31">
        <v>44751</v>
      </c>
      <c r="I339" s="32">
        <v>4.1</v>
      </c>
      <c r="J339" s="33">
        <f>F339-H339</f>
      </c>
      <c r="K339" s="28">
        <v>35</v>
      </c>
      <c r="L339" s="28">
        <v>6</v>
      </c>
      <c r="M339" s="28">
        <v>1</v>
      </c>
      <c r="N339" s="34"/>
      <c r="O339" s="34"/>
      <c r="P339" s="34"/>
      <c r="Q339" s="34"/>
      <c r="R339" s="34"/>
      <c r="S339" s="34"/>
      <c r="T339" s="34"/>
      <c r="U339" s="34"/>
      <c r="V339" s="34"/>
      <c r="W339" s="29" t="s">
        <v>74</v>
      </c>
      <c r="X339" s="28">
        <v>35</v>
      </c>
      <c r="Y339" s="28">
        <v>2</v>
      </c>
      <c r="Z339" s="28">
        <v>1</v>
      </c>
      <c r="AA339" s="28">
        <v>1</v>
      </c>
      <c r="AB339" s="28">
        <v>1</v>
      </c>
      <c r="AC339" s="28">
        <v>2</v>
      </c>
      <c r="AD339" s="28">
        <v>2</v>
      </c>
      <c r="AE339" s="28">
        <v>4</v>
      </c>
      <c r="AF339" s="28">
        <v>2</v>
      </c>
      <c r="AG339" s="28">
        <v>2</v>
      </c>
      <c r="AH339" s="29" t="s">
        <v>758</v>
      </c>
      <c r="AI339" s="36">
        <f>IF(OR(AND(K339&lt;32, J339&lt;2), O339=1, P339=1, Q339=1, R339=1, S339=1, T339=1, U339=1, AND(W339&lt;&gt;"", W339&lt;&gt;"Oxygen", W339&lt;&gt;"LowFlow")), "Intensive", "Intermediate")</f>
      </c>
      <c r="AJ339" s="37">
        <f>IF(OR(LEFT(AH339, 1)="X", LEFT(AH339, 1)="Y", LEFT(AH339, 3)="J15M"), "CUSM", "No Match")</f>
      </c>
      <c r="AK339" s="37">
        <f>IF(AND(OR(O339=3, P339=1, Q339=1, T339=1), AJ339="no Match"), "CUSM, CHU SJ, CHUQ", "")</f>
      </c>
      <c r="AL339" s="37">
        <f>IF(AND(O339=2, ISBLANK(P339), ISBLANK(Q339), ISBLANK(R339), ISBLANK(S339), ISBLANK(T339)), "CUSM, CHU SJ, CHUS, CHUQ", "")</f>
      </c>
      <c r="AM339" s="37">
        <f>IF(AND(AJ339="no match", AK339="", AL339="", K339&lt;26), "CUSM, CHU SJ, HGJ, CHUQ, CHUS", "")</f>
      </c>
      <c r="AN339" s="37">
        <f>IF(AND(AJ339="no match", AK339="", AL339="", K339&gt;26), "CUSM, CHU SJ, HGJ, CHUQ, CHUS, HMR", "")</f>
      </c>
    </row>
    <row x14ac:dyDescent="0.25" r="340" customHeight="1" ht="17.25">
      <c r="A340" s="27" t="s">
        <v>759</v>
      </c>
      <c r="B340" s="28">
        <v>2</v>
      </c>
      <c r="C340" s="35">
        <v>824</v>
      </c>
      <c r="D340" s="29" t="s">
        <v>57</v>
      </c>
      <c r="E340" s="30" t="s">
        <v>50</v>
      </c>
      <c r="F340" s="31">
        <v>44751</v>
      </c>
      <c r="G340" s="32">
        <v>4.770833333333334</v>
      </c>
      <c r="H340" s="31">
        <v>44749</v>
      </c>
      <c r="I340" s="32">
        <v>4.570833333333333</v>
      </c>
      <c r="J340" s="33">
        <f>F340-H340</f>
      </c>
      <c r="K340" s="28">
        <v>37</v>
      </c>
      <c r="L340" s="28">
        <v>3</v>
      </c>
      <c r="M340" s="28">
        <v>1</v>
      </c>
      <c r="N340" s="35">
        <v>1</v>
      </c>
      <c r="O340" s="34"/>
      <c r="P340" s="35">
        <v>1</v>
      </c>
      <c r="Q340" s="34"/>
      <c r="R340" s="34"/>
      <c r="S340" s="34"/>
      <c r="T340" s="34"/>
      <c r="U340" s="34"/>
      <c r="V340" s="34"/>
      <c r="W340" s="29"/>
      <c r="X340" s="28">
        <v>40</v>
      </c>
      <c r="Y340" s="28">
        <v>1</v>
      </c>
      <c r="Z340" s="28">
        <v>2</v>
      </c>
      <c r="AA340" s="35">
        <v>2</v>
      </c>
      <c r="AB340" s="28">
        <v>1</v>
      </c>
      <c r="AC340" s="28">
        <v>2</v>
      </c>
      <c r="AD340" s="28">
        <v>1</v>
      </c>
      <c r="AE340" s="28">
        <v>4</v>
      </c>
      <c r="AF340" s="28">
        <v>3</v>
      </c>
      <c r="AG340" s="28">
        <v>2</v>
      </c>
      <c r="AH340" s="29" t="s">
        <v>760</v>
      </c>
      <c r="AI340" s="36">
        <f>IF(OR(AND(K340&lt;32, J340&lt;2), O340=1, P340=1, Q340=1, R340=1, S340=1, T340=1, U340=1, AND(W340&lt;&gt;"", W340&lt;&gt;"Oxygen", W340&lt;&gt;"LowFlow")), "Intensive", "Intermediate")</f>
      </c>
      <c r="AJ340" s="37">
        <f>IF(OR(LEFT(AH340, 1)="X", LEFT(AH340, 1)="Y", LEFT(AH340, 3)="J16M"), "CUSM", "No Match")</f>
      </c>
      <c r="AK340" s="37">
        <f>IF(AND(OR(O340=3, P340=1, Q340=1, T340=1), AJ340="no Match"), "CUSM, CHU SJ, CHUQ", "")</f>
      </c>
      <c r="AL340" s="37">
        <f>IF(AND(O340=2, ISBLANK(P340), ISBLANK(Q340), ISBLANK(R340), ISBLANK(S340), ISBLANK(T340)), "CUSM, CHU SJ, CHUS, CHUQ", "")</f>
      </c>
      <c r="AM340" s="37">
        <f>IF(AND(AJ340="no match", AK340="", AL340="", K340&lt;26), "CUSM, CHU SJ, HGJ, CHUQ, CHUS", "")</f>
      </c>
      <c r="AN340" s="37">
        <f>IF(AND(AJ340="no match", AK340="", AL340="", K340&gt;26), "CUSM, CHU SJ, HGJ, CHUQ, CHUS, HMR", "")</f>
      </c>
    </row>
    <row x14ac:dyDescent="0.25" r="341" customHeight="1" ht="17.25">
      <c r="A341" s="27" t="s">
        <v>761</v>
      </c>
      <c r="B341" s="28">
        <v>2</v>
      </c>
      <c r="C341" s="35">
        <v>782</v>
      </c>
      <c r="D341" s="29" t="s">
        <v>95</v>
      </c>
      <c r="E341" s="30" t="s">
        <v>50</v>
      </c>
      <c r="F341" s="31">
        <v>44751</v>
      </c>
      <c r="G341" s="32">
        <v>4.114583333333334</v>
      </c>
      <c r="H341" s="31">
        <v>44750</v>
      </c>
      <c r="I341" s="32">
        <v>4.96875</v>
      </c>
      <c r="J341" s="33">
        <f>F341-H341</f>
      </c>
      <c r="K341" s="28">
        <v>37</v>
      </c>
      <c r="L341" s="28">
        <v>0</v>
      </c>
      <c r="M341" s="28">
        <v>1</v>
      </c>
      <c r="N341" s="34"/>
      <c r="O341" s="34"/>
      <c r="P341" s="34"/>
      <c r="Q341" s="34"/>
      <c r="R341" s="34"/>
      <c r="S341" s="34"/>
      <c r="T341" s="35">
        <v>1</v>
      </c>
      <c r="U341" s="34"/>
      <c r="V341" s="34"/>
      <c r="W341" s="29"/>
      <c r="X341" s="28">
        <v>28</v>
      </c>
      <c r="Y341" s="28">
        <v>1</v>
      </c>
      <c r="Z341" s="28">
        <v>2</v>
      </c>
      <c r="AA341" s="28">
        <v>3</v>
      </c>
      <c r="AB341" s="28">
        <v>1</v>
      </c>
      <c r="AC341" s="28">
        <v>1</v>
      </c>
      <c r="AD341" s="28">
        <v>2</v>
      </c>
      <c r="AE341" s="28">
        <v>4</v>
      </c>
      <c r="AF341" s="28">
        <v>2</v>
      </c>
      <c r="AG341" s="28">
        <v>2</v>
      </c>
      <c r="AH341" s="29" t="s">
        <v>762</v>
      </c>
      <c r="AI341" s="36">
        <f>IF(OR(AND(K341&lt;32, J341&lt;2), O341=1, P341=1, Q341=1, R341=1, S341=1, T341=1, U341=1, AND(W341&lt;&gt;"", W341&lt;&gt;"Oxygen", W341&lt;&gt;"LowFlow")), "Intensive", "Intermediate")</f>
      </c>
      <c r="AJ341" s="37">
        <f>IF(OR(LEFT(AH341, 1)="X", LEFT(AH341, 1)="Y", LEFT(AH341, 3)="J17M"), "CUSM", "No Match")</f>
      </c>
      <c r="AK341" s="37">
        <f>IF(AND(OR(O341=3, P341=1, Q341=1, T341=1), AJ341="no Match"), "CUSM, CHU SJ, CHUQ", "")</f>
      </c>
      <c r="AL341" s="37">
        <f>IF(AND(O341=2, ISBLANK(P341), ISBLANK(Q341), ISBLANK(R341), ISBLANK(S341), ISBLANK(T341)), "CUSM, CHU SJ, CHUS, CHUQ", "")</f>
      </c>
      <c r="AM341" s="37">
        <f>IF(AND(AJ341="no match", AK341="", AL341="", K341&lt;26), "CUSM, CHU SJ, HGJ, CHUQ, CHUS", "")</f>
      </c>
      <c r="AN341" s="37">
        <f>IF(AND(AJ341="no match", AK341="", AL341="", K341&gt;26), "CUSM, CHU SJ, HGJ, CHUQ, CHUS, HMR", "")</f>
      </c>
    </row>
    <row x14ac:dyDescent="0.25" r="342" customHeight="1" ht="17.25">
      <c r="A342" s="27" t="s">
        <v>763</v>
      </c>
      <c r="B342" s="28">
        <v>2</v>
      </c>
      <c r="C342" s="35">
        <v>808</v>
      </c>
      <c r="D342" s="29" t="s">
        <v>764</v>
      </c>
      <c r="E342" s="30" t="s">
        <v>149</v>
      </c>
      <c r="F342" s="31">
        <v>44752</v>
      </c>
      <c r="G342" s="32">
        <v>4.5777777777777775</v>
      </c>
      <c r="H342" s="31">
        <v>44752</v>
      </c>
      <c r="I342" s="32">
        <v>4.020833333333334</v>
      </c>
      <c r="J342" s="33">
        <f>F342-H342</f>
      </c>
      <c r="K342" s="28">
        <v>31</v>
      </c>
      <c r="L342" s="28">
        <v>0</v>
      </c>
      <c r="M342" s="28">
        <v>2</v>
      </c>
      <c r="N342" s="34"/>
      <c r="O342" s="34"/>
      <c r="P342" s="34"/>
      <c r="Q342" s="34"/>
      <c r="R342" s="34"/>
      <c r="S342" s="34"/>
      <c r="T342" s="34"/>
      <c r="U342" s="34"/>
      <c r="V342" s="34"/>
      <c r="W342" s="29" t="s">
        <v>58</v>
      </c>
      <c r="X342" s="28">
        <v>19</v>
      </c>
      <c r="Y342" s="28">
        <v>1</v>
      </c>
      <c r="Z342" s="28">
        <v>1</v>
      </c>
      <c r="AA342" s="28">
        <v>3</v>
      </c>
      <c r="AB342" s="28">
        <v>4</v>
      </c>
      <c r="AC342" s="28">
        <v>3</v>
      </c>
      <c r="AD342" s="28">
        <v>3</v>
      </c>
      <c r="AE342" s="28">
        <v>4</v>
      </c>
      <c r="AF342" s="28">
        <v>3</v>
      </c>
      <c r="AG342" s="28">
        <v>2</v>
      </c>
      <c r="AH342" s="29" t="s">
        <v>765</v>
      </c>
      <c r="AI342" s="36">
        <f>IF(OR(AND(K342&lt;32, J342&lt;2), O342=1, P342=1, Q342=1, R342=1, S342=1, T342=1, U342=1, AND(W342&lt;&gt;"", W342&lt;&gt;"Oxygen", W342&lt;&gt;"LowFlow")), "Intensive", "Intermediate")</f>
      </c>
      <c r="AJ342" s="37">
        <f>IF(OR(LEFT(AH342, 1)="X", LEFT(AH342, 1)="Y", LEFT(AH342, 3)="J18M"), "CUSM", "No Match")</f>
      </c>
      <c r="AK342" s="37">
        <f>IF(AND(OR(O342=3, P342=1, Q342=1, T342=1), AJ342="no Match"), "CUSM, CHU SJ, CHUQ", "")</f>
      </c>
      <c r="AL342" s="37">
        <f>IF(AND(O342=2, ISBLANK(P342), ISBLANK(Q342), ISBLANK(R342), ISBLANK(S342), ISBLANK(T342)), "CUSM, CHU SJ, CHUS, CHUQ", "")</f>
      </c>
      <c r="AM342" s="37">
        <f>IF(AND(AJ342="no match", AK342="", AL342="", K342&lt;26), "CUSM, CHU SJ, HGJ, CHUQ, CHUS", "")</f>
      </c>
      <c r="AN342" s="37">
        <f>IF(AND(AJ342="no match", AK342="", AL342="", K342&gt;26), "CUSM, CHU SJ, HGJ, CHUQ, CHUS, HMR", "")</f>
      </c>
    </row>
    <row x14ac:dyDescent="0.25" r="343" customHeight="1" ht="17.25">
      <c r="A343" s="27" t="s">
        <v>766</v>
      </c>
      <c r="B343" s="28">
        <v>2</v>
      </c>
      <c r="C343" s="28">
        <v>730</v>
      </c>
      <c r="D343" s="29" t="s">
        <v>81</v>
      </c>
      <c r="E343" s="30" t="s">
        <v>54</v>
      </c>
      <c r="F343" s="31">
        <v>44752</v>
      </c>
      <c r="G343" s="32">
        <v>4.583333333333334</v>
      </c>
      <c r="H343" s="31">
        <v>44749</v>
      </c>
      <c r="I343" s="32">
        <v>4.417361111111111</v>
      </c>
      <c r="J343" s="33">
        <f>F343-H343</f>
      </c>
      <c r="K343" s="28">
        <v>39</v>
      </c>
      <c r="L343" s="28">
        <v>2</v>
      </c>
      <c r="M343" s="28">
        <v>2</v>
      </c>
      <c r="N343" s="35">
        <v>1</v>
      </c>
      <c r="O343" s="34"/>
      <c r="P343" s="35">
        <v>1</v>
      </c>
      <c r="Q343" s="34"/>
      <c r="R343" s="34"/>
      <c r="S343" s="34"/>
      <c r="T343" s="34"/>
      <c r="U343" s="34"/>
      <c r="V343" s="34"/>
      <c r="W343" s="29"/>
      <c r="X343" s="28">
        <v>46</v>
      </c>
      <c r="Y343" s="28">
        <v>1</v>
      </c>
      <c r="Z343" s="28">
        <v>1</v>
      </c>
      <c r="AA343" s="28">
        <v>3</v>
      </c>
      <c r="AB343" s="28">
        <v>1</v>
      </c>
      <c r="AC343" s="28">
        <v>2</v>
      </c>
      <c r="AD343" s="28">
        <v>2</v>
      </c>
      <c r="AE343" s="28">
        <v>4</v>
      </c>
      <c r="AF343" s="28">
        <v>3</v>
      </c>
      <c r="AG343" s="28">
        <v>2</v>
      </c>
      <c r="AH343" s="29" t="s">
        <v>767</v>
      </c>
      <c r="AI343" s="36">
        <f>IF(OR(AND(K343&lt;32, J343&lt;2), O343=1, P343=1, Q343=1, R343=1, S343=1, T343=1, U343=1, AND(W343&lt;&gt;"", W343&lt;&gt;"Oxygen", W343&lt;&gt;"LowFlow")), "Intensive", "Intermediate")</f>
      </c>
      <c r="AJ343" s="37">
        <f>IF(OR(LEFT(AH343, 1)="X", LEFT(AH343, 1)="Y", LEFT(AH343, 3)="J19M"), "CUSM", "No Match")</f>
      </c>
      <c r="AK343" s="37">
        <f>IF(AND(OR(O343=3, P343=1, Q343=1, T343=1), AJ343="no Match"), "CUSM, CHU SJ, CHUQ", "")</f>
      </c>
      <c r="AL343" s="37">
        <f>IF(AND(O343=2, ISBLANK(P343), ISBLANK(Q343), ISBLANK(R343), ISBLANK(S343), ISBLANK(T343)), "CUSM, CHU SJ, CHUS, CHUQ", "")</f>
      </c>
      <c r="AM343" s="37">
        <f>IF(AND(AJ343="no match", AK343="", AL343="", K343&lt;26), "CUSM, CHU SJ, HGJ, CHUQ, CHUS", "")</f>
      </c>
      <c r="AN343" s="37">
        <f>IF(AND(AJ343="no match", AK343="", AL343="", K343&gt;26), "CUSM, CHU SJ, HGJ, CHUQ, CHUS, HMR", "")</f>
      </c>
    </row>
    <row x14ac:dyDescent="0.25" r="344" customHeight="1" ht="17.25">
      <c r="A344" s="27" t="s">
        <v>768</v>
      </c>
      <c r="B344" s="28">
        <v>2</v>
      </c>
      <c r="C344" s="28">
        <v>815</v>
      </c>
      <c r="D344" s="29" t="s">
        <v>100</v>
      </c>
      <c r="E344" s="30" t="s">
        <v>54</v>
      </c>
      <c r="F344" s="31">
        <v>44752</v>
      </c>
      <c r="G344" s="32">
        <v>4.770833333333334</v>
      </c>
      <c r="H344" s="31">
        <v>44750</v>
      </c>
      <c r="I344" s="32">
        <v>4.361805555555556</v>
      </c>
      <c r="J344" s="33">
        <f>F344-H344</f>
      </c>
      <c r="K344" s="28">
        <v>35</v>
      </c>
      <c r="L344" s="28">
        <v>0</v>
      </c>
      <c r="M344" s="28">
        <v>1</v>
      </c>
      <c r="N344" s="34"/>
      <c r="O344" s="34"/>
      <c r="P344" s="34"/>
      <c r="Q344" s="34"/>
      <c r="R344" s="34"/>
      <c r="S344" s="34"/>
      <c r="T344" s="34"/>
      <c r="U344" s="34"/>
      <c r="V344" s="34"/>
      <c r="W344" s="29" t="s">
        <v>106</v>
      </c>
      <c r="X344" s="28">
        <v>20</v>
      </c>
      <c r="Y344" s="28">
        <v>2</v>
      </c>
      <c r="Z344" s="28">
        <v>2</v>
      </c>
      <c r="AA344" s="28">
        <v>2</v>
      </c>
      <c r="AB344" s="28">
        <v>1</v>
      </c>
      <c r="AC344" s="28">
        <v>2</v>
      </c>
      <c r="AD344" s="28">
        <v>2</v>
      </c>
      <c r="AE344" s="28">
        <v>4</v>
      </c>
      <c r="AF344" s="28">
        <v>2</v>
      </c>
      <c r="AG344" s="28">
        <v>2</v>
      </c>
      <c r="AH344" s="29" t="s">
        <v>769</v>
      </c>
      <c r="AI344" s="36">
        <f>IF(OR(AND(K344&lt;32, J344&lt;2), O344=1, P344=1, Q344=1, R344=1, S344=1, T344=1, U344=1, AND(W344&lt;&gt;"", W344&lt;&gt;"Oxygen", W344&lt;&gt;"LowFlow")), "Intensive", "Intermediate")</f>
      </c>
      <c r="AJ344" s="37">
        <f>IF(OR(LEFT(AH344, 1)="X", LEFT(AH344, 1)="Y", LEFT(AH344, 3)="J20M"), "CUSM", "No Match")</f>
      </c>
      <c r="AK344" s="37">
        <f>IF(AND(OR(O344=3, P344=1, Q344=1, T344=1), AJ344="no Match"), "CUSM, CHU SJ, CHUQ", "")</f>
      </c>
      <c r="AL344" s="37">
        <f>IF(AND(O344=2, ISBLANK(P344), ISBLANK(Q344), ISBLANK(R344), ISBLANK(S344), ISBLANK(T344)), "CUSM, CHU SJ, CHUS, CHUQ", "")</f>
      </c>
      <c r="AM344" s="37">
        <f>IF(AND(AJ344="no match", AK344="", AL344="", K344&lt;26), "CUSM, CHU SJ, HGJ, CHUQ, CHUS", "")</f>
      </c>
      <c r="AN344" s="37">
        <f>IF(AND(AJ344="no match", AK344="", AL344="", K344&gt;26), "CUSM, CHU SJ, HGJ, CHUQ, CHUS, HMR", "")</f>
      </c>
    </row>
    <row x14ac:dyDescent="0.25" r="345" customHeight="1" ht="17.25">
      <c r="A345" s="27" t="s">
        <v>770</v>
      </c>
      <c r="B345" s="28">
        <v>2</v>
      </c>
      <c r="C345" s="28">
        <v>815</v>
      </c>
      <c r="D345" s="29" t="s">
        <v>100</v>
      </c>
      <c r="E345" s="30" t="s">
        <v>54</v>
      </c>
      <c r="F345" s="31">
        <v>44754</v>
      </c>
      <c r="G345" s="32">
        <v>4.743055555555555</v>
      </c>
      <c r="H345" s="31">
        <v>44750</v>
      </c>
      <c r="I345" s="32">
        <v>4.3625</v>
      </c>
      <c r="J345" s="33">
        <f>F345-H345</f>
      </c>
      <c r="K345" s="28">
        <v>35</v>
      </c>
      <c r="L345" s="28">
        <v>0</v>
      </c>
      <c r="M345" s="28">
        <v>1</v>
      </c>
      <c r="N345" s="34"/>
      <c r="O345" s="34"/>
      <c r="P345" s="34"/>
      <c r="Q345" s="34"/>
      <c r="R345" s="34"/>
      <c r="S345" s="34"/>
      <c r="T345" s="34"/>
      <c r="U345" s="34"/>
      <c r="V345" s="34"/>
      <c r="W345" s="29" t="s">
        <v>600</v>
      </c>
      <c r="X345" s="28">
        <v>20</v>
      </c>
      <c r="Y345" s="28">
        <v>2</v>
      </c>
      <c r="Z345" s="28">
        <v>2</v>
      </c>
      <c r="AA345" s="28">
        <v>2</v>
      </c>
      <c r="AB345" s="28">
        <v>1</v>
      </c>
      <c r="AC345" s="28">
        <v>2</v>
      </c>
      <c r="AD345" s="28">
        <v>2</v>
      </c>
      <c r="AE345" s="28">
        <v>4</v>
      </c>
      <c r="AF345" s="28">
        <v>2</v>
      </c>
      <c r="AG345" s="28">
        <v>2</v>
      </c>
      <c r="AH345" s="29" t="s">
        <v>769</v>
      </c>
      <c r="AI345" s="36">
        <f>IF(OR(AND(K345&lt;32, J345&lt;2), O345=1, P345=1, Q345=1, R345=1, S345=1, T345=1, U345=1, AND(W345&lt;&gt;"", W345&lt;&gt;"Oxygen", W345&lt;&gt;"LowFlow")), "Intensive", "Intermediate")</f>
      </c>
      <c r="AJ345" s="37">
        <f>IF(OR(LEFT(AH345, 1)="X", LEFT(AH345, 1)="Y", LEFT(AH345, 3)="J21M"), "CUSM", "No Match")</f>
      </c>
      <c r="AK345" s="37">
        <f>IF(AND(OR(O345=3, P345=1, Q345=1, T345=1), AJ345="no Match"), "CUSM, CHU SJ, CHUQ", "")</f>
      </c>
      <c r="AL345" s="37">
        <f>IF(AND(O345=2, ISBLANK(P345), ISBLANK(Q345), ISBLANK(R345), ISBLANK(S345), ISBLANK(T345)), "CUSM, CHU SJ, CHUS, CHUQ", "")</f>
      </c>
      <c r="AM345" s="37">
        <f>IF(AND(AJ345="no match", AK345="", AL345="", K345&lt;26), "CUSM, CHU SJ, HGJ, CHUQ, CHUS", "")</f>
      </c>
      <c r="AN345" s="37">
        <f>IF(AND(AJ345="no match", AK345="", AL345="", K345&gt;26), "CUSM, CHU SJ, HGJ, CHUQ, CHUS, HMR", "")</f>
      </c>
    </row>
    <row x14ac:dyDescent="0.25" r="346" customHeight="1" ht="17.25">
      <c r="A346" s="27" t="s">
        <v>771</v>
      </c>
      <c r="B346" s="28">
        <v>2</v>
      </c>
      <c r="C346" s="35">
        <v>796</v>
      </c>
      <c r="D346" s="29" t="s">
        <v>63</v>
      </c>
      <c r="E346" s="30" t="s">
        <v>50</v>
      </c>
      <c r="F346" s="31">
        <v>44754</v>
      </c>
      <c r="G346" s="32">
        <v>4.420138888888889</v>
      </c>
      <c r="H346" s="31">
        <v>44754</v>
      </c>
      <c r="I346" s="32">
        <v>4.232638888888889</v>
      </c>
      <c r="J346" s="33">
        <f>F346-H346</f>
      </c>
      <c r="K346" s="28">
        <v>41</v>
      </c>
      <c r="L346" s="28">
        <v>0</v>
      </c>
      <c r="M346" s="28">
        <v>2</v>
      </c>
      <c r="N346" s="35">
        <v>1</v>
      </c>
      <c r="O346" s="34"/>
      <c r="P346" s="34"/>
      <c r="Q346" s="34"/>
      <c r="R346" s="34"/>
      <c r="S346" s="34"/>
      <c r="T346" s="35">
        <v>1</v>
      </c>
      <c r="U346" s="34"/>
      <c r="V346" s="34"/>
      <c r="W346" s="29"/>
      <c r="X346" s="28">
        <v>35</v>
      </c>
      <c r="Y346" s="28">
        <v>1</v>
      </c>
      <c r="Z346" s="28">
        <v>1</v>
      </c>
      <c r="AA346" s="28">
        <v>1</v>
      </c>
      <c r="AB346" s="28">
        <v>2</v>
      </c>
      <c r="AC346" s="28">
        <v>2</v>
      </c>
      <c r="AD346" s="28">
        <v>2</v>
      </c>
      <c r="AE346" s="28">
        <v>4</v>
      </c>
      <c r="AF346" s="28">
        <v>1</v>
      </c>
      <c r="AG346" s="28">
        <v>2</v>
      </c>
      <c r="AH346" s="29" t="s">
        <v>772</v>
      </c>
      <c r="AI346" s="36">
        <f>IF(OR(AND(K346&lt;32, J346&lt;2), O346=1, P346=1, Q346=1, R346=1, S346=1, T346=1, U346=1, AND(W346&lt;&gt;"", W346&lt;&gt;"Oxygen", W346&lt;&gt;"LowFlow")), "Intensive", "Intermediate")</f>
      </c>
      <c r="AJ346" s="37">
        <f>IF(OR(LEFT(AH346, 1)="X", LEFT(AH346, 1)="Y", LEFT(AH346, 3)="J22M"), "CUSM", "No Match")</f>
      </c>
      <c r="AK346" s="37">
        <f>IF(AND(OR(O346=3, P346=1, Q346=1, T346=1), AJ346="no Match"), "CUSM, CHU SJ, CHUQ", "")</f>
      </c>
      <c r="AL346" s="37">
        <f>IF(AND(O346=2, ISBLANK(P346), ISBLANK(Q346), ISBLANK(R346), ISBLANK(S346), ISBLANK(T346)), "CUSM, CHU SJ, CHUS, CHUQ", "")</f>
      </c>
      <c r="AM346" s="37">
        <f>IF(AND(AJ346="no match", AK346="", AL346="", K346&lt;26), "CUSM, CHU SJ, HGJ, CHUQ, CHUS", "")</f>
      </c>
      <c r="AN346" s="37">
        <f>IF(AND(AJ346="no match", AK346="", AL346="", K346&gt;26), "CUSM, CHU SJ, HGJ, CHUQ, CHUS, HMR", "")</f>
      </c>
    </row>
    <row x14ac:dyDescent="0.25" r="347" customHeight="1" ht="17.25">
      <c r="A347" s="27" t="s">
        <v>773</v>
      </c>
      <c r="B347" s="28">
        <v>2</v>
      </c>
      <c r="C347" s="35">
        <v>796</v>
      </c>
      <c r="D347" s="29" t="s">
        <v>63</v>
      </c>
      <c r="E347" s="30" t="s">
        <v>50</v>
      </c>
      <c r="F347" s="31">
        <v>44754</v>
      </c>
      <c r="G347" s="32">
        <v>4.947916666666666</v>
      </c>
      <c r="H347" s="31">
        <v>44749</v>
      </c>
      <c r="I347" s="32">
        <v>4.885416666666666</v>
      </c>
      <c r="J347" s="33">
        <f>F347-H347</f>
      </c>
      <c r="K347" s="28">
        <v>37</v>
      </c>
      <c r="L347" s="28">
        <v>2</v>
      </c>
      <c r="M347" s="28">
        <v>1</v>
      </c>
      <c r="N347" s="34"/>
      <c r="O347" s="34"/>
      <c r="P347" s="34"/>
      <c r="Q347" s="34"/>
      <c r="R347" s="34"/>
      <c r="S347" s="34"/>
      <c r="T347" s="35">
        <v>1</v>
      </c>
      <c r="U347" s="34"/>
      <c r="V347" s="34"/>
      <c r="W347" s="29" t="s">
        <v>74</v>
      </c>
      <c r="X347" s="28">
        <v>29</v>
      </c>
      <c r="Y347" s="28">
        <v>1</v>
      </c>
      <c r="Z347" s="28">
        <v>2</v>
      </c>
      <c r="AA347" s="28">
        <v>2</v>
      </c>
      <c r="AB347" s="28">
        <v>1</v>
      </c>
      <c r="AC347" s="28">
        <v>2</v>
      </c>
      <c r="AD347" s="28">
        <v>1</v>
      </c>
      <c r="AE347" s="28">
        <v>4</v>
      </c>
      <c r="AF347" s="28">
        <v>2</v>
      </c>
      <c r="AG347" s="28">
        <v>2</v>
      </c>
      <c r="AH347" s="29" t="s">
        <v>774</v>
      </c>
      <c r="AI347" s="36">
        <f>IF(OR(AND(K347&lt;32, J347&lt;2), O347=1, P347=1, Q347=1, R347=1, S347=1, T347=1, U347=1, AND(W347&lt;&gt;"", W347&lt;&gt;"Oxygen", W347&lt;&gt;"LowFlow")), "Intensive", "Intermediate")</f>
      </c>
      <c r="AJ347" s="37">
        <f>IF(OR(LEFT(AH347, 1)="X", LEFT(AH347, 1)="Y", LEFT(AH347, 3)="J23M"), "CUSM", "No Match")</f>
      </c>
      <c r="AK347" s="37">
        <f>IF(AND(OR(O347=3, P347=1, Q347=1, T347=1), AJ347="no Match"), "CUSM, CHU SJ, CHUQ", "")</f>
      </c>
      <c r="AL347" s="37">
        <f>IF(AND(O347=2, ISBLANK(P347), ISBLANK(Q347), ISBLANK(R347), ISBLANK(S347), ISBLANK(T347)), "CUSM, CHU SJ, CHUS, CHUQ", "")</f>
      </c>
      <c r="AM347" s="37">
        <f>IF(AND(AJ347="no match", AK347="", AL347="", K347&lt;26), "CUSM, CHU SJ, HGJ, CHUQ, CHUS", "")</f>
      </c>
      <c r="AN347" s="37">
        <f>IF(AND(AJ347="no match", AK347="", AL347="", K347&gt;26), "CUSM, CHU SJ, HGJ, CHUQ, CHUS, HMR", "")</f>
      </c>
    </row>
    <row x14ac:dyDescent="0.25" r="348" customHeight="1" ht="17.25">
      <c r="A348" s="27" t="s">
        <v>775</v>
      </c>
      <c r="B348" s="28">
        <v>2</v>
      </c>
      <c r="C348" s="35">
        <v>776</v>
      </c>
      <c r="D348" s="29" t="s">
        <v>84</v>
      </c>
      <c r="E348" s="30" t="s">
        <v>50</v>
      </c>
      <c r="F348" s="31">
        <v>44755</v>
      </c>
      <c r="G348" s="32">
        <v>4.669444444444444</v>
      </c>
      <c r="H348" s="31">
        <v>44755</v>
      </c>
      <c r="I348" s="32">
        <v>4.471527777777778</v>
      </c>
      <c r="J348" s="33">
        <f>F348-H348</f>
      </c>
      <c r="K348" s="28">
        <v>34</v>
      </c>
      <c r="L348" s="28">
        <v>5</v>
      </c>
      <c r="M348" s="28">
        <v>1</v>
      </c>
      <c r="N348" s="34"/>
      <c r="O348" s="35">
        <v>2</v>
      </c>
      <c r="P348" s="34"/>
      <c r="Q348" s="34"/>
      <c r="R348" s="34"/>
      <c r="S348" s="35">
        <v>1</v>
      </c>
      <c r="T348" s="34"/>
      <c r="U348" s="34"/>
      <c r="V348" s="34"/>
      <c r="W348" s="29" t="s">
        <v>74</v>
      </c>
      <c r="X348" s="28">
        <v>24</v>
      </c>
      <c r="Y348" s="28">
        <v>1</v>
      </c>
      <c r="Z348" s="28">
        <v>1</v>
      </c>
      <c r="AA348" s="28">
        <v>1</v>
      </c>
      <c r="AB348" s="28">
        <v>1</v>
      </c>
      <c r="AC348" s="28">
        <v>2</v>
      </c>
      <c r="AD348" s="28">
        <v>2</v>
      </c>
      <c r="AE348" s="28">
        <v>4</v>
      </c>
      <c r="AF348" s="28">
        <v>3</v>
      </c>
      <c r="AG348" s="28">
        <v>2</v>
      </c>
      <c r="AH348" s="29" t="s">
        <v>776</v>
      </c>
      <c r="AI348" s="36">
        <f>IF(OR(AND(K348&lt;32, J348&lt;2), O348=1, P348=1, Q348=1, R348=1, S348=1, T348=1, U348=1, AND(W348&lt;&gt;"", W348&lt;&gt;"Oxygen", W348&lt;&gt;"LowFlow")), "Intensive", "Intermediate")</f>
      </c>
      <c r="AJ348" s="37">
        <f>IF(OR(LEFT(AH348, 1)="X", LEFT(AH348, 1)="Y", LEFT(AH348, 3)="J24M"), "CUSM", "No Match")</f>
      </c>
      <c r="AK348" s="37">
        <f>IF(AND(OR(O348=3, P348=1, Q348=1, T348=1), AJ348="no Match"), "CUSM, CHU SJ, CHUQ", "")</f>
      </c>
      <c r="AL348" s="37">
        <f>IF(AND(O348=2, ISBLANK(P348), ISBLANK(Q348), ISBLANK(R348), ISBLANK(S348), ISBLANK(T348)), "CUSM, CHU SJ, CHUS, CHUQ", "")</f>
      </c>
      <c r="AM348" s="37">
        <f>IF(AND(AJ348="no match", AK348="", AL348="", K348&lt;26), "CUSM, CHU SJ, HGJ, CHUQ, CHUS", "")</f>
      </c>
      <c r="AN348" s="37">
        <f>IF(AND(AJ348="no match", AK348="", AL348="", K348&gt;26), "CUSM, CHU SJ, HGJ, CHUQ, CHUS, HMR", "")</f>
      </c>
    </row>
    <row x14ac:dyDescent="0.25" r="349" customHeight="1" ht="17.25">
      <c r="A349" s="27" t="s">
        <v>777</v>
      </c>
      <c r="B349" s="28">
        <v>2</v>
      </c>
      <c r="C349" s="35">
        <v>815</v>
      </c>
      <c r="D349" s="29" t="s">
        <v>100</v>
      </c>
      <c r="E349" s="30" t="s">
        <v>54</v>
      </c>
      <c r="F349" s="31">
        <v>44756</v>
      </c>
      <c r="G349" s="32">
        <v>4.96875</v>
      </c>
      <c r="H349" s="31">
        <v>44756</v>
      </c>
      <c r="I349" s="32">
        <v>4.774305555555555</v>
      </c>
      <c r="J349" s="33">
        <f>F349-H349</f>
      </c>
      <c r="K349" s="28">
        <v>40</v>
      </c>
      <c r="L349" s="28">
        <v>0</v>
      </c>
      <c r="M349" s="28">
        <v>1</v>
      </c>
      <c r="N349" s="34"/>
      <c r="O349" s="34"/>
      <c r="P349" s="34"/>
      <c r="Q349" s="34"/>
      <c r="R349" s="34"/>
      <c r="S349" s="34"/>
      <c r="T349" s="34"/>
      <c r="U349" s="34"/>
      <c r="V349" s="34"/>
      <c r="W349" s="29" t="s">
        <v>58</v>
      </c>
      <c r="X349" s="28">
        <v>27</v>
      </c>
      <c r="Y349" s="28">
        <v>1</v>
      </c>
      <c r="Z349" s="28">
        <v>1</v>
      </c>
      <c r="AA349" s="28">
        <v>3</v>
      </c>
      <c r="AB349" s="28">
        <v>1</v>
      </c>
      <c r="AC349" s="28">
        <v>2</v>
      </c>
      <c r="AD349" s="28">
        <v>2</v>
      </c>
      <c r="AE349" s="28">
        <v>4</v>
      </c>
      <c r="AF349" s="28">
        <v>2</v>
      </c>
      <c r="AG349" s="28">
        <v>3</v>
      </c>
      <c r="AH349" s="29" t="s">
        <v>778</v>
      </c>
      <c r="AI349" s="36">
        <f>IF(OR(AND(K349&lt;32, J349&lt;2), O349=1, P349=1, Q349=1, R349=1, S349=1, T349=1, U349=1, AND(W349&lt;&gt;"", W349&lt;&gt;"Oxygen", W349&lt;&gt;"LowFlow")), "Intensive", "Intermediate")</f>
      </c>
      <c r="AJ349" s="37">
        <f>IF(OR(LEFT(AH349, 1)="X", LEFT(AH349, 1)="Y", LEFT(AH349, 3)="J25M"), "CUSM", "No Match")</f>
      </c>
      <c r="AK349" s="37">
        <f>IF(AND(OR(O349=3, P349=1, Q349=1, T349=1), AJ349="no Match"), "CUSM, CHU SJ, CHUQ", "")</f>
      </c>
      <c r="AL349" s="37">
        <f>IF(AND(O349=2, ISBLANK(P349), ISBLANK(Q349), ISBLANK(R349), ISBLANK(S349), ISBLANK(T349)), "CUSM, CHU SJ, CHUS, CHUQ", "")</f>
      </c>
      <c r="AM349" s="37">
        <f>IF(AND(AJ349="no match", AK349="", AL349="", K349&lt;26), "CUSM, CHU SJ, HGJ, CHUQ, CHUS", "")</f>
      </c>
      <c r="AN349" s="37">
        <f>IF(AND(AJ349="no match", AK349="", AL349="", K349&gt;26), "CUSM, CHU SJ, HGJ, CHUQ, CHUS, HMR", "")</f>
      </c>
    </row>
    <row x14ac:dyDescent="0.25" r="350" customHeight="1" ht="17.25">
      <c r="A350" s="27" t="s">
        <v>779</v>
      </c>
      <c r="B350" s="28">
        <v>2</v>
      </c>
      <c r="C350" s="28">
        <v>779</v>
      </c>
      <c r="D350" s="29" t="s">
        <v>136</v>
      </c>
      <c r="E350" s="30" t="s">
        <v>54</v>
      </c>
      <c r="F350" s="31">
        <v>44756</v>
      </c>
      <c r="G350" s="32">
        <v>4.145833333333334</v>
      </c>
      <c r="H350" s="31">
        <v>44754</v>
      </c>
      <c r="I350" s="32">
        <v>4.0993055555555555</v>
      </c>
      <c r="J350" s="33">
        <f>F350-H350</f>
      </c>
      <c r="K350" s="28">
        <v>39</v>
      </c>
      <c r="L350" s="28">
        <v>5</v>
      </c>
      <c r="M350" s="28">
        <v>1</v>
      </c>
      <c r="N350" s="35">
        <v>1</v>
      </c>
      <c r="O350" s="34"/>
      <c r="P350" s="34"/>
      <c r="Q350" s="34"/>
      <c r="R350" s="34"/>
      <c r="S350" s="34"/>
      <c r="T350" s="38"/>
      <c r="U350" s="34"/>
      <c r="V350" s="34"/>
      <c r="W350" s="29" t="s">
        <v>74</v>
      </c>
      <c r="X350" s="28">
        <v>33</v>
      </c>
      <c r="Y350" s="28">
        <v>1</v>
      </c>
      <c r="Z350" s="28">
        <v>2</v>
      </c>
      <c r="AA350" s="28">
        <v>1</v>
      </c>
      <c r="AB350" s="28">
        <v>1</v>
      </c>
      <c r="AC350" s="28">
        <v>1</v>
      </c>
      <c r="AD350" s="28">
        <v>2</v>
      </c>
      <c r="AE350" s="28">
        <v>4</v>
      </c>
      <c r="AF350" s="28">
        <v>1</v>
      </c>
      <c r="AG350" s="28">
        <v>2</v>
      </c>
      <c r="AH350" s="29" t="s">
        <v>780</v>
      </c>
      <c r="AI350" s="36">
        <f>IF(OR(AND(K350&lt;32, J350&lt;2), O350=1, P350=1, Q350=1, R350=1, S350=1, T350=1, U350=1, AND(W350&lt;&gt;"", W350&lt;&gt;"Oxygen", W350&lt;&gt;"LowFlow")), "Intensive", "Intermediate")</f>
      </c>
      <c r="AJ350" s="37">
        <f>IF(OR(LEFT(AH350, 1)="X", LEFT(AH350, 1)="Y", LEFT(AH350, 3)="J26M"), "CUSM", "No Match")</f>
      </c>
      <c r="AK350" s="37">
        <f>IF(AND(OR(O350=3, P350=1, Q350=1, T350=1), AJ350="no Match"), "CUSM, CHU SJ, CHUQ", "")</f>
      </c>
      <c r="AL350" s="37">
        <f>IF(AND(O350=2, ISBLANK(P350), ISBLANK(Q350), ISBLANK(R350), ISBLANK(S350), ISBLANK(T350)), "CUSM, CHU SJ, CHUS, CHUQ", "")</f>
      </c>
      <c r="AM350" s="37">
        <f>IF(AND(AJ350="no match", AK350="", AL350="", K350&lt;26), "CUSM, CHU SJ, HGJ, CHUQ, CHUS", "")</f>
      </c>
      <c r="AN350" s="37">
        <f>IF(AND(AJ350="no match", AK350="", AL350="", K350&gt;26), "CUSM, CHU SJ, HGJ, CHUQ, CHUS, HMR", "")</f>
      </c>
    </row>
    <row x14ac:dyDescent="0.25" r="351" customHeight="1" ht="17.25">
      <c r="A351" s="27" t="s">
        <v>781</v>
      </c>
      <c r="B351" s="28">
        <v>2</v>
      </c>
      <c r="C351" s="28">
        <v>839</v>
      </c>
      <c r="D351" s="29" t="s">
        <v>53</v>
      </c>
      <c r="E351" s="30" t="s">
        <v>54</v>
      </c>
      <c r="F351" s="31">
        <v>44756</v>
      </c>
      <c r="G351" s="32">
        <v>4.465277777777778</v>
      </c>
      <c r="H351" s="31">
        <v>44752</v>
      </c>
      <c r="I351" s="32">
        <v>4.915277777777778</v>
      </c>
      <c r="J351" s="33">
        <f>F351-H351</f>
      </c>
      <c r="K351" s="28">
        <v>42</v>
      </c>
      <c r="L351" s="28">
        <v>0</v>
      </c>
      <c r="M351" s="28">
        <v>1</v>
      </c>
      <c r="N351" s="28">
        <v>1</v>
      </c>
      <c r="O351" s="34"/>
      <c r="P351" s="38"/>
      <c r="Q351" s="34"/>
      <c r="R351" s="34"/>
      <c r="S351" s="34"/>
      <c r="T351" s="34"/>
      <c r="U351" s="34"/>
      <c r="V351" s="38"/>
      <c r="W351" s="29"/>
      <c r="X351" s="28">
        <v>33</v>
      </c>
      <c r="Y351" s="28">
        <v>1</v>
      </c>
      <c r="Z351" s="28">
        <v>1</v>
      </c>
      <c r="AA351" s="28">
        <v>3</v>
      </c>
      <c r="AB351" s="28">
        <v>1</v>
      </c>
      <c r="AC351" s="28">
        <v>2</v>
      </c>
      <c r="AD351" s="28">
        <v>3</v>
      </c>
      <c r="AE351" s="28">
        <v>4</v>
      </c>
      <c r="AF351" s="35">
        <v>2</v>
      </c>
      <c r="AG351" s="28">
        <v>2</v>
      </c>
      <c r="AH351" s="29" t="s">
        <v>782</v>
      </c>
      <c r="AI351" s="36">
        <f>IF(OR(AND(K351&lt;32, J351&lt;2), O351=1, P351=1, Q351=1, R351=1, S351=1, T351=1, U351=1, AND(W351&lt;&gt;"", W351&lt;&gt;"Oxygen", W351&lt;&gt;"LowFlow")), "Intensive", "Intermediate")</f>
      </c>
      <c r="AJ351" s="37">
        <f>IF(OR(LEFT(AH351, 1)="X", LEFT(AH351, 1)="Y", LEFT(AH351, 3)="J27M"), "CUSM", "No Match")</f>
      </c>
      <c r="AK351" s="37">
        <f>IF(AND(OR(O351=3, P351=1, Q351=1, T351=1), AJ351="no Match"), "CUSM, CHU SJ, CHUQ", "")</f>
      </c>
      <c r="AL351" s="37">
        <f>IF(AND(O351=2, ISBLANK(P351), ISBLANK(Q351), ISBLANK(R351), ISBLANK(S351), ISBLANK(T351)), "CUSM, CHU SJ, CHUS, CHUQ", "")</f>
      </c>
      <c r="AM351" s="37">
        <f>IF(AND(AJ351="no match", AK351="", AL351="", K351&lt;26), "CUSM, CHU SJ, HGJ, CHUQ, CHUS", "")</f>
      </c>
      <c r="AN351" s="37">
        <f>IF(AND(AJ351="no match", AK351="", AL351="", K351&gt;26), "CUSM, CHU SJ, HGJ, CHUQ, CHUS, HMR", "")</f>
      </c>
    </row>
    <row x14ac:dyDescent="0.25" r="352" customHeight="1" ht="17.25">
      <c r="A352" s="27" t="s">
        <v>783</v>
      </c>
      <c r="B352" s="28">
        <v>2</v>
      </c>
      <c r="C352" s="28">
        <v>825</v>
      </c>
      <c r="D352" s="29" t="s">
        <v>77</v>
      </c>
      <c r="E352" s="30" t="s">
        <v>220</v>
      </c>
      <c r="F352" s="31">
        <v>44756</v>
      </c>
      <c r="G352" s="32">
        <v>4.781944444444445</v>
      </c>
      <c r="H352" s="31">
        <v>44756</v>
      </c>
      <c r="I352" s="32">
        <v>4.694444444444445</v>
      </c>
      <c r="J352" s="33">
        <f>F352-H352</f>
      </c>
      <c r="K352" s="28">
        <v>27</v>
      </c>
      <c r="L352" s="28">
        <v>4</v>
      </c>
      <c r="M352" s="28">
        <v>2</v>
      </c>
      <c r="N352" s="28">
        <v>1</v>
      </c>
      <c r="O352" s="34"/>
      <c r="P352" s="35">
        <v>1</v>
      </c>
      <c r="Q352" s="34"/>
      <c r="R352" s="34"/>
      <c r="S352" s="34"/>
      <c r="T352" s="34"/>
      <c r="U352" s="34"/>
      <c r="V352" s="35">
        <v>1</v>
      </c>
      <c r="W352" s="29" t="s">
        <v>58</v>
      </c>
      <c r="X352" s="28">
        <v>31</v>
      </c>
      <c r="Y352" s="28">
        <v>1</v>
      </c>
      <c r="Z352" s="28">
        <v>2</v>
      </c>
      <c r="AA352" s="28">
        <v>2</v>
      </c>
      <c r="AB352" s="28">
        <v>1</v>
      </c>
      <c r="AC352" s="28">
        <v>2</v>
      </c>
      <c r="AD352" s="28">
        <v>2</v>
      </c>
      <c r="AE352" s="28">
        <v>3</v>
      </c>
      <c r="AF352" s="28">
        <v>2</v>
      </c>
      <c r="AG352" s="28">
        <v>2</v>
      </c>
      <c r="AH352" s="29" t="s">
        <v>784</v>
      </c>
      <c r="AI352" s="36">
        <f>IF(OR(AND(K352&lt;32, J352&lt;2), O352=1, P352=1, Q352=1, R352=1, S352=1, T352=1, U352=1, AND(W352&lt;&gt;"", W352&lt;&gt;"Oxygen", W352&lt;&gt;"LowFlow")), "Intensive", "Intermediate")</f>
      </c>
      <c r="AJ352" s="37">
        <f>IF(OR(LEFT(AH352, 1)="X", LEFT(AH352, 1)="Y", LEFT(AH352, 3)="J28M"), "CUSM", "No Match")</f>
      </c>
      <c r="AK352" s="37">
        <f>IF(AND(OR(O352=3, P352=1, Q352=1, T352=1), AJ352="no Match"), "CUSM, CHU SJ, CHUQ", "")</f>
      </c>
      <c r="AL352" s="37">
        <f>IF(AND(O352=2, ISBLANK(P352), ISBLANK(Q352), ISBLANK(R352), ISBLANK(S352), ISBLANK(T352)), "CUSM, CHU SJ, CHUS, CHUQ", "")</f>
      </c>
      <c r="AM352" s="37">
        <f>IF(AND(AJ352="no match", AK352="", AL352="", K352&lt;26), "CUSM, CHU SJ, HGJ, CHUQ, CHUS", "")</f>
      </c>
      <c r="AN352" s="37">
        <f>IF(AND(AJ352="no match", AK352="", AL352="", K352&gt;26), "CUSM, CHU SJ, HGJ, CHUQ, CHUS, HMR", "")</f>
      </c>
    </row>
    <row x14ac:dyDescent="0.25" r="353" customHeight="1" ht="17.25">
      <c r="A353" s="27" t="s">
        <v>785</v>
      </c>
      <c r="B353" s="28">
        <v>2</v>
      </c>
      <c r="C353" s="28">
        <v>817</v>
      </c>
      <c r="D353" s="29" t="s">
        <v>163</v>
      </c>
      <c r="E353" s="30" t="s">
        <v>54</v>
      </c>
      <c r="F353" s="31">
        <v>44757</v>
      </c>
      <c r="G353" s="32">
        <v>4.708333333333334</v>
      </c>
      <c r="H353" s="31">
        <v>44755</v>
      </c>
      <c r="I353" s="32">
        <v>4.844444444444445</v>
      </c>
      <c r="J353" s="33">
        <f>F353-H353</f>
      </c>
      <c r="K353" s="28">
        <v>40</v>
      </c>
      <c r="L353" s="28">
        <v>0</v>
      </c>
      <c r="M353" s="28">
        <v>1</v>
      </c>
      <c r="N353" s="34"/>
      <c r="O353" s="34"/>
      <c r="P353" s="34"/>
      <c r="Q353" s="34"/>
      <c r="R353" s="34"/>
      <c r="S353" s="34"/>
      <c r="T353" s="34"/>
      <c r="U353" s="34"/>
      <c r="V353" s="34"/>
      <c r="W353" s="29"/>
      <c r="X353" s="28">
        <v>28</v>
      </c>
      <c r="Y353" s="28">
        <v>1</v>
      </c>
      <c r="Z353" s="28">
        <v>1</v>
      </c>
      <c r="AA353" s="28">
        <v>2</v>
      </c>
      <c r="AB353" s="28">
        <v>1</v>
      </c>
      <c r="AC353" s="28">
        <v>2</v>
      </c>
      <c r="AD353" s="28">
        <v>2</v>
      </c>
      <c r="AE353" s="28">
        <v>4</v>
      </c>
      <c r="AF353" s="28">
        <v>2</v>
      </c>
      <c r="AG353" s="28">
        <v>2</v>
      </c>
      <c r="AH353" s="29" t="s">
        <v>786</v>
      </c>
      <c r="AI353" s="36">
        <f>IF(OR(AND(K353&lt;32, J353&lt;2), O353=1, P353=1, Q353=1, R353=1, S353=1, T353=1, U353=1, AND(W353&lt;&gt;"", W353&lt;&gt;"Oxygen", W353&lt;&gt;"LowFlow")), "Intensive", "Intermediate")</f>
      </c>
      <c r="AJ353" s="37">
        <f>IF(OR(LEFT(AH353, 1)="X", LEFT(AH353, 1)="Y", LEFT(AH353, 3)="J29M"), "CUSM", "No Match")</f>
      </c>
      <c r="AK353" s="37">
        <f>IF(AND(OR(O353=3, P353=1, Q353=1, T353=1), AJ353="no Match"), "CUSM, CHU SJ, CHUQ", "")</f>
      </c>
      <c r="AL353" s="37">
        <f>IF(AND(O353=2, ISBLANK(P353), ISBLANK(Q353), ISBLANK(R353), ISBLANK(S353), ISBLANK(T353)), "CUSM, CHU SJ, CHUS, CHUQ", "")</f>
      </c>
      <c r="AM353" s="37">
        <f>IF(AND(AJ353="no match", AK353="", AL353="", K353&lt;26), "CUSM, CHU SJ, HGJ, CHUQ, CHUS", "")</f>
      </c>
      <c r="AN353" s="37">
        <f>IF(AND(AJ353="no match", AK353="", AL353="", K353&gt;26), "CUSM, CHU SJ, HGJ, CHUQ, CHUS, HMR", "")</f>
      </c>
    </row>
    <row x14ac:dyDescent="0.25" r="354" customHeight="1" ht="17.25">
      <c r="A354" s="27" t="s">
        <v>787</v>
      </c>
      <c r="B354" s="28">
        <v>2</v>
      </c>
      <c r="C354" s="28">
        <v>730</v>
      </c>
      <c r="D354" s="29" t="s">
        <v>81</v>
      </c>
      <c r="E354" s="30" t="s">
        <v>78</v>
      </c>
      <c r="F354" s="31">
        <v>44757</v>
      </c>
      <c r="G354" s="32">
        <v>4.041666666666666</v>
      </c>
      <c r="H354" s="31">
        <v>44756</v>
      </c>
      <c r="I354" s="32">
        <v>4.8590277777777775</v>
      </c>
      <c r="J354" s="33">
        <f>F354-H354</f>
      </c>
      <c r="K354" s="28">
        <v>40</v>
      </c>
      <c r="L354" s="28">
        <v>0</v>
      </c>
      <c r="M354" s="28">
        <v>2</v>
      </c>
      <c r="N354" s="34"/>
      <c r="O354" s="34"/>
      <c r="P354" s="34"/>
      <c r="Q354" s="34"/>
      <c r="R354" s="34"/>
      <c r="S354" s="34"/>
      <c r="T354" s="34"/>
      <c r="U354" s="34"/>
      <c r="V354" s="34"/>
      <c r="W354" s="29" t="s">
        <v>58</v>
      </c>
      <c r="X354" s="28">
        <v>36</v>
      </c>
      <c r="Y354" s="28">
        <v>1</v>
      </c>
      <c r="Z354" s="28">
        <v>1</v>
      </c>
      <c r="AA354" s="28">
        <v>2</v>
      </c>
      <c r="AB354" s="28">
        <v>1</v>
      </c>
      <c r="AC354" s="28">
        <v>2</v>
      </c>
      <c r="AD354" s="28">
        <v>2</v>
      </c>
      <c r="AE354" s="28">
        <v>4</v>
      </c>
      <c r="AF354" s="28">
        <v>2</v>
      </c>
      <c r="AG354" s="28">
        <v>2</v>
      </c>
      <c r="AH354" s="29" t="s">
        <v>788</v>
      </c>
      <c r="AI354" s="36">
        <f>IF(OR(AND(K354&lt;32, J354&lt;2), O354=1, P354=1, Q354=1, R354=1, S354=1, T354=1, U354=1, AND(W354&lt;&gt;"", W354&lt;&gt;"Oxygen", W354&lt;&gt;"LowFlow")), "Intensive", "Intermediate")</f>
      </c>
      <c r="AJ354" s="37">
        <f>IF(OR(LEFT(AH354, 1)="X", LEFT(AH354, 1)="Y", LEFT(AH354, 3)="J30M"), "CUSM", "No Match")</f>
      </c>
      <c r="AK354" s="37">
        <f>IF(AND(OR(O354=3, P354=1, Q354=1, T354=1), AJ354="no Match"), "CUSM, CHU SJ, CHUQ", "")</f>
      </c>
      <c r="AL354" s="37">
        <f>IF(AND(O354=2, ISBLANK(P354), ISBLANK(Q354), ISBLANK(R354), ISBLANK(S354), ISBLANK(T354)), "CUSM, CHU SJ, CHUS, CHUQ", "")</f>
      </c>
      <c r="AM354" s="37">
        <f>IF(AND(AJ354="no match", AK354="", AL354="", K354&lt;26), "CUSM, CHU SJ, HGJ, CHUQ, CHUS", "")</f>
      </c>
      <c r="AN354" s="37">
        <f>IF(AND(AJ354="no match", AK354="", AL354="", K354&gt;26), "CUSM, CHU SJ, HGJ, CHUQ, CHUS, HMR", "")</f>
      </c>
    </row>
    <row x14ac:dyDescent="0.25" r="355" customHeight="1" ht="17.25">
      <c r="A355" s="27" t="s">
        <v>789</v>
      </c>
      <c r="B355" s="28">
        <v>2</v>
      </c>
      <c r="C355" s="28">
        <v>731</v>
      </c>
      <c r="D355" s="29" t="s">
        <v>103</v>
      </c>
      <c r="E355" s="30" t="s">
        <v>118</v>
      </c>
      <c r="F355" s="31">
        <v>44758</v>
      </c>
      <c r="G355" s="32">
        <v>4.888888888888889</v>
      </c>
      <c r="H355" s="31">
        <v>44755</v>
      </c>
      <c r="I355" s="32">
        <v>4.749305555555555</v>
      </c>
      <c r="J355" s="33">
        <f>F355-H355</f>
      </c>
      <c r="K355" s="28">
        <v>32</v>
      </c>
      <c r="L355" s="28">
        <v>1</v>
      </c>
      <c r="M355" s="28">
        <v>1</v>
      </c>
      <c r="N355" s="38"/>
      <c r="O355" s="38"/>
      <c r="P355" s="38"/>
      <c r="Q355" s="34"/>
      <c r="R355" s="34"/>
      <c r="S355" s="34"/>
      <c r="T355" s="34"/>
      <c r="U355" s="34"/>
      <c r="V355" s="34"/>
      <c r="W355" s="29" t="s">
        <v>164</v>
      </c>
      <c r="X355" s="28">
        <v>31</v>
      </c>
      <c r="Y355" s="28">
        <v>1</v>
      </c>
      <c r="Z355" s="28">
        <v>1</v>
      </c>
      <c r="AA355" s="28">
        <v>2</v>
      </c>
      <c r="AB355" s="28">
        <v>1</v>
      </c>
      <c r="AC355" s="28">
        <v>2</v>
      </c>
      <c r="AD355" s="28">
        <v>2</v>
      </c>
      <c r="AE355" s="28">
        <v>4</v>
      </c>
      <c r="AF355" s="28">
        <v>2</v>
      </c>
      <c r="AG355" s="28">
        <v>2</v>
      </c>
      <c r="AH355" s="29" t="s">
        <v>790</v>
      </c>
      <c r="AI355" s="36">
        <f>IF(OR(AND(K355&lt;32, J355&lt;2), O355=1, P355=1, Q355=1, R355=1, S355=1, T355=1, U355=1, AND(W355&lt;&gt;"", W355&lt;&gt;"Oxygen", W355&lt;&gt;"LowFlow")), "Intensive", "Intermediate")</f>
      </c>
      <c r="AJ355" s="37">
        <f>IF(OR(LEFT(AH355, 1)="X", LEFT(AH355, 1)="Y", LEFT(AH355, 3)="J31M"), "CUSM", "No Match")</f>
      </c>
      <c r="AK355" s="37">
        <f>IF(AND(OR(O355=3, P355=1, Q355=1, T355=1), AJ355="no Match"), "CUSM, CHU SJ, CHUQ", "")</f>
      </c>
      <c r="AL355" s="37">
        <f>IF(AND(O355=2, ISBLANK(P355), ISBLANK(Q355), ISBLANK(R355), ISBLANK(S355), ISBLANK(T355)), "CUSM, CHU SJ, CHUS, CHUQ", "")</f>
      </c>
      <c r="AM355" s="37">
        <f>IF(AND(AJ355="no match", AK355="", AL355="", K355&lt;26), "CUSM, CHU SJ, HGJ, CHUQ, CHUS", "")</f>
      </c>
      <c r="AN355" s="37">
        <f>IF(AND(AJ355="no match", AK355="", AL355="", K355&gt;26), "CUSM, CHU SJ, HGJ, CHUQ, CHUS, HMR", "")</f>
      </c>
    </row>
    <row x14ac:dyDescent="0.25" r="356" customHeight="1" ht="17.25">
      <c r="A356" s="27" t="s">
        <v>791</v>
      </c>
      <c r="B356" s="28">
        <v>2</v>
      </c>
      <c r="C356" s="28">
        <v>2</v>
      </c>
      <c r="D356" s="29" t="s">
        <v>269</v>
      </c>
      <c r="E356" s="30" t="s">
        <v>50</v>
      </c>
      <c r="F356" s="31">
        <v>44758</v>
      </c>
      <c r="G356" s="32">
        <v>4.986111111111111</v>
      </c>
      <c r="H356" s="31">
        <v>44758</v>
      </c>
      <c r="I356" s="32">
        <v>4.448611111111111</v>
      </c>
      <c r="J356" s="33">
        <f>F356-H356</f>
      </c>
      <c r="K356" s="28">
        <v>41</v>
      </c>
      <c r="L356" s="28">
        <v>2</v>
      </c>
      <c r="M356" s="28">
        <v>1</v>
      </c>
      <c r="N356" s="38"/>
      <c r="O356" s="38"/>
      <c r="P356" s="38"/>
      <c r="Q356" s="34"/>
      <c r="R356" s="34"/>
      <c r="S356" s="34"/>
      <c r="T356" s="34"/>
      <c r="U356" s="34"/>
      <c r="V356" s="34"/>
      <c r="W356" s="29"/>
      <c r="X356" s="28">
        <v>31</v>
      </c>
      <c r="Y356" s="28">
        <v>1</v>
      </c>
      <c r="Z356" s="28">
        <v>1</v>
      </c>
      <c r="AA356" s="28">
        <v>3</v>
      </c>
      <c r="AB356" s="28">
        <v>1</v>
      </c>
      <c r="AC356" s="28">
        <v>2</v>
      </c>
      <c r="AD356" s="28">
        <v>2</v>
      </c>
      <c r="AE356" s="28">
        <v>4</v>
      </c>
      <c r="AF356" s="28">
        <v>3</v>
      </c>
      <c r="AG356" s="28">
        <v>3</v>
      </c>
      <c r="AH356" s="29" t="s">
        <v>792</v>
      </c>
      <c r="AI356" s="36">
        <f>IF(OR(AND(K356&lt;32, J356&lt;2), O356=1, P356=1, Q356=1, R356=1, S356=1, T356=1, U356=1, AND(W356&lt;&gt;"", W356&lt;&gt;"Oxygen", W356&lt;&gt;"LowFlow")), "Intensive", "Intermediate")</f>
      </c>
      <c r="AJ356" s="37">
        <f>IF(OR(LEFT(AH356, 1)="X", LEFT(AH356, 1)="Y", LEFT(AH356, 3)="J32M"), "CUSM", "No Match")</f>
      </c>
      <c r="AK356" s="37">
        <f>IF(AND(OR(O356=3, P356=1, Q356=1, T356=1), AJ356="no Match"), "CUSM, CHU SJ, CHUQ", "")</f>
      </c>
      <c r="AL356" s="37">
        <f>IF(AND(O356=2, ISBLANK(P356), ISBLANK(Q356), ISBLANK(R356), ISBLANK(S356), ISBLANK(T356)), "CUSM, CHU SJ, CHUS, CHUQ", "")</f>
      </c>
      <c r="AM356" s="37">
        <f>IF(AND(AJ356="no match", AK356="", AL356="", K356&lt;26), "CUSM, CHU SJ, HGJ, CHUQ, CHUS", "")</f>
      </c>
      <c r="AN356" s="37">
        <f>IF(AND(AJ356="no match", AK356="", AL356="", K356&gt;26), "CUSM, CHU SJ, HGJ, CHUQ, CHUS, HMR", "")</f>
      </c>
    </row>
    <row x14ac:dyDescent="0.25" r="357" customHeight="1" ht="17.25">
      <c r="A357" s="27" t="s">
        <v>793</v>
      </c>
      <c r="B357" s="28">
        <v>2</v>
      </c>
      <c r="C357" s="28">
        <v>825</v>
      </c>
      <c r="D357" s="29" t="s">
        <v>77</v>
      </c>
      <c r="E357" s="30" t="s">
        <v>54</v>
      </c>
      <c r="F357" s="31">
        <v>44759</v>
      </c>
      <c r="G357" s="32">
        <v>4.618055555555555</v>
      </c>
      <c r="H357" s="31">
        <v>44753</v>
      </c>
      <c r="I357" s="32">
        <v>4.004166666666666</v>
      </c>
      <c r="J357" s="33">
        <f>F357-H357</f>
      </c>
      <c r="K357" s="28">
        <v>39</v>
      </c>
      <c r="L357" s="28">
        <v>0</v>
      </c>
      <c r="M357" s="28">
        <v>2</v>
      </c>
      <c r="N357" s="34"/>
      <c r="O357" s="34"/>
      <c r="P357" s="34"/>
      <c r="Q357" s="34"/>
      <c r="R357" s="34"/>
      <c r="S357" s="34"/>
      <c r="T357" s="34"/>
      <c r="U357" s="34"/>
      <c r="V357" s="38"/>
      <c r="W357" s="29"/>
      <c r="X357" s="28">
        <v>27</v>
      </c>
      <c r="Y357" s="28">
        <v>1</v>
      </c>
      <c r="Z357" s="28">
        <v>2</v>
      </c>
      <c r="AA357" s="28">
        <v>3</v>
      </c>
      <c r="AB357" s="28">
        <v>4</v>
      </c>
      <c r="AC357" s="28">
        <v>2</v>
      </c>
      <c r="AD357" s="28">
        <v>2</v>
      </c>
      <c r="AE357" s="28">
        <v>4</v>
      </c>
      <c r="AF357" s="35">
        <v>2</v>
      </c>
      <c r="AG357" s="28">
        <v>2</v>
      </c>
      <c r="AH357" s="29" t="s">
        <v>794</v>
      </c>
      <c r="AI357" s="36">
        <f>IF(OR(AND(K357&lt;32, J357&lt;2), O357=1, P357=1, Q357=1, R357=1, S357=1, T357=1, U357=1, AND(W357&lt;&gt;"", W357&lt;&gt;"Oxygen", W357&lt;&gt;"LowFlow")), "Intensive", "Intermediate")</f>
      </c>
      <c r="AJ357" s="37">
        <f>IF(OR(LEFT(AH357, 1)="X", LEFT(AH357, 1)="Y", LEFT(AH357, 3)="J33M"), "CUSM", "No Match")</f>
      </c>
      <c r="AK357" s="37">
        <f>IF(AND(OR(O357=3, P357=1, Q357=1, T357=1), AJ357="no Match"), "CUSM, CHU SJ, CHUQ", "")</f>
      </c>
      <c r="AL357" s="37">
        <f>IF(AND(O357=2, ISBLANK(P357), ISBLANK(Q357), ISBLANK(R357), ISBLANK(S357), ISBLANK(T357)), "CUSM, CHU SJ, CHUS, CHUQ", "")</f>
      </c>
      <c r="AM357" s="37">
        <f>IF(AND(AJ357="no match", AK357="", AL357="", K357&lt;26), "CUSM, CHU SJ, HGJ, CHUQ, CHUS", "")</f>
      </c>
      <c r="AN357" s="37">
        <f>IF(AND(AJ357="no match", AK357="", AL357="", K357&gt;26), "CUSM, CHU SJ, HGJ, CHUQ, CHUS, HMR", "")</f>
      </c>
    </row>
    <row x14ac:dyDescent="0.25" r="358" customHeight="1" ht="17.25">
      <c r="A358" s="27" t="s">
        <v>795</v>
      </c>
      <c r="B358" s="28">
        <v>2</v>
      </c>
      <c r="C358" s="35">
        <v>779</v>
      </c>
      <c r="D358" s="29" t="s">
        <v>136</v>
      </c>
      <c r="E358" s="30" t="s">
        <v>78</v>
      </c>
      <c r="F358" s="31">
        <v>44759</v>
      </c>
      <c r="G358" s="32">
        <v>4.416666666666666</v>
      </c>
      <c r="H358" s="31">
        <v>44759</v>
      </c>
      <c r="I358" s="32">
        <v>4.273611111111111</v>
      </c>
      <c r="J358" s="33">
        <f>F358-H358</f>
      </c>
      <c r="K358" s="28">
        <v>28</v>
      </c>
      <c r="L358" s="28">
        <v>0</v>
      </c>
      <c r="M358" s="28">
        <v>1</v>
      </c>
      <c r="N358" s="35">
        <v>1</v>
      </c>
      <c r="O358" s="34"/>
      <c r="P358" s="35">
        <v>1</v>
      </c>
      <c r="Q358" s="34"/>
      <c r="R358" s="34"/>
      <c r="S358" s="34"/>
      <c r="T358" s="34"/>
      <c r="U358" s="34"/>
      <c r="V358" s="34"/>
      <c r="W358" s="29" t="s">
        <v>74</v>
      </c>
      <c r="X358" s="28">
        <v>35</v>
      </c>
      <c r="Y358" s="28">
        <v>1</v>
      </c>
      <c r="Z358" s="28">
        <v>1</v>
      </c>
      <c r="AA358" s="28">
        <v>1</v>
      </c>
      <c r="AB358" s="28">
        <v>1</v>
      </c>
      <c r="AC358" s="28">
        <v>2</v>
      </c>
      <c r="AD358" s="28">
        <v>2</v>
      </c>
      <c r="AE358" s="28">
        <v>4</v>
      </c>
      <c r="AF358" s="28">
        <v>2</v>
      </c>
      <c r="AG358" s="28">
        <v>2</v>
      </c>
      <c r="AH358" s="29" t="s">
        <v>796</v>
      </c>
      <c r="AI358" s="36">
        <f>IF(OR(AND(K358&lt;32, J358&lt;2), O358=1, P358=1, Q358=1, R358=1, S358=1, T358=1, U358=1, AND(W358&lt;&gt;"", W358&lt;&gt;"Oxygen", W358&lt;&gt;"LowFlow")), "Intensive", "Intermediate")</f>
      </c>
      <c r="AJ358" s="37">
        <f>IF(OR(LEFT(AH358, 1)="X", LEFT(AH358, 1)="Y", LEFT(AH358, 3)="J34M"), "CUSM", "No Match")</f>
      </c>
      <c r="AK358" s="37">
        <f>IF(AND(OR(O358=3, P358=1, Q358=1, T358=1), AJ358="no Match"), "CUSM, CHU SJ, CHUQ", "")</f>
      </c>
      <c r="AL358" s="37">
        <f>IF(AND(O358=2, ISBLANK(P358), ISBLANK(Q358), ISBLANK(R358), ISBLANK(S358), ISBLANK(T358)), "CUSM, CHU SJ, CHUS, CHUQ", "")</f>
      </c>
      <c r="AM358" s="37">
        <f>IF(AND(AJ358="no match", AK358="", AL358="", K358&lt;26), "CUSM, CHU SJ, HGJ, CHUQ, CHUS", "")</f>
      </c>
      <c r="AN358" s="37">
        <f>IF(AND(AJ358="no match", AK358="", AL358="", K358&gt;26), "CUSM, CHU SJ, HGJ, CHUQ, CHUS, HMR", "")</f>
      </c>
    </row>
    <row x14ac:dyDescent="0.25" r="359" customHeight="1" ht="17.25">
      <c r="A359" s="27" t="s">
        <v>797</v>
      </c>
      <c r="B359" s="28">
        <v>2</v>
      </c>
      <c r="C359" s="35">
        <v>815</v>
      </c>
      <c r="D359" s="29" t="s">
        <v>100</v>
      </c>
      <c r="E359" s="30" t="s">
        <v>54</v>
      </c>
      <c r="F359" s="31">
        <v>44760</v>
      </c>
      <c r="G359" s="32">
        <v>4.708333333333334</v>
      </c>
      <c r="H359" s="31">
        <v>44704</v>
      </c>
      <c r="I359" s="32">
        <v>4.8625</v>
      </c>
      <c r="J359" s="33">
        <f>F359-H359</f>
      </c>
      <c r="K359" s="28">
        <v>32</v>
      </c>
      <c r="L359" s="28">
        <v>6</v>
      </c>
      <c r="M359" s="28">
        <v>1</v>
      </c>
      <c r="N359" s="35">
        <v>1</v>
      </c>
      <c r="O359" s="34"/>
      <c r="P359" s="34"/>
      <c r="Q359" s="34"/>
      <c r="R359" s="34"/>
      <c r="S359" s="34"/>
      <c r="T359" s="34"/>
      <c r="U359" s="34"/>
      <c r="V359" s="34"/>
      <c r="W359" s="29"/>
      <c r="X359" s="28">
        <v>31</v>
      </c>
      <c r="Y359" s="28">
        <v>1</v>
      </c>
      <c r="Z359" s="28">
        <v>1</v>
      </c>
      <c r="AA359" s="28">
        <v>1</v>
      </c>
      <c r="AB359" s="28">
        <v>2</v>
      </c>
      <c r="AC359" s="28">
        <v>2</v>
      </c>
      <c r="AD359" s="28">
        <v>2</v>
      </c>
      <c r="AE359" s="28">
        <v>4</v>
      </c>
      <c r="AF359" s="28">
        <v>2</v>
      </c>
      <c r="AG359" s="28">
        <v>2</v>
      </c>
      <c r="AH359" s="29" t="s">
        <v>723</v>
      </c>
      <c r="AI359" s="36">
        <f>IF(OR(AND(K359&lt;32, J359&lt;2), O359=1, P359=1, Q359=1, R359=1, S359=1, T359=1, U359=1, AND(W359&lt;&gt;"", W359&lt;&gt;"Oxygen", W359&lt;&gt;"LowFlow")), "Intensive", "Intermediate")</f>
      </c>
      <c r="AJ359" s="37">
        <f>IF(OR(LEFT(AH359, 1)="X", LEFT(AH359, 1)="Y", LEFT(AH359, 3)="J35M"), "CUSM", "No Match")</f>
      </c>
      <c r="AK359" s="37">
        <f>IF(AND(OR(O359=3, P359=1, Q359=1, T359=1), AJ359="no Match"), "CUSM, CHU SJ, CHUQ", "")</f>
      </c>
      <c r="AL359" s="37">
        <f>IF(AND(O359=2, ISBLANK(P359), ISBLANK(Q359), ISBLANK(R359), ISBLANK(S359), ISBLANK(T359)), "CUSM, CHU SJ, CHUS, CHUQ", "")</f>
      </c>
      <c r="AM359" s="37">
        <f>IF(AND(AJ359="no match", AK359="", AL359="", K359&lt;26), "CUSM, CHU SJ, HGJ, CHUQ, CHUS", "")</f>
      </c>
      <c r="AN359" s="37">
        <f>IF(AND(AJ359="no match", AK359="", AL359="", K359&gt;26), "CUSM, CHU SJ, HGJ, CHUQ, CHUS, HMR", "")</f>
      </c>
    </row>
    <row x14ac:dyDescent="0.25" r="360" customHeight="1" ht="17.25">
      <c r="A360" s="27" t="s">
        <v>798</v>
      </c>
      <c r="B360" s="28">
        <v>2</v>
      </c>
      <c r="C360" s="28">
        <v>831</v>
      </c>
      <c r="D360" s="29" t="s">
        <v>313</v>
      </c>
      <c r="E360" s="30" t="s">
        <v>50</v>
      </c>
      <c r="F360" s="31">
        <v>44760</v>
      </c>
      <c r="G360" s="32">
        <v>4.996527777777778</v>
      </c>
      <c r="H360" s="31">
        <v>44758</v>
      </c>
      <c r="I360" s="32">
        <v>4.007638888888889</v>
      </c>
      <c r="J360" s="33">
        <f>F360-H360</f>
      </c>
      <c r="K360" s="28">
        <v>41</v>
      </c>
      <c r="L360" s="28">
        <v>4</v>
      </c>
      <c r="M360" s="28">
        <v>1</v>
      </c>
      <c r="N360" s="34"/>
      <c r="O360" s="34"/>
      <c r="P360" s="34"/>
      <c r="Q360" s="34"/>
      <c r="R360" s="34"/>
      <c r="S360" s="34"/>
      <c r="T360" s="34"/>
      <c r="U360" s="34"/>
      <c r="V360" s="34"/>
      <c r="W360" s="29"/>
      <c r="X360" s="28">
        <v>36</v>
      </c>
      <c r="Y360" s="28">
        <v>1</v>
      </c>
      <c r="Z360" s="28">
        <v>2</v>
      </c>
      <c r="AA360" s="28">
        <v>3</v>
      </c>
      <c r="AB360" s="28">
        <v>2</v>
      </c>
      <c r="AC360" s="28">
        <v>2</v>
      </c>
      <c r="AD360" s="28">
        <v>2</v>
      </c>
      <c r="AE360" s="28">
        <v>4</v>
      </c>
      <c r="AF360" s="28">
        <v>3</v>
      </c>
      <c r="AG360" s="28">
        <v>2</v>
      </c>
      <c r="AH360" s="29" t="s">
        <v>799</v>
      </c>
      <c r="AI360" s="36">
        <f>IF(OR(AND(K360&lt;32, J360&lt;2), O360=1, P360=1, Q360=1, R360=1, S360=1, T360=1, U360=1, AND(W360&lt;&gt;"", W360&lt;&gt;"Oxygen", W360&lt;&gt;"LowFlow")), "Intensive", "Intermediate")</f>
      </c>
      <c r="AJ360" s="37">
        <f>IF(OR(LEFT(AH360, 1)="X", LEFT(AH360, 1)="Y", LEFT(AH360, 3)="J36M"), "CUSM", "No Match")</f>
      </c>
      <c r="AK360" s="37">
        <f>IF(AND(OR(O360=3, P360=1, Q360=1, T360=1), AJ360="no Match"), "CUSM, CHU SJ, CHUQ", "")</f>
      </c>
      <c r="AL360" s="37">
        <f>IF(AND(O360=2, ISBLANK(P360), ISBLANK(Q360), ISBLANK(R360), ISBLANK(S360), ISBLANK(T360)), "CUSM, CHU SJ, CHUS, CHUQ", "")</f>
      </c>
      <c r="AM360" s="37">
        <f>IF(AND(AJ360="no match", AK360="", AL360="", K360&lt;26), "CUSM, CHU SJ, HGJ, CHUQ, CHUS", "")</f>
      </c>
      <c r="AN360" s="37">
        <f>IF(AND(AJ360="no match", AK360="", AL360="", K360&gt;26), "CUSM, CHU SJ, HGJ, CHUQ, CHUS, HMR", "")</f>
      </c>
    </row>
    <row x14ac:dyDescent="0.25" r="361" customHeight="1" ht="17.25">
      <c r="A361" s="27" t="s">
        <v>800</v>
      </c>
      <c r="B361" s="28">
        <v>2</v>
      </c>
      <c r="C361" s="35">
        <v>839</v>
      </c>
      <c r="D361" s="29" t="s">
        <v>53</v>
      </c>
      <c r="E361" s="30" t="s">
        <v>50</v>
      </c>
      <c r="F361" s="31">
        <v>44761</v>
      </c>
      <c r="G361" s="32">
        <v>4.486111111111111</v>
      </c>
      <c r="H361" s="31">
        <v>44758</v>
      </c>
      <c r="I361" s="32">
        <v>4.925694444444444</v>
      </c>
      <c r="J361" s="33">
        <f>F361-H361</f>
      </c>
      <c r="K361" s="28">
        <v>39</v>
      </c>
      <c r="L361" s="28">
        <v>0</v>
      </c>
      <c r="M361" s="28">
        <v>1</v>
      </c>
      <c r="N361" s="34"/>
      <c r="O361" s="34"/>
      <c r="P361" s="34"/>
      <c r="Q361" s="34"/>
      <c r="R361" s="34"/>
      <c r="S361" s="34"/>
      <c r="T361" s="34"/>
      <c r="U361" s="34"/>
      <c r="V361" s="34"/>
      <c r="W361" s="29" t="s">
        <v>58</v>
      </c>
      <c r="X361" s="28">
        <v>25</v>
      </c>
      <c r="Y361" s="28">
        <v>1</v>
      </c>
      <c r="Z361" s="28">
        <v>1</v>
      </c>
      <c r="AA361" s="28">
        <v>3</v>
      </c>
      <c r="AB361" s="28">
        <v>1</v>
      </c>
      <c r="AC361" s="28">
        <v>2</v>
      </c>
      <c r="AD361" s="28">
        <v>2</v>
      </c>
      <c r="AE361" s="28">
        <v>4</v>
      </c>
      <c r="AF361" s="28">
        <v>3</v>
      </c>
      <c r="AG361" s="28">
        <v>2</v>
      </c>
      <c r="AH361" s="29" t="s">
        <v>801</v>
      </c>
      <c r="AI361" s="36">
        <f>IF(OR(AND(K361&lt;32, J361&lt;2), O361=1, P361=1, Q361=1, R361=1, S361=1, T361=1, U361=1, AND(W361&lt;&gt;"", W361&lt;&gt;"Oxygen", W361&lt;&gt;"LowFlow")), "Intensive", "Intermediate")</f>
      </c>
      <c r="AJ361" s="37">
        <f>IF(OR(LEFT(AH361, 1)="X", LEFT(AH361, 1)="Y", LEFT(AH361, 3)="J37M"), "CUSM", "No Match")</f>
      </c>
      <c r="AK361" s="37">
        <f>IF(AND(OR(O361=3, P361=1, Q361=1, T361=1), AJ361="no Match"), "CUSM, CHU SJ, CHUQ", "")</f>
      </c>
      <c r="AL361" s="37">
        <f>IF(AND(O361=2, ISBLANK(P361), ISBLANK(Q361), ISBLANK(R361), ISBLANK(S361), ISBLANK(T361)), "CUSM, CHU SJ, CHUS, CHUQ", "")</f>
      </c>
      <c r="AM361" s="37">
        <f>IF(AND(AJ361="no match", AK361="", AL361="", K361&lt;26), "CUSM, CHU SJ, HGJ, CHUQ, CHUS", "")</f>
      </c>
      <c r="AN361" s="37">
        <f>IF(AND(AJ361="no match", AK361="", AL361="", K361&gt;26), "CUSM, CHU SJ, HGJ, CHUQ, CHUS, HMR", "")</f>
      </c>
    </row>
    <row x14ac:dyDescent="0.25" r="362" customHeight="1" ht="17.25">
      <c r="A362" s="27" t="s">
        <v>802</v>
      </c>
      <c r="B362" s="28">
        <v>2</v>
      </c>
      <c r="C362" s="35">
        <v>824</v>
      </c>
      <c r="D362" s="29" t="s">
        <v>57</v>
      </c>
      <c r="E362" s="30" t="s">
        <v>50</v>
      </c>
      <c r="F362" s="31">
        <v>44761</v>
      </c>
      <c r="G362" s="32">
        <v>4.445138888888889</v>
      </c>
      <c r="H362" s="31">
        <v>44760</v>
      </c>
      <c r="I362" s="32">
        <v>4.449305555555556</v>
      </c>
      <c r="J362" s="33">
        <f>F362-H362</f>
      </c>
      <c r="K362" s="28">
        <v>39</v>
      </c>
      <c r="L362" s="28">
        <v>5</v>
      </c>
      <c r="M362" s="28">
        <v>2</v>
      </c>
      <c r="N362" s="38"/>
      <c r="O362" s="34"/>
      <c r="P362" s="34"/>
      <c r="Q362" s="34"/>
      <c r="R362" s="34"/>
      <c r="S362" s="34"/>
      <c r="T362" s="34"/>
      <c r="U362" s="34"/>
      <c r="V362" s="34"/>
      <c r="W362" s="29"/>
      <c r="X362" s="28">
        <v>32</v>
      </c>
      <c r="Y362" s="28">
        <v>1</v>
      </c>
      <c r="Z362" s="28">
        <v>1</v>
      </c>
      <c r="AA362" s="28">
        <v>2</v>
      </c>
      <c r="AB362" s="28">
        <v>1</v>
      </c>
      <c r="AC362" s="28">
        <v>2</v>
      </c>
      <c r="AD362" s="28">
        <v>2</v>
      </c>
      <c r="AE362" s="28">
        <v>4</v>
      </c>
      <c r="AF362" s="28">
        <v>3</v>
      </c>
      <c r="AG362" s="28">
        <v>2</v>
      </c>
      <c r="AH362" s="29" t="s">
        <v>803</v>
      </c>
      <c r="AI362" s="36">
        <f>IF(OR(AND(K362&lt;32, J362&lt;2), O362=1, P362=1, Q362=1, R362=1, S362=1, T362=1, U362=1, AND(W362&lt;&gt;"", W362&lt;&gt;"Oxygen", W362&lt;&gt;"LowFlow")), "Intensive", "Intermediate")</f>
      </c>
      <c r="AJ362" s="37">
        <f>IF(OR(LEFT(AH362, 1)="X", LEFT(AH362, 1)="Y", LEFT(AH362, 3)="J38M"), "CUSM", "No Match")</f>
      </c>
      <c r="AK362" s="37">
        <f>IF(AND(OR(O362=3, P362=1, Q362=1, T362=1), AJ362="no Match"), "CUSM, CHU SJ, CHUQ", "")</f>
      </c>
      <c r="AL362" s="37">
        <f>IF(AND(O362=2, ISBLANK(P362), ISBLANK(Q362), ISBLANK(R362), ISBLANK(S362), ISBLANK(T362)), "CUSM, CHU SJ, CHUS, CHUQ", "")</f>
      </c>
      <c r="AM362" s="37">
        <f>IF(AND(AJ362="no match", AK362="", AL362="", K362&lt;26), "CUSM, CHU SJ, HGJ, CHUQ, CHUS", "")</f>
      </c>
      <c r="AN362" s="37">
        <f>IF(AND(AJ362="no match", AK362="", AL362="", K362&gt;26), "CUSM, CHU SJ, HGJ, CHUQ, CHUS, HMR", "")</f>
      </c>
    </row>
    <row x14ac:dyDescent="0.25" r="363" customHeight="1" ht="17.25">
      <c r="A363" s="27" t="s">
        <v>804</v>
      </c>
      <c r="B363" s="28">
        <v>2</v>
      </c>
      <c r="C363" s="28">
        <v>768</v>
      </c>
      <c r="D363" s="29" t="s">
        <v>160</v>
      </c>
      <c r="E363" s="30" t="s">
        <v>118</v>
      </c>
      <c r="F363" s="31">
        <v>44762</v>
      </c>
      <c r="G363" s="32">
        <v>4.041666666666666</v>
      </c>
      <c r="H363" s="31">
        <v>44761</v>
      </c>
      <c r="I363" s="32">
        <v>4.124305555555555</v>
      </c>
      <c r="J363" s="33">
        <f>F363-H363</f>
      </c>
      <c r="K363" s="28">
        <v>35</v>
      </c>
      <c r="L363" s="28">
        <v>0</v>
      </c>
      <c r="M363" s="28">
        <v>2</v>
      </c>
      <c r="N363" s="38"/>
      <c r="O363" s="34"/>
      <c r="P363" s="38"/>
      <c r="Q363" s="34"/>
      <c r="R363" s="34"/>
      <c r="S363" s="34"/>
      <c r="T363" s="34"/>
      <c r="U363" s="34"/>
      <c r="V363" s="34"/>
      <c r="W363" s="29"/>
      <c r="X363" s="28">
        <v>40</v>
      </c>
      <c r="Y363" s="28">
        <v>1</v>
      </c>
      <c r="Z363" s="28">
        <v>1</v>
      </c>
      <c r="AA363" s="28">
        <v>2</v>
      </c>
      <c r="AB363" s="28">
        <v>1</v>
      </c>
      <c r="AC363" s="28">
        <v>2</v>
      </c>
      <c r="AD363" s="28">
        <v>2</v>
      </c>
      <c r="AE363" s="28">
        <v>2</v>
      </c>
      <c r="AF363" s="28">
        <v>2</v>
      </c>
      <c r="AG363" s="28">
        <v>2</v>
      </c>
      <c r="AH363" s="29" t="s">
        <v>805</v>
      </c>
      <c r="AI363" s="36">
        <f>IF(OR(AND(K363&lt;32, J363&lt;2), O363=1, P363=1, Q363=1, R363=1, S363=1, T363=1, U363=1, AND(W363&lt;&gt;"", W363&lt;&gt;"Oxygen", W363&lt;&gt;"LowFlow")), "Intensive", "Intermediate")</f>
      </c>
      <c r="AJ363" s="37">
        <f>IF(OR(LEFT(AH363, 1)="X", LEFT(AH363, 1)="Y", LEFT(AH363, 3)="J39M"), "CUSM", "No Match")</f>
      </c>
      <c r="AK363" s="37">
        <f>IF(AND(OR(O363=3, P363=1, Q363=1, T363=1), AJ363="no Match"), "CUSM, CHU SJ, CHUQ", "")</f>
      </c>
      <c r="AL363" s="37">
        <f>IF(AND(O363=2, ISBLANK(P363), ISBLANK(Q363), ISBLANK(R363), ISBLANK(S363), ISBLANK(T363)), "CUSM, CHU SJ, CHUS, CHUQ", "")</f>
      </c>
      <c r="AM363" s="37">
        <f>IF(AND(AJ363="no match", AK363="", AL363="", K363&lt;26), "CUSM, CHU SJ, HGJ, CHUQ, CHUS", "")</f>
      </c>
      <c r="AN363" s="37">
        <f>IF(AND(AJ363="no match", AK363="", AL363="", K363&gt;26), "CUSM, CHU SJ, HGJ, CHUQ, CHUS, HMR", "")</f>
      </c>
    </row>
    <row x14ac:dyDescent="0.25" r="364" customHeight="1" ht="17.25">
      <c r="A364" s="27" t="s">
        <v>806</v>
      </c>
      <c r="B364" s="28">
        <v>2</v>
      </c>
      <c r="C364" s="28">
        <v>825</v>
      </c>
      <c r="D364" s="29" t="s">
        <v>77</v>
      </c>
      <c r="E364" s="30" t="s">
        <v>118</v>
      </c>
      <c r="F364" s="31">
        <v>44762</v>
      </c>
      <c r="G364" s="32">
        <v>4.451388888888889</v>
      </c>
      <c r="H364" s="31">
        <v>44762</v>
      </c>
      <c r="I364" s="32">
        <v>4.290277777777778</v>
      </c>
      <c r="J364" s="33">
        <f>F364-H364</f>
      </c>
      <c r="K364" s="28">
        <v>32</v>
      </c>
      <c r="L364" s="28">
        <v>5</v>
      </c>
      <c r="M364" s="28">
        <v>2</v>
      </c>
      <c r="N364" s="34"/>
      <c r="O364" s="34"/>
      <c r="P364" s="34"/>
      <c r="Q364" s="34"/>
      <c r="R364" s="34"/>
      <c r="S364" s="34"/>
      <c r="T364" s="34"/>
      <c r="U364" s="34"/>
      <c r="V364" s="34"/>
      <c r="W364" s="29" t="s">
        <v>58</v>
      </c>
      <c r="X364" s="28">
        <v>25</v>
      </c>
      <c r="Y364" s="28">
        <v>1</v>
      </c>
      <c r="Z364" s="28">
        <v>1</v>
      </c>
      <c r="AA364" s="28">
        <v>2</v>
      </c>
      <c r="AB364" s="28">
        <v>1</v>
      </c>
      <c r="AC364" s="28">
        <v>2</v>
      </c>
      <c r="AD364" s="28">
        <v>2</v>
      </c>
      <c r="AE364" s="28">
        <v>2</v>
      </c>
      <c r="AF364" s="28">
        <v>2</v>
      </c>
      <c r="AG364" s="28">
        <v>2</v>
      </c>
      <c r="AH364" s="29" t="s">
        <v>807</v>
      </c>
      <c r="AI364" s="36">
        <f>IF(OR(AND(K364&lt;32, J364&lt;2), O364=1, P364=1, Q364=1, R364=1, S364=1, T364=1, U364=1, AND(W364&lt;&gt;"", W364&lt;&gt;"Oxygen", W364&lt;&gt;"LowFlow")), "Intensive", "Intermediate")</f>
      </c>
      <c r="AJ364" s="37">
        <f>IF(OR(LEFT(AH364, 1)="X", LEFT(AH364, 1)="Y", LEFT(AH364, 3)="J40M"), "CUSM", "No Match")</f>
      </c>
      <c r="AK364" s="37">
        <f>IF(AND(OR(O364=3, P364=1, Q364=1, T364=1), AJ364="no Match"), "CUSM, CHU SJ, CHUQ", "")</f>
      </c>
      <c r="AL364" s="37">
        <f>IF(AND(O364=2, ISBLANK(P364), ISBLANK(Q364), ISBLANK(R364), ISBLANK(S364), ISBLANK(T364)), "CUSM, CHU SJ, CHUS, CHUQ", "")</f>
      </c>
      <c r="AM364" s="37">
        <f>IF(AND(AJ364="no match", AK364="", AL364="", K364&lt;26), "CUSM, CHU SJ, HGJ, CHUQ, CHUS", "")</f>
      </c>
      <c r="AN364" s="37">
        <f>IF(AND(AJ364="no match", AK364="", AL364="", K364&gt;26), "CUSM, CHU SJ, HGJ, CHUQ, CHUS, HMR", "")</f>
      </c>
    </row>
    <row x14ac:dyDescent="0.25" r="365" customHeight="1" ht="17.25">
      <c r="A365" s="27" t="s">
        <v>808</v>
      </c>
      <c r="B365" s="28">
        <v>2</v>
      </c>
      <c r="C365" s="28">
        <v>815</v>
      </c>
      <c r="D365" s="29" t="s">
        <v>100</v>
      </c>
      <c r="E365" s="30" t="s">
        <v>54</v>
      </c>
      <c r="F365" s="31">
        <v>44762</v>
      </c>
      <c r="G365" s="32">
        <v>4.798611111111111</v>
      </c>
      <c r="H365" s="31">
        <v>44757</v>
      </c>
      <c r="I365" s="32">
        <v>4.336805555555555</v>
      </c>
      <c r="J365" s="33">
        <f>F365-H365</f>
      </c>
      <c r="K365" s="28">
        <v>40</v>
      </c>
      <c r="L365" s="28">
        <v>2</v>
      </c>
      <c r="M365" s="28">
        <v>1</v>
      </c>
      <c r="N365" s="34"/>
      <c r="O365" s="34"/>
      <c r="P365" s="34"/>
      <c r="Q365" s="34"/>
      <c r="R365" s="34"/>
      <c r="S365" s="34"/>
      <c r="T365" s="34"/>
      <c r="U365" s="34"/>
      <c r="V365" s="34"/>
      <c r="W365" s="29"/>
      <c r="X365" s="28">
        <v>35</v>
      </c>
      <c r="Y365" s="28">
        <v>1</v>
      </c>
      <c r="Z365" s="28">
        <v>1</v>
      </c>
      <c r="AA365" s="28">
        <v>2</v>
      </c>
      <c r="AB365" s="28">
        <v>1</v>
      </c>
      <c r="AC365" s="28">
        <v>2</v>
      </c>
      <c r="AD365" s="28">
        <v>2</v>
      </c>
      <c r="AE365" s="28">
        <v>4</v>
      </c>
      <c r="AF365" s="28">
        <v>2</v>
      </c>
      <c r="AG365" s="28">
        <v>2</v>
      </c>
      <c r="AH365" s="29" t="s">
        <v>809</v>
      </c>
      <c r="AI365" s="36">
        <f>IF(OR(AND(K365&lt;32, J365&lt;2), O365=1, P365=1, Q365=1, R365=1, S365=1, T365=1, U365=1, AND(W365&lt;&gt;"", W365&lt;&gt;"Oxygen", W365&lt;&gt;"LowFlow")), "Intensive", "Intermediate")</f>
      </c>
      <c r="AJ365" s="37">
        <f>IF(OR(LEFT(AH365, 1)="X", LEFT(AH365, 1)="Y", LEFT(AH365, 3)="J41M"), "CUSM", "No Match")</f>
      </c>
      <c r="AK365" s="37">
        <f>IF(AND(OR(O365=3, P365=1, Q365=1, T365=1), AJ365="no Match"), "CUSM, CHU SJ, CHUQ", "")</f>
      </c>
      <c r="AL365" s="37">
        <f>IF(AND(O365=2, ISBLANK(P365), ISBLANK(Q365), ISBLANK(R365), ISBLANK(S365), ISBLANK(T365)), "CUSM, CHU SJ, CHUS, CHUQ", "")</f>
      </c>
      <c r="AM365" s="37">
        <f>IF(AND(AJ365="no match", AK365="", AL365="", K365&lt;26), "CUSM, CHU SJ, HGJ, CHUQ, CHUS", "")</f>
      </c>
      <c r="AN365" s="37">
        <f>IF(AND(AJ365="no match", AK365="", AL365="", K365&gt;26), "CUSM, CHU SJ, HGJ, CHUQ, CHUS, HMR", "")</f>
      </c>
    </row>
    <row x14ac:dyDescent="0.25" r="366" customHeight="1" ht="17.25">
      <c r="A366" s="27" t="s">
        <v>810</v>
      </c>
      <c r="B366" s="28">
        <v>2</v>
      </c>
      <c r="C366" s="28">
        <v>839</v>
      </c>
      <c r="D366" s="29" t="s">
        <v>53</v>
      </c>
      <c r="E366" s="30" t="s">
        <v>54</v>
      </c>
      <c r="F366" s="31">
        <v>44763</v>
      </c>
      <c r="G366" s="32">
        <v>4.208333333333334</v>
      </c>
      <c r="H366" s="31">
        <v>44763</v>
      </c>
      <c r="I366" s="32">
        <v>4.036111111111111</v>
      </c>
      <c r="J366" s="33">
        <f>F366-H366</f>
      </c>
      <c r="K366" s="28">
        <v>40</v>
      </c>
      <c r="L366" s="28">
        <v>6</v>
      </c>
      <c r="M366" s="28">
        <v>2</v>
      </c>
      <c r="N366" s="35">
        <v>1</v>
      </c>
      <c r="O366" s="34"/>
      <c r="P366" s="34"/>
      <c r="Q366" s="35">
        <v>1</v>
      </c>
      <c r="R366" s="34"/>
      <c r="S366" s="34"/>
      <c r="T366" s="34"/>
      <c r="U366" s="34"/>
      <c r="V366" s="34"/>
      <c r="W366" s="29"/>
      <c r="X366" s="28">
        <v>32</v>
      </c>
      <c r="Y366" s="28">
        <v>1</v>
      </c>
      <c r="Z366" s="28">
        <v>1</v>
      </c>
      <c r="AA366" s="28">
        <v>2</v>
      </c>
      <c r="AB366" s="28">
        <v>1</v>
      </c>
      <c r="AC366" s="28">
        <v>2</v>
      </c>
      <c r="AD366" s="28">
        <v>2</v>
      </c>
      <c r="AE366" s="28">
        <v>4</v>
      </c>
      <c r="AF366" s="28">
        <v>2</v>
      </c>
      <c r="AG366" s="28">
        <v>2</v>
      </c>
      <c r="AH366" s="29" t="s">
        <v>811</v>
      </c>
      <c r="AI366" s="36">
        <f>IF(OR(AND(K366&lt;32, J366&lt;2), O366=1, P366=1, Q366=1, R366=1, S366=1, T366=1, U366=1, AND(W366&lt;&gt;"", W366&lt;&gt;"Oxygen", W366&lt;&gt;"LowFlow")), "Intensive", "Intermediate")</f>
      </c>
      <c r="AJ366" s="37">
        <f>IF(OR(LEFT(AH366, 1)="X", LEFT(AH366, 1)="Y", LEFT(AH366, 3)="J42M"), "CUSM", "No Match")</f>
      </c>
      <c r="AK366" s="37">
        <f>IF(AND(OR(O366=3, P366=1, Q366=1, T366=1), AJ366="no Match"), "CUSM, CHU SJ, CHUQ", "")</f>
      </c>
      <c r="AL366" s="37">
        <f>IF(AND(O366=2, ISBLANK(P366), ISBLANK(Q366), ISBLANK(R366), ISBLANK(S366), ISBLANK(T366)), "CUSM, CHU SJ, CHUS, CHUQ", "")</f>
      </c>
      <c r="AM366" s="37">
        <f>IF(AND(AJ366="no match", AK366="", AL366="", K366&lt;26), "CUSM, CHU SJ, HGJ, CHUQ, CHUS", "")</f>
      </c>
      <c r="AN366" s="37">
        <f>IF(AND(AJ366="no match", AK366="", AL366="", K366&gt;26), "CUSM, CHU SJ, HGJ, CHUQ, CHUS, HMR", "")</f>
      </c>
    </row>
    <row x14ac:dyDescent="0.25" r="367" customHeight="1" ht="17.25">
      <c r="A367" s="27" t="s">
        <v>812</v>
      </c>
      <c r="B367" s="28">
        <v>2</v>
      </c>
      <c r="C367" s="28">
        <v>820</v>
      </c>
      <c r="D367" s="29" t="s">
        <v>69</v>
      </c>
      <c r="E367" s="30" t="s">
        <v>54</v>
      </c>
      <c r="F367" s="31">
        <v>44763</v>
      </c>
      <c r="G367" s="32">
        <v>4</v>
      </c>
      <c r="H367" s="31">
        <v>44762</v>
      </c>
      <c r="I367" s="32">
        <v>4.661111111111111</v>
      </c>
      <c r="J367" s="33">
        <f>F367-H367</f>
      </c>
      <c r="K367" s="28">
        <v>36</v>
      </c>
      <c r="L367" s="28">
        <v>2</v>
      </c>
      <c r="M367" s="28">
        <v>2</v>
      </c>
      <c r="N367" s="38"/>
      <c r="O367" s="34"/>
      <c r="P367" s="34"/>
      <c r="Q367" s="34"/>
      <c r="R367" s="34"/>
      <c r="S367" s="34"/>
      <c r="T367" s="35">
        <v>1</v>
      </c>
      <c r="U367" s="34"/>
      <c r="V367" s="38"/>
      <c r="W367" s="29"/>
      <c r="X367" s="28">
        <v>26</v>
      </c>
      <c r="Y367" s="28">
        <v>1</v>
      </c>
      <c r="Z367" s="28">
        <v>2</v>
      </c>
      <c r="AA367" s="28">
        <v>2</v>
      </c>
      <c r="AB367" s="28">
        <v>3</v>
      </c>
      <c r="AC367" s="28">
        <v>2</v>
      </c>
      <c r="AD367" s="28">
        <v>2</v>
      </c>
      <c r="AE367" s="28">
        <v>4</v>
      </c>
      <c r="AF367" s="35">
        <v>2</v>
      </c>
      <c r="AG367" s="28">
        <v>2</v>
      </c>
      <c r="AH367" s="29" t="s">
        <v>813</v>
      </c>
      <c r="AI367" s="36">
        <f>IF(OR(AND(K367&lt;32, J367&lt;2), O367=1, P367=1, Q367=1, R367=1, S367=1, T367=1, U367=1, AND(W367&lt;&gt;"", W367&lt;&gt;"Oxygen", W367&lt;&gt;"LowFlow")), "Intensive", "Intermediate")</f>
      </c>
      <c r="AJ367" s="37">
        <f>IF(OR(LEFT(AH367, 1)="X", LEFT(AH367, 1)="Y", LEFT(AH367, 3)="J43M"), "CUSM", "No Match")</f>
      </c>
      <c r="AK367" s="37">
        <f>IF(AND(OR(O367=3, P367=1, Q367=1, T367=1), AJ367="no Match"), "CUSM, CHU SJ, CHUQ", "")</f>
      </c>
      <c r="AL367" s="37">
        <f>IF(AND(O367=2, ISBLANK(P367), ISBLANK(Q367), ISBLANK(R367), ISBLANK(S367), ISBLANK(T367)), "CUSM, CHU SJ, CHUS, CHUQ", "")</f>
      </c>
      <c r="AM367" s="37">
        <f>IF(AND(AJ367="no match", AK367="", AL367="", K367&lt;26), "CUSM, CHU SJ, HGJ, CHUQ, CHUS", "")</f>
      </c>
      <c r="AN367" s="37">
        <f>IF(AND(AJ367="no match", AK367="", AL367="", K367&gt;26), "CUSM, CHU SJ, HGJ, CHUQ, CHUS, HMR", "")</f>
      </c>
    </row>
    <row x14ac:dyDescent="0.25" r="368" customHeight="1" ht="17.25">
      <c r="A368" s="27" t="s">
        <v>814</v>
      </c>
      <c r="B368" s="28">
        <v>2</v>
      </c>
      <c r="C368" s="35">
        <v>820</v>
      </c>
      <c r="D368" s="29" t="s">
        <v>69</v>
      </c>
      <c r="E368" s="30" t="s">
        <v>54</v>
      </c>
      <c r="F368" s="31">
        <v>44763</v>
      </c>
      <c r="G368" s="32">
        <v>4.78125</v>
      </c>
      <c r="H368" s="31">
        <v>44763</v>
      </c>
      <c r="I368" s="32">
        <v>4.564583333333333</v>
      </c>
      <c r="J368" s="33">
        <f>F368-H368</f>
      </c>
      <c r="K368" s="28">
        <v>41</v>
      </c>
      <c r="L368" s="28">
        <v>1</v>
      </c>
      <c r="M368" s="28">
        <v>2</v>
      </c>
      <c r="N368" s="35">
        <v>1</v>
      </c>
      <c r="O368" s="34"/>
      <c r="P368" s="35">
        <v>1</v>
      </c>
      <c r="Q368" s="34"/>
      <c r="R368" s="34"/>
      <c r="S368" s="34"/>
      <c r="T368" s="34"/>
      <c r="U368" s="35">
        <v>1</v>
      </c>
      <c r="V368" s="35">
        <v>1</v>
      </c>
      <c r="W368" s="29" t="s">
        <v>58</v>
      </c>
      <c r="X368" s="28">
        <v>38</v>
      </c>
      <c r="Y368" s="28">
        <v>1</v>
      </c>
      <c r="Z368" s="28">
        <v>1</v>
      </c>
      <c r="AA368" s="28">
        <v>2</v>
      </c>
      <c r="AB368" s="28">
        <v>1</v>
      </c>
      <c r="AC368" s="28">
        <v>2</v>
      </c>
      <c r="AD368" s="28">
        <v>2</v>
      </c>
      <c r="AE368" s="28">
        <v>4</v>
      </c>
      <c r="AF368" s="28">
        <v>2</v>
      </c>
      <c r="AG368" s="28">
        <v>2</v>
      </c>
      <c r="AH368" s="29" t="s">
        <v>815</v>
      </c>
      <c r="AI368" s="36">
        <f>IF(OR(AND(K368&lt;32, J368&lt;2), O368=1, P368=1, Q368=1, R368=1, S368=1, T368=1, U368=1, AND(W368&lt;&gt;"", W368&lt;&gt;"Oxygen", W368&lt;&gt;"LowFlow")), "Intensive", "Intermediate")</f>
      </c>
      <c r="AJ368" s="37">
        <f>IF(OR(LEFT(AH368, 1)="X", LEFT(AH368, 1)="Y", LEFT(AH368, 3)="J44M"), "CUSM", "No Match")</f>
      </c>
      <c r="AK368" s="37">
        <f>IF(AND(OR(O368=3, P368=1, Q368=1, T368=1), AJ368="no Match"), "CUSM, CHU SJ, CHUQ", "")</f>
      </c>
      <c r="AL368" s="37">
        <f>IF(AND(O368=2, ISBLANK(P368), ISBLANK(Q368), ISBLANK(R368), ISBLANK(S368), ISBLANK(T368)), "CUSM, CHU SJ, CHUS, CHUQ", "")</f>
      </c>
      <c r="AM368" s="37">
        <f>IF(AND(AJ368="no match", AK368="", AL368="", K368&lt;26), "CUSM, CHU SJ, HGJ, CHUQ, CHUS", "")</f>
      </c>
      <c r="AN368" s="37">
        <f>IF(AND(AJ368="no match", AK368="", AL368="", K368&gt;26), "CUSM, CHU SJ, HGJ, CHUQ, CHUS, HMR", "")</f>
      </c>
    </row>
    <row x14ac:dyDescent="0.25" r="369" customHeight="1" ht="17.25">
      <c r="A369" s="27" t="s">
        <v>816</v>
      </c>
      <c r="B369" s="28">
        <v>2</v>
      </c>
      <c r="C369" s="35">
        <v>532</v>
      </c>
      <c r="D369" s="29" t="s">
        <v>195</v>
      </c>
      <c r="E369" s="30" t="s">
        <v>54</v>
      </c>
      <c r="F369" s="31">
        <v>44763</v>
      </c>
      <c r="G369" s="32">
        <v>4.479166666666666</v>
      </c>
      <c r="H369" s="31">
        <v>44761</v>
      </c>
      <c r="I369" s="32">
        <v>4.99375</v>
      </c>
      <c r="J369" s="33">
        <f>F369-H369</f>
      </c>
      <c r="K369" s="28">
        <v>39</v>
      </c>
      <c r="L369" s="28">
        <v>1</v>
      </c>
      <c r="M369" s="28">
        <v>1</v>
      </c>
      <c r="N369" s="35">
        <v>1</v>
      </c>
      <c r="O369" s="34"/>
      <c r="P369" s="35">
        <v>1</v>
      </c>
      <c r="Q369" s="34"/>
      <c r="R369" s="34"/>
      <c r="S369" s="34"/>
      <c r="T369" s="34"/>
      <c r="U369" s="34"/>
      <c r="V369" s="34"/>
      <c r="W369" s="29"/>
      <c r="X369" s="28">
        <v>35</v>
      </c>
      <c r="Y369" s="28">
        <v>1</v>
      </c>
      <c r="Z369" s="28">
        <v>1</v>
      </c>
      <c r="AA369" s="28">
        <v>3</v>
      </c>
      <c r="AB369" s="28">
        <v>4</v>
      </c>
      <c r="AC369" s="28">
        <v>2</v>
      </c>
      <c r="AD369" s="28">
        <v>2</v>
      </c>
      <c r="AE369" s="28">
        <v>4</v>
      </c>
      <c r="AF369" s="28">
        <v>2</v>
      </c>
      <c r="AG369" s="28">
        <v>3</v>
      </c>
      <c r="AH369" s="29" t="s">
        <v>817</v>
      </c>
      <c r="AI369" s="36">
        <f>IF(OR(AND(K369&lt;32, J369&lt;2), O369=1, P369=1, Q369=1, R369=1, S369=1, T369=1, U369=1, AND(W369&lt;&gt;"", W369&lt;&gt;"Oxygen", W369&lt;&gt;"LowFlow")), "Intensive", "Intermediate")</f>
      </c>
      <c r="AJ369" s="37">
        <f>IF(OR(LEFT(AH369, 1)="X", LEFT(AH369, 1)="Y", LEFT(AH369, 3)="J45M"), "CUSM", "No Match")</f>
      </c>
      <c r="AK369" s="37">
        <f>IF(AND(OR(O369=3, P369=1, Q369=1, T369=1), AJ369="no Match"), "CUSM, CHU SJ, CHUQ", "")</f>
      </c>
      <c r="AL369" s="37">
        <f>IF(AND(O369=2, ISBLANK(P369), ISBLANK(Q369), ISBLANK(R369), ISBLANK(S369), ISBLANK(T369)), "CUSM, CHU SJ, CHUS, CHUQ", "")</f>
      </c>
      <c r="AM369" s="37">
        <f>IF(AND(AJ369="no match", AK369="", AL369="", K369&lt;26), "CUSM, CHU SJ, HGJ, CHUQ, CHUS", "")</f>
      </c>
      <c r="AN369" s="37">
        <f>IF(AND(AJ369="no match", AK369="", AL369="", K369&gt;26), "CUSM, CHU SJ, HGJ, CHUQ, CHUS, HMR", "")</f>
      </c>
    </row>
    <row x14ac:dyDescent="0.25" r="370" customHeight="1" ht="17.25">
      <c r="A370" s="27" t="s">
        <v>818</v>
      </c>
      <c r="B370" s="28">
        <v>2</v>
      </c>
      <c r="C370" s="35">
        <v>782</v>
      </c>
      <c r="D370" s="29" t="s">
        <v>95</v>
      </c>
      <c r="E370" s="30" t="s">
        <v>50</v>
      </c>
      <c r="F370" s="31">
        <v>44763</v>
      </c>
      <c r="G370" s="32">
        <v>4.097222222222222</v>
      </c>
      <c r="H370" s="31">
        <v>44762</v>
      </c>
      <c r="I370" s="32">
        <v>4.853472222222223</v>
      </c>
      <c r="J370" s="33">
        <f>F370-H370</f>
      </c>
      <c r="K370" s="28">
        <v>41</v>
      </c>
      <c r="L370" s="28">
        <v>0</v>
      </c>
      <c r="M370" s="28">
        <v>1</v>
      </c>
      <c r="N370" s="34"/>
      <c r="O370" s="34"/>
      <c r="P370" s="34"/>
      <c r="Q370" s="34"/>
      <c r="R370" s="34"/>
      <c r="S370" s="34"/>
      <c r="T370" s="35">
        <v>1</v>
      </c>
      <c r="U370" s="34"/>
      <c r="V370" s="34"/>
      <c r="W370" s="29" t="s">
        <v>58</v>
      </c>
      <c r="X370" s="28">
        <v>31</v>
      </c>
      <c r="Y370" s="28">
        <v>1</v>
      </c>
      <c r="Z370" s="28">
        <v>1</v>
      </c>
      <c r="AA370" s="28">
        <v>2</v>
      </c>
      <c r="AB370" s="28">
        <v>1</v>
      </c>
      <c r="AC370" s="28">
        <v>2</v>
      </c>
      <c r="AD370" s="28">
        <v>2</v>
      </c>
      <c r="AE370" s="28">
        <v>4</v>
      </c>
      <c r="AF370" s="28">
        <v>2</v>
      </c>
      <c r="AG370" s="28">
        <v>2</v>
      </c>
      <c r="AH370" s="29" t="s">
        <v>819</v>
      </c>
      <c r="AI370" s="36">
        <f>IF(OR(AND(K370&lt;32, J370&lt;2), O370=1, P370=1, Q370=1, R370=1, S370=1, T370=1, U370=1, AND(W370&lt;&gt;"", W370&lt;&gt;"Oxygen", W370&lt;&gt;"LowFlow")), "Intensive", "Intermediate")</f>
      </c>
      <c r="AJ370" s="37">
        <f>IF(OR(LEFT(AH370, 1)="X", LEFT(AH370, 1)="Y", LEFT(AH370, 3)="J46M"), "CUSM", "No Match")</f>
      </c>
      <c r="AK370" s="37">
        <f>IF(AND(OR(O370=3, P370=1, Q370=1, T370=1), AJ370="no Match"), "CUSM, CHU SJ, CHUQ", "")</f>
      </c>
      <c r="AL370" s="37">
        <f>IF(AND(O370=2, ISBLANK(P370), ISBLANK(Q370), ISBLANK(R370), ISBLANK(S370), ISBLANK(T370)), "CUSM, CHU SJ, CHUS, CHUQ", "")</f>
      </c>
      <c r="AM370" s="37">
        <f>IF(AND(AJ370="no match", AK370="", AL370="", K370&lt;26), "CUSM, CHU SJ, HGJ, CHUQ, CHUS", "")</f>
      </c>
      <c r="AN370" s="37">
        <f>IF(AND(AJ370="no match", AK370="", AL370="", K370&gt;26), "CUSM, CHU SJ, HGJ, CHUQ, CHUS, HMR", "")</f>
      </c>
    </row>
    <row x14ac:dyDescent="0.25" r="371" customHeight="1" ht="17.25">
      <c r="A371" s="27" t="s">
        <v>820</v>
      </c>
      <c r="B371" s="28">
        <v>2</v>
      </c>
      <c r="C371" s="35">
        <v>832</v>
      </c>
      <c r="D371" s="29" t="s">
        <v>308</v>
      </c>
      <c r="E371" s="30" t="s">
        <v>50</v>
      </c>
      <c r="F371" s="31">
        <v>44764</v>
      </c>
      <c r="G371" s="32">
        <v>4.267361111111111</v>
      </c>
      <c r="H371" s="31">
        <v>44762</v>
      </c>
      <c r="I371" s="32">
        <v>4.986111111111111</v>
      </c>
      <c r="J371" s="33">
        <f>F371-H371</f>
      </c>
      <c r="K371" s="28">
        <v>39</v>
      </c>
      <c r="L371" s="28">
        <v>4</v>
      </c>
      <c r="M371" s="28">
        <v>1</v>
      </c>
      <c r="N371" s="34"/>
      <c r="O371" s="34"/>
      <c r="P371" s="34"/>
      <c r="Q371" s="34"/>
      <c r="R371" s="34"/>
      <c r="S371" s="34"/>
      <c r="T371" s="34"/>
      <c r="U371" s="34"/>
      <c r="V371" s="34"/>
      <c r="W371" s="29"/>
      <c r="X371" s="28">
        <v>29</v>
      </c>
      <c r="Y371" s="28">
        <v>1</v>
      </c>
      <c r="Z371" s="28">
        <v>1</v>
      </c>
      <c r="AA371" s="28">
        <v>3</v>
      </c>
      <c r="AB371" s="28">
        <v>1</v>
      </c>
      <c r="AC371" s="28">
        <v>2</v>
      </c>
      <c r="AD371" s="28">
        <v>2</v>
      </c>
      <c r="AE371" s="28">
        <v>4</v>
      </c>
      <c r="AF371" s="28">
        <v>3</v>
      </c>
      <c r="AG371" s="28">
        <v>2</v>
      </c>
      <c r="AH371" s="29" t="s">
        <v>821</v>
      </c>
      <c r="AI371" s="36">
        <f>IF(OR(AND(K371&lt;32, J371&lt;2), O371=1, P371=1, Q371=1, R371=1, S371=1, T371=1, U371=1, AND(W371&lt;&gt;"", W371&lt;&gt;"Oxygen", W371&lt;&gt;"LowFlow")), "Intensive", "Intermediate")</f>
      </c>
      <c r="AJ371" s="37">
        <f>IF(OR(LEFT(AH371, 1)="X", LEFT(AH371, 1)="Y", LEFT(AH371, 3)="J47M"), "CUSM", "No Match")</f>
      </c>
      <c r="AK371" s="37">
        <f>IF(AND(OR(O371=3, P371=1, Q371=1, T371=1), AJ371="no Match"), "CUSM, CHU SJ, CHUQ", "")</f>
      </c>
      <c r="AL371" s="37">
        <f>IF(AND(O371=2, ISBLANK(P371), ISBLANK(Q371), ISBLANK(R371), ISBLANK(S371), ISBLANK(T371)), "CUSM, CHU SJ, CHUS, CHUQ", "")</f>
      </c>
      <c r="AM371" s="37">
        <f>IF(AND(AJ371="no match", AK371="", AL371="", K371&lt;26), "CUSM, CHU SJ, HGJ, CHUQ, CHUS", "")</f>
      </c>
      <c r="AN371" s="37">
        <f>IF(AND(AJ371="no match", AK371="", AL371="", K371&gt;26), "CUSM, CHU SJ, HGJ, CHUQ, CHUS, HMR", "")</f>
      </c>
    </row>
    <row x14ac:dyDescent="0.25" r="372" customHeight="1" ht="17.25">
      <c r="A372" s="27" t="s">
        <v>822</v>
      </c>
      <c r="B372" s="28">
        <v>2</v>
      </c>
      <c r="C372" s="35">
        <v>779</v>
      </c>
      <c r="D372" s="29" t="s">
        <v>136</v>
      </c>
      <c r="E372" s="30" t="s">
        <v>54</v>
      </c>
      <c r="F372" s="31">
        <v>44765</v>
      </c>
      <c r="G372" s="32">
        <v>4.333333333333334</v>
      </c>
      <c r="H372" s="31">
        <v>44763</v>
      </c>
      <c r="I372" s="32">
        <v>4.575694444444444</v>
      </c>
      <c r="J372" s="33">
        <f>F372-H372</f>
      </c>
      <c r="K372" s="28">
        <v>38</v>
      </c>
      <c r="L372" s="28">
        <v>2</v>
      </c>
      <c r="M372" s="28">
        <v>1</v>
      </c>
      <c r="N372" s="38"/>
      <c r="O372" s="35">
        <v>2</v>
      </c>
      <c r="P372" s="34"/>
      <c r="Q372" s="34"/>
      <c r="R372" s="34"/>
      <c r="S372" s="34"/>
      <c r="T372" s="34"/>
      <c r="U372" s="34"/>
      <c r="V372" s="34"/>
      <c r="W372" s="29"/>
      <c r="X372" s="28">
        <v>31</v>
      </c>
      <c r="Y372" s="28">
        <v>1</v>
      </c>
      <c r="Z372" s="28">
        <v>2</v>
      </c>
      <c r="AA372" s="28">
        <v>2</v>
      </c>
      <c r="AB372" s="28">
        <v>1</v>
      </c>
      <c r="AC372" s="28">
        <v>2</v>
      </c>
      <c r="AD372" s="28">
        <v>2</v>
      </c>
      <c r="AE372" s="28">
        <v>4</v>
      </c>
      <c r="AF372" s="28">
        <v>2</v>
      </c>
      <c r="AG372" s="28">
        <v>2</v>
      </c>
      <c r="AH372" s="29" t="s">
        <v>823</v>
      </c>
      <c r="AI372" s="36">
        <f>IF(OR(AND(K372&lt;32, J372&lt;2), O372=1, P372=1, Q372=1, R372=1, S372=1, T372=1, U372=1, AND(W372&lt;&gt;"", W372&lt;&gt;"Oxygen", W372&lt;&gt;"LowFlow")), "Intensive", "Intermediate")</f>
      </c>
      <c r="AJ372" s="37">
        <f>IF(OR(LEFT(AH372, 1)="X", LEFT(AH372, 1)="Y", LEFT(AH372, 3)="J48M"), "CUSM", "No Match")</f>
      </c>
      <c r="AK372" s="37">
        <f>IF(AND(OR(O372=3, P372=1, Q372=1, T372=1), AJ372="no Match"), "CUSM, CHU SJ, CHUQ", "")</f>
      </c>
      <c r="AL372" s="37">
        <f>IF(AND(O372=2, ISBLANK(P372), ISBLANK(Q372), ISBLANK(R372), ISBLANK(S372), ISBLANK(T372)), "CUSM, CHU SJ, CHUS, CHUQ", "")</f>
      </c>
      <c r="AM372" s="37">
        <f>IF(AND(AJ372="no match", AK372="", AL372="", K372&lt;26), "CUSM, CHU SJ, HGJ, CHUQ, CHUS", "")</f>
      </c>
      <c r="AN372" s="37">
        <f>IF(AND(AJ372="no match", AK372="", AL372="", K372&gt;26), "CUSM, CHU SJ, HGJ, CHUQ, CHUS, HMR", "")</f>
      </c>
    </row>
    <row x14ac:dyDescent="0.25" r="373" customHeight="1" ht="17.25">
      <c r="A373" s="27" t="s">
        <v>824</v>
      </c>
      <c r="B373" s="28">
        <v>2</v>
      </c>
      <c r="C373" s="28">
        <v>822</v>
      </c>
      <c r="D373" s="29" t="s">
        <v>167</v>
      </c>
      <c r="E373" s="30" t="s">
        <v>78</v>
      </c>
      <c r="F373" s="31">
        <v>44765</v>
      </c>
      <c r="G373" s="32">
        <v>4.333333333333334</v>
      </c>
      <c r="H373" s="31">
        <v>44764</v>
      </c>
      <c r="I373" s="32">
        <v>4.952083333333333</v>
      </c>
      <c r="J373" s="33">
        <f>F373-H373</f>
      </c>
      <c r="K373" s="28">
        <v>38</v>
      </c>
      <c r="L373" s="28">
        <v>0</v>
      </c>
      <c r="M373" s="28">
        <v>2</v>
      </c>
      <c r="N373" s="34"/>
      <c r="O373" s="34"/>
      <c r="P373" s="34"/>
      <c r="Q373" s="34"/>
      <c r="R373" s="34"/>
      <c r="S373" s="34"/>
      <c r="T373" s="34"/>
      <c r="U373" s="34"/>
      <c r="V373" s="34"/>
      <c r="W373" s="29" t="s">
        <v>74</v>
      </c>
      <c r="X373" s="28">
        <v>28</v>
      </c>
      <c r="Y373" s="28">
        <v>1</v>
      </c>
      <c r="Z373" s="28">
        <v>2</v>
      </c>
      <c r="AA373" s="28">
        <v>1</v>
      </c>
      <c r="AB373" s="28">
        <v>1</v>
      </c>
      <c r="AC373" s="28">
        <v>2</v>
      </c>
      <c r="AD373" s="28">
        <v>2</v>
      </c>
      <c r="AE373" s="28">
        <v>4</v>
      </c>
      <c r="AF373" s="28">
        <v>1</v>
      </c>
      <c r="AG373" s="28">
        <v>2</v>
      </c>
      <c r="AH373" s="29" t="s">
        <v>825</v>
      </c>
      <c r="AI373" s="36">
        <f>IF(OR(AND(K373&lt;32, J373&lt;2), O373=1, P373=1, Q373=1, R373=1, S373=1, T373=1, U373=1, AND(W373&lt;&gt;"", W373&lt;&gt;"Oxygen", W373&lt;&gt;"LowFlow")), "Intensive", "Intermediate")</f>
      </c>
      <c r="AJ373" s="37">
        <f>IF(OR(LEFT(AH373, 1)="X", LEFT(AH373, 1)="Y", LEFT(AH373, 3)="J49M"), "CUSM", "No Match")</f>
      </c>
      <c r="AK373" s="37">
        <f>IF(AND(OR(O373=3, P373=1, Q373=1, T373=1), AJ373="no Match"), "CUSM, CHU SJ, CHUQ", "")</f>
      </c>
      <c r="AL373" s="37">
        <f>IF(AND(O373=2, ISBLANK(P373), ISBLANK(Q373), ISBLANK(R373), ISBLANK(S373), ISBLANK(T373)), "CUSM, CHU SJ, CHUS, CHUQ", "")</f>
      </c>
      <c r="AM373" s="37">
        <f>IF(AND(AJ373="no match", AK373="", AL373="", K373&lt;26), "CUSM, CHU SJ, HGJ, CHUQ, CHUS", "")</f>
      </c>
      <c r="AN373" s="37">
        <f>IF(AND(AJ373="no match", AK373="", AL373="", K373&gt;26), "CUSM, CHU SJ, HGJ, CHUQ, CHUS, HMR", "")</f>
      </c>
    </row>
    <row x14ac:dyDescent="0.25" r="374" customHeight="1" ht="17.25">
      <c r="A374" s="27" t="s">
        <v>826</v>
      </c>
      <c r="B374" s="28">
        <v>2</v>
      </c>
      <c r="C374" s="35">
        <v>815</v>
      </c>
      <c r="D374" s="29" t="s">
        <v>100</v>
      </c>
      <c r="E374" s="30" t="s">
        <v>50</v>
      </c>
      <c r="F374" s="31">
        <v>44765</v>
      </c>
      <c r="G374" s="32">
        <v>4.239583333333334</v>
      </c>
      <c r="H374" s="31">
        <v>44763</v>
      </c>
      <c r="I374" s="32">
        <v>4.545833333333333</v>
      </c>
      <c r="J374" s="33">
        <f>F374-H374</f>
      </c>
      <c r="K374" s="28">
        <v>36</v>
      </c>
      <c r="L374" s="28">
        <v>5</v>
      </c>
      <c r="M374" s="28">
        <v>2</v>
      </c>
      <c r="N374" s="34"/>
      <c r="O374" s="34"/>
      <c r="P374" s="34"/>
      <c r="Q374" s="34"/>
      <c r="R374" s="34"/>
      <c r="S374" s="34"/>
      <c r="T374" s="34"/>
      <c r="U374" s="34"/>
      <c r="V374" s="34"/>
      <c r="W374" s="29"/>
      <c r="X374" s="28">
        <v>28</v>
      </c>
      <c r="Y374" s="28">
        <v>1</v>
      </c>
      <c r="Z374" s="28">
        <v>1</v>
      </c>
      <c r="AA374" s="28">
        <v>3</v>
      </c>
      <c r="AB374" s="28">
        <v>1</v>
      </c>
      <c r="AC374" s="28">
        <v>2</v>
      </c>
      <c r="AD374" s="28">
        <v>2</v>
      </c>
      <c r="AE374" s="28">
        <v>4</v>
      </c>
      <c r="AF374" s="35">
        <v>3</v>
      </c>
      <c r="AG374" s="28">
        <v>2</v>
      </c>
      <c r="AH374" s="29" t="s">
        <v>827</v>
      </c>
      <c r="AI374" s="36">
        <f>IF(OR(AND(K374&lt;32, J374&lt;2), O374=1, P374=1, Q374=1, R374=1, S374=1, T374=1, U374=1, AND(W374&lt;&gt;"", W374&lt;&gt;"Oxygen", W374&lt;&gt;"LowFlow")), "Intensive", "Intermediate")</f>
      </c>
      <c r="AJ374" s="37">
        <f>IF(OR(LEFT(AH374, 1)="X", LEFT(AH374, 1)="Y", LEFT(AH374, 3)="J50M"), "CUSM", "No Match")</f>
      </c>
      <c r="AK374" s="37">
        <f>IF(AND(OR(O374=3, P374=1, Q374=1, T374=1), AJ374="no Match"), "CUSM, CHU SJ, CHUQ", "")</f>
      </c>
      <c r="AL374" s="37">
        <f>IF(AND(O374=2, ISBLANK(P374), ISBLANK(Q374), ISBLANK(R374), ISBLANK(S374), ISBLANK(T374)), "CUSM, CHU SJ, CHUS, CHUQ", "")</f>
      </c>
      <c r="AM374" s="37">
        <f>IF(AND(AJ374="no match", AK374="", AL374="", K374&lt;26), "CUSM, CHU SJ, HGJ, CHUQ, CHUS", "")</f>
      </c>
      <c r="AN374" s="37">
        <f>IF(AND(AJ374="no match", AK374="", AL374="", K374&gt;26), "CUSM, CHU SJ, HGJ, CHUQ, CHUS, HMR", "")</f>
      </c>
    </row>
    <row x14ac:dyDescent="0.25" r="375" customHeight="1" ht="17.25">
      <c r="A375" s="27" t="s">
        <v>828</v>
      </c>
      <c r="B375" s="28">
        <v>2</v>
      </c>
      <c r="C375" s="35">
        <v>735</v>
      </c>
      <c r="D375" s="29" t="s">
        <v>49</v>
      </c>
      <c r="E375" s="30" t="s">
        <v>149</v>
      </c>
      <c r="F375" s="31">
        <v>44766</v>
      </c>
      <c r="G375" s="32">
        <v>4.809027777777778</v>
      </c>
      <c r="H375" s="31">
        <v>44766</v>
      </c>
      <c r="I375" s="32">
        <v>4.621527777777778</v>
      </c>
      <c r="J375" s="33">
        <f>F375-H375</f>
      </c>
      <c r="K375" s="28">
        <v>32</v>
      </c>
      <c r="L375" s="28">
        <v>0</v>
      </c>
      <c r="M375" s="28">
        <v>1</v>
      </c>
      <c r="N375" s="34"/>
      <c r="O375" s="34"/>
      <c r="P375" s="34"/>
      <c r="Q375" s="34"/>
      <c r="R375" s="34"/>
      <c r="S375" s="34"/>
      <c r="T375" s="34"/>
      <c r="U375" s="34"/>
      <c r="V375" s="34"/>
      <c r="W375" s="29" t="s">
        <v>58</v>
      </c>
      <c r="X375" s="28">
        <v>34</v>
      </c>
      <c r="Y375" s="28">
        <v>1</v>
      </c>
      <c r="Z375" s="28">
        <v>2</v>
      </c>
      <c r="AA375" s="28">
        <v>1</v>
      </c>
      <c r="AB375" s="28">
        <v>4</v>
      </c>
      <c r="AC375" s="28">
        <v>2</v>
      </c>
      <c r="AD375" s="28">
        <v>2</v>
      </c>
      <c r="AE375" s="28">
        <v>4</v>
      </c>
      <c r="AF375" s="35">
        <v>3</v>
      </c>
      <c r="AG375" s="28">
        <v>3</v>
      </c>
      <c r="AH375" s="29" t="s">
        <v>829</v>
      </c>
      <c r="AI375" s="36">
        <f>IF(OR(AND(K375&lt;32, J375&lt;2), O375=1, P375=1, Q375=1, R375=1, S375=1, T375=1, U375=1, AND(W375&lt;&gt;"", W375&lt;&gt;"Oxygen", W375&lt;&gt;"LowFlow")), "Intensive", "Intermediate")</f>
      </c>
      <c r="AJ375" s="37">
        <f>IF(OR(LEFT(AH375, 1)="X", LEFT(AH375, 1)="Y", LEFT(AH375, 3)="J51M"), "CUSM", "No Match")</f>
      </c>
      <c r="AK375" s="37">
        <f>IF(AND(OR(O375=3, P375=1, Q375=1, T375=1), AJ375="no Match"), "CUSM, CHU SJ, CHUQ", "")</f>
      </c>
      <c r="AL375" s="37">
        <f>IF(AND(O375=2, ISBLANK(P375), ISBLANK(Q375), ISBLANK(R375), ISBLANK(S375), ISBLANK(T375)), "CUSM, CHU SJ, CHUS, CHUQ", "")</f>
      </c>
      <c r="AM375" s="37">
        <f>IF(AND(AJ375="no match", AK375="", AL375="", K375&lt;26), "CUSM, CHU SJ, HGJ, CHUQ, CHUS", "")</f>
      </c>
      <c r="AN375" s="37">
        <f>IF(AND(AJ375="no match", AK375="", AL375="", K375&gt;26), "CUSM, CHU SJ, HGJ, CHUQ, CHUS, HMR", "")</f>
      </c>
    </row>
    <row x14ac:dyDescent="0.25" r="376" customHeight="1" ht="17.25">
      <c r="A376" s="27" t="s">
        <v>830</v>
      </c>
      <c r="B376" s="28">
        <v>2</v>
      </c>
      <c r="C376" s="35">
        <v>730</v>
      </c>
      <c r="D376" s="29" t="s">
        <v>81</v>
      </c>
      <c r="E376" s="30" t="s">
        <v>78</v>
      </c>
      <c r="F376" s="31">
        <v>44766</v>
      </c>
      <c r="G376" s="32">
        <v>4.479166666666666</v>
      </c>
      <c r="H376" s="31">
        <v>44766</v>
      </c>
      <c r="I376" s="32">
        <v>4.242361111111111</v>
      </c>
      <c r="J376" s="33">
        <f>F376-H376</f>
      </c>
      <c r="K376" s="28">
        <v>36</v>
      </c>
      <c r="L376" s="28">
        <v>0</v>
      </c>
      <c r="M376" s="28">
        <v>2</v>
      </c>
      <c r="N376" s="35">
        <v>1</v>
      </c>
      <c r="O376" s="34"/>
      <c r="P376" s="35">
        <v>1</v>
      </c>
      <c r="Q376" s="34"/>
      <c r="R376" s="34"/>
      <c r="S376" s="34"/>
      <c r="T376" s="34"/>
      <c r="U376" s="34"/>
      <c r="V376" s="34"/>
      <c r="W376" s="29"/>
      <c r="X376" s="28">
        <v>28</v>
      </c>
      <c r="Y376" s="28">
        <v>1</v>
      </c>
      <c r="Z376" s="28">
        <v>2</v>
      </c>
      <c r="AA376" s="28">
        <v>3</v>
      </c>
      <c r="AB376" s="28">
        <v>1</v>
      </c>
      <c r="AC376" s="28">
        <v>2</v>
      </c>
      <c r="AD376" s="28">
        <v>2</v>
      </c>
      <c r="AE376" s="28">
        <v>4</v>
      </c>
      <c r="AF376" s="28">
        <v>3</v>
      </c>
      <c r="AG376" s="28">
        <v>2</v>
      </c>
      <c r="AH376" s="29" t="s">
        <v>831</v>
      </c>
      <c r="AI376" s="36">
        <f>IF(OR(AND(K376&lt;32, J376&lt;2), O376=1, P376=1, Q376=1, R376=1, S376=1, T376=1, U376=1, AND(W376&lt;&gt;"", W376&lt;&gt;"Oxygen", W376&lt;&gt;"LowFlow")), "Intensive", "Intermediate")</f>
      </c>
      <c r="AJ376" s="37">
        <f>IF(OR(LEFT(AH376, 1)="X", LEFT(AH376, 1)="Y", LEFT(AH376, 3)="J52M"), "CUSM", "No Match")</f>
      </c>
      <c r="AK376" s="37">
        <f>IF(AND(OR(O376=3, P376=1, Q376=1, T376=1), AJ376="no Match"), "CUSM, CHU SJ, CHUQ", "")</f>
      </c>
      <c r="AL376" s="37">
        <f>IF(AND(O376=2, ISBLANK(P376), ISBLANK(Q376), ISBLANK(R376), ISBLANK(S376), ISBLANK(T376)), "CUSM, CHU SJ, CHUS, CHUQ", "")</f>
      </c>
      <c r="AM376" s="37">
        <f>IF(AND(AJ376="no match", AK376="", AL376="", K376&lt;26), "CUSM, CHU SJ, HGJ, CHUQ, CHUS", "")</f>
      </c>
      <c r="AN376" s="37">
        <f>IF(AND(AJ376="no match", AK376="", AL376="", K376&gt;26), "CUSM, CHU SJ, HGJ, CHUQ, CHUS, HMR", "")</f>
      </c>
    </row>
    <row x14ac:dyDescent="0.25" r="377" customHeight="1" ht="17.25">
      <c r="A377" s="27" t="s">
        <v>832</v>
      </c>
      <c r="B377" s="28">
        <v>2</v>
      </c>
      <c r="C377" s="35">
        <v>835</v>
      </c>
      <c r="D377" s="29" t="s">
        <v>170</v>
      </c>
      <c r="E377" s="30" t="s">
        <v>54</v>
      </c>
      <c r="F377" s="31">
        <v>44767</v>
      </c>
      <c r="G377" s="32">
        <v>4.1305555555555555</v>
      </c>
      <c r="H377" s="31">
        <v>44766</v>
      </c>
      <c r="I377" s="32">
        <v>4.892361111111111</v>
      </c>
      <c r="J377" s="33">
        <f>F377-H377</f>
      </c>
      <c r="K377" s="28">
        <v>36</v>
      </c>
      <c r="L377" s="28">
        <v>5</v>
      </c>
      <c r="M377" s="28">
        <v>1</v>
      </c>
      <c r="N377" s="35">
        <v>1</v>
      </c>
      <c r="O377" s="38"/>
      <c r="P377" s="28">
        <v>1</v>
      </c>
      <c r="Q377" s="34"/>
      <c r="R377" s="34"/>
      <c r="S377" s="34"/>
      <c r="T377" s="35">
        <v>1</v>
      </c>
      <c r="U377" s="34"/>
      <c r="V377" s="34"/>
      <c r="W377" s="29"/>
      <c r="X377" s="28">
        <v>37</v>
      </c>
      <c r="Y377" s="28">
        <v>1</v>
      </c>
      <c r="Z377" s="28">
        <v>2</v>
      </c>
      <c r="AA377" s="28">
        <v>2</v>
      </c>
      <c r="AB377" s="28">
        <v>1</v>
      </c>
      <c r="AC377" s="28">
        <v>2</v>
      </c>
      <c r="AD377" s="28">
        <v>3</v>
      </c>
      <c r="AE377" s="28">
        <v>4</v>
      </c>
      <c r="AF377" s="28">
        <v>2</v>
      </c>
      <c r="AG377" s="28">
        <v>2</v>
      </c>
      <c r="AH377" s="29" t="s">
        <v>833</v>
      </c>
      <c r="AI377" s="36">
        <f>IF(OR(AND(K377&lt;32, J377&lt;2), O377=1, P377=1, Q377=1, R377=1, S377=1, T377=1, U377=1, AND(W377&lt;&gt;"", W377&lt;&gt;"Oxygen", W377&lt;&gt;"LowFlow")), "Intensive", "Intermediate")</f>
      </c>
      <c r="AJ377" s="37">
        <f>IF(OR(LEFT(AH377, 1)="X", LEFT(AH377, 1)="Y", LEFT(AH377, 3)="J53M"), "CUSM", "No Match")</f>
      </c>
      <c r="AK377" s="37">
        <f>IF(AND(OR(O377=3, P377=1, Q377=1, T377=1), AJ377="no Match"), "CUSM, CHU SJ, CHUQ", "")</f>
      </c>
      <c r="AL377" s="37">
        <f>IF(AND(O377=2, ISBLANK(P377), ISBLANK(Q377), ISBLANK(R377), ISBLANK(S377), ISBLANK(T377)), "CUSM, CHU SJ, CHUS, CHUQ", "")</f>
      </c>
      <c r="AM377" s="37">
        <f>IF(AND(AJ377="no match", AK377="", AL377="", K377&lt;26), "CUSM, CHU SJ, HGJ, CHUQ, CHUS", "")</f>
      </c>
      <c r="AN377" s="37">
        <f>IF(AND(AJ377="no match", AK377="", AL377="", K377&gt;26), "CUSM, CHU SJ, HGJ, CHUQ, CHUS, HMR", "")</f>
      </c>
    </row>
    <row x14ac:dyDescent="0.25" r="378" customHeight="1" ht="17.25">
      <c r="A378" s="27" t="s">
        <v>834</v>
      </c>
      <c r="B378" s="28">
        <v>2</v>
      </c>
      <c r="C378" s="28">
        <v>806</v>
      </c>
      <c r="D378" s="29" t="s">
        <v>438</v>
      </c>
      <c r="E378" s="30" t="s">
        <v>50</v>
      </c>
      <c r="F378" s="31">
        <v>44767</v>
      </c>
      <c r="G378" s="32">
        <v>4.416666666666666</v>
      </c>
      <c r="H378" s="31">
        <v>44767</v>
      </c>
      <c r="I378" s="32">
        <v>4.176388888888889</v>
      </c>
      <c r="J378" s="33">
        <f>F378-H378</f>
      </c>
      <c r="K378" s="28">
        <v>39</v>
      </c>
      <c r="L378" s="28">
        <v>1</v>
      </c>
      <c r="M378" s="28">
        <v>1</v>
      </c>
      <c r="N378" s="28">
        <v>1</v>
      </c>
      <c r="O378" s="38"/>
      <c r="P378" s="35">
        <v>1</v>
      </c>
      <c r="Q378" s="34"/>
      <c r="R378" s="34"/>
      <c r="S378" s="34"/>
      <c r="T378" s="35">
        <v>1</v>
      </c>
      <c r="U378" s="34"/>
      <c r="V378" s="34"/>
      <c r="W378" s="29" t="s">
        <v>74</v>
      </c>
      <c r="X378" s="28">
        <v>36</v>
      </c>
      <c r="Y378" s="28">
        <v>1</v>
      </c>
      <c r="Z378" s="28">
        <v>2</v>
      </c>
      <c r="AA378" s="28">
        <v>1</v>
      </c>
      <c r="AB378" s="28">
        <v>1</v>
      </c>
      <c r="AC378" s="28">
        <v>1</v>
      </c>
      <c r="AD378" s="28">
        <v>2</v>
      </c>
      <c r="AE378" s="28">
        <v>2</v>
      </c>
      <c r="AF378" s="28">
        <v>2</v>
      </c>
      <c r="AG378" s="28">
        <v>2</v>
      </c>
      <c r="AH378" s="29" t="s">
        <v>835</v>
      </c>
      <c r="AI378" s="36">
        <f>IF(OR(AND(K378&lt;32, J378&lt;2), O378=1, P378=1, Q378=1, R378=1, S378=1, T378=1, U378=1, AND(W378&lt;&gt;"", W378&lt;&gt;"Oxygen", W378&lt;&gt;"LowFlow")), "Intensive", "Intermediate")</f>
      </c>
      <c r="AJ378" s="37">
        <f>IF(OR(LEFT(AH378, 1)="X", LEFT(AH378, 1)="Y", LEFT(AH378, 3)="J54M"), "CUSM", "No Match")</f>
      </c>
      <c r="AK378" s="37">
        <f>IF(AND(OR(O378=3, P378=1, Q378=1, T378=1), AJ378="no Match"), "CUSM, CHU SJ, CHUQ", "")</f>
      </c>
      <c r="AL378" s="37">
        <f>IF(AND(O378=2, ISBLANK(P378), ISBLANK(Q378), ISBLANK(R378), ISBLANK(S378), ISBLANK(T378)), "CUSM, CHU SJ, CHUS, CHUQ", "")</f>
      </c>
      <c r="AM378" s="37">
        <f>IF(AND(AJ378="no match", AK378="", AL378="", K378&lt;26), "CUSM, CHU SJ, HGJ, CHUQ, CHUS", "")</f>
      </c>
      <c r="AN378" s="37">
        <f>IF(AND(AJ378="no match", AK378="", AL378="", K378&gt;26), "CUSM, CHU SJ, HGJ, CHUQ, CHUS, HMR", "")</f>
      </c>
    </row>
    <row x14ac:dyDescent="0.25" r="379" customHeight="1" ht="17.25">
      <c r="A379" s="27" t="s">
        <v>836</v>
      </c>
      <c r="B379" s="28">
        <v>2</v>
      </c>
      <c r="C379" s="35">
        <v>817</v>
      </c>
      <c r="D379" s="29" t="s">
        <v>163</v>
      </c>
      <c r="E379" s="30" t="s">
        <v>54</v>
      </c>
      <c r="F379" s="31">
        <v>44768</v>
      </c>
      <c r="G379" s="32">
        <v>4.711805555555555</v>
      </c>
      <c r="H379" s="31">
        <v>44761</v>
      </c>
      <c r="I379" s="32">
        <v>4.935416666666667</v>
      </c>
      <c r="J379" s="33">
        <f>F379-H379</f>
      </c>
      <c r="K379" s="28">
        <v>40</v>
      </c>
      <c r="L379" s="28">
        <v>5</v>
      </c>
      <c r="M379" s="28">
        <v>2</v>
      </c>
      <c r="N379" s="35">
        <v>1</v>
      </c>
      <c r="O379" s="34"/>
      <c r="P379" s="35">
        <v>1</v>
      </c>
      <c r="Q379" s="34"/>
      <c r="R379" s="34"/>
      <c r="S379" s="34"/>
      <c r="T379" s="34"/>
      <c r="U379" s="34"/>
      <c r="V379" s="34"/>
      <c r="W379" s="29" t="s">
        <v>106</v>
      </c>
      <c r="X379" s="28">
        <v>20</v>
      </c>
      <c r="Y379" s="28">
        <v>1</v>
      </c>
      <c r="Z379" s="28">
        <v>1</v>
      </c>
      <c r="AA379" s="28">
        <v>3</v>
      </c>
      <c r="AB379" s="28">
        <v>1</v>
      </c>
      <c r="AC379" s="28">
        <v>2</v>
      </c>
      <c r="AD379" s="28">
        <v>2</v>
      </c>
      <c r="AE379" s="28">
        <v>4</v>
      </c>
      <c r="AF379" s="28">
        <v>3</v>
      </c>
      <c r="AG379" s="28">
        <v>2</v>
      </c>
      <c r="AH379" s="29" t="s">
        <v>837</v>
      </c>
      <c r="AI379" s="36">
        <f>IF(OR(AND(K379&lt;32, J379&lt;2), O379=1, P379=1, Q379=1, R379=1, S379=1, T379=1, U379=1, AND(W379&lt;&gt;"", W379&lt;&gt;"Oxygen", W379&lt;&gt;"LowFlow")), "Intensive", "Intermediate")</f>
      </c>
      <c r="AJ379" s="37">
        <f>IF(OR(LEFT(AH379, 1)="X", LEFT(AH379, 1)="Y", LEFT(AH379, 3)="J55M"), "CUSM", "No Match")</f>
      </c>
      <c r="AK379" s="37">
        <f>IF(AND(OR(O379=3, P379=1, Q379=1, T379=1), AJ379="no Match"), "CUSM, CHU SJ, CHUQ", "")</f>
      </c>
      <c r="AL379" s="37">
        <f>IF(AND(O379=2, ISBLANK(P379), ISBLANK(Q379), ISBLANK(R379), ISBLANK(S379), ISBLANK(T379)), "CUSM, CHU SJ, CHUS, CHUQ", "")</f>
      </c>
      <c r="AM379" s="37">
        <f>IF(AND(AJ379="no match", AK379="", AL379="", K379&lt;26), "CUSM, CHU SJ, HGJ, CHUQ, CHUS", "")</f>
      </c>
      <c r="AN379" s="37">
        <f>IF(AND(AJ379="no match", AK379="", AL379="", K379&gt;26), "CUSM, CHU SJ, HGJ, CHUQ, CHUS, HMR", "")</f>
      </c>
    </row>
    <row x14ac:dyDescent="0.25" r="380" customHeight="1" ht="17.25">
      <c r="A380" s="27" t="s">
        <v>838</v>
      </c>
      <c r="B380" s="28">
        <v>2</v>
      </c>
      <c r="C380" s="35">
        <v>820</v>
      </c>
      <c r="D380" s="29" t="s">
        <v>69</v>
      </c>
      <c r="E380" s="30" t="s">
        <v>54</v>
      </c>
      <c r="F380" s="31">
        <v>44770</v>
      </c>
      <c r="G380" s="32">
        <v>4.798611111111111</v>
      </c>
      <c r="H380" s="31">
        <v>44769</v>
      </c>
      <c r="I380" s="32">
        <v>4.657638888888889</v>
      </c>
      <c r="J380" s="33">
        <f>F380-H380</f>
      </c>
      <c r="K380" s="28">
        <v>39</v>
      </c>
      <c r="L380" s="28">
        <v>5</v>
      </c>
      <c r="M380" s="28">
        <v>1</v>
      </c>
      <c r="N380" s="28">
        <v>1</v>
      </c>
      <c r="O380" s="34"/>
      <c r="P380" s="35">
        <v>1</v>
      </c>
      <c r="Q380" s="34"/>
      <c r="R380" s="34"/>
      <c r="S380" s="34"/>
      <c r="T380" s="34"/>
      <c r="U380" s="34"/>
      <c r="V380" s="34"/>
      <c r="W380" s="29"/>
      <c r="X380" s="28">
        <v>32</v>
      </c>
      <c r="Y380" s="28">
        <v>1</v>
      </c>
      <c r="Z380" s="28">
        <v>1</v>
      </c>
      <c r="AA380" s="28">
        <v>1</v>
      </c>
      <c r="AB380" s="28">
        <v>1</v>
      </c>
      <c r="AC380" s="28">
        <v>2</v>
      </c>
      <c r="AD380" s="28">
        <v>2</v>
      </c>
      <c r="AE380" s="28">
        <v>4</v>
      </c>
      <c r="AF380" s="35">
        <v>3</v>
      </c>
      <c r="AG380" s="28">
        <v>2</v>
      </c>
      <c r="AH380" s="29" t="s">
        <v>839</v>
      </c>
      <c r="AI380" s="36">
        <f>IF(OR(AND(K380&lt;32, J380&lt;2), O380=1, P380=1, Q380=1, R380=1, S380=1, T380=1, U380=1, AND(W380&lt;&gt;"", W380&lt;&gt;"Oxygen", W380&lt;&gt;"LowFlow")), "Intensive", "Intermediate")</f>
      </c>
      <c r="AJ380" s="37">
        <f>IF(OR(LEFT(AH380, 1)="X", LEFT(AH380, 1)="Y", LEFT(AH380, 3)="J56M"), "CUSM", "No Match")</f>
      </c>
      <c r="AK380" s="37">
        <f>IF(AND(OR(O380=3, P380=1, Q380=1, T380=1), AJ380="no Match"), "CUSM, CHU SJ, CHUQ", "")</f>
      </c>
      <c r="AL380" s="37">
        <f>IF(AND(O380=2, ISBLANK(P380), ISBLANK(Q380), ISBLANK(R380), ISBLANK(S380), ISBLANK(T380)), "CUSM, CHU SJ, CHUS, CHUQ", "")</f>
      </c>
      <c r="AM380" s="37">
        <f>IF(AND(AJ380="no match", AK380="", AL380="", K380&lt;26), "CUSM, CHU SJ, HGJ, CHUQ, CHUS", "")</f>
      </c>
      <c r="AN380" s="37">
        <f>IF(AND(AJ380="no match", AK380="", AL380="", K380&gt;26), "CUSM, CHU SJ, HGJ, CHUQ, CHUS, HMR", "")</f>
      </c>
    </row>
    <row x14ac:dyDescent="0.25" r="381" customHeight="1" ht="17.25">
      <c r="A381" s="27" t="s">
        <v>840</v>
      </c>
      <c r="B381" s="28">
        <v>2</v>
      </c>
      <c r="C381" s="35">
        <v>845</v>
      </c>
      <c r="D381" s="29" t="s">
        <v>381</v>
      </c>
      <c r="E381" s="30" t="s">
        <v>54</v>
      </c>
      <c r="F381" s="31">
        <v>44770</v>
      </c>
      <c r="G381" s="32">
        <v>4.458333333333334</v>
      </c>
      <c r="H381" s="31">
        <v>44764</v>
      </c>
      <c r="I381" s="32">
        <v>4.614583333333334</v>
      </c>
      <c r="J381" s="33">
        <f>F381-H381</f>
      </c>
      <c r="K381" s="28">
        <v>35</v>
      </c>
      <c r="L381" s="28">
        <v>1</v>
      </c>
      <c r="M381" s="28">
        <v>2</v>
      </c>
      <c r="N381" s="28">
        <v>1</v>
      </c>
      <c r="O381" s="35">
        <v>2</v>
      </c>
      <c r="P381" s="28">
        <v>1</v>
      </c>
      <c r="Q381" s="34"/>
      <c r="R381" s="34"/>
      <c r="S381" s="34"/>
      <c r="T381" s="34"/>
      <c r="U381" s="34"/>
      <c r="V381" s="34"/>
      <c r="W381" s="29"/>
      <c r="X381" s="28">
        <v>31</v>
      </c>
      <c r="Y381" s="28">
        <v>2</v>
      </c>
      <c r="Z381" s="28">
        <v>2</v>
      </c>
      <c r="AA381" s="28">
        <v>2</v>
      </c>
      <c r="AB381" s="28">
        <v>1</v>
      </c>
      <c r="AC381" s="28">
        <v>1</v>
      </c>
      <c r="AD381" s="28">
        <v>2</v>
      </c>
      <c r="AE381" s="28">
        <v>4</v>
      </c>
      <c r="AF381" s="35">
        <v>2</v>
      </c>
      <c r="AG381" s="28">
        <v>2</v>
      </c>
      <c r="AH381" s="29" t="s">
        <v>841</v>
      </c>
      <c r="AI381" s="36">
        <f>IF(OR(AND(K381&lt;32, J381&lt;2), O381=1, P381=1, Q381=1, R381=1, S381=1, T381=1, U381=1, AND(W381&lt;&gt;"", W381&lt;&gt;"Oxygen", W381&lt;&gt;"LowFlow")), "Intensive", "Intermediate")</f>
      </c>
      <c r="AJ381" s="37">
        <f>IF(OR(LEFT(AH381, 1)="X", LEFT(AH381, 1)="Y", LEFT(AH381, 3)="J57M"), "CUSM", "No Match")</f>
      </c>
      <c r="AK381" s="37">
        <f>IF(AND(OR(O381=3, P381=1, Q381=1, T381=1), AJ381="no Match"), "CUSM, CHU SJ, CHUQ", "")</f>
      </c>
      <c r="AL381" s="37">
        <f>IF(AND(O381=2, ISBLANK(P381), ISBLANK(Q381), ISBLANK(R381), ISBLANK(S381), ISBLANK(T381)), "CUSM, CHU SJ, CHUS, CHUQ", "")</f>
      </c>
      <c r="AM381" s="37">
        <f>IF(AND(AJ381="no match", AK381="", AL381="", K381&lt;26), "CUSM, CHU SJ, HGJ, CHUQ, CHUS", "")</f>
      </c>
      <c r="AN381" s="37">
        <f>IF(AND(AJ381="no match", AK381="", AL381="", K381&gt;26), "CUSM, CHU SJ, HGJ, CHUQ, CHUS, HMR", "")</f>
      </c>
    </row>
    <row x14ac:dyDescent="0.25" r="382" customHeight="1" ht="17.25">
      <c r="A382" s="27" t="s">
        <v>842</v>
      </c>
      <c r="B382" s="28">
        <v>2</v>
      </c>
      <c r="C382" s="28">
        <v>779</v>
      </c>
      <c r="D382" s="29" t="s">
        <v>136</v>
      </c>
      <c r="E382" s="30" t="s">
        <v>78</v>
      </c>
      <c r="F382" s="31">
        <v>44770</v>
      </c>
      <c r="G382" s="32">
        <v>4.291666666666666</v>
      </c>
      <c r="H382" s="31">
        <v>44770</v>
      </c>
      <c r="I382" s="32">
        <v>4.018055555555556</v>
      </c>
      <c r="J382" s="33">
        <f>F382-H382</f>
      </c>
      <c r="K382" s="28">
        <v>32</v>
      </c>
      <c r="L382" s="28">
        <v>0</v>
      </c>
      <c r="M382" s="28">
        <v>1</v>
      </c>
      <c r="N382" s="38"/>
      <c r="O382" s="34"/>
      <c r="P382" s="38"/>
      <c r="Q382" s="34"/>
      <c r="R382" s="34"/>
      <c r="S382" s="34"/>
      <c r="T382" s="38"/>
      <c r="U382" s="34"/>
      <c r="V382" s="34"/>
      <c r="W382" s="29"/>
      <c r="X382" s="28">
        <v>31</v>
      </c>
      <c r="Y382" s="28">
        <v>1</v>
      </c>
      <c r="Z382" s="28">
        <v>2</v>
      </c>
      <c r="AA382" s="28">
        <v>1</v>
      </c>
      <c r="AB382" s="28">
        <v>2</v>
      </c>
      <c r="AC382" s="28">
        <v>2</v>
      </c>
      <c r="AD382" s="28">
        <v>1</v>
      </c>
      <c r="AE382" s="28">
        <v>4</v>
      </c>
      <c r="AF382" s="28">
        <v>1</v>
      </c>
      <c r="AG382" s="28">
        <v>2</v>
      </c>
      <c r="AH382" s="29" t="s">
        <v>843</v>
      </c>
      <c r="AI382" s="36">
        <f>IF(OR(AND(K382&lt;32, J382&lt;2), O382=1, P382=1, Q382=1, R382=1, S382=1, T382=1, U382=1, AND(W382&lt;&gt;"", W382&lt;&gt;"Oxygen", W382&lt;&gt;"LowFlow")), "Intensive", "Intermediate")</f>
      </c>
      <c r="AJ382" s="37">
        <f>IF(OR(LEFT(AH382, 1)="X", LEFT(AH382, 1)="Y", LEFT(AH382, 3)="J58M"), "CUSM", "No Match")</f>
      </c>
      <c r="AK382" s="37">
        <f>IF(AND(OR(O382=3, P382=1, Q382=1, T382=1), AJ382="no Match"), "CUSM, CHU SJ, CHUQ", "")</f>
      </c>
      <c r="AL382" s="37">
        <f>IF(AND(O382=2, ISBLANK(P382), ISBLANK(Q382), ISBLANK(R382), ISBLANK(S382), ISBLANK(T382)), "CUSM, CHU SJ, CHUS, CHUQ", "")</f>
      </c>
      <c r="AM382" s="37">
        <f>IF(AND(AJ382="no match", AK382="", AL382="", K382&lt;26), "CUSM, CHU SJ, HGJ, CHUQ, CHUS", "")</f>
      </c>
      <c r="AN382" s="37">
        <f>IF(AND(AJ382="no match", AK382="", AL382="", K382&gt;26), "CUSM, CHU SJ, HGJ, CHUQ, CHUS, HMR", "")</f>
      </c>
    </row>
    <row x14ac:dyDescent="0.25" r="383" customHeight="1" ht="17.25">
      <c r="A383" s="27" t="s">
        <v>844</v>
      </c>
      <c r="B383" s="28">
        <v>2</v>
      </c>
      <c r="C383" s="35">
        <v>782</v>
      </c>
      <c r="D383" s="29" t="s">
        <v>95</v>
      </c>
      <c r="E383" s="30" t="s">
        <v>50</v>
      </c>
      <c r="F383" s="31">
        <v>44770</v>
      </c>
      <c r="G383" s="32">
        <v>4.083333333333334</v>
      </c>
      <c r="H383" s="31">
        <v>44769</v>
      </c>
      <c r="I383" s="32">
        <v>4.872222222222222</v>
      </c>
      <c r="J383" s="33">
        <f>F383-H383</f>
      </c>
      <c r="K383" s="28">
        <v>36</v>
      </c>
      <c r="L383" s="28">
        <v>0</v>
      </c>
      <c r="M383" s="28">
        <v>1</v>
      </c>
      <c r="N383" s="34"/>
      <c r="O383" s="34"/>
      <c r="P383" s="34"/>
      <c r="Q383" s="34"/>
      <c r="R383" s="34"/>
      <c r="S383" s="34"/>
      <c r="T383" s="34"/>
      <c r="U383" s="34"/>
      <c r="V383" s="34"/>
      <c r="W383" s="29" t="s">
        <v>74</v>
      </c>
      <c r="X383" s="28">
        <v>26</v>
      </c>
      <c r="Y383" s="28">
        <v>1</v>
      </c>
      <c r="Z383" s="28">
        <v>1</v>
      </c>
      <c r="AA383" s="28">
        <v>1</v>
      </c>
      <c r="AB383" s="28">
        <v>1</v>
      </c>
      <c r="AC383" s="28">
        <v>2</v>
      </c>
      <c r="AD383" s="28">
        <v>2</v>
      </c>
      <c r="AE383" s="28">
        <v>4</v>
      </c>
      <c r="AF383" s="28">
        <v>1</v>
      </c>
      <c r="AG383" s="28">
        <v>2</v>
      </c>
      <c r="AH383" s="29" t="s">
        <v>845</v>
      </c>
      <c r="AI383" s="36">
        <f>IF(OR(AND(K383&lt;32, J383&lt;2), O383=1, P383=1, Q383=1, R383=1, S383=1, T383=1, U383=1, AND(W383&lt;&gt;"", W383&lt;&gt;"Oxygen", W383&lt;&gt;"LowFlow")), "Intensive", "Intermediate")</f>
      </c>
      <c r="AJ383" s="37">
        <f>IF(OR(LEFT(AH383, 1)="X", LEFT(AH383, 1)="Y", LEFT(AH383, 3)="J59M"), "CUSM", "No Match")</f>
      </c>
      <c r="AK383" s="37">
        <f>IF(AND(OR(O383=3, P383=1, Q383=1, T383=1), AJ383="no Match"), "CUSM, CHU SJ, CHUQ", "")</f>
      </c>
      <c r="AL383" s="37">
        <f>IF(AND(O383=2, ISBLANK(P383), ISBLANK(Q383), ISBLANK(R383), ISBLANK(S383), ISBLANK(T383)), "CUSM, CHU SJ, CHUS, CHUQ", "")</f>
      </c>
      <c r="AM383" s="37">
        <f>IF(AND(AJ383="no match", AK383="", AL383="", K383&lt;26), "CUSM, CHU SJ, HGJ, CHUQ, CHUS", "")</f>
      </c>
      <c r="AN383" s="37">
        <f>IF(AND(AJ383="no match", AK383="", AL383="", K383&gt;26), "CUSM, CHU SJ, HGJ, CHUQ, CHUS, HMR", "")</f>
      </c>
    </row>
    <row x14ac:dyDescent="0.25" r="384" customHeight="1" ht="17.25">
      <c r="A384" s="27" t="s">
        <v>846</v>
      </c>
      <c r="B384" s="28">
        <v>2</v>
      </c>
      <c r="C384" s="35">
        <v>820</v>
      </c>
      <c r="D384" s="29" t="s">
        <v>69</v>
      </c>
      <c r="E384" s="30" t="s">
        <v>54</v>
      </c>
      <c r="F384" s="31">
        <v>44771</v>
      </c>
      <c r="G384" s="32">
        <v>4.930555555555555</v>
      </c>
      <c r="H384" s="31">
        <v>44771</v>
      </c>
      <c r="I384" s="32">
        <v>4.784027777777778</v>
      </c>
      <c r="J384" s="33">
        <f>F384-H384</f>
      </c>
      <c r="K384" s="28">
        <v>38</v>
      </c>
      <c r="L384" s="28">
        <v>6</v>
      </c>
      <c r="M384" s="28">
        <v>1</v>
      </c>
      <c r="N384" s="34"/>
      <c r="O384" s="34"/>
      <c r="P384" s="34"/>
      <c r="Q384" s="34"/>
      <c r="R384" s="34"/>
      <c r="S384" s="34"/>
      <c r="T384" s="34"/>
      <c r="U384" s="38"/>
      <c r="V384" s="38"/>
      <c r="W384" s="29"/>
      <c r="X384" s="28">
        <v>29</v>
      </c>
      <c r="Y384" s="28">
        <v>1</v>
      </c>
      <c r="Z384" s="28">
        <v>1</v>
      </c>
      <c r="AA384" s="28">
        <v>2</v>
      </c>
      <c r="AB384" s="28">
        <v>3</v>
      </c>
      <c r="AC384" s="28">
        <v>2</v>
      </c>
      <c r="AD384" s="28">
        <v>2</v>
      </c>
      <c r="AE384" s="28">
        <v>4</v>
      </c>
      <c r="AF384" s="28">
        <v>2</v>
      </c>
      <c r="AG384" s="28">
        <v>2</v>
      </c>
      <c r="AH384" s="29" t="s">
        <v>847</v>
      </c>
      <c r="AI384" s="36">
        <f>IF(OR(AND(K384&lt;32, J384&lt;2), O384=1, P384=1, Q384=1, R384=1, S384=1, T384=1, U384=1, AND(W384&lt;&gt;"", W384&lt;&gt;"Oxygen", W384&lt;&gt;"LowFlow")), "Intensive", "Intermediate")</f>
      </c>
      <c r="AJ384" s="37">
        <f>IF(OR(LEFT(AH384, 1)="X", LEFT(AH384, 1)="Y", LEFT(AH384, 3)="J60M"), "CUSM", "No Match")</f>
      </c>
      <c r="AK384" s="37">
        <f>IF(AND(OR(O384=3, P384=1, Q384=1, T384=1), AJ384="no Match"), "CUSM, CHU SJ, CHUQ", "")</f>
      </c>
      <c r="AL384" s="37">
        <f>IF(AND(O384=2, ISBLANK(P384), ISBLANK(Q384), ISBLANK(R384), ISBLANK(S384), ISBLANK(T384)), "CUSM, CHU SJ, CHUS, CHUQ", "")</f>
      </c>
      <c r="AM384" s="37">
        <f>IF(AND(AJ384="no match", AK384="", AL384="", K384&lt;26), "CUSM, CHU SJ, HGJ, CHUQ, CHUS", "")</f>
      </c>
      <c r="AN384" s="37">
        <f>IF(AND(AJ384="no match", AK384="", AL384="", K384&gt;26), "CUSM, CHU SJ, HGJ, CHUQ, CHUS, HMR", "")</f>
      </c>
    </row>
    <row x14ac:dyDescent="0.25" r="385" customHeight="1" ht="17.25">
      <c r="A385" s="27" t="s">
        <v>848</v>
      </c>
      <c r="B385" s="28">
        <v>2</v>
      </c>
      <c r="C385" s="35">
        <v>820</v>
      </c>
      <c r="D385" s="29" t="s">
        <v>69</v>
      </c>
      <c r="E385" s="30" t="s">
        <v>54</v>
      </c>
      <c r="F385" s="31">
        <v>44771</v>
      </c>
      <c r="G385" s="32">
        <v>4.541666666666666</v>
      </c>
      <c r="H385" s="31">
        <v>44763</v>
      </c>
      <c r="I385" s="32">
        <v>4.424305555555556</v>
      </c>
      <c r="J385" s="33">
        <f>F385-H385</f>
      </c>
      <c r="K385" s="28">
        <v>37</v>
      </c>
      <c r="L385" s="28">
        <v>3</v>
      </c>
      <c r="M385" s="28">
        <v>1</v>
      </c>
      <c r="N385" s="34"/>
      <c r="O385" s="34"/>
      <c r="P385" s="34"/>
      <c r="Q385" s="34"/>
      <c r="R385" s="34"/>
      <c r="S385" s="34"/>
      <c r="T385" s="34"/>
      <c r="U385" s="34"/>
      <c r="V385" s="34"/>
      <c r="W385" s="29"/>
      <c r="X385" s="28">
        <v>34</v>
      </c>
      <c r="Y385" s="28">
        <v>2</v>
      </c>
      <c r="Z385" s="28">
        <v>2</v>
      </c>
      <c r="AA385" s="28">
        <v>2</v>
      </c>
      <c r="AB385" s="28">
        <v>4</v>
      </c>
      <c r="AC385" s="28">
        <v>2</v>
      </c>
      <c r="AD385" s="28">
        <v>1</v>
      </c>
      <c r="AE385" s="28">
        <v>3</v>
      </c>
      <c r="AF385" s="28">
        <v>2</v>
      </c>
      <c r="AG385" s="28">
        <v>3</v>
      </c>
      <c r="AH385" s="29" t="s">
        <v>849</v>
      </c>
      <c r="AI385" s="36">
        <f>IF(OR(AND(K385&lt;32, J385&lt;2), O385=1, P385=1, Q385=1, R385=1, S385=1, T385=1, U385=1, AND(W385&lt;&gt;"", W385&lt;&gt;"Oxygen", W385&lt;&gt;"LowFlow")), "Intensive", "Intermediate")</f>
      </c>
      <c r="AJ385" s="37">
        <f>IF(OR(LEFT(AH385, 1)="X", LEFT(AH385, 1)="Y", LEFT(AH385, 3)="J61M"), "CUSM", "No Match")</f>
      </c>
      <c r="AK385" s="37">
        <f>IF(AND(OR(O385=3, P385=1, Q385=1, T385=1), AJ385="no Match"), "CUSM, CHU SJ, CHUQ", "")</f>
      </c>
      <c r="AL385" s="37">
        <f>IF(AND(O385=2, ISBLANK(P385), ISBLANK(Q385), ISBLANK(R385), ISBLANK(S385), ISBLANK(T385)), "CUSM, CHU SJ, CHUS, CHUQ", "")</f>
      </c>
      <c r="AM385" s="37">
        <f>IF(AND(AJ385="no match", AK385="", AL385="", K385&lt;26), "CUSM, CHU SJ, HGJ, CHUQ, CHUS", "")</f>
      </c>
      <c r="AN385" s="37">
        <f>IF(AND(AJ385="no match", AK385="", AL385="", K385&gt;26), "CUSM, CHU SJ, HGJ, CHUQ, CHUS, HMR", "")</f>
      </c>
    </row>
    <row x14ac:dyDescent="0.25" r="386" customHeight="1" ht="17.25">
      <c r="A386" s="27" t="s">
        <v>850</v>
      </c>
      <c r="B386" s="28">
        <v>2</v>
      </c>
      <c r="C386" s="28">
        <v>815</v>
      </c>
      <c r="D386" s="29" t="s">
        <v>100</v>
      </c>
      <c r="E386" s="30" t="s">
        <v>54</v>
      </c>
      <c r="F386" s="31">
        <v>44772</v>
      </c>
      <c r="G386" s="32">
        <v>4.840277777777778</v>
      </c>
      <c r="H386" s="31">
        <v>44772</v>
      </c>
      <c r="I386" s="32">
        <v>4.086805555555555</v>
      </c>
      <c r="J386" s="33">
        <f>F386-H386</f>
      </c>
      <c r="K386" s="28">
        <v>37</v>
      </c>
      <c r="L386" s="28">
        <v>2</v>
      </c>
      <c r="M386" s="28">
        <v>2</v>
      </c>
      <c r="N386" s="34"/>
      <c r="O386" s="35">
        <v>2</v>
      </c>
      <c r="P386" s="34"/>
      <c r="Q386" s="34"/>
      <c r="R386" s="34"/>
      <c r="S386" s="34"/>
      <c r="T386" s="34"/>
      <c r="U386" s="34"/>
      <c r="V386" s="34"/>
      <c r="W386" s="29" t="s">
        <v>164</v>
      </c>
      <c r="X386" s="28">
        <v>37</v>
      </c>
      <c r="Y386" s="28">
        <v>1</v>
      </c>
      <c r="Z386" s="28">
        <v>1</v>
      </c>
      <c r="AA386" s="28">
        <v>1</v>
      </c>
      <c r="AB386" s="28">
        <v>1</v>
      </c>
      <c r="AC386" s="28">
        <v>1</v>
      </c>
      <c r="AD386" s="28">
        <v>2</v>
      </c>
      <c r="AE386" s="28">
        <v>4</v>
      </c>
      <c r="AF386" s="28">
        <v>1</v>
      </c>
      <c r="AG386" s="28">
        <v>2</v>
      </c>
      <c r="AH386" s="29" t="s">
        <v>627</v>
      </c>
      <c r="AI386" s="36">
        <f>IF(OR(AND(K386&lt;32, J386&lt;2), O386=1, P386=1, Q386=1, R386=1, S386=1, T386=1, U386=1, AND(W386&lt;&gt;"", W386&lt;&gt;"Oxygen", W386&lt;&gt;"LowFlow")), "Intensive", "Intermediate")</f>
      </c>
      <c r="AJ386" s="37">
        <f>IF(OR(LEFT(AH386, 1)="X", LEFT(AH386, 1)="Y", LEFT(AH386, 3)="J62M"), "CUSM", "No Match")</f>
      </c>
      <c r="AK386" s="37">
        <f>IF(AND(OR(O386=3, P386=1, Q386=1, T386=1), AJ386="no Match"), "CUSM, CHU SJ, CHUQ", "")</f>
      </c>
      <c r="AL386" s="37">
        <f>IF(AND(O386=2, ISBLANK(P386), ISBLANK(Q386), ISBLANK(R386), ISBLANK(S386), ISBLANK(T386)), "CUSM, CHU SJ, CHUS, CHUQ", "")</f>
      </c>
      <c r="AM386" s="37">
        <f>IF(AND(AJ386="no match", AK386="", AL386="", K386&lt;26), "CUSM, CHU SJ, HGJ, CHUQ, CHUS", "")</f>
      </c>
      <c r="AN386" s="37">
        <f>IF(AND(AJ386="no match", AK386="", AL386="", K386&gt;26), "CUSM, CHU SJ, HGJ, CHUQ, CHUS, HMR", "")</f>
      </c>
    </row>
    <row x14ac:dyDescent="0.25" r="387" customHeight="1" ht="17.25">
      <c r="A387" s="27" t="s">
        <v>851</v>
      </c>
      <c r="B387" s="28">
        <v>2</v>
      </c>
      <c r="C387" s="28">
        <v>746</v>
      </c>
      <c r="D387" s="29" t="s">
        <v>139</v>
      </c>
      <c r="E387" s="30" t="s">
        <v>54</v>
      </c>
      <c r="F387" s="31">
        <v>44772</v>
      </c>
      <c r="G387" s="32">
        <v>4.565277777777778</v>
      </c>
      <c r="H387" s="31">
        <v>44772</v>
      </c>
      <c r="I387" s="32">
        <v>4.025</v>
      </c>
      <c r="J387" s="33">
        <f>F387-H387</f>
      </c>
      <c r="K387" s="28">
        <v>36</v>
      </c>
      <c r="L387" s="28">
        <v>3</v>
      </c>
      <c r="M387" s="28">
        <v>1</v>
      </c>
      <c r="N387" s="34"/>
      <c r="O387" s="34"/>
      <c r="P387" s="34"/>
      <c r="Q387" s="34"/>
      <c r="R387" s="34"/>
      <c r="S387" s="34"/>
      <c r="T387" s="34"/>
      <c r="U387" s="34"/>
      <c r="V387" s="34"/>
      <c r="W387" s="29" t="s">
        <v>58</v>
      </c>
      <c r="X387" s="28">
        <v>33</v>
      </c>
      <c r="Y387" s="28">
        <v>1</v>
      </c>
      <c r="Z387" s="28">
        <v>1</v>
      </c>
      <c r="AA387" s="28">
        <v>2</v>
      </c>
      <c r="AB387" s="28">
        <v>4</v>
      </c>
      <c r="AC387" s="28">
        <v>2</v>
      </c>
      <c r="AD387" s="28">
        <v>1</v>
      </c>
      <c r="AE387" s="28">
        <v>4</v>
      </c>
      <c r="AF387" s="35">
        <v>1</v>
      </c>
      <c r="AG387" s="28">
        <v>2</v>
      </c>
      <c r="AH387" s="29" t="s">
        <v>852</v>
      </c>
      <c r="AI387" s="36">
        <f>IF(OR(AND(K387&lt;32, J387&lt;2), O387=1, P387=1, Q387=1, R387=1, S387=1, T387=1, U387=1, AND(W387&lt;&gt;"", W387&lt;&gt;"Oxygen", W387&lt;&gt;"LowFlow")), "Intensive", "Intermediate")</f>
      </c>
      <c r="AJ387" s="37">
        <f>IF(OR(LEFT(AH387, 1)="X", LEFT(AH387, 1)="Y", LEFT(AH387, 3)="J63M"), "CUSM", "No Match")</f>
      </c>
      <c r="AK387" s="37">
        <f>IF(AND(OR(O387=3, P387=1, Q387=1, T387=1), AJ387="no Match"), "CUSM, CHU SJ, CHUQ", "")</f>
      </c>
      <c r="AL387" s="37">
        <f>IF(AND(O387=2, ISBLANK(P387), ISBLANK(Q387), ISBLANK(R387), ISBLANK(S387), ISBLANK(T387)), "CUSM, CHU SJ, CHUS, CHUQ", "")</f>
      </c>
      <c r="AM387" s="37">
        <f>IF(AND(AJ387="no match", AK387="", AL387="", K387&lt;26), "CUSM, CHU SJ, HGJ, CHUQ, CHUS", "")</f>
      </c>
      <c r="AN387" s="37">
        <f>IF(AND(AJ387="no match", AK387="", AL387="", K387&gt;26), "CUSM, CHU SJ, HGJ, CHUQ, CHUS, HMR", "")</f>
      </c>
    </row>
    <row x14ac:dyDescent="0.25" r="388" customHeight="1" ht="17.25">
      <c r="A388" s="27" t="s">
        <v>853</v>
      </c>
      <c r="B388" s="28">
        <v>2</v>
      </c>
      <c r="C388" s="28">
        <v>2</v>
      </c>
      <c r="D388" s="29" t="s">
        <v>269</v>
      </c>
      <c r="E388" s="30" t="s">
        <v>50</v>
      </c>
      <c r="F388" s="31">
        <v>44773</v>
      </c>
      <c r="G388" s="32">
        <v>4.4847222222222225</v>
      </c>
      <c r="H388" s="31">
        <v>44773</v>
      </c>
      <c r="I388" s="32">
        <v>4.091666666666667</v>
      </c>
      <c r="J388" s="33">
        <f>F388-H388</f>
      </c>
      <c r="K388" s="28">
        <v>38</v>
      </c>
      <c r="L388" s="28">
        <v>3</v>
      </c>
      <c r="M388" s="28">
        <v>1</v>
      </c>
      <c r="N388" s="34"/>
      <c r="O388" s="34"/>
      <c r="P388" s="34"/>
      <c r="Q388" s="34"/>
      <c r="R388" s="34"/>
      <c r="S388" s="34"/>
      <c r="T388" s="34"/>
      <c r="U388" s="34"/>
      <c r="V388" s="34"/>
      <c r="W388" s="29" t="s">
        <v>74</v>
      </c>
      <c r="X388" s="28">
        <v>28</v>
      </c>
      <c r="Y388" s="28">
        <v>1</v>
      </c>
      <c r="Z388" s="28">
        <v>1</v>
      </c>
      <c r="AA388" s="28">
        <v>2</v>
      </c>
      <c r="AB388" s="28">
        <v>1</v>
      </c>
      <c r="AC388" s="28">
        <v>2</v>
      </c>
      <c r="AD388" s="28">
        <v>2</v>
      </c>
      <c r="AE388" s="28">
        <v>4</v>
      </c>
      <c r="AF388" s="28">
        <v>3</v>
      </c>
      <c r="AG388" s="28">
        <v>2</v>
      </c>
      <c r="AH388" s="29" t="s">
        <v>854</v>
      </c>
      <c r="AI388" s="36">
        <f>IF(OR(AND(K388&lt;32, J388&lt;2), O388=1, P388=1, Q388=1, R388=1, S388=1, T388=1, U388=1, AND(W388&lt;&gt;"", W388&lt;&gt;"Oxygen", W388&lt;&gt;"LowFlow")), "Intensive", "Intermediate")</f>
      </c>
      <c r="AJ388" s="37">
        <f>IF(OR(LEFT(AH388, 1)="X", LEFT(AH388, 1)="Y", LEFT(AH388, 3)="J0M"), "CUSM", "No Match")</f>
      </c>
      <c r="AK388" s="37">
        <f>IF(AND(OR(O388=3, P388=1, Q388=1, T388=1), AJ388="no Match"), "CUSM, CHU SJ, CHUQ", "")</f>
      </c>
      <c r="AL388" s="37">
        <f>IF(AND(O388=2, ISBLANK(P388), ISBLANK(Q388), ISBLANK(R388), ISBLANK(S388), ISBLANK(T388)), "CUSM, CHU SJ, CHUS, CHUQ", "")</f>
      </c>
      <c r="AM388" s="37">
        <f>IF(AND(AJ388="no match", AK388="", AL388="", K388&lt;26), "CUSM, CHU SJ, HGJ, CHUQ, CHUS", "")</f>
      </c>
      <c r="AN388" s="37">
        <f>IF(AND(AJ388="no match", AK388="", AL388="", K388&gt;26), "CUSM, CHU SJ, HGJ, CHUQ, CHUS, HMR", "")</f>
      </c>
    </row>
    <row x14ac:dyDescent="0.25" r="389" customHeight="1" ht="17.25">
      <c r="A389" s="27" t="s">
        <v>855</v>
      </c>
      <c r="B389" s="28">
        <v>2</v>
      </c>
      <c r="C389" s="28">
        <v>845</v>
      </c>
      <c r="D389" s="29" t="s">
        <v>381</v>
      </c>
      <c r="E389" s="30" t="s">
        <v>54</v>
      </c>
      <c r="F389" s="31">
        <v>44774</v>
      </c>
      <c r="G389" s="32">
        <v>4.128472222222222</v>
      </c>
      <c r="H389" s="31">
        <v>44764</v>
      </c>
      <c r="I389" s="32">
        <v>4.613888888888889</v>
      </c>
      <c r="J389" s="33">
        <f>F389-H389</f>
      </c>
      <c r="K389" s="28">
        <v>35</v>
      </c>
      <c r="L389" s="28">
        <v>1</v>
      </c>
      <c r="M389" s="28">
        <v>2</v>
      </c>
      <c r="N389" s="34"/>
      <c r="O389" s="34"/>
      <c r="P389" s="34"/>
      <c r="Q389" s="34"/>
      <c r="R389" s="34"/>
      <c r="S389" s="34"/>
      <c r="T389" s="34"/>
      <c r="U389" s="34"/>
      <c r="V389" s="34"/>
      <c r="W389" s="29"/>
      <c r="X389" s="28">
        <v>31</v>
      </c>
      <c r="Y389" s="28">
        <v>2</v>
      </c>
      <c r="Z389" s="28">
        <v>2</v>
      </c>
      <c r="AA389" s="28">
        <v>2</v>
      </c>
      <c r="AB389" s="28">
        <v>1</v>
      </c>
      <c r="AC389" s="28">
        <v>1</v>
      </c>
      <c r="AD389" s="28">
        <v>2</v>
      </c>
      <c r="AE389" s="28">
        <v>4</v>
      </c>
      <c r="AF389" s="28">
        <v>2</v>
      </c>
      <c r="AG389" s="28">
        <v>2</v>
      </c>
      <c r="AH389" s="29" t="s">
        <v>841</v>
      </c>
      <c r="AI389" s="36">
        <f>IF(OR(AND(K389&lt;32, J389&lt;2), O389=1, P389=1, Q389=1, R389=1, S389=1, T389=1, U389=1, AND(W389&lt;&gt;"", W389&lt;&gt;"Oxygen", W389&lt;&gt;"LowFlow")), "Intensive", "Intermediate")</f>
      </c>
      <c r="AJ389" s="37">
        <f>IF(OR(LEFT(AH389, 1)="X", LEFT(AH389, 1)="Y", LEFT(AH389, 3)="J1M"), "CUSM", "No Match")</f>
      </c>
      <c r="AK389" s="37">
        <f>IF(AND(OR(O389=3, P389=1, Q389=1, T389=1), AJ389="no Match"), "CUSM, CHU SJ, CHUQ", "")</f>
      </c>
      <c r="AL389" s="37">
        <f>IF(AND(O389=2, ISBLANK(P389), ISBLANK(Q389), ISBLANK(R389), ISBLANK(S389), ISBLANK(T389)), "CUSM, CHU SJ, CHUS, CHUQ", "")</f>
      </c>
      <c r="AM389" s="37">
        <f>IF(AND(AJ389="no match", AK389="", AL389="", K389&lt;26), "CUSM, CHU SJ, HGJ, CHUQ, CHUS", "")</f>
      </c>
      <c r="AN389" s="37">
        <f>IF(AND(AJ389="no match", AK389="", AL389="", K389&gt;26), "CUSM, CHU SJ, HGJ, CHUQ, CHUS, HMR", "")</f>
      </c>
    </row>
    <row x14ac:dyDescent="0.25" r="390" customHeight="1" ht="17.25">
      <c r="A390" s="27" t="s">
        <v>856</v>
      </c>
      <c r="B390" s="28">
        <v>2</v>
      </c>
      <c r="C390" s="28">
        <v>782</v>
      </c>
      <c r="D390" s="29" t="s">
        <v>95</v>
      </c>
      <c r="E390" s="30" t="s">
        <v>50</v>
      </c>
      <c r="F390" s="31">
        <v>44775</v>
      </c>
      <c r="G390" s="32">
        <v>4.567361111111111</v>
      </c>
      <c r="H390" s="31">
        <v>44775</v>
      </c>
      <c r="I390" s="32">
        <v>4.345833333333333</v>
      </c>
      <c r="J390" s="33">
        <f>F390-H390</f>
      </c>
      <c r="K390" s="28">
        <v>37</v>
      </c>
      <c r="L390" s="28">
        <v>0</v>
      </c>
      <c r="M390" s="28">
        <v>2</v>
      </c>
      <c r="N390" s="35">
        <v>1</v>
      </c>
      <c r="O390" s="34"/>
      <c r="P390" s="34"/>
      <c r="Q390" s="34"/>
      <c r="R390" s="34"/>
      <c r="S390" s="34"/>
      <c r="T390" s="34"/>
      <c r="U390" s="34"/>
      <c r="V390" s="35">
        <v>1</v>
      </c>
      <c r="W390" s="29" t="s">
        <v>164</v>
      </c>
      <c r="X390" s="28">
        <v>31</v>
      </c>
      <c r="Y390" s="28">
        <v>1</v>
      </c>
      <c r="Z390" s="28">
        <v>2</v>
      </c>
      <c r="AA390" s="28">
        <v>2</v>
      </c>
      <c r="AB390" s="28">
        <v>1</v>
      </c>
      <c r="AC390" s="28">
        <v>2</v>
      </c>
      <c r="AD390" s="28">
        <v>2</v>
      </c>
      <c r="AE390" s="28">
        <v>4</v>
      </c>
      <c r="AF390" s="28">
        <v>2</v>
      </c>
      <c r="AG390" s="28">
        <v>2</v>
      </c>
      <c r="AH390" s="29" t="s">
        <v>857</v>
      </c>
      <c r="AI390" s="36">
        <f>IF(OR(AND(K390&lt;32, J390&lt;2), O390=1, P390=1, Q390=1, R390=1, S390=1, T390=1, U390=1, AND(W390&lt;&gt;"", W390&lt;&gt;"Oxygen", W390&lt;&gt;"LowFlow")), "Intensive", "Intermediate")</f>
      </c>
      <c r="AJ390" s="37">
        <f>IF(OR(LEFT(AH390, 1)="X", LEFT(AH390, 1)="Y", LEFT(AH390, 3)="J2M"), "CUSM", "No Match")</f>
      </c>
      <c r="AK390" s="37">
        <f>IF(AND(OR(O390=3, P390=1, Q390=1, T390=1), AJ390="no Match"), "CUSM, CHU SJ, CHUQ", "")</f>
      </c>
      <c r="AL390" s="37">
        <f>IF(AND(O390=2, ISBLANK(P390), ISBLANK(Q390), ISBLANK(R390), ISBLANK(S390), ISBLANK(T390)), "CUSM, CHU SJ, CHUS, CHUQ", "")</f>
      </c>
      <c r="AM390" s="37">
        <f>IF(AND(AJ390="no match", AK390="", AL390="", K390&lt;26), "CUSM, CHU SJ, HGJ, CHUQ, CHUS", "")</f>
      </c>
      <c r="AN390" s="37">
        <f>IF(AND(AJ390="no match", AK390="", AL390="", K390&gt;26), "CUSM, CHU SJ, HGJ, CHUQ, CHUS, HMR", "")</f>
      </c>
    </row>
    <row x14ac:dyDescent="0.25" r="391" customHeight="1" ht="17.25">
      <c r="A391" s="27" t="s">
        <v>858</v>
      </c>
      <c r="B391" s="28">
        <v>2</v>
      </c>
      <c r="C391" s="28">
        <v>833</v>
      </c>
      <c r="D391" s="29" t="s">
        <v>376</v>
      </c>
      <c r="E391" s="30" t="s">
        <v>54</v>
      </c>
      <c r="F391" s="31">
        <v>44776</v>
      </c>
      <c r="G391" s="32">
        <v>4.739583333333334</v>
      </c>
      <c r="H391" s="31">
        <v>44774</v>
      </c>
      <c r="I391" s="32">
        <v>4.6125</v>
      </c>
      <c r="J391" s="33">
        <f>F391-H391</f>
      </c>
      <c r="K391" s="28">
        <v>39</v>
      </c>
      <c r="L391" s="28">
        <v>3</v>
      </c>
      <c r="M391" s="28">
        <v>1</v>
      </c>
      <c r="N391" s="38"/>
      <c r="O391" s="34"/>
      <c r="P391" s="38"/>
      <c r="Q391" s="34"/>
      <c r="R391" s="34"/>
      <c r="S391" s="34"/>
      <c r="T391" s="34"/>
      <c r="U391" s="38"/>
      <c r="V391" s="38"/>
      <c r="W391" s="29"/>
      <c r="X391" s="28">
        <v>35</v>
      </c>
      <c r="Y391" s="28">
        <v>1</v>
      </c>
      <c r="Z391" s="28">
        <v>1</v>
      </c>
      <c r="AA391" s="28">
        <v>3</v>
      </c>
      <c r="AB391" s="28">
        <v>1</v>
      </c>
      <c r="AC391" s="28">
        <v>2</v>
      </c>
      <c r="AD391" s="28">
        <v>1</v>
      </c>
      <c r="AE391" s="28">
        <v>4</v>
      </c>
      <c r="AF391" s="28">
        <v>3</v>
      </c>
      <c r="AG391" s="28">
        <v>2</v>
      </c>
      <c r="AH391" s="29" t="s">
        <v>859</v>
      </c>
      <c r="AI391" s="36">
        <f>IF(OR(AND(K391&lt;32, J391&lt;2), O391=1, P391=1, Q391=1, R391=1, S391=1, T391=1, U391=1, AND(W391&lt;&gt;"", W391&lt;&gt;"Oxygen", W391&lt;&gt;"LowFlow")), "Intensive", "Intermediate")</f>
      </c>
      <c r="AJ391" s="37">
        <f>IF(OR(LEFT(AH391, 1)="X", LEFT(AH391, 1)="Y", LEFT(AH391, 3)="J3M"), "CUSM", "No Match")</f>
      </c>
      <c r="AK391" s="37">
        <f>IF(AND(OR(O391=3, P391=1, Q391=1, T391=1), AJ391="no Match"), "CUSM, CHU SJ, CHUQ", "")</f>
      </c>
      <c r="AL391" s="37">
        <f>IF(AND(O391=2, ISBLANK(P391), ISBLANK(Q391), ISBLANK(R391), ISBLANK(S391), ISBLANK(T391)), "CUSM, CHU SJ, CHUS, CHUQ", "")</f>
      </c>
      <c r="AM391" s="37">
        <f>IF(AND(AJ391="no match", AK391="", AL391="", K391&lt;26), "CUSM, CHU SJ, HGJ, CHUQ, CHUS", "")</f>
      </c>
      <c r="AN391" s="37">
        <f>IF(AND(AJ391="no match", AK391="", AL391="", K391&gt;26), "CUSM, CHU SJ, HGJ, CHUQ, CHUS, HMR", "")</f>
      </c>
    </row>
    <row x14ac:dyDescent="0.25" r="392" customHeight="1" ht="17.25">
      <c r="A392" s="27" t="s">
        <v>860</v>
      </c>
      <c r="B392" s="28">
        <v>2</v>
      </c>
      <c r="C392" s="35">
        <v>820</v>
      </c>
      <c r="D392" s="29" t="s">
        <v>69</v>
      </c>
      <c r="E392" s="30" t="s">
        <v>54</v>
      </c>
      <c r="F392" s="31">
        <v>44776</v>
      </c>
      <c r="G392" s="32">
        <v>4.4375</v>
      </c>
      <c r="H392" s="31">
        <v>44776</v>
      </c>
      <c r="I392" s="32">
        <v>4.311111111111111</v>
      </c>
      <c r="J392" s="33">
        <f>F392-H392</f>
      </c>
      <c r="K392" s="28">
        <v>30</v>
      </c>
      <c r="L392" s="28">
        <v>0</v>
      </c>
      <c r="M392" s="28">
        <v>2</v>
      </c>
      <c r="N392" s="34"/>
      <c r="O392" s="34"/>
      <c r="P392" s="34"/>
      <c r="Q392" s="34"/>
      <c r="R392" s="34"/>
      <c r="S392" s="34"/>
      <c r="T392" s="34"/>
      <c r="U392" s="34"/>
      <c r="V392" s="34"/>
      <c r="W392" s="29" t="s">
        <v>74</v>
      </c>
      <c r="X392" s="28">
        <v>20</v>
      </c>
      <c r="Y392" s="28">
        <v>1</v>
      </c>
      <c r="Z392" s="28">
        <v>1</v>
      </c>
      <c r="AA392" s="28">
        <v>1</v>
      </c>
      <c r="AB392" s="28">
        <v>1</v>
      </c>
      <c r="AC392" s="28">
        <v>2</v>
      </c>
      <c r="AD392" s="28">
        <v>2</v>
      </c>
      <c r="AE392" s="28">
        <v>4</v>
      </c>
      <c r="AF392" s="28">
        <v>2</v>
      </c>
      <c r="AG392" s="28">
        <v>2</v>
      </c>
      <c r="AH392" s="29" t="s">
        <v>861</v>
      </c>
      <c r="AI392" s="36">
        <f>IF(OR(AND(K392&lt;32, J392&lt;2), O392=1, P392=1, Q392=1, R392=1, S392=1, T392=1, U392=1, AND(W392&lt;&gt;"", W392&lt;&gt;"Oxygen", W392&lt;&gt;"LowFlow")), "Intensive", "Intermediate")</f>
      </c>
      <c r="AJ392" s="37">
        <f>IF(OR(LEFT(AH392, 1)="X", LEFT(AH392, 1)="Y", LEFT(AH392, 3)="J4M"), "CUSM", "No Match")</f>
      </c>
      <c r="AK392" s="37">
        <f>IF(AND(OR(O392=3, P392=1, Q392=1, T392=1), AJ392="no Match"), "CUSM, CHU SJ, CHUQ", "")</f>
      </c>
      <c r="AL392" s="37">
        <f>IF(AND(O392=2, ISBLANK(P392), ISBLANK(Q392), ISBLANK(R392), ISBLANK(S392), ISBLANK(T392)), "CUSM, CHU SJ, CHUS, CHUQ", "")</f>
      </c>
      <c r="AM392" s="37">
        <f>IF(AND(AJ392="no match", AK392="", AL392="", K392&lt;26), "CUSM, CHU SJ, HGJ, CHUQ, CHUS", "")</f>
      </c>
      <c r="AN392" s="37">
        <f>IF(AND(AJ392="no match", AK392="", AL392="", K392&gt;26), "CUSM, CHU SJ, HGJ, CHUQ, CHUS, HMR", "")</f>
      </c>
    </row>
    <row x14ac:dyDescent="0.25" r="393" customHeight="1" ht="17.25">
      <c r="A393" s="27" t="s">
        <v>862</v>
      </c>
      <c r="B393" s="28">
        <v>2</v>
      </c>
      <c r="C393" s="28">
        <v>2</v>
      </c>
      <c r="D393" s="29" t="s">
        <v>269</v>
      </c>
      <c r="E393" s="30" t="s">
        <v>50</v>
      </c>
      <c r="F393" s="31">
        <v>44776</v>
      </c>
      <c r="G393" s="32">
        <v>4.729166666666666</v>
      </c>
      <c r="H393" s="31">
        <v>44775</v>
      </c>
      <c r="I393" s="32">
        <v>4.742361111111111</v>
      </c>
      <c r="J393" s="33">
        <f>F393-H393</f>
      </c>
      <c r="K393" s="28">
        <v>40</v>
      </c>
      <c r="L393" s="28">
        <v>5</v>
      </c>
      <c r="M393" s="28">
        <v>1</v>
      </c>
      <c r="N393" s="34"/>
      <c r="O393" s="34"/>
      <c r="P393" s="34"/>
      <c r="Q393" s="34"/>
      <c r="R393" s="34"/>
      <c r="S393" s="34"/>
      <c r="T393" s="34"/>
      <c r="U393" s="34"/>
      <c r="V393" s="34"/>
      <c r="W393" s="29"/>
      <c r="X393" s="28">
        <v>29</v>
      </c>
      <c r="Y393" s="28">
        <v>1</v>
      </c>
      <c r="Z393" s="28">
        <v>1</v>
      </c>
      <c r="AA393" s="28">
        <v>2</v>
      </c>
      <c r="AB393" s="28">
        <v>1</v>
      </c>
      <c r="AC393" s="28">
        <v>2</v>
      </c>
      <c r="AD393" s="28">
        <v>3</v>
      </c>
      <c r="AE393" s="28">
        <v>4</v>
      </c>
      <c r="AF393" s="28">
        <v>2</v>
      </c>
      <c r="AG393" s="28">
        <v>2</v>
      </c>
      <c r="AH393" s="29" t="s">
        <v>863</v>
      </c>
      <c r="AI393" s="36">
        <f>IF(OR(AND(K393&lt;32, J393&lt;2), O393=1, P393=1, Q393=1, R393=1, S393=1, T393=1, U393=1, AND(W393&lt;&gt;"", W393&lt;&gt;"Oxygen", W393&lt;&gt;"LowFlow")), "Intensive", "Intermediate")</f>
      </c>
      <c r="AJ393" s="37">
        <f>IF(OR(LEFT(AH393, 1)="X", LEFT(AH393, 1)="Y", LEFT(AH393, 3)="J5M"), "CUSM", "No Match")</f>
      </c>
      <c r="AK393" s="37">
        <f>IF(AND(OR(O393=3, P393=1, Q393=1, T393=1), AJ393="no Match"), "CUSM, CHU SJ, CHUQ", "")</f>
      </c>
      <c r="AL393" s="37">
        <f>IF(AND(O393=2, ISBLANK(P393), ISBLANK(Q393), ISBLANK(R393), ISBLANK(S393), ISBLANK(T393)), "CUSM, CHU SJ, CHUS, CHUQ", "")</f>
      </c>
      <c r="AM393" s="37">
        <f>IF(AND(AJ393="no match", AK393="", AL393="", K393&lt;26), "CUSM, CHU SJ, HGJ, CHUQ, CHUS", "")</f>
      </c>
      <c r="AN393" s="37">
        <f>IF(AND(AJ393="no match", AK393="", AL393="", K393&gt;26), "CUSM, CHU SJ, HGJ, CHUQ, CHUS, HMR", "")</f>
      </c>
    </row>
    <row x14ac:dyDescent="0.25" r="394" customHeight="1" ht="17.25">
      <c r="A394" s="27" t="s">
        <v>864</v>
      </c>
      <c r="B394" s="28">
        <v>2</v>
      </c>
      <c r="C394" s="28">
        <v>2</v>
      </c>
      <c r="D394" s="29" t="s">
        <v>269</v>
      </c>
      <c r="E394" s="30" t="s">
        <v>50</v>
      </c>
      <c r="F394" s="31">
        <v>44777</v>
      </c>
      <c r="G394" s="32">
        <v>4.677083333333334</v>
      </c>
      <c r="H394" s="31">
        <v>44777</v>
      </c>
      <c r="I394" s="32">
        <v>4.5368055555555555</v>
      </c>
      <c r="J394" s="33">
        <f>F394-H394</f>
      </c>
      <c r="K394" s="28">
        <v>36</v>
      </c>
      <c r="L394" s="28">
        <v>4</v>
      </c>
      <c r="M394" s="28">
        <v>1</v>
      </c>
      <c r="N394" s="34"/>
      <c r="O394" s="34"/>
      <c r="P394" s="34"/>
      <c r="Q394" s="34"/>
      <c r="R394" s="34"/>
      <c r="S394" s="34"/>
      <c r="T394" s="35">
        <v>1</v>
      </c>
      <c r="U394" s="34"/>
      <c r="V394" s="34"/>
      <c r="W394" s="29" t="s">
        <v>58</v>
      </c>
      <c r="X394" s="28">
        <v>30</v>
      </c>
      <c r="Y394" s="28">
        <v>1</v>
      </c>
      <c r="Z394" s="28">
        <v>1</v>
      </c>
      <c r="AA394" s="28">
        <v>1</v>
      </c>
      <c r="AB394" s="28">
        <v>1</v>
      </c>
      <c r="AC394" s="28">
        <v>2</v>
      </c>
      <c r="AD394" s="28">
        <v>3</v>
      </c>
      <c r="AE394" s="28">
        <v>4</v>
      </c>
      <c r="AF394" s="28">
        <v>2</v>
      </c>
      <c r="AG394" s="28">
        <v>2</v>
      </c>
      <c r="AH394" s="29" t="s">
        <v>865</v>
      </c>
      <c r="AI394" s="36">
        <f>IF(OR(AND(K394&lt;32, J394&lt;2), O394=1, P394=1, Q394=1, R394=1, S394=1, T394=1, U394=1, AND(W394&lt;&gt;"", W394&lt;&gt;"Oxygen", W394&lt;&gt;"LowFlow")), "Intensive", "Intermediate")</f>
      </c>
      <c r="AJ394" s="37">
        <f>IF(OR(LEFT(AH394, 1)="X", LEFT(AH394, 1)="Y", LEFT(AH394, 3)="J6M"), "CUSM", "No Match")</f>
      </c>
      <c r="AK394" s="37">
        <f>IF(AND(OR(O394=3, P394=1, Q394=1, T394=1), AJ394="no Match"), "CUSM, CHU SJ, CHUQ", "")</f>
      </c>
      <c r="AL394" s="37">
        <f>IF(AND(O394=2, ISBLANK(P394), ISBLANK(Q394), ISBLANK(R394), ISBLANK(S394), ISBLANK(T394)), "CUSM, CHU SJ, CHUS, CHUQ", "")</f>
      </c>
      <c r="AM394" s="37">
        <f>IF(AND(AJ394="no match", AK394="", AL394="", K394&lt;26), "CUSM, CHU SJ, HGJ, CHUQ, CHUS", "")</f>
      </c>
      <c r="AN394" s="37">
        <f>IF(AND(AJ394="no match", AK394="", AL394="", K394&gt;26), "CUSM, CHU SJ, HGJ, CHUQ, CHUS, HMR", "")</f>
      </c>
    </row>
    <row x14ac:dyDescent="0.25" r="395" customHeight="1" ht="17.25">
      <c r="A395" s="27" t="s">
        <v>866</v>
      </c>
      <c r="B395" s="28">
        <v>2</v>
      </c>
      <c r="C395" s="28">
        <v>780</v>
      </c>
      <c r="D395" s="29" t="s">
        <v>190</v>
      </c>
      <c r="E395" s="30" t="s">
        <v>54</v>
      </c>
      <c r="F395" s="31">
        <v>44778</v>
      </c>
      <c r="G395" s="32">
        <v>4.541666666666666</v>
      </c>
      <c r="H395" s="31">
        <v>44777</v>
      </c>
      <c r="I395" s="32">
        <v>4.988194444444444</v>
      </c>
      <c r="J395" s="33">
        <f>F395-H395</f>
      </c>
      <c r="K395" s="28">
        <v>39</v>
      </c>
      <c r="L395" s="28">
        <v>5</v>
      </c>
      <c r="M395" s="28">
        <v>1</v>
      </c>
      <c r="N395" s="34"/>
      <c r="O395" s="35">
        <v>2</v>
      </c>
      <c r="P395" s="34"/>
      <c r="Q395" s="34"/>
      <c r="R395" s="34"/>
      <c r="S395" s="34"/>
      <c r="T395" s="34"/>
      <c r="U395" s="34"/>
      <c r="V395" s="34"/>
      <c r="W395" s="29"/>
      <c r="X395" s="28">
        <v>34</v>
      </c>
      <c r="Y395" s="28">
        <v>1</v>
      </c>
      <c r="Z395" s="28">
        <v>1</v>
      </c>
      <c r="AA395" s="28">
        <v>3</v>
      </c>
      <c r="AB395" s="28">
        <v>4</v>
      </c>
      <c r="AC395" s="28">
        <v>2</v>
      </c>
      <c r="AD395" s="28">
        <v>2</v>
      </c>
      <c r="AE395" s="28">
        <v>4</v>
      </c>
      <c r="AF395" s="28">
        <v>3</v>
      </c>
      <c r="AG395" s="28">
        <v>2</v>
      </c>
      <c r="AH395" s="29" t="s">
        <v>867</v>
      </c>
      <c r="AI395" s="36">
        <f>IF(OR(AND(K395&lt;32, J395&lt;2), O395=1, P395=1, Q395=1, R395=1, S395=1, T395=1, U395=1, AND(W395&lt;&gt;"", W395&lt;&gt;"Oxygen", W395&lt;&gt;"LowFlow")), "Intensive", "Intermediate")</f>
      </c>
      <c r="AJ395" s="37">
        <f>IF(OR(LEFT(AH395, 1)="X", LEFT(AH395, 1)="Y", LEFT(AH395, 3)="J7M"), "CUSM", "No Match")</f>
      </c>
      <c r="AK395" s="37">
        <f>IF(AND(OR(O395=3, P395=1, Q395=1, T395=1), AJ395="no Match"), "CUSM, CHU SJ, CHUQ", "")</f>
      </c>
      <c r="AL395" s="37">
        <f>IF(AND(O395=2, ISBLANK(P395), ISBLANK(Q395), ISBLANK(R395), ISBLANK(S395), ISBLANK(T395)), "CUSM, CHU SJ, CHUS, CHUQ", "")</f>
      </c>
      <c r="AM395" s="37">
        <f>IF(AND(AJ395="no match", AK395="", AL395="", K395&lt;26), "CUSM, CHU SJ, HGJ, CHUQ, CHUS", "")</f>
      </c>
      <c r="AN395" s="37">
        <f>IF(AND(AJ395="no match", AK395="", AL395="", K395&gt;26), "CUSM, CHU SJ, HGJ, CHUQ, CHUS, HMR", "")</f>
      </c>
    </row>
    <row x14ac:dyDescent="0.25" r="396" customHeight="1" ht="17.25">
      <c r="A396" s="27" t="s">
        <v>868</v>
      </c>
      <c r="B396" s="28">
        <v>2</v>
      </c>
      <c r="C396" s="28">
        <v>756</v>
      </c>
      <c r="D396" s="29" t="s">
        <v>66</v>
      </c>
      <c r="E396" s="30" t="s">
        <v>50</v>
      </c>
      <c r="F396" s="31">
        <v>44778</v>
      </c>
      <c r="G396" s="32">
        <v>4.465277777777778</v>
      </c>
      <c r="H396" s="31">
        <v>44775</v>
      </c>
      <c r="I396" s="32">
        <v>4.34375</v>
      </c>
      <c r="J396" s="33">
        <f>F396-H396</f>
      </c>
      <c r="K396" s="28">
        <v>38</v>
      </c>
      <c r="L396" s="28">
        <v>6</v>
      </c>
      <c r="M396" s="28">
        <v>1</v>
      </c>
      <c r="N396" s="35">
        <v>1</v>
      </c>
      <c r="O396" s="34"/>
      <c r="P396" s="34"/>
      <c r="Q396" s="34"/>
      <c r="R396" s="34"/>
      <c r="S396" s="34"/>
      <c r="T396" s="38"/>
      <c r="U396" s="34"/>
      <c r="V396" s="34"/>
      <c r="W396" s="29"/>
      <c r="X396" s="28">
        <v>37</v>
      </c>
      <c r="Y396" s="28">
        <v>1</v>
      </c>
      <c r="Z396" s="28">
        <v>2</v>
      </c>
      <c r="AA396" s="28">
        <v>3</v>
      </c>
      <c r="AB396" s="28">
        <v>1</v>
      </c>
      <c r="AC396" s="28">
        <v>2</v>
      </c>
      <c r="AD396" s="28">
        <v>2</v>
      </c>
      <c r="AE396" s="28">
        <v>4</v>
      </c>
      <c r="AF396" s="28">
        <v>2</v>
      </c>
      <c r="AG396" s="28">
        <v>2</v>
      </c>
      <c r="AH396" s="29" t="s">
        <v>869</v>
      </c>
      <c r="AI396" s="36">
        <f>IF(OR(AND(K396&lt;32, J396&lt;2), O396=1, P396=1, Q396=1, R396=1, S396=1, T396=1, U396=1, AND(W396&lt;&gt;"", W396&lt;&gt;"Oxygen", W396&lt;&gt;"LowFlow")), "Intensive", "Intermediate")</f>
      </c>
      <c r="AJ396" s="37">
        <f>IF(OR(LEFT(AH396, 1)="X", LEFT(AH396, 1)="Y", LEFT(AH396, 3)="J8M"), "CUSM", "No Match")</f>
      </c>
      <c r="AK396" s="37">
        <f>IF(AND(OR(O396=3, P396=1, Q396=1, T396=1), AJ396="no Match"), "CUSM, CHU SJ, CHUQ", "")</f>
      </c>
      <c r="AL396" s="37">
        <f>IF(AND(O396=2, ISBLANK(P396), ISBLANK(Q396), ISBLANK(R396), ISBLANK(S396), ISBLANK(T396)), "CUSM, CHU SJ, CHUS, CHUQ", "")</f>
      </c>
      <c r="AM396" s="37">
        <f>IF(AND(AJ396="no match", AK396="", AL396="", K396&lt;26), "CUSM, CHU SJ, HGJ, CHUQ, CHUS", "")</f>
      </c>
      <c r="AN396" s="37">
        <f>IF(AND(AJ396="no match", AK396="", AL396="", K396&gt;26), "CUSM, CHU SJ, HGJ, CHUQ, CHUS, HMR", "")</f>
      </c>
    </row>
    <row x14ac:dyDescent="0.25" r="397" customHeight="1" ht="17.25">
      <c r="A397" s="27" t="s">
        <v>870</v>
      </c>
      <c r="B397" s="28">
        <v>2</v>
      </c>
      <c r="C397" s="28">
        <v>782</v>
      </c>
      <c r="D397" s="29" t="s">
        <v>95</v>
      </c>
      <c r="E397" s="30" t="s">
        <v>50</v>
      </c>
      <c r="F397" s="31">
        <v>44778</v>
      </c>
      <c r="G397" s="32">
        <v>4.892361111111111</v>
      </c>
      <c r="H397" s="31">
        <v>44777</v>
      </c>
      <c r="I397" s="32">
        <v>4.277083333333334</v>
      </c>
      <c r="J397" s="33">
        <f>F397-H397</f>
      </c>
      <c r="K397" s="28">
        <v>34</v>
      </c>
      <c r="L397" s="28">
        <v>5</v>
      </c>
      <c r="M397" s="28">
        <v>2</v>
      </c>
      <c r="N397" s="38"/>
      <c r="O397" s="34"/>
      <c r="P397" s="38"/>
      <c r="Q397" s="34"/>
      <c r="R397" s="34"/>
      <c r="S397" s="34"/>
      <c r="T397" s="34"/>
      <c r="U397" s="34"/>
      <c r="V397" s="38"/>
      <c r="W397" s="29" t="s">
        <v>58</v>
      </c>
      <c r="X397" s="28">
        <v>28</v>
      </c>
      <c r="Y397" s="28">
        <v>1</v>
      </c>
      <c r="Z397" s="28">
        <v>1</v>
      </c>
      <c r="AA397" s="28">
        <v>2</v>
      </c>
      <c r="AB397" s="28">
        <v>1</v>
      </c>
      <c r="AC397" s="28">
        <v>2</v>
      </c>
      <c r="AD397" s="28">
        <v>2</v>
      </c>
      <c r="AE397" s="28">
        <v>4</v>
      </c>
      <c r="AF397" s="28">
        <v>2</v>
      </c>
      <c r="AG397" s="28">
        <v>2</v>
      </c>
      <c r="AH397" s="29" t="s">
        <v>871</v>
      </c>
      <c r="AI397" s="36">
        <f>IF(OR(AND(K397&lt;32, J397&lt;2), O397=1, P397=1, Q397=1, R397=1, S397=1, T397=1, U397=1, AND(W397&lt;&gt;"", W397&lt;&gt;"Oxygen", W397&lt;&gt;"LowFlow")), "Intensive", "Intermediate")</f>
      </c>
      <c r="AJ397" s="37">
        <f>IF(OR(LEFT(AH397, 1)="X", LEFT(AH397, 1)="Y", LEFT(AH397, 3)="J9M"), "CUSM", "No Match")</f>
      </c>
      <c r="AK397" s="37">
        <f>IF(AND(OR(O397=3, P397=1, Q397=1, T397=1), AJ397="no Match"), "CUSM, CHU SJ, CHUQ", "")</f>
      </c>
      <c r="AL397" s="37">
        <f>IF(AND(O397=2, ISBLANK(P397), ISBLANK(Q397), ISBLANK(R397), ISBLANK(S397), ISBLANK(T397)), "CUSM, CHU SJ, CHUS, CHUQ", "")</f>
      </c>
      <c r="AM397" s="37">
        <f>IF(AND(AJ397="no match", AK397="", AL397="", K397&lt;26), "CUSM, CHU SJ, HGJ, CHUQ, CHUS", "")</f>
      </c>
      <c r="AN397" s="37">
        <f>IF(AND(AJ397="no match", AK397="", AL397="", K397&gt;26), "CUSM, CHU SJ, HGJ, CHUQ, CHUS, HMR", "")</f>
      </c>
    </row>
    <row x14ac:dyDescent="0.25" r="398" customHeight="1" ht="17.25">
      <c r="A398" s="27" t="s">
        <v>872</v>
      </c>
      <c r="B398" s="28">
        <v>2</v>
      </c>
      <c r="C398" s="28">
        <v>824</v>
      </c>
      <c r="D398" s="29" t="s">
        <v>57</v>
      </c>
      <c r="E398" s="30" t="s">
        <v>54</v>
      </c>
      <c r="F398" s="31">
        <v>44779</v>
      </c>
      <c r="G398" s="32">
        <v>4.916666666666666</v>
      </c>
      <c r="H398" s="31">
        <v>44779</v>
      </c>
      <c r="I398" s="32">
        <v>4.670833333333333</v>
      </c>
      <c r="J398" s="33">
        <f>F398-H398</f>
      </c>
      <c r="K398" s="28">
        <v>40</v>
      </c>
      <c r="L398" s="28">
        <v>5</v>
      </c>
      <c r="M398" s="28">
        <v>2</v>
      </c>
      <c r="N398" s="34"/>
      <c r="O398" s="34"/>
      <c r="P398" s="34"/>
      <c r="Q398" s="34"/>
      <c r="R398" s="34"/>
      <c r="S398" s="34"/>
      <c r="T398" s="34"/>
      <c r="U398" s="34"/>
      <c r="V398" s="34"/>
      <c r="W398" s="29"/>
      <c r="X398" s="28">
        <v>30</v>
      </c>
      <c r="Y398" s="28">
        <v>1</v>
      </c>
      <c r="Z398" s="28">
        <v>2</v>
      </c>
      <c r="AA398" s="28">
        <v>3</v>
      </c>
      <c r="AB398" s="28">
        <v>1</v>
      </c>
      <c r="AC398" s="28">
        <v>2</v>
      </c>
      <c r="AD398" s="28">
        <v>2</v>
      </c>
      <c r="AE398" s="28">
        <v>4</v>
      </c>
      <c r="AF398" s="28">
        <v>3</v>
      </c>
      <c r="AG398" s="28">
        <v>2</v>
      </c>
      <c r="AH398" s="29" t="s">
        <v>873</v>
      </c>
      <c r="AI398" s="36">
        <f>IF(OR(AND(K398&lt;32, J398&lt;2), O398=1, P398=1, Q398=1, R398=1, S398=1, T398=1, U398=1, AND(W398&lt;&gt;"", W398&lt;&gt;"Oxygen", W398&lt;&gt;"LowFlow")), "Intensive", "Intermediate")</f>
      </c>
      <c r="AJ398" s="37">
        <f>IF(OR(LEFT(AH398, 1)="X", LEFT(AH398, 1)="Y", LEFT(AH398, 3)="J10M"), "CUSM", "No Match")</f>
      </c>
      <c r="AK398" s="37">
        <f>IF(AND(OR(O398=3, P398=1, Q398=1, T398=1), AJ398="no Match"), "CUSM, CHU SJ, CHUQ", "")</f>
      </c>
      <c r="AL398" s="37">
        <f>IF(AND(O398=2, ISBLANK(P398), ISBLANK(Q398), ISBLANK(R398), ISBLANK(S398), ISBLANK(T398)), "CUSM, CHU SJ, CHUS, CHUQ", "")</f>
      </c>
      <c r="AM398" s="37">
        <f>IF(AND(AJ398="no match", AK398="", AL398="", K398&lt;26), "CUSM, CHU SJ, HGJ, CHUQ, CHUS", "")</f>
      </c>
      <c r="AN398" s="37">
        <f>IF(AND(AJ398="no match", AK398="", AL398="", K398&gt;26), "CUSM, CHU SJ, HGJ, CHUQ, CHUS, HMR", "")</f>
      </c>
    </row>
    <row x14ac:dyDescent="0.25" r="399" customHeight="1" ht="17.25">
      <c r="A399" s="27" t="s">
        <v>874</v>
      </c>
      <c r="B399" s="28">
        <v>2</v>
      </c>
      <c r="C399" s="28">
        <v>795</v>
      </c>
      <c r="D399" s="29" t="s">
        <v>73</v>
      </c>
      <c r="E399" s="30" t="s">
        <v>54</v>
      </c>
      <c r="F399" s="31">
        <v>44779</v>
      </c>
      <c r="G399" s="32">
        <v>4.375</v>
      </c>
      <c r="H399" s="31">
        <v>44779</v>
      </c>
      <c r="I399" s="32">
        <v>4.0375</v>
      </c>
      <c r="J399" s="33">
        <f>F399-H399</f>
      </c>
      <c r="K399" s="28">
        <v>41</v>
      </c>
      <c r="L399" s="28">
        <v>1</v>
      </c>
      <c r="M399" s="28">
        <v>2</v>
      </c>
      <c r="N399" s="34"/>
      <c r="O399" s="34"/>
      <c r="P399" s="34"/>
      <c r="Q399" s="34"/>
      <c r="R399" s="34"/>
      <c r="S399" s="34"/>
      <c r="T399" s="35">
        <v>1</v>
      </c>
      <c r="U399" s="34"/>
      <c r="V399" s="34"/>
      <c r="W399" s="29" t="s">
        <v>74</v>
      </c>
      <c r="X399" s="28">
        <v>28</v>
      </c>
      <c r="Y399" s="28">
        <v>1</v>
      </c>
      <c r="Z399" s="28">
        <v>2</v>
      </c>
      <c r="AA399" s="28">
        <v>3</v>
      </c>
      <c r="AB399" s="28">
        <v>4</v>
      </c>
      <c r="AC399" s="28">
        <v>2</v>
      </c>
      <c r="AD399" s="28">
        <v>2</v>
      </c>
      <c r="AE399" s="28">
        <v>4</v>
      </c>
      <c r="AF399" s="28">
        <v>3</v>
      </c>
      <c r="AG399" s="28">
        <v>2</v>
      </c>
      <c r="AH399" s="29" t="s">
        <v>875</v>
      </c>
      <c r="AI399" s="36">
        <f>IF(OR(AND(K399&lt;32, J399&lt;2), O399=1, P399=1, Q399=1, R399=1, S399=1, T399=1, U399=1, AND(W399&lt;&gt;"", W399&lt;&gt;"Oxygen", W399&lt;&gt;"LowFlow")), "Intensive", "Intermediate")</f>
      </c>
      <c r="AJ399" s="37">
        <f>IF(OR(LEFT(AH399, 1)="X", LEFT(AH399, 1)="Y", LEFT(AH399, 3)="J11M"), "CUSM", "No Match")</f>
      </c>
      <c r="AK399" s="37">
        <f>IF(AND(OR(O399=3, P399=1, Q399=1, T399=1), AJ399="no Match"), "CUSM, CHU SJ, CHUQ", "")</f>
      </c>
      <c r="AL399" s="37">
        <f>IF(AND(O399=2, ISBLANK(P399), ISBLANK(Q399), ISBLANK(R399), ISBLANK(S399), ISBLANK(T399)), "CUSM, CHU SJ, CHUS, CHUQ", "")</f>
      </c>
      <c r="AM399" s="37">
        <f>IF(AND(AJ399="no match", AK399="", AL399="", K399&lt;26), "CUSM, CHU SJ, HGJ, CHUQ, CHUS", "")</f>
      </c>
      <c r="AN399" s="37">
        <f>IF(AND(AJ399="no match", AK399="", AL399="", K399&gt;26), "CUSM, CHU SJ, HGJ, CHUQ, CHUS, HMR", "")</f>
      </c>
    </row>
    <row x14ac:dyDescent="0.25" r="400" customHeight="1" ht="17.25">
      <c r="A400" s="27" t="s">
        <v>876</v>
      </c>
      <c r="B400" s="28">
        <v>2</v>
      </c>
      <c r="C400" s="35">
        <v>2</v>
      </c>
      <c r="D400" s="29" t="s">
        <v>269</v>
      </c>
      <c r="E400" s="30" t="s">
        <v>54</v>
      </c>
      <c r="F400" s="31">
        <v>44779</v>
      </c>
      <c r="G400" s="32">
        <v>4.086805555555555</v>
      </c>
      <c r="H400" s="31">
        <v>44778</v>
      </c>
      <c r="I400" s="32">
        <v>4.795833333333333</v>
      </c>
      <c r="J400" s="33">
        <f>F400-H400</f>
      </c>
      <c r="K400" s="28">
        <v>33</v>
      </c>
      <c r="L400" s="28">
        <v>1</v>
      </c>
      <c r="M400" s="28">
        <v>1</v>
      </c>
      <c r="N400" s="35">
        <v>1</v>
      </c>
      <c r="O400" s="34"/>
      <c r="P400" s="35">
        <v>1</v>
      </c>
      <c r="Q400" s="34"/>
      <c r="R400" s="34"/>
      <c r="S400" s="34"/>
      <c r="T400" s="34"/>
      <c r="U400" s="34"/>
      <c r="V400" s="34"/>
      <c r="W400" s="29" t="s">
        <v>74</v>
      </c>
      <c r="X400" s="28">
        <v>26</v>
      </c>
      <c r="Y400" s="28">
        <v>1</v>
      </c>
      <c r="Z400" s="28">
        <v>1</v>
      </c>
      <c r="AA400" s="28">
        <v>1</v>
      </c>
      <c r="AB400" s="28">
        <v>1</v>
      </c>
      <c r="AC400" s="28">
        <v>1</v>
      </c>
      <c r="AD400" s="28">
        <v>2</v>
      </c>
      <c r="AE400" s="28">
        <v>4</v>
      </c>
      <c r="AF400" s="28">
        <v>1</v>
      </c>
      <c r="AG400" s="28">
        <v>2</v>
      </c>
      <c r="AH400" s="29" t="s">
        <v>877</v>
      </c>
      <c r="AI400" s="36">
        <f>IF(OR(AND(K400&lt;32, J400&lt;2), O400=1, P400=1, Q400=1, R400=1, S400=1, T400=1, U400=1, AND(W400&lt;&gt;"", W400&lt;&gt;"Oxygen", W400&lt;&gt;"LowFlow")), "Intensive", "Intermediate")</f>
      </c>
      <c r="AJ400" s="37">
        <f>IF(OR(LEFT(AH400, 1)="X", LEFT(AH400, 1)="Y", LEFT(AH400, 3)="J12M"), "CUSM", "No Match")</f>
      </c>
      <c r="AK400" s="37">
        <f>IF(AND(OR(O400=3, P400=1, Q400=1, T400=1), AJ400="no Match"), "CUSM, CHU SJ, CHUQ", "")</f>
      </c>
      <c r="AL400" s="37">
        <f>IF(AND(O400=2, ISBLANK(P400), ISBLANK(Q400), ISBLANK(R400), ISBLANK(S400), ISBLANK(T400)), "CUSM, CHU SJ, CHUS, CHUQ", "")</f>
      </c>
      <c r="AM400" s="37">
        <f>IF(AND(AJ400="no match", AK400="", AL400="", K400&lt;26), "CUSM, CHU SJ, HGJ, CHUQ, CHUS", "")</f>
      </c>
      <c r="AN400" s="37">
        <f>IF(AND(AJ400="no match", AK400="", AL400="", K400&gt;26), "CUSM, CHU SJ, HGJ, CHUQ, CHUS, HMR", "")</f>
      </c>
    </row>
    <row x14ac:dyDescent="0.25" r="401" customHeight="1" ht="17.25">
      <c r="A401" s="27" t="s">
        <v>878</v>
      </c>
      <c r="B401" s="28">
        <v>2</v>
      </c>
      <c r="C401" s="35">
        <v>824</v>
      </c>
      <c r="D401" s="29" t="s">
        <v>57</v>
      </c>
      <c r="E401" s="30" t="s">
        <v>54</v>
      </c>
      <c r="F401" s="31">
        <v>44780</v>
      </c>
      <c r="G401" s="32">
        <v>4.631944444444445</v>
      </c>
      <c r="H401" s="31">
        <v>44780</v>
      </c>
      <c r="I401" s="32">
        <v>4.345138888888889</v>
      </c>
      <c r="J401" s="33">
        <f>F401-H401</f>
      </c>
      <c r="K401" s="28">
        <v>41</v>
      </c>
      <c r="L401" s="28">
        <v>1</v>
      </c>
      <c r="M401" s="28">
        <v>2</v>
      </c>
      <c r="N401" s="34"/>
      <c r="O401" s="34"/>
      <c r="P401" s="34"/>
      <c r="Q401" s="34"/>
      <c r="R401" s="34"/>
      <c r="S401" s="34"/>
      <c r="T401" s="35">
        <v>1</v>
      </c>
      <c r="U401" s="34"/>
      <c r="V401" s="34"/>
      <c r="W401" s="29" t="s">
        <v>74</v>
      </c>
      <c r="X401" s="28">
        <v>31</v>
      </c>
      <c r="Y401" s="28">
        <v>1</v>
      </c>
      <c r="Z401" s="28">
        <v>1</v>
      </c>
      <c r="AA401" s="28">
        <v>3</v>
      </c>
      <c r="AB401" s="28">
        <v>1</v>
      </c>
      <c r="AC401" s="28">
        <v>1</v>
      </c>
      <c r="AD401" s="28">
        <v>2</v>
      </c>
      <c r="AE401" s="28">
        <v>4</v>
      </c>
      <c r="AF401" s="28">
        <v>3</v>
      </c>
      <c r="AG401" s="28">
        <v>2</v>
      </c>
      <c r="AH401" s="29" t="s">
        <v>879</v>
      </c>
      <c r="AI401" s="36">
        <f>IF(OR(AND(K401&lt;32, J401&lt;2), O401=1, P401=1, Q401=1, R401=1, S401=1, T401=1, U401=1, AND(W401&lt;&gt;"", W401&lt;&gt;"Oxygen", W401&lt;&gt;"LowFlow")), "Intensive", "Intermediate")</f>
      </c>
      <c r="AJ401" s="37">
        <f>IF(OR(LEFT(AH401, 1)="X", LEFT(AH401, 1)="Y", LEFT(AH401, 3)="J13M"), "CUSM", "No Match")</f>
      </c>
      <c r="AK401" s="37">
        <f>IF(AND(OR(O401=3, P401=1, Q401=1, T401=1), AJ401="no Match"), "CUSM, CHU SJ, CHUQ", "")</f>
      </c>
      <c r="AL401" s="37">
        <f>IF(AND(O401=2, ISBLANK(P401), ISBLANK(Q401), ISBLANK(R401), ISBLANK(S401), ISBLANK(T401)), "CUSM, CHU SJ, CHUS, CHUQ", "")</f>
      </c>
      <c r="AM401" s="37">
        <f>IF(AND(AJ401="no match", AK401="", AL401="", K401&lt;26), "CUSM, CHU SJ, HGJ, CHUQ, CHUS", "")</f>
      </c>
      <c r="AN401" s="37">
        <f>IF(AND(AJ401="no match", AK401="", AL401="", K401&gt;26), "CUSM, CHU SJ, HGJ, CHUQ, CHUS, HMR", "")</f>
      </c>
    </row>
    <row x14ac:dyDescent="0.25" r="402" customHeight="1" ht="17.25">
      <c r="A402" s="27" t="s">
        <v>880</v>
      </c>
      <c r="B402" s="28">
        <v>2</v>
      </c>
      <c r="C402" s="35">
        <v>831</v>
      </c>
      <c r="D402" s="29" t="s">
        <v>313</v>
      </c>
      <c r="E402" s="30" t="s">
        <v>54</v>
      </c>
      <c r="F402" s="31">
        <v>44780</v>
      </c>
      <c r="G402" s="40">
        <v>4.802083333333334</v>
      </c>
      <c r="H402" s="31">
        <v>44774</v>
      </c>
      <c r="I402" s="32">
        <v>4.50625</v>
      </c>
      <c r="J402" s="33">
        <f>F402-H402</f>
      </c>
      <c r="K402" s="28">
        <v>39</v>
      </c>
      <c r="L402" s="28">
        <v>0</v>
      </c>
      <c r="M402" s="28">
        <v>2</v>
      </c>
      <c r="N402" s="35">
        <v>1</v>
      </c>
      <c r="O402" s="34"/>
      <c r="P402" s="35">
        <v>1</v>
      </c>
      <c r="Q402" s="34"/>
      <c r="R402" s="34"/>
      <c r="S402" s="34"/>
      <c r="T402" s="34"/>
      <c r="U402" s="34"/>
      <c r="V402" s="34"/>
      <c r="W402" s="29"/>
      <c r="X402" s="28">
        <v>41</v>
      </c>
      <c r="Y402" s="28">
        <v>1</v>
      </c>
      <c r="Z402" s="28">
        <v>2</v>
      </c>
      <c r="AA402" s="28">
        <v>2</v>
      </c>
      <c r="AB402" s="28">
        <v>1</v>
      </c>
      <c r="AC402" s="28">
        <v>2</v>
      </c>
      <c r="AD402" s="28">
        <v>1</v>
      </c>
      <c r="AE402" s="28">
        <v>4</v>
      </c>
      <c r="AF402" s="28">
        <v>2</v>
      </c>
      <c r="AG402" s="28">
        <v>2</v>
      </c>
      <c r="AH402" s="29" t="s">
        <v>881</v>
      </c>
      <c r="AI402" s="36">
        <f>IF(OR(AND(K402&lt;32, J402&lt;2), O402=1, P402=1, Q402=1, R402=1, S402=1, T402=1, U402=1, AND(W402&lt;&gt;"", W402&lt;&gt;"Oxygen", W402&lt;&gt;"LowFlow")), "Intensive", "Intermediate")</f>
      </c>
      <c r="AJ402" s="37">
        <f>IF(OR(LEFT(AH402, 1)="X", LEFT(AH402, 1)="Y", LEFT(AH402, 3)="J14M"), "CUSM", "No Match")</f>
      </c>
      <c r="AK402" s="37">
        <f>IF(AND(OR(O402=3, P402=1, Q402=1, T402=1), AJ402="no Match"), "CUSM, CHU SJ, CHUQ", "")</f>
      </c>
      <c r="AL402" s="37">
        <f>IF(AND(O402=2, ISBLANK(P402), ISBLANK(Q402), ISBLANK(R402), ISBLANK(S402), ISBLANK(T402)), "CUSM, CHU SJ, CHUS, CHUQ", "")</f>
      </c>
      <c r="AM402" s="37">
        <f>IF(AND(AJ402="no match", AK402="", AL402="", K402&lt;26), "CUSM, CHU SJ, HGJ, CHUQ, CHUS", "")</f>
      </c>
      <c r="AN402" s="37">
        <f>IF(AND(AJ402="no match", AK402="", AL402="", K402&gt;26), "CUSM, CHU SJ, HGJ, CHUQ, CHUS, HMR", "")</f>
      </c>
    </row>
    <row x14ac:dyDescent="0.25" r="403" customHeight="1" ht="17.25">
      <c r="A403" s="27" t="s">
        <v>882</v>
      </c>
      <c r="B403" s="28">
        <v>2</v>
      </c>
      <c r="C403" s="28">
        <v>720</v>
      </c>
      <c r="D403" s="29" t="s">
        <v>626</v>
      </c>
      <c r="E403" s="30" t="s">
        <v>50</v>
      </c>
      <c r="F403" s="31">
        <v>44780</v>
      </c>
      <c r="G403" s="32">
        <v>4.666666666666666</v>
      </c>
      <c r="H403" s="31">
        <v>44780</v>
      </c>
      <c r="I403" s="32">
        <v>4.190972222222222</v>
      </c>
      <c r="J403" s="33">
        <f>F403-H403</f>
      </c>
      <c r="K403" s="28">
        <v>30</v>
      </c>
      <c r="L403" s="28">
        <v>3</v>
      </c>
      <c r="M403" s="28">
        <v>2</v>
      </c>
      <c r="N403" s="28">
        <v>1</v>
      </c>
      <c r="O403" s="34"/>
      <c r="P403" s="28">
        <v>1</v>
      </c>
      <c r="Q403" s="34"/>
      <c r="R403" s="34"/>
      <c r="S403" s="34"/>
      <c r="T403" s="34"/>
      <c r="U403" s="34"/>
      <c r="V403" s="34"/>
      <c r="W403" s="29" t="s">
        <v>74</v>
      </c>
      <c r="X403" s="28">
        <v>37</v>
      </c>
      <c r="Y403" s="28">
        <v>1</v>
      </c>
      <c r="Z403" s="28">
        <v>1</v>
      </c>
      <c r="AA403" s="28">
        <v>3</v>
      </c>
      <c r="AB403" s="28">
        <v>4</v>
      </c>
      <c r="AC403" s="28">
        <v>2</v>
      </c>
      <c r="AD403" s="28">
        <v>2</v>
      </c>
      <c r="AE403" s="28">
        <v>4</v>
      </c>
      <c r="AF403" s="28">
        <v>3</v>
      </c>
      <c r="AG403" s="28">
        <v>1</v>
      </c>
      <c r="AH403" s="29" t="s">
        <v>883</v>
      </c>
      <c r="AI403" s="36">
        <f>IF(OR(AND(K403&lt;32, J403&lt;2), O403=1, P403=1, Q403=1, R403=1, S403=1, T403=1, U403=1, AND(W403&lt;&gt;"", W403&lt;&gt;"Oxygen", W403&lt;&gt;"LowFlow")), "Intensive", "Intermediate")</f>
      </c>
      <c r="AJ403" s="37">
        <f>IF(OR(LEFT(AH403, 1)="X", LEFT(AH403, 1)="Y", LEFT(AH403, 3)="J15M"), "CUSM", "No Match")</f>
      </c>
      <c r="AK403" s="37">
        <f>IF(AND(OR(O403=3, P403=1, Q403=1, T403=1), AJ403="no Match"), "CUSM, CHU SJ, CHUQ", "")</f>
      </c>
      <c r="AL403" s="37">
        <f>IF(AND(O403=2, ISBLANK(P403), ISBLANK(Q403), ISBLANK(R403), ISBLANK(S403), ISBLANK(T403)), "CUSM, CHU SJ, CHUS, CHUQ", "")</f>
      </c>
      <c r="AM403" s="37">
        <f>IF(AND(AJ403="no match", AK403="", AL403="", K403&lt;26), "CUSM, CHU SJ, HGJ, CHUQ, CHUS", "")</f>
      </c>
      <c r="AN403" s="37">
        <f>IF(AND(AJ403="no match", AK403="", AL403="", K403&gt;26), "CUSM, CHU SJ, HGJ, CHUQ, CHUS, HMR", "")</f>
      </c>
    </row>
    <row x14ac:dyDescent="0.25" r="404" customHeight="1" ht="17.25">
      <c r="A404" s="27" t="s">
        <v>884</v>
      </c>
      <c r="B404" s="28">
        <v>2</v>
      </c>
      <c r="C404" s="28">
        <v>730</v>
      </c>
      <c r="D404" s="29" t="s">
        <v>81</v>
      </c>
      <c r="E404" s="30" t="s">
        <v>50</v>
      </c>
      <c r="F404" s="31">
        <v>44781</v>
      </c>
      <c r="G404" s="32">
        <v>4.885416666666666</v>
      </c>
      <c r="H404" s="31">
        <v>44781</v>
      </c>
      <c r="I404" s="32">
        <v>4.750694444444445</v>
      </c>
      <c r="J404" s="33">
        <f>F404-H404</f>
      </c>
      <c r="K404" s="28">
        <v>38</v>
      </c>
      <c r="L404" s="28">
        <v>2</v>
      </c>
      <c r="M404" s="28">
        <v>1</v>
      </c>
      <c r="N404" s="38"/>
      <c r="O404" s="34"/>
      <c r="P404" s="38"/>
      <c r="Q404" s="34"/>
      <c r="R404" s="34"/>
      <c r="S404" s="34"/>
      <c r="T404" s="35">
        <v>1</v>
      </c>
      <c r="U404" s="34"/>
      <c r="V404" s="34"/>
      <c r="W404" s="29"/>
      <c r="X404" s="28">
        <v>42</v>
      </c>
      <c r="Y404" s="28">
        <v>1</v>
      </c>
      <c r="Z404" s="28">
        <v>1</v>
      </c>
      <c r="AA404" s="28">
        <v>1</v>
      </c>
      <c r="AB404" s="28">
        <v>1</v>
      </c>
      <c r="AC404" s="28">
        <v>1</v>
      </c>
      <c r="AD404" s="28">
        <v>2</v>
      </c>
      <c r="AE404" s="28">
        <v>4</v>
      </c>
      <c r="AF404" s="28">
        <v>1</v>
      </c>
      <c r="AG404" s="28">
        <v>2</v>
      </c>
      <c r="AH404" s="29" t="s">
        <v>885</v>
      </c>
      <c r="AI404" s="36">
        <f>IF(OR(AND(K404&lt;32, J404&lt;2), O404=1, P404=1, Q404=1, R404=1, S404=1, T404=1, U404=1, AND(W404&lt;&gt;"", W404&lt;&gt;"Oxygen", W404&lt;&gt;"LowFlow")), "Intensive", "Intermediate")</f>
      </c>
      <c r="AJ404" s="37">
        <f>IF(OR(LEFT(AH404, 1)="X", LEFT(AH404, 1)="Y", LEFT(AH404, 3)="J16M"), "CUSM", "No Match")</f>
      </c>
      <c r="AK404" s="37">
        <f>IF(AND(OR(O404=3, P404=1, Q404=1, T404=1), AJ404="no Match"), "CUSM, CHU SJ, CHUQ", "")</f>
      </c>
      <c r="AL404" s="37">
        <f>IF(AND(O404=2, ISBLANK(P404), ISBLANK(Q404), ISBLANK(R404), ISBLANK(S404), ISBLANK(T404)), "CUSM, CHU SJ, CHUS, CHUQ", "")</f>
      </c>
      <c r="AM404" s="37">
        <f>IF(AND(AJ404="no match", AK404="", AL404="", K404&lt;26), "CUSM, CHU SJ, HGJ, CHUQ, CHUS", "")</f>
      </c>
      <c r="AN404" s="37">
        <f>IF(AND(AJ404="no match", AK404="", AL404="", K404&gt;26), "CUSM, CHU SJ, HGJ, CHUQ, CHUS, HMR", "")</f>
      </c>
    </row>
    <row x14ac:dyDescent="0.25" r="405" customHeight="1" ht="17.25">
      <c r="A405" s="27" t="s">
        <v>886</v>
      </c>
      <c r="B405" s="28">
        <v>2</v>
      </c>
      <c r="C405" s="28">
        <v>779</v>
      </c>
      <c r="D405" s="29" t="s">
        <v>136</v>
      </c>
      <c r="E405" s="30" t="s">
        <v>54</v>
      </c>
      <c r="F405" s="31">
        <v>44782</v>
      </c>
      <c r="G405" s="32">
        <v>4.5625</v>
      </c>
      <c r="H405" s="31">
        <v>44782</v>
      </c>
      <c r="I405" s="32">
        <v>4.309722222222222</v>
      </c>
      <c r="J405" s="33">
        <f>F405-H405</f>
      </c>
      <c r="K405" s="28">
        <v>40</v>
      </c>
      <c r="L405" s="28">
        <v>1</v>
      </c>
      <c r="M405" s="28">
        <v>1</v>
      </c>
      <c r="N405" s="35">
        <v>1</v>
      </c>
      <c r="O405" s="34"/>
      <c r="P405" s="35">
        <v>1</v>
      </c>
      <c r="Q405" s="34"/>
      <c r="R405" s="34"/>
      <c r="S405" s="34"/>
      <c r="T405" s="35">
        <v>1</v>
      </c>
      <c r="U405" s="34"/>
      <c r="V405" s="34"/>
      <c r="W405" s="29" t="s">
        <v>70</v>
      </c>
      <c r="X405" s="28">
        <v>35</v>
      </c>
      <c r="Y405" s="28">
        <v>1</v>
      </c>
      <c r="Z405" s="28">
        <v>1</v>
      </c>
      <c r="AA405" s="28">
        <v>2</v>
      </c>
      <c r="AB405" s="28">
        <v>1</v>
      </c>
      <c r="AC405" s="28">
        <v>2</v>
      </c>
      <c r="AD405" s="28">
        <v>2</v>
      </c>
      <c r="AE405" s="28">
        <v>4</v>
      </c>
      <c r="AF405" s="28">
        <v>2</v>
      </c>
      <c r="AG405" s="28">
        <v>2</v>
      </c>
      <c r="AH405" s="29" t="s">
        <v>887</v>
      </c>
      <c r="AI405" s="36">
        <f>IF(OR(AND(K405&lt;32, J405&lt;2), O405=1, P405=1, Q405=1, R405=1, S405=1, T405=1, U405=1, AND(W405&lt;&gt;"", W405&lt;&gt;"Oxygen", W405&lt;&gt;"LowFlow")), "Intensive", "Intermediate")</f>
      </c>
      <c r="AJ405" s="37">
        <f>IF(OR(LEFT(AH405, 1)="X", LEFT(AH405, 1)="Y", LEFT(AH405, 3)="J17M"), "CUSM", "No Match")</f>
      </c>
      <c r="AK405" s="37">
        <f>IF(AND(OR(O405=3, P405=1, Q405=1, T405=1), AJ405="no Match"), "CUSM, CHU SJ, CHUQ", "")</f>
      </c>
      <c r="AL405" s="37">
        <f>IF(AND(O405=2, ISBLANK(P405), ISBLANK(Q405), ISBLANK(R405), ISBLANK(S405), ISBLANK(T405)), "CUSM, CHU SJ, CHUS, CHUQ", "")</f>
      </c>
      <c r="AM405" s="37">
        <f>IF(AND(AJ405="no match", AK405="", AL405="", K405&lt;26), "CUSM, CHU SJ, HGJ, CHUQ, CHUS", "")</f>
      </c>
      <c r="AN405" s="37">
        <f>IF(AND(AJ405="no match", AK405="", AL405="", K405&gt;26), "CUSM, CHU SJ, HGJ, CHUQ, CHUS, HMR", "")</f>
      </c>
    </row>
    <row x14ac:dyDescent="0.25" r="406" customHeight="1" ht="17.25">
      <c r="A406" s="27" t="s">
        <v>888</v>
      </c>
      <c r="B406" s="28">
        <v>2</v>
      </c>
      <c r="C406" s="28">
        <v>833</v>
      </c>
      <c r="D406" s="29" t="s">
        <v>376</v>
      </c>
      <c r="E406" s="30" t="s">
        <v>50</v>
      </c>
      <c r="F406" s="31">
        <v>44783</v>
      </c>
      <c r="G406" s="32">
        <v>4.4375</v>
      </c>
      <c r="H406" s="31">
        <v>44781</v>
      </c>
      <c r="I406" s="32">
        <v>4.561805555555555</v>
      </c>
      <c r="J406" s="33">
        <f>F406-H406</f>
      </c>
      <c r="K406" s="28">
        <v>39</v>
      </c>
      <c r="L406" s="28">
        <v>2</v>
      </c>
      <c r="M406" s="28">
        <v>1</v>
      </c>
      <c r="N406" s="34"/>
      <c r="O406" s="34"/>
      <c r="P406" s="34"/>
      <c r="Q406" s="34"/>
      <c r="R406" s="34"/>
      <c r="S406" s="34"/>
      <c r="T406" s="34"/>
      <c r="U406" s="34"/>
      <c r="V406" s="34"/>
      <c r="W406" s="29" t="s">
        <v>106</v>
      </c>
      <c r="X406" s="28">
        <v>37</v>
      </c>
      <c r="Y406" s="28">
        <v>1</v>
      </c>
      <c r="Z406" s="28">
        <v>1</v>
      </c>
      <c r="AA406" s="28">
        <v>3</v>
      </c>
      <c r="AB406" s="28">
        <v>1</v>
      </c>
      <c r="AC406" s="28">
        <v>2</v>
      </c>
      <c r="AD406" s="28">
        <v>2</v>
      </c>
      <c r="AE406" s="28">
        <v>4</v>
      </c>
      <c r="AF406" s="28">
        <v>2</v>
      </c>
      <c r="AG406" s="28">
        <v>2</v>
      </c>
      <c r="AH406" s="29" t="s">
        <v>889</v>
      </c>
      <c r="AI406" s="36">
        <f>IF(OR(AND(K406&lt;32, J406&lt;2), O406=1, P406=1, Q406=1, R406=1, S406=1, T406=1, U406=1, AND(W406&lt;&gt;"", W406&lt;&gt;"Oxygen", W406&lt;&gt;"LowFlow")), "Intensive", "Intermediate")</f>
      </c>
      <c r="AJ406" s="37">
        <f>IF(OR(LEFT(AH406, 1)="X", LEFT(AH406, 1)="Y", LEFT(AH406, 3)="J18M"), "CUSM", "No Match")</f>
      </c>
      <c r="AK406" s="37">
        <f>IF(AND(OR(O406=3, P406=1, Q406=1, T406=1), AJ406="no Match"), "CUSM, CHU SJ, CHUQ", "")</f>
      </c>
      <c r="AL406" s="37">
        <f>IF(AND(O406=2, ISBLANK(P406), ISBLANK(Q406), ISBLANK(R406), ISBLANK(S406), ISBLANK(T406)), "CUSM, CHU SJ, CHUS, CHUQ", "")</f>
      </c>
      <c r="AM406" s="37">
        <f>IF(AND(AJ406="no match", AK406="", AL406="", K406&lt;26), "CUSM, CHU SJ, HGJ, CHUQ, CHUS", "")</f>
      </c>
      <c r="AN406" s="37">
        <f>IF(AND(AJ406="no match", AK406="", AL406="", K406&gt;26), "CUSM, CHU SJ, HGJ, CHUQ, CHUS, HMR", "")</f>
      </c>
    </row>
    <row x14ac:dyDescent="0.25" r="407" customHeight="1" ht="17.25">
      <c r="A407" s="27" t="s">
        <v>890</v>
      </c>
      <c r="B407" s="28">
        <v>2</v>
      </c>
      <c r="C407" s="28">
        <v>824</v>
      </c>
      <c r="D407" s="29" t="s">
        <v>57</v>
      </c>
      <c r="E407" s="30" t="s">
        <v>54</v>
      </c>
      <c r="F407" s="31">
        <v>44784</v>
      </c>
      <c r="G407" s="32">
        <v>4.708333333333334</v>
      </c>
      <c r="H407" s="31">
        <v>44783</v>
      </c>
      <c r="I407" s="32">
        <v>4.696527777777778</v>
      </c>
      <c r="J407" s="33">
        <f>F407-H407</f>
      </c>
      <c r="K407" s="28">
        <v>38</v>
      </c>
      <c r="L407" s="28">
        <v>6</v>
      </c>
      <c r="M407" s="28">
        <v>2</v>
      </c>
      <c r="N407" s="35">
        <v>1</v>
      </c>
      <c r="O407" s="34"/>
      <c r="P407" s="35">
        <v>1</v>
      </c>
      <c r="Q407" s="34"/>
      <c r="R407" s="34"/>
      <c r="S407" s="34"/>
      <c r="T407" s="34"/>
      <c r="U407" s="34"/>
      <c r="V407" s="34"/>
      <c r="W407" s="29"/>
      <c r="X407" s="28">
        <v>37</v>
      </c>
      <c r="Y407" s="28">
        <v>1</v>
      </c>
      <c r="Z407" s="28">
        <v>1</v>
      </c>
      <c r="AA407" s="28">
        <v>2</v>
      </c>
      <c r="AB407" s="28">
        <v>1</v>
      </c>
      <c r="AC407" s="28">
        <v>2</v>
      </c>
      <c r="AD407" s="28">
        <v>2</v>
      </c>
      <c r="AE407" s="28">
        <v>4</v>
      </c>
      <c r="AF407" s="28">
        <v>2</v>
      </c>
      <c r="AG407" s="28">
        <v>2</v>
      </c>
      <c r="AH407" s="29" t="s">
        <v>891</v>
      </c>
      <c r="AI407" s="36">
        <f>IF(OR(AND(K407&lt;32, J407&lt;2), O407=1, P407=1, Q407=1, R407=1, S407=1, T407=1, U407=1, AND(W407&lt;&gt;"", W407&lt;&gt;"Oxygen", W407&lt;&gt;"LowFlow")), "Intensive", "Intermediate")</f>
      </c>
      <c r="AJ407" s="37">
        <f>IF(OR(LEFT(AH407, 1)="X", LEFT(AH407, 1)="Y", LEFT(AH407, 3)="J19M"), "CUSM", "No Match")</f>
      </c>
      <c r="AK407" s="37">
        <f>IF(AND(OR(O407=3, P407=1, Q407=1, T407=1), AJ407="no Match"), "CUSM, CHU SJ, CHUQ", "")</f>
      </c>
      <c r="AL407" s="37">
        <f>IF(AND(O407=2, ISBLANK(P407), ISBLANK(Q407), ISBLANK(R407), ISBLANK(S407), ISBLANK(T407)), "CUSM, CHU SJ, CHUS, CHUQ", "")</f>
      </c>
      <c r="AM407" s="37">
        <f>IF(AND(AJ407="no match", AK407="", AL407="", K407&lt;26), "CUSM, CHU SJ, HGJ, CHUQ, CHUS", "")</f>
      </c>
      <c r="AN407" s="37">
        <f>IF(AND(AJ407="no match", AK407="", AL407="", K407&gt;26), "CUSM, CHU SJ, HGJ, CHUQ, CHUS, HMR", "")</f>
      </c>
    </row>
    <row x14ac:dyDescent="0.25" r="408" customHeight="1" ht="17.25">
      <c r="A408" s="27" t="s">
        <v>892</v>
      </c>
      <c r="B408" s="28">
        <v>2</v>
      </c>
      <c r="C408" s="28">
        <v>761</v>
      </c>
      <c r="D408" s="29" t="s">
        <v>746</v>
      </c>
      <c r="E408" s="30" t="s">
        <v>50</v>
      </c>
      <c r="F408" s="31">
        <v>44784</v>
      </c>
      <c r="G408" s="32">
        <v>4.910416666666666</v>
      </c>
      <c r="H408" s="31">
        <v>44781</v>
      </c>
      <c r="I408" s="32">
        <v>4.384722222222223</v>
      </c>
      <c r="J408" s="33">
        <f>F408-H408</f>
      </c>
      <c r="K408" s="28">
        <v>39</v>
      </c>
      <c r="L408" s="28">
        <v>1</v>
      </c>
      <c r="M408" s="28">
        <v>1</v>
      </c>
      <c r="N408" s="35">
        <v>1</v>
      </c>
      <c r="O408" s="34"/>
      <c r="P408" s="34"/>
      <c r="Q408" s="34"/>
      <c r="R408" s="34"/>
      <c r="S408" s="34"/>
      <c r="T408" s="34"/>
      <c r="U408" s="34"/>
      <c r="V408" s="34"/>
      <c r="W408" s="29"/>
      <c r="X408" s="28">
        <v>22</v>
      </c>
      <c r="Y408" s="28">
        <v>1</v>
      </c>
      <c r="Z408" s="28">
        <v>2</v>
      </c>
      <c r="AA408" s="28">
        <v>2</v>
      </c>
      <c r="AB408" s="28">
        <v>1</v>
      </c>
      <c r="AC408" s="28">
        <v>2</v>
      </c>
      <c r="AD408" s="28">
        <v>1</v>
      </c>
      <c r="AE408" s="28">
        <v>4</v>
      </c>
      <c r="AF408" s="28">
        <v>2</v>
      </c>
      <c r="AG408" s="28">
        <v>2</v>
      </c>
      <c r="AH408" s="29" t="s">
        <v>747</v>
      </c>
      <c r="AI408" s="36">
        <f>IF(OR(AND(K408&lt;32, J408&lt;2), O408=1, P408=1, Q408=1, R408=1, S408=1, T408=1, U408=1, AND(W408&lt;&gt;"", W408&lt;&gt;"Oxygen", W408&lt;&gt;"LowFlow")), "Intensive", "Intermediate")</f>
      </c>
      <c r="AJ408" s="37">
        <f>IF(OR(LEFT(AH408, 1)="X", LEFT(AH408, 1)="Y", LEFT(AH408, 3)="J20M"), "CUSM", "No Match")</f>
      </c>
      <c r="AK408" s="37">
        <f>IF(AND(OR(O408=3, P408=1, Q408=1, T408=1), AJ408="no Match"), "CUSM, CHU SJ, CHUQ", "")</f>
      </c>
      <c r="AL408" s="37">
        <f>IF(AND(O408=2, ISBLANK(P408), ISBLANK(Q408), ISBLANK(R408), ISBLANK(S408), ISBLANK(T408)), "CUSM, CHU SJ, CHUS, CHUQ", "")</f>
      </c>
      <c r="AM408" s="37">
        <f>IF(AND(AJ408="no match", AK408="", AL408="", K408&lt;26), "CUSM, CHU SJ, HGJ, CHUQ, CHUS", "")</f>
      </c>
      <c r="AN408" s="37">
        <f>IF(AND(AJ408="no match", AK408="", AL408="", K408&gt;26), "CUSM, CHU SJ, HGJ, CHUQ, CHUS, HMR", "")</f>
      </c>
    </row>
    <row x14ac:dyDescent="0.25" r="409" customHeight="1" ht="17.25">
      <c r="A409" s="27" t="s">
        <v>893</v>
      </c>
      <c r="B409" s="28">
        <v>2</v>
      </c>
      <c r="C409" s="35">
        <v>730</v>
      </c>
      <c r="D409" s="29" t="s">
        <v>81</v>
      </c>
      <c r="E409" s="30" t="s">
        <v>50</v>
      </c>
      <c r="F409" s="31">
        <v>44785</v>
      </c>
      <c r="G409" s="32">
        <v>4.979166666666666</v>
      </c>
      <c r="H409" s="31">
        <v>44785</v>
      </c>
      <c r="I409" s="32">
        <v>4.594444444444445</v>
      </c>
      <c r="J409" s="33">
        <f>F409-H409</f>
      </c>
      <c r="K409" s="28">
        <v>41</v>
      </c>
      <c r="L409" s="28">
        <v>2</v>
      </c>
      <c r="M409" s="28">
        <v>1</v>
      </c>
      <c r="N409" s="34"/>
      <c r="O409" s="34"/>
      <c r="P409" s="34"/>
      <c r="Q409" s="34"/>
      <c r="R409" s="34"/>
      <c r="S409" s="34"/>
      <c r="T409" s="34"/>
      <c r="U409" s="34"/>
      <c r="V409" s="34"/>
      <c r="W409" s="29" t="s">
        <v>74</v>
      </c>
      <c r="X409" s="28">
        <v>33</v>
      </c>
      <c r="Y409" s="28">
        <v>1</v>
      </c>
      <c r="Z409" s="28">
        <v>2</v>
      </c>
      <c r="AA409" s="28">
        <v>1</v>
      </c>
      <c r="AB409" s="28">
        <v>1</v>
      </c>
      <c r="AC409" s="28">
        <v>2</v>
      </c>
      <c r="AD409" s="28">
        <v>2</v>
      </c>
      <c r="AE409" s="28">
        <v>4</v>
      </c>
      <c r="AF409" s="28">
        <v>2</v>
      </c>
      <c r="AG409" s="28">
        <v>2</v>
      </c>
      <c r="AH409" s="29" t="s">
        <v>894</v>
      </c>
      <c r="AI409" s="36">
        <f>IF(OR(AND(K409&lt;32, J409&lt;2), O409=1, P409=1, Q409=1, R409=1, S409=1, T409=1, U409=1, AND(W409&lt;&gt;"", W409&lt;&gt;"Oxygen", W409&lt;&gt;"LowFlow")), "Intensive", "Intermediate")</f>
      </c>
      <c r="AJ409" s="37">
        <f>IF(OR(LEFT(AH409, 1)="X", LEFT(AH409, 1)="Y", LEFT(AH409, 3)="J21M"), "CUSM", "No Match")</f>
      </c>
      <c r="AK409" s="37">
        <f>IF(AND(OR(O409=3, P409=1, Q409=1, T409=1), AJ409="no Match"), "CUSM, CHU SJ, CHUQ", "")</f>
      </c>
      <c r="AL409" s="37">
        <f>IF(AND(O409=2, ISBLANK(P409), ISBLANK(Q409), ISBLANK(R409), ISBLANK(S409), ISBLANK(T409)), "CUSM, CHU SJ, CHUS, CHUQ", "")</f>
      </c>
      <c r="AM409" s="37">
        <f>IF(AND(AJ409="no match", AK409="", AL409="", K409&lt;26), "CUSM, CHU SJ, HGJ, CHUQ, CHUS", "")</f>
      </c>
      <c r="AN409" s="37">
        <f>IF(AND(AJ409="no match", AK409="", AL409="", K409&gt;26), "CUSM, CHU SJ, HGJ, CHUQ, CHUS, HMR", "")</f>
      </c>
    </row>
    <row x14ac:dyDescent="0.25" r="410" customHeight="1" ht="17.25">
      <c r="A410" s="27" t="s">
        <v>895</v>
      </c>
      <c r="B410" s="28">
        <v>2</v>
      </c>
      <c r="C410" s="35">
        <v>820</v>
      </c>
      <c r="D410" s="29" t="s">
        <v>69</v>
      </c>
      <c r="E410" s="30" t="s">
        <v>54</v>
      </c>
      <c r="F410" s="31">
        <v>44786</v>
      </c>
      <c r="G410" s="32">
        <v>4.604166666666666</v>
      </c>
      <c r="H410" s="31">
        <v>44782</v>
      </c>
      <c r="I410" s="32">
        <v>4.490277777777777</v>
      </c>
      <c r="J410" s="33">
        <f>F410-H410</f>
      </c>
      <c r="K410" s="28">
        <v>41</v>
      </c>
      <c r="L410" s="28">
        <v>0</v>
      </c>
      <c r="M410" s="28">
        <v>1</v>
      </c>
      <c r="N410" s="28">
        <v>1</v>
      </c>
      <c r="O410" s="34"/>
      <c r="P410" s="35">
        <v>1</v>
      </c>
      <c r="Q410" s="34"/>
      <c r="R410" s="34"/>
      <c r="S410" s="34"/>
      <c r="T410" s="34"/>
      <c r="U410" s="34"/>
      <c r="V410" s="34"/>
      <c r="W410" s="29" t="s">
        <v>58</v>
      </c>
      <c r="X410" s="28">
        <v>39</v>
      </c>
      <c r="Y410" s="28">
        <v>1</v>
      </c>
      <c r="Z410" s="28">
        <v>1</v>
      </c>
      <c r="AA410" s="28">
        <v>3</v>
      </c>
      <c r="AB410" s="28">
        <v>1</v>
      </c>
      <c r="AC410" s="28">
        <v>2</v>
      </c>
      <c r="AD410" s="28">
        <v>2</v>
      </c>
      <c r="AE410" s="28">
        <v>4</v>
      </c>
      <c r="AF410" s="28">
        <v>3</v>
      </c>
      <c r="AG410" s="28">
        <v>2</v>
      </c>
      <c r="AH410" s="29" t="s">
        <v>896</v>
      </c>
      <c r="AI410" s="36">
        <f>IF(OR(AND(K410&lt;32, J410&lt;2), O410=1, P410=1, Q410=1, R410=1, S410=1, T410=1, U410=1, AND(W410&lt;&gt;"", W410&lt;&gt;"Oxygen", W410&lt;&gt;"LowFlow")), "Intensive", "Intermediate")</f>
      </c>
      <c r="AJ410" s="37">
        <f>IF(OR(LEFT(AH410, 1)="X", LEFT(AH410, 1)="Y", LEFT(AH410, 3)="J22M"), "CUSM", "No Match")</f>
      </c>
      <c r="AK410" s="37">
        <f>IF(AND(OR(O410=3, P410=1, Q410=1, T410=1), AJ410="no Match"), "CUSM, CHU SJ, CHUQ", "")</f>
      </c>
      <c r="AL410" s="37">
        <f>IF(AND(O410=2, ISBLANK(P410), ISBLANK(Q410), ISBLANK(R410), ISBLANK(S410), ISBLANK(T410)), "CUSM, CHU SJ, CHUS, CHUQ", "")</f>
      </c>
      <c r="AM410" s="37">
        <f>IF(AND(AJ410="no match", AK410="", AL410="", K410&lt;26), "CUSM, CHU SJ, HGJ, CHUQ, CHUS", "")</f>
      </c>
      <c r="AN410" s="37">
        <f>IF(AND(AJ410="no match", AK410="", AL410="", K410&gt;26), "CUSM, CHU SJ, HGJ, CHUQ, CHUS, HMR", "")</f>
      </c>
    </row>
    <row x14ac:dyDescent="0.25" r="411" customHeight="1" ht="17.25">
      <c r="A411" s="27" t="s">
        <v>897</v>
      </c>
      <c r="B411" s="28">
        <v>2</v>
      </c>
      <c r="C411" s="35">
        <v>796</v>
      </c>
      <c r="D411" s="29" t="s">
        <v>63</v>
      </c>
      <c r="E411" s="30" t="s">
        <v>54</v>
      </c>
      <c r="F411" s="31">
        <v>44787</v>
      </c>
      <c r="G411" s="32">
        <v>4.4375</v>
      </c>
      <c r="H411" s="31">
        <v>44787</v>
      </c>
      <c r="I411" s="32">
        <v>4.217361111111111</v>
      </c>
      <c r="J411" s="33">
        <f>F411-H411</f>
      </c>
      <c r="K411" s="28">
        <v>41</v>
      </c>
      <c r="L411" s="28">
        <v>2</v>
      </c>
      <c r="M411" s="28">
        <v>2</v>
      </c>
      <c r="N411" s="35">
        <v>1</v>
      </c>
      <c r="O411" s="34"/>
      <c r="P411" s="34"/>
      <c r="Q411" s="34"/>
      <c r="R411" s="34"/>
      <c r="S411" s="34"/>
      <c r="T411" s="34"/>
      <c r="U411" s="34"/>
      <c r="V411" s="34"/>
      <c r="W411" s="29" t="s">
        <v>58</v>
      </c>
      <c r="X411" s="28">
        <v>23</v>
      </c>
      <c r="Y411" s="28">
        <v>1</v>
      </c>
      <c r="Z411" s="28">
        <v>1</v>
      </c>
      <c r="AA411" s="28">
        <v>2</v>
      </c>
      <c r="AB411" s="28">
        <v>1</v>
      </c>
      <c r="AC411" s="28">
        <v>1</v>
      </c>
      <c r="AD411" s="28">
        <v>2</v>
      </c>
      <c r="AE411" s="28">
        <v>4</v>
      </c>
      <c r="AF411" s="28">
        <v>2</v>
      </c>
      <c r="AG411" s="28">
        <v>2</v>
      </c>
      <c r="AH411" s="29" t="s">
        <v>898</v>
      </c>
      <c r="AI411" s="36">
        <f>IF(OR(AND(K411&lt;32, J411&lt;2), O411=1, P411=1, Q411=1, R411=1, S411=1, T411=1, U411=1, AND(W411&lt;&gt;"", W411&lt;&gt;"Oxygen", W411&lt;&gt;"LowFlow")), "Intensive", "Intermediate")</f>
      </c>
      <c r="AJ411" s="37">
        <f>IF(OR(LEFT(AH411, 1)="X", LEFT(AH411, 1)="Y", LEFT(AH411, 3)="J23M"), "CUSM", "No Match")</f>
      </c>
      <c r="AK411" s="37">
        <f>IF(AND(OR(O411=3, P411=1, Q411=1, T411=1), AJ411="no Match"), "CUSM, CHU SJ, CHUQ", "")</f>
      </c>
      <c r="AL411" s="37">
        <f>IF(AND(O411=2, ISBLANK(P411), ISBLANK(Q411), ISBLANK(R411), ISBLANK(S411), ISBLANK(T411)), "CUSM, CHU SJ, CHUS, CHUQ", "")</f>
      </c>
      <c r="AM411" s="37">
        <f>IF(AND(AJ411="no match", AK411="", AL411="", K411&lt;26), "CUSM, CHU SJ, HGJ, CHUQ, CHUS", "")</f>
      </c>
      <c r="AN411" s="37">
        <f>IF(AND(AJ411="no match", AK411="", AL411="", K411&gt;26), "CUSM, CHU SJ, HGJ, CHUQ, CHUS, HMR", "")</f>
      </c>
    </row>
    <row x14ac:dyDescent="0.25" r="412" customHeight="1" ht="17.25">
      <c r="A412" s="27" t="s">
        <v>899</v>
      </c>
      <c r="B412" s="28">
        <v>2</v>
      </c>
      <c r="C412" s="35">
        <v>831</v>
      </c>
      <c r="D412" s="29" t="s">
        <v>313</v>
      </c>
      <c r="E412" s="30" t="s">
        <v>54</v>
      </c>
      <c r="F412" s="31">
        <v>44787</v>
      </c>
      <c r="G412" s="32">
        <v>4.8125</v>
      </c>
      <c r="H412" s="31">
        <v>44787</v>
      </c>
      <c r="I412" s="32">
        <v>4.572222222222223</v>
      </c>
      <c r="J412" s="33">
        <f>F412-H412</f>
      </c>
      <c r="K412" s="28">
        <v>31</v>
      </c>
      <c r="L412" s="28">
        <v>1</v>
      </c>
      <c r="M412" s="28">
        <v>2</v>
      </c>
      <c r="N412" s="34"/>
      <c r="O412" s="34"/>
      <c r="P412" s="34"/>
      <c r="Q412" s="34"/>
      <c r="R412" s="34"/>
      <c r="S412" s="34"/>
      <c r="T412" s="34"/>
      <c r="U412" s="34"/>
      <c r="V412" s="34"/>
      <c r="W412" s="29" t="s">
        <v>74</v>
      </c>
      <c r="X412" s="28">
        <v>38</v>
      </c>
      <c r="Y412" s="28">
        <v>1</v>
      </c>
      <c r="Z412" s="28">
        <v>2</v>
      </c>
      <c r="AA412" s="28">
        <v>3</v>
      </c>
      <c r="AB412" s="28">
        <v>1</v>
      </c>
      <c r="AC412" s="28">
        <v>2</v>
      </c>
      <c r="AD412" s="28">
        <v>2</v>
      </c>
      <c r="AE412" s="28">
        <v>4</v>
      </c>
      <c r="AF412" s="28">
        <v>2</v>
      </c>
      <c r="AG412" s="28">
        <v>2</v>
      </c>
      <c r="AH412" s="29" t="s">
        <v>900</v>
      </c>
      <c r="AI412" s="36">
        <f>IF(OR(AND(K412&lt;32, J412&lt;2), O412=1, P412=1, Q412=1, R412=1, S412=1, T412=1, U412=1, AND(W412&lt;&gt;"", W412&lt;&gt;"Oxygen", W412&lt;&gt;"LowFlow")), "Intensive", "Intermediate")</f>
      </c>
      <c r="AJ412" s="37">
        <f>IF(OR(LEFT(AH412, 1)="X", LEFT(AH412, 1)="Y", LEFT(AH412, 3)="J24M"), "CUSM", "No Match")</f>
      </c>
      <c r="AK412" s="37">
        <f>IF(AND(OR(O412=3, P412=1, Q412=1, T412=1), AJ412="no Match"), "CUSM, CHU SJ, CHUQ", "")</f>
      </c>
      <c r="AL412" s="37">
        <f>IF(AND(O412=2, ISBLANK(P412), ISBLANK(Q412), ISBLANK(R412), ISBLANK(S412), ISBLANK(T412)), "CUSM, CHU SJ, CHUS, CHUQ", "")</f>
      </c>
      <c r="AM412" s="37">
        <f>IF(AND(AJ412="no match", AK412="", AL412="", K412&lt;26), "CUSM, CHU SJ, HGJ, CHUQ, CHUS", "")</f>
      </c>
      <c r="AN412" s="37">
        <f>IF(AND(AJ412="no match", AK412="", AL412="", K412&gt;26), "CUSM, CHU SJ, HGJ, CHUQ, CHUS, HMR", "")</f>
      </c>
    </row>
    <row x14ac:dyDescent="0.25" r="413" customHeight="1" ht="17.25">
      <c r="A413" s="27" t="s">
        <v>901</v>
      </c>
      <c r="B413" s="28">
        <v>2</v>
      </c>
      <c r="C413" s="28">
        <v>735</v>
      </c>
      <c r="D413" s="29" t="s">
        <v>49</v>
      </c>
      <c r="E413" s="30" t="s">
        <v>50</v>
      </c>
      <c r="F413" s="31">
        <v>44787</v>
      </c>
      <c r="G413" s="32">
        <v>4.611111111111111</v>
      </c>
      <c r="H413" s="31">
        <v>44784</v>
      </c>
      <c r="I413" s="32">
        <v>4.560416666666667</v>
      </c>
      <c r="J413" s="33">
        <f>F413-H413</f>
      </c>
      <c r="K413" s="28">
        <v>35</v>
      </c>
      <c r="L413" s="28">
        <v>6</v>
      </c>
      <c r="M413" s="28">
        <v>1</v>
      </c>
      <c r="N413" s="28">
        <v>1</v>
      </c>
      <c r="O413" s="35">
        <v>2</v>
      </c>
      <c r="P413" s="38"/>
      <c r="Q413" s="35">
        <v>1</v>
      </c>
      <c r="R413" s="34"/>
      <c r="S413" s="34"/>
      <c r="T413" s="34"/>
      <c r="U413" s="34"/>
      <c r="V413" s="34"/>
      <c r="W413" s="29"/>
      <c r="X413" s="28">
        <v>25</v>
      </c>
      <c r="Y413" s="28">
        <v>1</v>
      </c>
      <c r="Z413" s="28">
        <v>1</v>
      </c>
      <c r="AA413" s="28">
        <v>2</v>
      </c>
      <c r="AB413" s="28">
        <v>1</v>
      </c>
      <c r="AC413" s="28">
        <v>2</v>
      </c>
      <c r="AD413" s="28">
        <v>1</v>
      </c>
      <c r="AE413" s="28">
        <v>4</v>
      </c>
      <c r="AF413" s="28">
        <v>2</v>
      </c>
      <c r="AG413" s="28">
        <v>2</v>
      </c>
      <c r="AH413" s="29" t="s">
        <v>902</v>
      </c>
      <c r="AI413" s="36">
        <f>IF(OR(AND(K413&lt;32, J413&lt;2), O413=1, P413=1, Q413=1, R413=1, S413=1, T413=1, U413=1, AND(W413&lt;&gt;"", W413&lt;&gt;"Oxygen", W413&lt;&gt;"LowFlow")), "Intensive", "Intermediate")</f>
      </c>
      <c r="AJ413" s="37">
        <f>IF(OR(LEFT(AH413, 1)="X", LEFT(AH413, 1)="Y", LEFT(AH413, 3)="J25M"), "CUSM", "No Match")</f>
      </c>
      <c r="AK413" s="37">
        <f>IF(AND(OR(O413=3, P413=1, Q413=1, T413=1), AJ413="no Match"), "CUSM, CHU SJ, CHUQ", "")</f>
      </c>
      <c r="AL413" s="37">
        <f>IF(AND(O413=2, ISBLANK(P413), ISBLANK(Q413), ISBLANK(R413), ISBLANK(S413), ISBLANK(T413)), "CUSM, CHU SJ, CHUS, CHUQ", "")</f>
      </c>
      <c r="AM413" s="37">
        <f>IF(AND(AJ413="no match", AK413="", AL413="", K413&lt;26), "CUSM, CHU SJ, HGJ, CHUQ, CHUS", "")</f>
      </c>
      <c r="AN413" s="37">
        <f>IF(AND(AJ413="no match", AK413="", AL413="", K413&gt;26), "CUSM, CHU SJ, HGJ, CHUQ, CHUS, HMR", "")</f>
      </c>
    </row>
    <row x14ac:dyDescent="0.25" r="414" customHeight="1" ht="17.25">
      <c r="A414" s="27" t="s">
        <v>903</v>
      </c>
      <c r="B414" s="28">
        <v>2</v>
      </c>
      <c r="C414" s="35">
        <v>815</v>
      </c>
      <c r="D414" s="29" t="s">
        <v>100</v>
      </c>
      <c r="E414" s="30" t="s">
        <v>54</v>
      </c>
      <c r="F414" s="31">
        <v>44788</v>
      </c>
      <c r="G414" s="32">
        <v>4.949305555555556</v>
      </c>
      <c r="H414" s="31">
        <v>44788</v>
      </c>
      <c r="I414" s="32">
        <v>4.767361111111111</v>
      </c>
      <c r="J414" s="33">
        <f>F414-H414</f>
      </c>
      <c r="K414" s="28">
        <v>39</v>
      </c>
      <c r="L414" s="28">
        <v>6</v>
      </c>
      <c r="M414" s="28">
        <v>1</v>
      </c>
      <c r="N414" s="34"/>
      <c r="O414" s="34"/>
      <c r="P414" s="34"/>
      <c r="Q414" s="34"/>
      <c r="R414" s="34"/>
      <c r="S414" s="34"/>
      <c r="T414" s="34"/>
      <c r="U414" s="34"/>
      <c r="V414" s="34"/>
      <c r="W414" s="29"/>
      <c r="X414" s="28">
        <v>27</v>
      </c>
      <c r="Y414" s="28">
        <v>1</v>
      </c>
      <c r="Z414" s="28">
        <v>1</v>
      </c>
      <c r="AA414" s="28">
        <v>2</v>
      </c>
      <c r="AB414" s="28">
        <v>1</v>
      </c>
      <c r="AC414" s="28">
        <v>2</v>
      </c>
      <c r="AD414" s="28">
        <v>2</v>
      </c>
      <c r="AE414" s="28">
        <v>4</v>
      </c>
      <c r="AF414" s="35">
        <v>2</v>
      </c>
      <c r="AG414" s="28">
        <v>2</v>
      </c>
      <c r="AH414" s="29" t="s">
        <v>904</v>
      </c>
      <c r="AI414" s="36">
        <f>IF(OR(AND(K414&lt;32, J414&lt;2), O414=1, P414=1, Q414=1, R414=1, S414=1, T414=1, U414=1, AND(W414&lt;&gt;"", W414&lt;&gt;"Oxygen", W414&lt;&gt;"LowFlow")), "Intensive", "Intermediate")</f>
      </c>
      <c r="AJ414" s="37">
        <f>IF(OR(LEFT(AH414, 1)="X", LEFT(AH414, 1)="Y", LEFT(AH414, 3)="J26M"), "CUSM", "No Match")</f>
      </c>
      <c r="AK414" s="37">
        <f>IF(AND(OR(O414=3, P414=1, Q414=1, T414=1), AJ414="no Match"), "CUSM, CHU SJ, CHUQ", "")</f>
      </c>
      <c r="AL414" s="37">
        <f>IF(AND(O414=2, ISBLANK(P414), ISBLANK(Q414), ISBLANK(R414), ISBLANK(S414), ISBLANK(T414)), "CUSM, CHU SJ, CHUS, CHUQ", "")</f>
      </c>
      <c r="AM414" s="37">
        <f>IF(AND(AJ414="no match", AK414="", AL414="", K414&lt;26), "CUSM, CHU SJ, HGJ, CHUQ, CHUS", "")</f>
      </c>
      <c r="AN414" s="37">
        <f>IF(AND(AJ414="no match", AK414="", AL414="", K414&gt;26), "CUSM, CHU SJ, HGJ, CHUQ, CHUS, HMR", "")</f>
      </c>
    </row>
    <row x14ac:dyDescent="0.25" r="415" customHeight="1" ht="17.25">
      <c r="A415" s="27" t="s">
        <v>905</v>
      </c>
      <c r="B415" s="28">
        <v>2</v>
      </c>
      <c r="C415" s="28">
        <v>845</v>
      </c>
      <c r="D415" s="29" t="s">
        <v>381</v>
      </c>
      <c r="E415" s="30" t="s">
        <v>54</v>
      </c>
      <c r="F415" s="31">
        <v>44788</v>
      </c>
      <c r="G415" s="32">
        <v>4.611111111111111</v>
      </c>
      <c r="H415" s="31">
        <v>44788</v>
      </c>
      <c r="I415" s="32">
        <v>4.028472222222222</v>
      </c>
      <c r="J415" s="33">
        <f>F415-H415</f>
      </c>
      <c r="K415" s="28">
        <v>40</v>
      </c>
      <c r="L415" s="28">
        <v>0</v>
      </c>
      <c r="M415" s="28">
        <v>2</v>
      </c>
      <c r="N415" s="35">
        <v>1</v>
      </c>
      <c r="O415" s="34"/>
      <c r="P415" s="35">
        <v>1</v>
      </c>
      <c r="Q415" s="34"/>
      <c r="R415" s="34"/>
      <c r="S415" s="34"/>
      <c r="T415" s="34"/>
      <c r="U415" s="34"/>
      <c r="V415" s="34"/>
      <c r="W415" s="29"/>
      <c r="X415" s="28">
        <v>34</v>
      </c>
      <c r="Y415" s="28">
        <v>1</v>
      </c>
      <c r="Z415" s="28">
        <v>1</v>
      </c>
      <c r="AA415" s="28">
        <v>3</v>
      </c>
      <c r="AB415" s="28">
        <v>1</v>
      </c>
      <c r="AC415" s="28">
        <v>2</v>
      </c>
      <c r="AD415" s="28">
        <v>2</v>
      </c>
      <c r="AE415" s="28">
        <v>4</v>
      </c>
      <c r="AF415" s="28">
        <v>3</v>
      </c>
      <c r="AG415" s="28">
        <v>2</v>
      </c>
      <c r="AH415" s="29" t="s">
        <v>906</v>
      </c>
      <c r="AI415" s="36">
        <f>IF(OR(AND(K415&lt;32, J415&lt;2), O415=1, P415=1, Q415=1, R415=1, S415=1, T415=1, U415=1, AND(W415&lt;&gt;"", W415&lt;&gt;"Oxygen", W415&lt;&gt;"LowFlow")), "Intensive", "Intermediate")</f>
      </c>
      <c r="AJ415" s="37">
        <f>IF(OR(LEFT(AH415, 1)="X", LEFT(AH415, 1)="Y", LEFT(AH415, 3)="J27M"), "CUSM", "No Match")</f>
      </c>
      <c r="AK415" s="37">
        <f>IF(AND(OR(O415=3, P415=1, Q415=1, T415=1), AJ415="no Match"), "CUSM, CHU SJ, CHUQ", "")</f>
      </c>
      <c r="AL415" s="37">
        <f>IF(AND(O415=2, ISBLANK(P415), ISBLANK(Q415), ISBLANK(R415), ISBLANK(S415), ISBLANK(T415)), "CUSM, CHU SJ, CHUS, CHUQ", "")</f>
      </c>
      <c r="AM415" s="37">
        <f>IF(AND(AJ415="no match", AK415="", AL415="", K415&lt;26), "CUSM, CHU SJ, HGJ, CHUQ, CHUS", "")</f>
      </c>
      <c r="AN415" s="37">
        <f>IF(AND(AJ415="no match", AK415="", AL415="", K415&gt;26), "CUSM, CHU SJ, HGJ, CHUQ, CHUS, HMR", "")</f>
      </c>
    </row>
    <row x14ac:dyDescent="0.25" r="416" customHeight="1" ht="17.25">
      <c r="A416" s="27" t="s">
        <v>907</v>
      </c>
      <c r="B416" s="28">
        <v>2</v>
      </c>
      <c r="C416" s="28">
        <v>796</v>
      </c>
      <c r="D416" s="29" t="s">
        <v>63</v>
      </c>
      <c r="E416" s="30" t="s">
        <v>54</v>
      </c>
      <c r="F416" s="31">
        <v>44789</v>
      </c>
      <c r="G416" s="32">
        <v>4.65625</v>
      </c>
      <c r="H416" s="31">
        <v>44774</v>
      </c>
      <c r="I416" s="32">
        <v>4.847916666666666</v>
      </c>
      <c r="J416" s="33">
        <f>F416-H416</f>
      </c>
      <c r="K416" s="28">
        <v>37</v>
      </c>
      <c r="L416" s="28">
        <v>5</v>
      </c>
      <c r="M416" s="28">
        <v>2</v>
      </c>
      <c r="N416" s="35">
        <v>1</v>
      </c>
      <c r="O416" s="34"/>
      <c r="P416" s="35">
        <v>1</v>
      </c>
      <c r="Q416" s="34"/>
      <c r="R416" s="34"/>
      <c r="S416" s="34"/>
      <c r="T416" s="34"/>
      <c r="U416" s="34"/>
      <c r="V416" s="34"/>
      <c r="W416" s="29" t="s">
        <v>106</v>
      </c>
      <c r="X416" s="28">
        <v>29</v>
      </c>
      <c r="Y416" s="28">
        <v>1</v>
      </c>
      <c r="Z416" s="28">
        <v>1</v>
      </c>
      <c r="AA416" s="28">
        <v>3</v>
      </c>
      <c r="AB416" s="28">
        <v>1</v>
      </c>
      <c r="AC416" s="28">
        <v>2</v>
      </c>
      <c r="AD416" s="28">
        <v>1</v>
      </c>
      <c r="AE416" s="28">
        <v>4</v>
      </c>
      <c r="AF416" s="28">
        <v>3</v>
      </c>
      <c r="AG416" s="28">
        <v>3</v>
      </c>
      <c r="AH416" s="29" t="s">
        <v>908</v>
      </c>
      <c r="AI416" s="36">
        <f>IF(OR(AND(K416&lt;32, J416&lt;2), O416=1, P416=1, Q416=1, R416=1, S416=1, T416=1, U416=1, AND(W416&lt;&gt;"", W416&lt;&gt;"Oxygen", W416&lt;&gt;"LowFlow")), "Intensive", "Intermediate")</f>
      </c>
      <c r="AJ416" s="37">
        <f>IF(OR(LEFT(AH416, 1)="X", LEFT(AH416, 1)="Y", LEFT(AH416, 3)="J28M"), "CUSM", "No Match")</f>
      </c>
      <c r="AK416" s="37">
        <f>IF(AND(OR(O416=3, P416=1, Q416=1, T416=1), AJ416="no Match"), "CUSM, CHU SJ, CHUQ", "")</f>
      </c>
      <c r="AL416" s="37">
        <f>IF(AND(O416=2, ISBLANK(P416), ISBLANK(Q416), ISBLANK(R416), ISBLANK(S416), ISBLANK(T416)), "CUSM, CHU SJ, CHUS, CHUQ", "")</f>
      </c>
      <c r="AM416" s="37">
        <f>IF(AND(AJ416="no match", AK416="", AL416="", K416&lt;26), "CUSM, CHU SJ, HGJ, CHUQ, CHUS", "")</f>
      </c>
      <c r="AN416" s="37">
        <f>IF(AND(AJ416="no match", AK416="", AL416="", K416&gt;26), "CUSM, CHU SJ, HGJ, CHUQ, CHUS, HMR", "")</f>
      </c>
    </row>
    <row x14ac:dyDescent="0.25" r="417" customHeight="1" ht="17.25">
      <c r="A417" s="27" t="s">
        <v>909</v>
      </c>
      <c r="B417" s="28">
        <v>2</v>
      </c>
      <c r="C417" s="35">
        <v>732</v>
      </c>
      <c r="D417" s="29" t="s">
        <v>910</v>
      </c>
      <c r="E417" s="30" t="s">
        <v>78</v>
      </c>
      <c r="F417" s="31">
        <v>44789</v>
      </c>
      <c r="G417" s="32">
        <v>4.503472222222222</v>
      </c>
      <c r="H417" s="31">
        <v>44789</v>
      </c>
      <c r="I417" s="32">
        <v>4.141666666666667</v>
      </c>
      <c r="J417" s="33">
        <f>F417-H417</f>
      </c>
      <c r="K417" s="28">
        <v>41</v>
      </c>
      <c r="L417" s="28">
        <v>0</v>
      </c>
      <c r="M417" s="28">
        <v>2</v>
      </c>
      <c r="N417" s="34"/>
      <c r="O417" s="34"/>
      <c r="P417" s="34"/>
      <c r="Q417" s="34"/>
      <c r="R417" s="34"/>
      <c r="S417" s="34"/>
      <c r="T417" s="34"/>
      <c r="U417" s="34"/>
      <c r="V417" s="38"/>
      <c r="W417" s="29" t="s">
        <v>58</v>
      </c>
      <c r="X417" s="28">
        <v>32</v>
      </c>
      <c r="Y417" s="28">
        <v>1</v>
      </c>
      <c r="Z417" s="28">
        <v>1</v>
      </c>
      <c r="AA417" s="28">
        <v>1</v>
      </c>
      <c r="AB417" s="28">
        <v>1</v>
      </c>
      <c r="AC417" s="28">
        <v>2</v>
      </c>
      <c r="AD417" s="28">
        <v>2</v>
      </c>
      <c r="AE417" s="28">
        <v>4</v>
      </c>
      <c r="AF417" s="28">
        <v>2</v>
      </c>
      <c r="AG417" s="28">
        <v>2</v>
      </c>
      <c r="AH417" s="29" t="s">
        <v>911</v>
      </c>
      <c r="AI417" s="36">
        <f>IF(OR(AND(K417&lt;32, J417&lt;2), O417=1, P417=1, Q417=1, R417=1, S417=1, T417=1, U417=1, AND(W417&lt;&gt;"", W417&lt;&gt;"Oxygen", W417&lt;&gt;"LowFlow")), "Intensive", "Intermediate")</f>
      </c>
      <c r="AJ417" s="37">
        <f>IF(OR(LEFT(AH417, 1)="X", LEFT(AH417, 1)="Y", LEFT(AH417, 3)="J29M"), "CUSM", "No Match")</f>
      </c>
      <c r="AK417" s="37">
        <f>IF(AND(OR(O417=3, P417=1, Q417=1, T417=1), AJ417="no Match"), "CUSM, CHU SJ, CHUQ", "")</f>
      </c>
      <c r="AL417" s="37">
        <f>IF(AND(O417=2, ISBLANK(P417), ISBLANK(Q417), ISBLANK(R417), ISBLANK(S417), ISBLANK(T417)), "CUSM, CHU SJ, CHUS, CHUQ", "")</f>
      </c>
      <c r="AM417" s="37">
        <f>IF(AND(AJ417="no match", AK417="", AL417="", K417&lt;26), "CUSM, CHU SJ, HGJ, CHUQ, CHUS", "")</f>
      </c>
      <c r="AN417" s="37">
        <f>IF(AND(AJ417="no match", AK417="", AL417="", K417&gt;26), "CUSM, CHU SJ, HGJ, CHUQ, CHUS, HMR", "")</f>
      </c>
    </row>
    <row x14ac:dyDescent="0.25" r="418" customHeight="1" ht="17.25">
      <c r="A418" s="27" t="s">
        <v>912</v>
      </c>
      <c r="B418" s="28">
        <v>2</v>
      </c>
      <c r="C418" s="28">
        <v>839</v>
      </c>
      <c r="D418" s="29" t="s">
        <v>53</v>
      </c>
      <c r="E418" s="30" t="s">
        <v>50</v>
      </c>
      <c r="F418" s="31">
        <v>44789</v>
      </c>
      <c r="G418" s="32">
        <v>4.472222222222222</v>
      </c>
      <c r="H418" s="31">
        <v>44789</v>
      </c>
      <c r="I418" s="32">
        <v>4.175694444444444</v>
      </c>
      <c r="J418" s="33">
        <f>F418-H418</f>
      </c>
      <c r="K418" s="28">
        <v>40</v>
      </c>
      <c r="L418" s="28">
        <v>2</v>
      </c>
      <c r="M418" s="28">
        <v>2</v>
      </c>
      <c r="N418" s="38"/>
      <c r="O418" s="38"/>
      <c r="P418" s="34"/>
      <c r="Q418" s="34"/>
      <c r="R418" s="34"/>
      <c r="S418" s="34"/>
      <c r="T418" s="34"/>
      <c r="U418" s="34"/>
      <c r="V418" s="34"/>
      <c r="W418" s="29"/>
      <c r="X418" s="28">
        <v>32</v>
      </c>
      <c r="Y418" s="28">
        <v>1</v>
      </c>
      <c r="Z418" s="28">
        <v>2</v>
      </c>
      <c r="AA418" s="28">
        <v>3</v>
      </c>
      <c r="AB418" s="28">
        <v>1</v>
      </c>
      <c r="AC418" s="28">
        <v>2</v>
      </c>
      <c r="AD418" s="28">
        <v>1</v>
      </c>
      <c r="AE418" s="28">
        <v>4</v>
      </c>
      <c r="AF418" s="28">
        <v>2</v>
      </c>
      <c r="AG418" s="28">
        <v>2</v>
      </c>
      <c r="AH418" s="29" t="s">
        <v>913</v>
      </c>
      <c r="AI418" s="36">
        <f>IF(OR(AND(K418&lt;32, J418&lt;2), O418=1, P418=1, Q418=1, R418=1, S418=1, T418=1, U418=1, AND(W418&lt;&gt;"", W418&lt;&gt;"Oxygen", W418&lt;&gt;"LowFlow")), "Intensive", "Intermediate")</f>
      </c>
      <c r="AJ418" s="37">
        <f>IF(OR(LEFT(AH418, 1)="X", LEFT(AH418, 1)="Y", LEFT(AH418, 3)="J30M"), "CUSM", "No Match")</f>
      </c>
      <c r="AK418" s="37">
        <f>IF(AND(OR(O418=3, P418=1, Q418=1, T418=1), AJ418="no Match"), "CUSM, CHU SJ, CHUQ", "")</f>
      </c>
      <c r="AL418" s="37">
        <f>IF(AND(O418=2, ISBLANK(P418), ISBLANK(Q418), ISBLANK(R418), ISBLANK(S418), ISBLANK(T418)), "CUSM, CHU SJ, CHUS, CHUQ", "")</f>
      </c>
      <c r="AM418" s="37">
        <f>IF(AND(AJ418="no match", AK418="", AL418="", K418&lt;26), "CUSM, CHU SJ, HGJ, CHUQ, CHUS", "")</f>
      </c>
      <c r="AN418" s="37">
        <f>IF(AND(AJ418="no match", AK418="", AL418="", K418&gt;26), "CUSM, CHU SJ, HGJ, CHUQ, CHUS, HMR", "")</f>
      </c>
    </row>
    <row x14ac:dyDescent="0.25" r="419" customHeight="1" ht="17.25">
      <c r="A419" s="27" t="s">
        <v>914</v>
      </c>
      <c r="B419" s="28">
        <v>2</v>
      </c>
      <c r="C419" s="28">
        <v>822</v>
      </c>
      <c r="D419" s="29" t="s">
        <v>167</v>
      </c>
      <c r="E419" s="30" t="s">
        <v>54</v>
      </c>
      <c r="F419" s="31">
        <v>44790</v>
      </c>
      <c r="G419" s="32">
        <v>4.041666666666666</v>
      </c>
      <c r="H419" s="31">
        <v>44789</v>
      </c>
      <c r="I419" s="32">
        <v>4.623611111111111</v>
      </c>
      <c r="J419" s="33">
        <f>F419-H419</f>
      </c>
      <c r="K419" s="28">
        <v>37</v>
      </c>
      <c r="L419" s="28">
        <v>5</v>
      </c>
      <c r="M419" s="28">
        <v>1</v>
      </c>
      <c r="N419" s="28">
        <v>1</v>
      </c>
      <c r="O419" s="34"/>
      <c r="P419" s="28">
        <v>1</v>
      </c>
      <c r="Q419" s="34"/>
      <c r="R419" s="34"/>
      <c r="S419" s="34"/>
      <c r="T419" s="34"/>
      <c r="U419" s="34"/>
      <c r="V419" s="34"/>
      <c r="W419" s="29"/>
      <c r="X419" s="28">
        <v>24</v>
      </c>
      <c r="Y419" s="28">
        <v>1</v>
      </c>
      <c r="Z419" s="28">
        <v>2</v>
      </c>
      <c r="AA419" s="28">
        <v>3</v>
      </c>
      <c r="AB419" s="28">
        <v>4</v>
      </c>
      <c r="AC419" s="28">
        <v>2</v>
      </c>
      <c r="AD419" s="28">
        <v>2</v>
      </c>
      <c r="AE419" s="28">
        <v>4</v>
      </c>
      <c r="AF419" s="28">
        <v>3</v>
      </c>
      <c r="AG419" s="28">
        <v>2</v>
      </c>
      <c r="AH419" s="29" t="s">
        <v>915</v>
      </c>
      <c r="AI419" s="36">
        <f>IF(OR(AND(K419&lt;32, J419&lt;2), O419=1, P419=1, Q419=1, R419=1, S419=1, T419=1, U419=1, AND(W419&lt;&gt;"", W419&lt;&gt;"Oxygen", W419&lt;&gt;"LowFlow")), "Intensive", "Intermediate")</f>
      </c>
      <c r="AJ419" s="37">
        <f>IF(OR(LEFT(AH419, 1)="X", LEFT(AH419, 1)="Y", LEFT(AH419, 3)="J31M"), "CUSM", "No Match")</f>
      </c>
      <c r="AK419" s="37">
        <f>IF(AND(OR(O419=3, P419=1, Q419=1, T419=1), AJ419="no Match"), "CUSM, CHU SJ, CHUQ", "")</f>
      </c>
      <c r="AL419" s="37">
        <f>IF(AND(O419=2, ISBLANK(P419), ISBLANK(Q419), ISBLANK(R419), ISBLANK(S419), ISBLANK(T419)), "CUSM, CHU SJ, CHUS, CHUQ", "")</f>
      </c>
      <c r="AM419" s="37">
        <f>IF(AND(AJ419="no match", AK419="", AL419="", K419&lt;26), "CUSM, CHU SJ, HGJ, CHUQ, CHUS", "")</f>
      </c>
      <c r="AN419" s="37">
        <f>IF(AND(AJ419="no match", AK419="", AL419="", K419&gt;26), "CUSM, CHU SJ, HGJ, CHUQ, CHUS, HMR", "")</f>
      </c>
    </row>
    <row x14ac:dyDescent="0.25" r="420" customHeight="1" ht="17.25">
      <c r="A420" s="27" t="s">
        <v>916</v>
      </c>
      <c r="B420" s="28">
        <v>2</v>
      </c>
      <c r="C420" s="28">
        <v>819</v>
      </c>
      <c r="D420" s="29" t="s">
        <v>917</v>
      </c>
      <c r="E420" s="30" t="s">
        <v>54</v>
      </c>
      <c r="F420" s="31">
        <v>44790</v>
      </c>
      <c r="G420" s="32">
        <v>4.510416666666666</v>
      </c>
      <c r="H420" s="31">
        <v>44789</v>
      </c>
      <c r="I420" s="32">
        <v>4.889583333333333</v>
      </c>
      <c r="J420" s="33">
        <f>F420-H420</f>
      </c>
      <c r="K420" s="28">
        <v>37</v>
      </c>
      <c r="L420" s="28">
        <v>0</v>
      </c>
      <c r="M420" s="28">
        <v>1</v>
      </c>
      <c r="N420" s="28">
        <v>1</v>
      </c>
      <c r="O420" s="35">
        <v>2</v>
      </c>
      <c r="P420" s="35">
        <v>1</v>
      </c>
      <c r="Q420" s="35">
        <v>1</v>
      </c>
      <c r="R420" s="34"/>
      <c r="S420" s="34"/>
      <c r="T420" s="34"/>
      <c r="U420" s="34"/>
      <c r="V420" s="34"/>
      <c r="W420" s="29"/>
      <c r="X420" s="28">
        <v>20</v>
      </c>
      <c r="Y420" s="28">
        <v>1</v>
      </c>
      <c r="Z420" s="28">
        <v>1</v>
      </c>
      <c r="AA420" s="28">
        <v>3</v>
      </c>
      <c r="AB420" s="28">
        <v>4</v>
      </c>
      <c r="AC420" s="28">
        <v>1</v>
      </c>
      <c r="AD420" s="28">
        <v>1</v>
      </c>
      <c r="AE420" s="28">
        <v>4</v>
      </c>
      <c r="AF420" s="28">
        <v>2</v>
      </c>
      <c r="AG420" s="28">
        <v>2</v>
      </c>
      <c r="AH420" s="29" t="s">
        <v>918</v>
      </c>
      <c r="AI420" s="36">
        <f>IF(OR(AND(K420&lt;32, J420&lt;2), O420=1, P420=1, Q420=1, R420=1, S420=1, T420=1, U420=1, AND(W420&lt;&gt;"", W420&lt;&gt;"Oxygen", W420&lt;&gt;"LowFlow")), "Intensive", "Intermediate")</f>
      </c>
      <c r="AJ420" s="37">
        <f>IF(OR(LEFT(AH420, 1)="X", LEFT(AH420, 1)="Y", LEFT(AH420, 3)="J32M"), "CUSM", "No Match")</f>
      </c>
      <c r="AK420" s="37">
        <f>IF(AND(OR(O420=3, P420=1, Q420=1, T420=1), AJ420="no Match"), "CUSM, CHU SJ, CHUQ", "")</f>
      </c>
      <c r="AL420" s="37">
        <f>IF(AND(O420=2, ISBLANK(P420), ISBLANK(Q420), ISBLANK(R420), ISBLANK(S420), ISBLANK(T420)), "CUSM, CHU SJ, CHUS, CHUQ", "")</f>
      </c>
      <c r="AM420" s="37">
        <f>IF(AND(AJ420="no match", AK420="", AL420="", K420&lt;26), "CUSM, CHU SJ, HGJ, CHUQ, CHUS", "")</f>
      </c>
      <c r="AN420" s="37">
        <f>IF(AND(AJ420="no match", AK420="", AL420="", K420&gt;26), "CUSM, CHU SJ, HGJ, CHUQ, CHUS, HMR", "")</f>
      </c>
    </row>
    <row x14ac:dyDescent="0.25" r="421" customHeight="1" ht="17.25">
      <c r="A421" s="27" t="s">
        <v>919</v>
      </c>
      <c r="B421" s="28">
        <v>2</v>
      </c>
      <c r="C421" s="28">
        <v>824</v>
      </c>
      <c r="D421" s="29" t="s">
        <v>57</v>
      </c>
      <c r="E421" s="30" t="s">
        <v>50</v>
      </c>
      <c r="F421" s="31">
        <v>44790</v>
      </c>
      <c r="G421" s="32">
        <v>4.263888888888889</v>
      </c>
      <c r="H421" s="31">
        <v>44789</v>
      </c>
      <c r="I421" s="32">
        <v>4.333333333333334</v>
      </c>
      <c r="J421" s="33">
        <f>F421-H421</f>
      </c>
      <c r="K421" s="28">
        <v>37</v>
      </c>
      <c r="L421" s="28">
        <v>5</v>
      </c>
      <c r="M421" s="28">
        <v>1</v>
      </c>
      <c r="N421" s="38"/>
      <c r="O421" s="34"/>
      <c r="P421" s="34"/>
      <c r="Q421" s="34"/>
      <c r="R421" s="34"/>
      <c r="S421" s="34"/>
      <c r="T421" s="34"/>
      <c r="U421" s="34"/>
      <c r="V421" s="34"/>
      <c r="W421" s="29" t="s">
        <v>74</v>
      </c>
      <c r="X421" s="28">
        <v>27</v>
      </c>
      <c r="Y421" s="28">
        <v>1</v>
      </c>
      <c r="Z421" s="28">
        <v>2</v>
      </c>
      <c r="AA421" s="28">
        <v>3</v>
      </c>
      <c r="AB421" s="28">
        <v>1</v>
      </c>
      <c r="AC421" s="28">
        <v>2</v>
      </c>
      <c r="AD421" s="28">
        <v>2</v>
      </c>
      <c r="AE421" s="28">
        <v>4</v>
      </c>
      <c r="AF421" s="28">
        <v>2</v>
      </c>
      <c r="AG421" s="28">
        <v>2</v>
      </c>
      <c r="AH421" s="29" t="s">
        <v>920</v>
      </c>
      <c r="AI421" s="36">
        <f>IF(OR(AND(K421&lt;32, J421&lt;2), O421=1, P421=1, Q421=1, R421=1, S421=1, T421=1, U421=1, AND(W421&lt;&gt;"", W421&lt;&gt;"Oxygen", W421&lt;&gt;"LowFlow")), "Intensive", "Intermediate")</f>
      </c>
      <c r="AJ421" s="37">
        <f>IF(OR(LEFT(AH421, 1)="X", LEFT(AH421, 1)="Y", LEFT(AH421, 3)="J33M"), "CUSM", "No Match")</f>
      </c>
      <c r="AK421" s="37">
        <f>IF(AND(OR(O421=3, P421=1, Q421=1, T421=1), AJ421="no Match"), "CUSM, CHU SJ, CHUQ", "")</f>
      </c>
      <c r="AL421" s="37">
        <f>IF(AND(O421=2, ISBLANK(P421), ISBLANK(Q421), ISBLANK(R421), ISBLANK(S421), ISBLANK(T421)), "CUSM, CHU SJ, CHUS, CHUQ", "")</f>
      </c>
      <c r="AM421" s="37">
        <f>IF(AND(AJ421="no match", AK421="", AL421="", K421&lt;26), "CUSM, CHU SJ, HGJ, CHUQ, CHUS", "")</f>
      </c>
      <c r="AN421" s="37">
        <f>IF(AND(AJ421="no match", AK421="", AL421="", K421&gt;26), "CUSM, CHU SJ, HGJ, CHUQ, CHUS, HMR", "")</f>
      </c>
    </row>
    <row x14ac:dyDescent="0.25" r="422" customHeight="1" ht="17.25">
      <c r="A422" s="27" t="s">
        <v>921</v>
      </c>
      <c r="B422" s="28">
        <v>2</v>
      </c>
      <c r="C422" s="35">
        <v>817</v>
      </c>
      <c r="D422" s="29" t="s">
        <v>163</v>
      </c>
      <c r="E422" s="30" t="s">
        <v>220</v>
      </c>
      <c r="F422" s="31">
        <v>44791</v>
      </c>
      <c r="G422" s="32">
        <v>4.697916666666666</v>
      </c>
      <c r="H422" s="31">
        <v>44791</v>
      </c>
      <c r="I422" s="32">
        <v>4.552083333333334</v>
      </c>
      <c r="J422" s="33">
        <f>F422-H422</f>
      </c>
      <c r="K422" s="28">
        <v>28</v>
      </c>
      <c r="L422" s="28">
        <v>3</v>
      </c>
      <c r="M422" s="28">
        <v>2</v>
      </c>
      <c r="N422" s="34"/>
      <c r="O422" s="34"/>
      <c r="P422" s="34"/>
      <c r="Q422" s="34"/>
      <c r="R422" s="34"/>
      <c r="S422" s="34"/>
      <c r="T422" s="34"/>
      <c r="U422" s="34"/>
      <c r="V422" s="34"/>
      <c r="W422" s="29" t="s">
        <v>164</v>
      </c>
      <c r="X422" s="28">
        <v>33</v>
      </c>
      <c r="Y422" s="28">
        <v>1</v>
      </c>
      <c r="Z422" s="28">
        <v>2</v>
      </c>
      <c r="AA422" s="28">
        <v>1</v>
      </c>
      <c r="AB422" s="28">
        <v>1</v>
      </c>
      <c r="AC422" s="28">
        <v>2</v>
      </c>
      <c r="AD422" s="28">
        <v>2</v>
      </c>
      <c r="AE422" s="28">
        <v>4</v>
      </c>
      <c r="AF422" s="35">
        <v>2</v>
      </c>
      <c r="AG422" s="28">
        <v>2</v>
      </c>
      <c r="AH422" s="29" t="s">
        <v>922</v>
      </c>
      <c r="AI422" s="36">
        <f>IF(OR(AND(K422&lt;32, J422&lt;2), O422=1, P422=1, Q422=1, R422=1, S422=1, T422=1, U422=1, AND(W422&lt;&gt;"", W422&lt;&gt;"Oxygen", W422&lt;&gt;"LowFlow")), "Intensive", "Intermediate")</f>
      </c>
      <c r="AJ422" s="37">
        <f>IF(OR(LEFT(AH422, 1)="X", LEFT(AH422, 1)="Y", LEFT(AH422, 3)="J34M"), "CUSM", "No Match")</f>
      </c>
      <c r="AK422" s="37">
        <f>IF(AND(OR(O422=3, P422=1, Q422=1, T422=1), AJ422="no Match"), "CUSM, CHU SJ, CHUQ", "")</f>
      </c>
      <c r="AL422" s="37">
        <f>IF(AND(O422=2, ISBLANK(P422), ISBLANK(Q422), ISBLANK(R422), ISBLANK(S422), ISBLANK(T422)), "CUSM, CHU SJ, CHUS, CHUQ", "")</f>
      </c>
      <c r="AM422" s="37">
        <f>IF(AND(AJ422="no match", AK422="", AL422="", K422&lt;26), "CUSM, CHU SJ, HGJ, CHUQ, CHUS", "")</f>
      </c>
      <c r="AN422" s="37">
        <f>IF(AND(AJ422="no match", AK422="", AL422="", K422&gt;26), "CUSM, CHU SJ, HGJ, CHUQ, CHUS, HMR", "")</f>
      </c>
    </row>
    <row x14ac:dyDescent="0.25" r="423" customHeight="1" ht="17.25">
      <c r="A423" s="27" t="s">
        <v>923</v>
      </c>
      <c r="B423" s="28">
        <v>2</v>
      </c>
      <c r="C423" s="28">
        <v>756</v>
      </c>
      <c r="D423" s="29" t="s">
        <v>66</v>
      </c>
      <c r="E423" s="30" t="s">
        <v>50</v>
      </c>
      <c r="F423" s="31">
        <v>44792</v>
      </c>
      <c r="G423" s="32">
        <v>4.243055555555555</v>
      </c>
      <c r="H423" s="31">
        <v>44792</v>
      </c>
      <c r="I423" s="32">
        <v>4.061805555555555</v>
      </c>
      <c r="J423" s="33">
        <f>F423-H423</f>
      </c>
      <c r="K423" s="28">
        <v>41</v>
      </c>
      <c r="L423" s="28">
        <v>3</v>
      </c>
      <c r="M423" s="28">
        <v>2</v>
      </c>
      <c r="N423" s="38"/>
      <c r="O423" s="34"/>
      <c r="P423" s="38"/>
      <c r="Q423" s="34"/>
      <c r="R423" s="34"/>
      <c r="S423" s="34"/>
      <c r="T423" s="34"/>
      <c r="U423" s="34"/>
      <c r="V423" s="34"/>
      <c r="W423" s="29" t="s">
        <v>74</v>
      </c>
      <c r="X423" s="28">
        <v>30</v>
      </c>
      <c r="Y423" s="28">
        <v>1</v>
      </c>
      <c r="Z423" s="28">
        <v>1</v>
      </c>
      <c r="AA423" s="28">
        <v>2</v>
      </c>
      <c r="AB423" s="28">
        <v>1</v>
      </c>
      <c r="AC423" s="28">
        <v>2</v>
      </c>
      <c r="AD423" s="28">
        <v>2</v>
      </c>
      <c r="AE423" s="28">
        <v>4</v>
      </c>
      <c r="AF423" s="28">
        <v>1</v>
      </c>
      <c r="AG423" s="28">
        <v>2</v>
      </c>
      <c r="AH423" s="29" t="s">
        <v>924</v>
      </c>
      <c r="AI423" s="36">
        <f>IF(OR(AND(K423&lt;32, J423&lt;2), O423=1, P423=1, Q423=1, R423=1, S423=1, T423=1, U423=1, AND(W423&lt;&gt;"", W423&lt;&gt;"Oxygen", W423&lt;&gt;"LowFlow")), "Intensive", "Intermediate")</f>
      </c>
      <c r="AJ423" s="37">
        <f>IF(OR(LEFT(AH423, 1)="X", LEFT(AH423, 1)="Y", LEFT(AH423, 3)="J35M"), "CUSM", "No Match")</f>
      </c>
      <c r="AK423" s="37">
        <f>IF(AND(OR(O423=3, P423=1, Q423=1, T423=1), AJ423="no Match"), "CUSM, CHU SJ, CHUQ", "")</f>
      </c>
      <c r="AL423" s="37">
        <f>IF(AND(O423=2, ISBLANK(P423), ISBLANK(Q423), ISBLANK(R423), ISBLANK(S423), ISBLANK(T423)), "CUSM, CHU SJ, CHUS, CHUQ", "")</f>
      </c>
      <c r="AM423" s="37">
        <f>IF(AND(AJ423="no match", AK423="", AL423="", K423&lt;26), "CUSM, CHU SJ, HGJ, CHUQ, CHUS", "")</f>
      </c>
      <c r="AN423" s="37">
        <f>IF(AND(AJ423="no match", AK423="", AL423="", K423&gt;26), "CUSM, CHU SJ, HGJ, CHUQ, CHUS, HMR", "")</f>
      </c>
    </row>
    <row x14ac:dyDescent="0.25" r="424" customHeight="1" ht="17.25">
      <c r="A424" s="27" t="s">
        <v>925</v>
      </c>
      <c r="B424" s="28">
        <v>2</v>
      </c>
      <c r="C424" s="28">
        <v>820</v>
      </c>
      <c r="D424" s="29" t="s">
        <v>69</v>
      </c>
      <c r="E424" s="30" t="s">
        <v>50</v>
      </c>
      <c r="F424" s="31">
        <v>44792</v>
      </c>
      <c r="G424" s="32">
        <v>4.715277777777778</v>
      </c>
      <c r="H424" s="31">
        <v>44791</v>
      </c>
      <c r="I424" s="32">
        <v>4.7347222222222225</v>
      </c>
      <c r="J424" s="33">
        <f>F424-H424</f>
      </c>
      <c r="K424" s="28">
        <v>36</v>
      </c>
      <c r="L424" s="28">
        <v>2</v>
      </c>
      <c r="M424" s="28">
        <v>2</v>
      </c>
      <c r="N424" s="34"/>
      <c r="O424" s="34"/>
      <c r="P424" s="34"/>
      <c r="Q424" s="34"/>
      <c r="R424" s="34"/>
      <c r="S424" s="34"/>
      <c r="T424" s="34"/>
      <c r="U424" s="34"/>
      <c r="V424" s="34"/>
      <c r="W424" s="29" t="s">
        <v>74</v>
      </c>
      <c r="X424" s="28">
        <v>21</v>
      </c>
      <c r="Y424" s="28">
        <v>1</v>
      </c>
      <c r="Z424" s="28">
        <v>1</v>
      </c>
      <c r="AA424" s="28">
        <v>1</v>
      </c>
      <c r="AB424" s="28">
        <v>1</v>
      </c>
      <c r="AC424" s="28">
        <v>2</v>
      </c>
      <c r="AD424" s="28">
        <v>1</v>
      </c>
      <c r="AE424" s="28">
        <v>4</v>
      </c>
      <c r="AF424" s="28">
        <v>2</v>
      </c>
      <c r="AG424" s="28">
        <v>2</v>
      </c>
      <c r="AH424" s="29" t="s">
        <v>926</v>
      </c>
      <c r="AI424" s="36">
        <f>IF(OR(AND(K424&lt;32, J424&lt;2), O424=1, P424=1, Q424=1, R424=1, S424=1, T424=1, U424=1, AND(W424&lt;&gt;"", W424&lt;&gt;"Oxygen", W424&lt;&gt;"LowFlow")), "Intensive", "Intermediate")</f>
      </c>
      <c r="AJ424" s="37">
        <f>IF(OR(LEFT(AH424, 1)="X", LEFT(AH424, 1)="Y", LEFT(AH424, 3)="J36M"), "CUSM", "No Match")</f>
      </c>
      <c r="AK424" s="37">
        <f>IF(AND(OR(O424=3, P424=1, Q424=1, T424=1), AJ424="no Match"), "CUSM, CHU SJ, CHUQ", "")</f>
      </c>
      <c r="AL424" s="37">
        <f>IF(AND(O424=2, ISBLANK(P424), ISBLANK(Q424), ISBLANK(R424), ISBLANK(S424), ISBLANK(T424)), "CUSM, CHU SJ, CHUS, CHUQ", "")</f>
      </c>
      <c r="AM424" s="37">
        <f>IF(AND(AJ424="no match", AK424="", AL424="", K424&lt;26), "CUSM, CHU SJ, HGJ, CHUQ, CHUS", "")</f>
      </c>
      <c r="AN424" s="37">
        <f>IF(AND(AJ424="no match", AK424="", AL424="", K424&gt;26), "CUSM, CHU SJ, HGJ, CHUQ, CHUS, HMR", "")</f>
      </c>
    </row>
    <row x14ac:dyDescent="0.25" r="425" customHeight="1" ht="17.25">
      <c r="A425" s="27" t="s">
        <v>927</v>
      </c>
      <c r="B425" s="28">
        <v>2</v>
      </c>
      <c r="C425" s="35">
        <v>754</v>
      </c>
      <c r="D425" s="29" t="s">
        <v>504</v>
      </c>
      <c r="E425" s="30" t="s">
        <v>220</v>
      </c>
      <c r="F425" s="31">
        <v>44792</v>
      </c>
      <c r="G425" s="32">
        <v>4.350694444444445</v>
      </c>
      <c r="H425" s="31">
        <v>44791</v>
      </c>
      <c r="I425" s="32">
        <v>4.7965277777777775</v>
      </c>
      <c r="J425" s="33">
        <f>F425-H425</f>
      </c>
      <c r="K425" s="28">
        <v>29</v>
      </c>
      <c r="L425" s="28">
        <v>4</v>
      </c>
      <c r="M425" s="28">
        <v>1</v>
      </c>
      <c r="N425" s="34"/>
      <c r="O425" s="34"/>
      <c r="P425" s="34"/>
      <c r="Q425" s="34"/>
      <c r="R425" s="34"/>
      <c r="S425" s="34"/>
      <c r="T425" s="34"/>
      <c r="U425" s="34"/>
      <c r="V425" s="34"/>
      <c r="W425" s="29" t="s">
        <v>74</v>
      </c>
      <c r="X425" s="28">
        <v>30</v>
      </c>
      <c r="Y425" s="28">
        <v>1</v>
      </c>
      <c r="Z425" s="28">
        <v>2</v>
      </c>
      <c r="AA425" s="28">
        <v>2</v>
      </c>
      <c r="AB425" s="28">
        <v>1</v>
      </c>
      <c r="AC425" s="28">
        <v>2</v>
      </c>
      <c r="AD425" s="28">
        <v>2</v>
      </c>
      <c r="AE425" s="28">
        <v>4</v>
      </c>
      <c r="AF425" s="28">
        <v>2</v>
      </c>
      <c r="AG425" s="28">
        <v>2</v>
      </c>
      <c r="AH425" s="29" t="s">
        <v>928</v>
      </c>
      <c r="AI425" s="36">
        <f>IF(OR(AND(K425&lt;32, J425&lt;2), O425=1, P425=1, Q425=1, R425=1, S425=1, T425=1, U425=1, AND(W425&lt;&gt;"", W425&lt;&gt;"Oxygen", W425&lt;&gt;"LowFlow")), "Intensive", "Intermediate")</f>
      </c>
      <c r="AJ425" s="37">
        <f>IF(OR(LEFT(AH425, 1)="X", LEFT(AH425, 1)="Y", LEFT(AH425, 3)="J37M"), "CUSM", "No Match")</f>
      </c>
      <c r="AK425" s="37">
        <f>IF(AND(OR(O425=3, P425=1, Q425=1, T425=1), AJ425="no Match"), "CUSM, CHU SJ, CHUQ", "")</f>
      </c>
      <c r="AL425" s="37">
        <f>IF(AND(O425=2, ISBLANK(P425), ISBLANK(Q425), ISBLANK(R425), ISBLANK(S425), ISBLANK(T425)), "CUSM, CHU SJ, CHUS, CHUQ", "")</f>
      </c>
      <c r="AM425" s="37">
        <f>IF(AND(AJ425="no match", AK425="", AL425="", K425&lt;26), "CUSM, CHU SJ, HGJ, CHUQ, CHUS", "")</f>
      </c>
      <c r="AN425" s="37">
        <f>IF(AND(AJ425="no match", AK425="", AL425="", K425&gt;26), "CUSM, CHU SJ, HGJ, CHUQ, CHUS, HMR", "")</f>
      </c>
    </row>
    <row x14ac:dyDescent="0.25" r="426" customHeight="1" ht="17.25">
      <c r="A426" s="27" t="s">
        <v>929</v>
      </c>
      <c r="B426" s="28">
        <v>2</v>
      </c>
      <c r="C426" s="35">
        <v>731</v>
      </c>
      <c r="D426" s="29" t="s">
        <v>103</v>
      </c>
      <c r="E426" s="30" t="s">
        <v>54</v>
      </c>
      <c r="F426" s="31">
        <v>44793</v>
      </c>
      <c r="G426" s="32">
        <v>4.104166666666666</v>
      </c>
      <c r="H426" s="31">
        <v>44792</v>
      </c>
      <c r="I426" s="32">
        <v>4.7972222222222225</v>
      </c>
      <c r="J426" s="33">
        <f>F426-H426</f>
      </c>
      <c r="K426" s="28">
        <v>37</v>
      </c>
      <c r="L426" s="28">
        <v>2</v>
      </c>
      <c r="M426" s="28">
        <v>2</v>
      </c>
      <c r="N426" s="35">
        <v>1</v>
      </c>
      <c r="O426" s="34"/>
      <c r="P426" s="35">
        <v>1</v>
      </c>
      <c r="Q426" s="34"/>
      <c r="R426" s="34"/>
      <c r="S426" s="34"/>
      <c r="T426" s="35">
        <v>1</v>
      </c>
      <c r="U426" s="34"/>
      <c r="V426" s="34"/>
      <c r="W426" s="29" t="s">
        <v>74</v>
      </c>
      <c r="X426" s="28">
        <v>25</v>
      </c>
      <c r="Y426" s="28">
        <v>1</v>
      </c>
      <c r="Z426" s="28">
        <v>2</v>
      </c>
      <c r="AA426" s="28">
        <v>2</v>
      </c>
      <c r="AB426" s="28">
        <v>1</v>
      </c>
      <c r="AC426" s="28">
        <v>2</v>
      </c>
      <c r="AD426" s="28">
        <v>1</v>
      </c>
      <c r="AE426" s="28">
        <v>4</v>
      </c>
      <c r="AF426" s="28">
        <v>2</v>
      </c>
      <c r="AG426" s="28">
        <v>2</v>
      </c>
      <c r="AH426" s="29" t="s">
        <v>930</v>
      </c>
      <c r="AI426" s="36">
        <f>IF(OR(AND(K426&lt;32, J426&lt;2), O426=1, P426=1, Q426=1, R426=1, S426=1, T426=1, U426=1, AND(W426&lt;&gt;"", W426&lt;&gt;"Oxygen", W426&lt;&gt;"LowFlow")), "Intensive", "Intermediate")</f>
      </c>
      <c r="AJ426" s="37">
        <f>IF(OR(LEFT(AH426, 1)="X", LEFT(AH426, 1)="Y", LEFT(AH426, 3)="J38M"), "CUSM", "No Match")</f>
      </c>
      <c r="AK426" s="37">
        <f>IF(AND(OR(O426=3, P426=1, Q426=1, T426=1), AJ426="no Match"), "CUSM, CHU SJ, CHUQ", "")</f>
      </c>
      <c r="AL426" s="37">
        <f>IF(AND(O426=2, ISBLANK(P426), ISBLANK(Q426), ISBLANK(R426), ISBLANK(S426), ISBLANK(T426)), "CUSM, CHU SJ, CHUS, CHUQ", "")</f>
      </c>
      <c r="AM426" s="37">
        <f>IF(AND(AJ426="no match", AK426="", AL426="", K426&lt;26), "CUSM, CHU SJ, HGJ, CHUQ, CHUS", "")</f>
      </c>
      <c r="AN426" s="37">
        <f>IF(AND(AJ426="no match", AK426="", AL426="", K426&gt;26), "CUSM, CHU SJ, HGJ, CHUQ, CHUS, HMR", "")</f>
      </c>
    </row>
    <row x14ac:dyDescent="0.25" r="427" customHeight="1" ht="17.25">
      <c r="A427" s="27" t="s">
        <v>931</v>
      </c>
      <c r="B427" s="28">
        <v>2</v>
      </c>
      <c r="C427" s="35">
        <v>831</v>
      </c>
      <c r="D427" s="29" t="s">
        <v>313</v>
      </c>
      <c r="E427" s="30" t="s">
        <v>54</v>
      </c>
      <c r="F427" s="31">
        <v>44793</v>
      </c>
      <c r="G427" s="32">
        <v>4.802083333333334</v>
      </c>
      <c r="H427" s="31">
        <v>44788</v>
      </c>
      <c r="I427" s="32">
        <v>4.488194444444444</v>
      </c>
      <c r="J427" s="33">
        <f>F427-H427</f>
      </c>
      <c r="K427" s="28">
        <v>34</v>
      </c>
      <c r="L427" s="28">
        <v>3</v>
      </c>
      <c r="M427" s="28">
        <v>1</v>
      </c>
      <c r="N427" s="34"/>
      <c r="O427" s="34"/>
      <c r="P427" s="34"/>
      <c r="Q427" s="34"/>
      <c r="R427" s="34"/>
      <c r="S427" s="34"/>
      <c r="T427" s="34"/>
      <c r="U427" s="34"/>
      <c r="V427" s="34"/>
      <c r="W427" s="29"/>
      <c r="X427" s="28">
        <v>29</v>
      </c>
      <c r="Y427" s="28">
        <v>1</v>
      </c>
      <c r="Z427" s="28">
        <v>2</v>
      </c>
      <c r="AA427" s="28">
        <v>3</v>
      </c>
      <c r="AB427" s="28">
        <v>1</v>
      </c>
      <c r="AC427" s="28">
        <v>2</v>
      </c>
      <c r="AD427" s="28">
        <v>2</v>
      </c>
      <c r="AE427" s="28">
        <v>4</v>
      </c>
      <c r="AF427" s="28">
        <v>2</v>
      </c>
      <c r="AG427" s="28">
        <v>2</v>
      </c>
      <c r="AH427" s="29" t="s">
        <v>932</v>
      </c>
      <c r="AI427" s="36">
        <f>IF(OR(AND(K427&lt;32, J427&lt;2), O427=1, P427=1, Q427=1, R427=1, S427=1, T427=1, U427=1, AND(W427&lt;&gt;"", W427&lt;&gt;"Oxygen", W427&lt;&gt;"LowFlow")), "Intensive", "Intermediate")</f>
      </c>
      <c r="AJ427" s="37">
        <f>IF(OR(LEFT(AH427, 1)="X", LEFT(AH427, 1)="Y", LEFT(AH427, 3)="J39M"), "CUSM", "No Match")</f>
      </c>
      <c r="AK427" s="37">
        <f>IF(AND(OR(O427=3, P427=1, Q427=1, T427=1), AJ427="no Match"), "CUSM, CHU SJ, CHUQ", "")</f>
      </c>
      <c r="AL427" s="37">
        <f>IF(AND(O427=2, ISBLANK(P427), ISBLANK(Q427), ISBLANK(R427), ISBLANK(S427), ISBLANK(T427)), "CUSM, CHU SJ, CHUS, CHUQ", "")</f>
      </c>
      <c r="AM427" s="37">
        <f>IF(AND(AJ427="no match", AK427="", AL427="", K427&lt;26), "CUSM, CHU SJ, HGJ, CHUQ, CHUS", "")</f>
      </c>
      <c r="AN427" s="37">
        <f>IF(AND(AJ427="no match", AK427="", AL427="", K427&gt;26), "CUSM, CHU SJ, HGJ, CHUQ, CHUS, HMR", "")</f>
      </c>
    </row>
    <row x14ac:dyDescent="0.25" r="428" customHeight="1" ht="17.25">
      <c r="A428" s="27" t="s">
        <v>933</v>
      </c>
      <c r="B428" s="28">
        <v>2</v>
      </c>
      <c r="C428" s="35">
        <v>734</v>
      </c>
      <c r="D428" s="29" t="s">
        <v>264</v>
      </c>
      <c r="E428" s="30" t="s">
        <v>54</v>
      </c>
      <c r="F428" s="31">
        <v>44793</v>
      </c>
      <c r="G428" s="32">
        <v>4.916666666666666</v>
      </c>
      <c r="H428" s="31">
        <v>44793</v>
      </c>
      <c r="I428" s="32">
        <v>4.722222222222222</v>
      </c>
      <c r="J428" s="33">
        <f>F428-H428</f>
      </c>
      <c r="K428" s="28">
        <v>37</v>
      </c>
      <c r="L428" s="28">
        <v>0</v>
      </c>
      <c r="M428" s="28">
        <v>2</v>
      </c>
      <c r="N428" s="35">
        <v>1</v>
      </c>
      <c r="O428" s="35">
        <v>2</v>
      </c>
      <c r="P428" s="35">
        <v>1</v>
      </c>
      <c r="Q428" s="34"/>
      <c r="R428" s="34"/>
      <c r="S428" s="34"/>
      <c r="T428" s="34"/>
      <c r="U428" s="34"/>
      <c r="V428" s="34"/>
      <c r="W428" s="29"/>
      <c r="X428" s="28">
        <v>37</v>
      </c>
      <c r="Y428" s="28">
        <v>1</v>
      </c>
      <c r="Z428" s="28">
        <v>2</v>
      </c>
      <c r="AA428" s="28">
        <v>3</v>
      </c>
      <c r="AB428" s="28">
        <v>1</v>
      </c>
      <c r="AC428" s="28">
        <v>2</v>
      </c>
      <c r="AD428" s="28">
        <v>1</v>
      </c>
      <c r="AE428" s="28">
        <v>4</v>
      </c>
      <c r="AF428" s="28">
        <v>2</v>
      </c>
      <c r="AG428" s="28">
        <v>2</v>
      </c>
      <c r="AH428" s="29" t="s">
        <v>934</v>
      </c>
      <c r="AI428" s="36">
        <f>IF(OR(AND(K428&lt;32, J428&lt;2), O428=1, P428=1, Q428=1, R428=1, S428=1, T428=1, U428=1, AND(W428&lt;&gt;"", W428&lt;&gt;"Oxygen", W428&lt;&gt;"LowFlow")), "Intensive", "Intermediate")</f>
      </c>
      <c r="AJ428" s="37">
        <f>IF(OR(LEFT(AH428, 1)="X", LEFT(AH428, 1)="Y", LEFT(AH428, 3)="J40M"), "CUSM", "No Match")</f>
      </c>
      <c r="AK428" s="37">
        <f>IF(AND(OR(O428=3, P428=1, Q428=1, T428=1), AJ428="no Match"), "CUSM, CHU SJ, CHUQ", "")</f>
      </c>
      <c r="AL428" s="37">
        <f>IF(AND(O428=2, ISBLANK(P428), ISBLANK(Q428), ISBLANK(R428), ISBLANK(S428), ISBLANK(T428)), "CUSM, CHU SJ, CHUS, CHUQ", "")</f>
      </c>
      <c r="AM428" s="37">
        <f>IF(AND(AJ428="no match", AK428="", AL428="", K428&lt;26), "CUSM, CHU SJ, HGJ, CHUQ, CHUS", "")</f>
      </c>
      <c r="AN428" s="37">
        <f>IF(AND(AJ428="no match", AK428="", AL428="", K428&gt;26), "CUSM, CHU SJ, HGJ, CHUQ, CHUS, HMR", "")</f>
      </c>
    </row>
    <row x14ac:dyDescent="0.25" r="429" customHeight="1" ht="17.25">
      <c r="A429" s="27" t="s">
        <v>935</v>
      </c>
      <c r="B429" s="28">
        <v>2</v>
      </c>
      <c r="C429" s="35">
        <v>730</v>
      </c>
      <c r="D429" s="29" t="s">
        <v>81</v>
      </c>
      <c r="E429" s="30" t="s">
        <v>50</v>
      </c>
      <c r="F429" s="31">
        <v>44793</v>
      </c>
      <c r="G429" s="32">
        <v>4.739583333333334</v>
      </c>
      <c r="H429" s="31">
        <v>44791</v>
      </c>
      <c r="I429" s="32">
        <v>4.440277777777778</v>
      </c>
      <c r="J429" s="33">
        <f>F429-H429</f>
      </c>
      <c r="K429" s="28">
        <v>37</v>
      </c>
      <c r="L429" s="28">
        <v>3</v>
      </c>
      <c r="M429" s="28">
        <v>1</v>
      </c>
      <c r="N429" s="35">
        <v>1</v>
      </c>
      <c r="O429" s="34"/>
      <c r="P429" s="34"/>
      <c r="Q429" s="34"/>
      <c r="R429" s="34"/>
      <c r="S429" s="34"/>
      <c r="T429" s="34"/>
      <c r="U429" s="34"/>
      <c r="V429" s="34"/>
      <c r="W429" s="29"/>
      <c r="X429" s="28">
        <v>37</v>
      </c>
      <c r="Y429" s="28">
        <v>1</v>
      </c>
      <c r="Z429" s="28">
        <v>1</v>
      </c>
      <c r="AA429" s="28">
        <v>1</v>
      </c>
      <c r="AB429" s="28">
        <v>1</v>
      </c>
      <c r="AC429" s="28">
        <v>2</v>
      </c>
      <c r="AD429" s="28">
        <v>2</v>
      </c>
      <c r="AE429" s="28">
        <v>4</v>
      </c>
      <c r="AF429" s="28">
        <v>2</v>
      </c>
      <c r="AG429" s="28">
        <v>2</v>
      </c>
      <c r="AH429" s="29" t="s">
        <v>936</v>
      </c>
      <c r="AI429" s="36">
        <f>IF(OR(AND(K429&lt;32, J429&lt;2), O429=1, P429=1, Q429=1, R429=1, S429=1, T429=1, U429=1, AND(W429&lt;&gt;"", W429&lt;&gt;"Oxygen", W429&lt;&gt;"LowFlow")), "Intensive", "Intermediate")</f>
      </c>
      <c r="AJ429" s="37">
        <f>IF(OR(LEFT(AH429, 1)="X", LEFT(AH429, 1)="Y", LEFT(AH429, 3)="J41M"), "CUSM", "No Match")</f>
      </c>
      <c r="AK429" s="37">
        <f>IF(AND(OR(O429=3, P429=1, Q429=1, T429=1), AJ429="no Match"), "CUSM, CHU SJ, CHUQ", "")</f>
      </c>
      <c r="AL429" s="37">
        <f>IF(AND(O429=2, ISBLANK(P429), ISBLANK(Q429), ISBLANK(R429), ISBLANK(S429), ISBLANK(T429)), "CUSM, CHU SJ, CHUS, CHUQ", "")</f>
      </c>
      <c r="AM429" s="37">
        <f>IF(AND(AJ429="no match", AK429="", AL429="", K429&lt;26), "CUSM, CHU SJ, HGJ, CHUQ, CHUS", "")</f>
      </c>
      <c r="AN429" s="37">
        <f>IF(AND(AJ429="no match", AK429="", AL429="", K429&gt;26), "CUSM, CHU SJ, HGJ, CHUQ, CHUS, HMR", "")</f>
      </c>
    </row>
    <row x14ac:dyDescent="0.25" r="430" customHeight="1" ht="17.25">
      <c r="A430" s="27" t="s">
        <v>937</v>
      </c>
      <c r="B430" s="28">
        <v>2</v>
      </c>
      <c r="C430" s="35">
        <v>756</v>
      </c>
      <c r="D430" s="29" t="s">
        <v>66</v>
      </c>
      <c r="E430" s="30" t="s">
        <v>50</v>
      </c>
      <c r="F430" s="31">
        <v>44793</v>
      </c>
      <c r="G430" s="32">
        <v>4.635416666666666</v>
      </c>
      <c r="H430" s="31">
        <v>44791</v>
      </c>
      <c r="I430" s="32">
        <v>4.3381944444444445</v>
      </c>
      <c r="J430" s="33">
        <f>F430-H430</f>
      </c>
      <c r="K430" s="28">
        <v>39</v>
      </c>
      <c r="L430" s="28">
        <v>3</v>
      </c>
      <c r="M430" s="28">
        <v>1</v>
      </c>
      <c r="N430" s="35">
        <v>1</v>
      </c>
      <c r="O430" s="38"/>
      <c r="P430" s="38"/>
      <c r="Q430" s="34"/>
      <c r="R430" s="34"/>
      <c r="S430" s="34"/>
      <c r="T430" s="34"/>
      <c r="U430" s="34"/>
      <c r="V430" s="34"/>
      <c r="W430" s="29" t="s">
        <v>106</v>
      </c>
      <c r="X430" s="28">
        <v>40</v>
      </c>
      <c r="Y430" s="28">
        <v>1</v>
      </c>
      <c r="Z430" s="28">
        <v>1</v>
      </c>
      <c r="AA430" s="28">
        <v>2</v>
      </c>
      <c r="AB430" s="28">
        <v>1</v>
      </c>
      <c r="AC430" s="28">
        <v>2</v>
      </c>
      <c r="AD430" s="28">
        <v>2</v>
      </c>
      <c r="AE430" s="28">
        <v>4</v>
      </c>
      <c r="AF430" s="28">
        <v>2</v>
      </c>
      <c r="AG430" s="28">
        <v>2</v>
      </c>
      <c r="AH430" s="29" t="s">
        <v>938</v>
      </c>
      <c r="AI430" s="36">
        <f>IF(OR(AND(K430&lt;32, J430&lt;2), O430=1, P430=1, Q430=1, R430=1, S430=1, T430=1, U430=1, AND(W430&lt;&gt;"", W430&lt;&gt;"Oxygen", W430&lt;&gt;"LowFlow")), "Intensive", "Intermediate")</f>
      </c>
      <c r="AJ430" s="37">
        <f>IF(OR(LEFT(AH430, 1)="X", LEFT(AH430, 1)="Y", LEFT(AH430, 3)="J42M"), "CUSM", "No Match")</f>
      </c>
      <c r="AK430" s="37">
        <f>IF(AND(OR(O430=3, P430=1, Q430=1, T430=1), AJ430="no Match"), "CUSM, CHU SJ, CHUQ", "")</f>
      </c>
      <c r="AL430" s="37">
        <f>IF(AND(O430=2, ISBLANK(P430), ISBLANK(Q430), ISBLANK(R430), ISBLANK(S430), ISBLANK(T430)), "CUSM, CHU SJ, CHUS, CHUQ", "")</f>
      </c>
      <c r="AM430" s="37">
        <f>IF(AND(AJ430="no match", AK430="", AL430="", K430&lt;26), "CUSM, CHU SJ, HGJ, CHUQ, CHUS", "")</f>
      </c>
      <c r="AN430" s="37">
        <f>IF(AND(AJ430="no match", AK430="", AL430="", K430&gt;26), "CUSM, CHU SJ, HGJ, CHUQ, CHUS, HMR", "")</f>
      </c>
    </row>
    <row x14ac:dyDescent="0.25" r="431" customHeight="1" ht="17.25">
      <c r="A431" s="27" t="s">
        <v>939</v>
      </c>
      <c r="B431" s="28">
        <v>2</v>
      </c>
      <c r="C431" s="35">
        <v>824</v>
      </c>
      <c r="D431" s="29" t="s">
        <v>57</v>
      </c>
      <c r="E431" s="30" t="s">
        <v>50</v>
      </c>
      <c r="F431" s="31">
        <v>44795</v>
      </c>
      <c r="G431" s="32">
        <v>4.805555555555555</v>
      </c>
      <c r="H431" s="31">
        <v>44793</v>
      </c>
      <c r="I431" s="32">
        <v>4.659027777777778</v>
      </c>
      <c r="J431" s="33">
        <f>F431-H431</f>
      </c>
      <c r="K431" s="28">
        <v>39</v>
      </c>
      <c r="L431" s="28">
        <v>0</v>
      </c>
      <c r="M431" s="28">
        <v>2</v>
      </c>
      <c r="N431" s="34"/>
      <c r="O431" s="34"/>
      <c r="P431" s="34"/>
      <c r="Q431" s="34"/>
      <c r="R431" s="34"/>
      <c r="S431" s="34"/>
      <c r="T431" s="34"/>
      <c r="U431" s="34"/>
      <c r="V431" s="34"/>
      <c r="W431" s="29"/>
      <c r="X431" s="28">
        <v>38</v>
      </c>
      <c r="Y431" s="28">
        <v>1</v>
      </c>
      <c r="Z431" s="28">
        <v>1</v>
      </c>
      <c r="AA431" s="28">
        <v>2</v>
      </c>
      <c r="AB431" s="28">
        <v>1</v>
      </c>
      <c r="AC431" s="28">
        <v>2</v>
      </c>
      <c r="AD431" s="28">
        <v>1</v>
      </c>
      <c r="AE431" s="28">
        <v>4</v>
      </c>
      <c r="AF431" s="28">
        <v>2</v>
      </c>
      <c r="AG431" s="28">
        <v>2</v>
      </c>
      <c r="AH431" s="29" t="s">
        <v>940</v>
      </c>
      <c r="AI431" s="36">
        <f>IF(OR(AND(K431&lt;32, J431&lt;2), O431=1, P431=1, Q431=1, R431=1, S431=1, T431=1, U431=1, AND(W431&lt;&gt;"", W431&lt;&gt;"Oxygen", W431&lt;&gt;"LowFlow")), "Intensive", "Intermediate")</f>
      </c>
      <c r="AJ431" s="37">
        <f>IF(OR(LEFT(AH431, 1)="X", LEFT(AH431, 1)="Y", LEFT(AH431, 3)="J43M"), "CUSM", "No Match")</f>
      </c>
      <c r="AK431" s="37">
        <f>IF(AND(OR(O431=3, P431=1, Q431=1, T431=1), AJ431="no Match"), "CUSM, CHU SJ, CHUQ", "")</f>
      </c>
      <c r="AL431" s="37">
        <f>IF(AND(O431=2, ISBLANK(P431), ISBLANK(Q431), ISBLANK(R431), ISBLANK(S431), ISBLANK(T431)), "CUSM, CHU SJ, CHUS, CHUQ", "")</f>
      </c>
      <c r="AM431" s="37">
        <f>IF(AND(AJ431="no match", AK431="", AL431="", K431&lt;26), "CUSM, CHU SJ, HGJ, CHUQ, CHUS", "")</f>
      </c>
      <c r="AN431" s="37">
        <f>IF(AND(AJ431="no match", AK431="", AL431="", K431&gt;26), "CUSM, CHU SJ, HGJ, CHUQ, CHUS, HMR", "")</f>
      </c>
    </row>
    <row x14ac:dyDescent="0.25" r="432" customHeight="1" ht="17.25">
      <c r="A432" s="27" t="s">
        <v>941</v>
      </c>
      <c r="B432" s="28">
        <v>2</v>
      </c>
      <c r="C432" s="35">
        <v>822</v>
      </c>
      <c r="D432" s="29" t="s">
        <v>167</v>
      </c>
      <c r="E432" s="30" t="s">
        <v>50</v>
      </c>
      <c r="F432" s="31">
        <v>44797</v>
      </c>
      <c r="G432" s="32">
        <v>4</v>
      </c>
      <c r="H432" s="31">
        <v>44796</v>
      </c>
      <c r="I432" s="32">
        <v>4.729166666666666</v>
      </c>
      <c r="J432" s="33">
        <f>F432-H432</f>
      </c>
      <c r="K432" s="28">
        <v>41</v>
      </c>
      <c r="L432" s="28">
        <v>0</v>
      </c>
      <c r="M432" s="28">
        <v>1</v>
      </c>
      <c r="N432" s="34"/>
      <c r="O432" s="34"/>
      <c r="P432" s="34"/>
      <c r="Q432" s="34"/>
      <c r="R432" s="34"/>
      <c r="S432" s="34"/>
      <c r="T432" s="34"/>
      <c r="U432" s="34"/>
      <c r="V432" s="34"/>
      <c r="W432" s="29"/>
      <c r="X432" s="28">
        <v>25</v>
      </c>
      <c r="Y432" s="28">
        <v>1</v>
      </c>
      <c r="Z432" s="28">
        <v>1</v>
      </c>
      <c r="AA432" s="28">
        <v>2</v>
      </c>
      <c r="AB432" s="28">
        <v>1</v>
      </c>
      <c r="AC432" s="28">
        <v>2</v>
      </c>
      <c r="AD432" s="28">
        <v>2</v>
      </c>
      <c r="AE432" s="28">
        <v>4</v>
      </c>
      <c r="AF432" s="28">
        <v>2</v>
      </c>
      <c r="AG432" s="28">
        <v>2</v>
      </c>
      <c r="AH432" s="29" t="s">
        <v>154</v>
      </c>
      <c r="AI432" s="36">
        <f>IF(OR(AND(K432&lt;32, J432&lt;2), O432=1, P432=1, Q432=1, R432=1, S432=1, T432=1, U432=1, AND(W432&lt;&gt;"", W432&lt;&gt;"Oxygen", W432&lt;&gt;"LowFlow")), "Intensive", "Intermediate")</f>
      </c>
      <c r="AJ432" s="37">
        <f>IF(OR(LEFT(AH432, 1)="X", LEFT(AH432, 1)="Y", LEFT(AH432, 3)="J44M"), "CUSM", "No Match")</f>
      </c>
      <c r="AK432" s="37">
        <f>IF(AND(OR(O432=3, P432=1, Q432=1, T432=1), AJ432="no Match"), "CUSM, CHU SJ, CHUQ", "")</f>
      </c>
      <c r="AL432" s="37">
        <f>IF(AND(O432=2, ISBLANK(P432), ISBLANK(Q432), ISBLANK(R432), ISBLANK(S432), ISBLANK(T432)), "CUSM, CHU SJ, CHUS, CHUQ", "")</f>
      </c>
      <c r="AM432" s="37">
        <f>IF(AND(AJ432="no match", AK432="", AL432="", K432&lt;26), "CUSM, CHU SJ, HGJ, CHUQ, CHUS", "")</f>
      </c>
      <c r="AN432" s="37">
        <f>IF(AND(AJ432="no match", AK432="", AL432="", K432&gt;26), "CUSM, CHU SJ, HGJ, CHUQ, CHUS, HMR", "")</f>
      </c>
    </row>
    <row x14ac:dyDescent="0.25" r="433" customHeight="1" ht="17.25">
      <c r="A433" s="27" t="s">
        <v>942</v>
      </c>
      <c r="B433" s="28">
        <v>2</v>
      </c>
      <c r="C433" s="28">
        <v>6</v>
      </c>
      <c r="D433" s="29" t="s">
        <v>131</v>
      </c>
      <c r="E433" s="30" t="s">
        <v>50</v>
      </c>
      <c r="F433" s="31">
        <v>44797</v>
      </c>
      <c r="G433" s="32">
        <v>4.565972222222222</v>
      </c>
      <c r="H433" s="31">
        <v>44771</v>
      </c>
      <c r="I433" s="32">
        <v>4.361111111111111</v>
      </c>
      <c r="J433" s="33">
        <f>F433-H433</f>
      </c>
      <c r="K433" s="28">
        <v>36</v>
      </c>
      <c r="L433" s="28">
        <v>0</v>
      </c>
      <c r="M433" s="28">
        <v>1</v>
      </c>
      <c r="N433" s="38"/>
      <c r="O433" s="34"/>
      <c r="P433" s="34"/>
      <c r="Q433" s="34"/>
      <c r="R433" s="34"/>
      <c r="S433" s="34"/>
      <c r="T433" s="34"/>
      <c r="U433" s="34"/>
      <c r="V433" s="34"/>
      <c r="W433" s="29"/>
      <c r="X433" s="28">
        <v>34</v>
      </c>
      <c r="Y433" s="28">
        <v>2</v>
      </c>
      <c r="Z433" s="28">
        <v>2</v>
      </c>
      <c r="AA433" s="28">
        <v>1</v>
      </c>
      <c r="AB433" s="28">
        <v>1</v>
      </c>
      <c r="AC433" s="28">
        <v>2</v>
      </c>
      <c r="AD433" s="28">
        <v>2</v>
      </c>
      <c r="AE433" s="28">
        <v>4</v>
      </c>
      <c r="AF433" s="28">
        <v>2</v>
      </c>
      <c r="AG433" s="28">
        <v>2</v>
      </c>
      <c r="AH433" s="29" t="s">
        <v>943</v>
      </c>
      <c r="AI433" s="36">
        <f>IF(OR(AND(K433&lt;32, J433&lt;2), O433=1, P433=1, Q433=1, R433=1, S433=1, T433=1, U433=1, AND(W433&lt;&gt;"", W433&lt;&gt;"Oxygen", W433&lt;&gt;"LowFlow")), "Intensive", "Intermediate")</f>
      </c>
      <c r="AJ433" s="37">
        <f>IF(OR(LEFT(AH433, 1)="X", LEFT(AH433, 1)="Y", LEFT(AH433, 3)="J45M"), "CUSM", "No Match")</f>
      </c>
      <c r="AK433" s="37">
        <f>IF(AND(OR(O433=3, P433=1, Q433=1, T433=1), AJ433="no Match"), "CUSM, CHU SJ, CHUQ", "")</f>
      </c>
      <c r="AL433" s="37">
        <f>IF(AND(O433=2, ISBLANK(P433), ISBLANK(Q433), ISBLANK(R433), ISBLANK(S433), ISBLANK(T433)), "CUSM, CHU SJ, CHUS, CHUQ", "")</f>
      </c>
      <c r="AM433" s="37">
        <f>IF(AND(AJ433="no match", AK433="", AL433="", K433&lt;26), "CUSM, CHU SJ, HGJ, CHUQ, CHUS", "")</f>
      </c>
      <c r="AN433" s="37">
        <f>IF(AND(AJ433="no match", AK433="", AL433="", K433&gt;26), "CUSM, CHU SJ, HGJ, CHUQ, CHUS, HMR", "")</f>
      </c>
    </row>
    <row x14ac:dyDescent="0.25" r="434" customHeight="1" ht="17.25">
      <c r="A434" s="27" t="s">
        <v>944</v>
      </c>
      <c r="B434" s="28">
        <v>2</v>
      </c>
      <c r="C434" s="28">
        <v>731</v>
      </c>
      <c r="D434" s="29" t="s">
        <v>103</v>
      </c>
      <c r="E434" s="30" t="s">
        <v>54</v>
      </c>
      <c r="F434" s="31">
        <v>44799</v>
      </c>
      <c r="G434" s="32">
        <v>4.90625</v>
      </c>
      <c r="H434" s="31">
        <v>44797</v>
      </c>
      <c r="I434" s="32">
        <v>4.615972222222222</v>
      </c>
      <c r="J434" s="33">
        <f>F434-H434</f>
      </c>
      <c r="K434" s="28">
        <v>38</v>
      </c>
      <c r="L434" s="28">
        <v>6</v>
      </c>
      <c r="M434" s="28">
        <v>2</v>
      </c>
      <c r="N434" s="34"/>
      <c r="O434" s="34"/>
      <c r="P434" s="34"/>
      <c r="Q434" s="34"/>
      <c r="R434" s="34"/>
      <c r="S434" s="34"/>
      <c r="T434" s="34"/>
      <c r="U434" s="34"/>
      <c r="V434" s="34"/>
      <c r="W434" s="29" t="s">
        <v>58</v>
      </c>
      <c r="X434" s="28">
        <v>26</v>
      </c>
      <c r="Y434" s="28">
        <v>1</v>
      </c>
      <c r="Z434" s="28">
        <v>1</v>
      </c>
      <c r="AA434" s="28">
        <v>1</v>
      </c>
      <c r="AB434" s="28">
        <v>1</v>
      </c>
      <c r="AC434" s="28">
        <v>2</v>
      </c>
      <c r="AD434" s="28">
        <v>2</v>
      </c>
      <c r="AE434" s="28">
        <v>4</v>
      </c>
      <c r="AF434" s="28">
        <v>2</v>
      </c>
      <c r="AG434" s="28">
        <v>2</v>
      </c>
      <c r="AH434" s="29" t="s">
        <v>945</v>
      </c>
      <c r="AI434" s="36">
        <f>IF(OR(AND(K434&lt;32, J434&lt;2), O434=1, P434=1, Q434=1, R434=1, S434=1, T434=1, U434=1, AND(W434&lt;&gt;"", W434&lt;&gt;"Oxygen", W434&lt;&gt;"LowFlow")), "Intensive", "Intermediate")</f>
      </c>
      <c r="AJ434" s="37">
        <f>IF(OR(LEFT(AH434, 1)="X", LEFT(AH434, 1)="Y", LEFT(AH434, 3)="J46M"), "CUSM", "No Match")</f>
      </c>
      <c r="AK434" s="37">
        <f>IF(AND(OR(O434=3, P434=1, Q434=1, T434=1), AJ434="no Match"), "CUSM, CHU SJ, CHUQ", "")</f>
      </c>
      <c r="AL434" s="37">
        <f>IF(AND(O434=2, ISBLANK(P434), ISBLANK(Q434), ISBLANK(R434), ISBLANK(S434), ISBLANK(T434)), "CUSM, CHU SJ, CHUS, CHUQ", "")</f>
      </c>
      <c r="AM434" s="37">
        <f>IF(AND(AJ434="no match", AK434="", AL434="", K434&lt;26), "CUSM, CHU SJ, HGJ, CHUQ, CHUS", "")</f>
      </c>
      <c r="AN434" s="37">
        <f>IF(AND(AJ434="no match", AK434="", AL434="", K434&gt;26), "CUSM, CHU SJ, HGJ, CHUQ, CHUS, HMR", "")</f>
      </c>
    </row>
    <row x14ac:dyDescent="0.25" r="435" customHeight="1" ht="17.25">
      <c r="A435" s="27" t="s">
        <v>946</v>
      </c>
      <c r="B435" s="28">
        <v>2</v>
      </c>
      <c r="C435" s="28">
        <v>796</v>
      </c>
      <c r="D435" s="29" t="s">
        <v>63</v>
      </c>
      <c r="E435" s="30" t="s">
        <v>54</v>
      </c>
      <c r="F435" s="31">
        <v>44799</v>
      </c>
      <c r="G435" s="32">
        <v>4.95625</v>
      </c>
      <c r="H435" s="31">
        <v>44799</v>
      </c>
      <c r="I435" s="32">
        <v>4.825694444444444</v>
      </c>
      <c r="J435" s="33">
        <f>F435-H435</f>
      </c>
      <c r="K435" s="28">
        <v>33</v>
      </c>
      <c r="L435" s="28">
        <v>3</v>
      </c>
      <c r="M435" s="28">
        <v>2</v>
      </c>
      <c r="N435" s="34"/>
      <c r="O435" s="34"/>
      <c r="P435" s="34"/>
      <c r="Q435" s="34"/>
      <c r="R435" s="34"/>
      <c r="S435" s="34"/>
      <c r="T435" s="34"/>
      <c r="U435" s="34"/>
      <c r="V435" s="34"/>
      <c r="W435" s="29" t="s">
        <v>74</v>
      </c>
      <c r="X435" s="28">
        <v>27</v>
      </c>
      <c r="Y435" s="28">
        <v>1</v>
      </c>
      <c r="Z435" s="28">
        <v>2</v>
      </c>
      <c r="AA435" s="28">
        <v>1</v>
      </c>
      <c r="AB435" s="28">
        <v>1</v>
      </c>
      <c r="AC435" s="28">
        <v>1</v>
      </c>
      <c r="AD435" s="28">
        <v>2</v>
      </c>
      <c r="AE435" s="28">
        <v>4</v>
      </c>
      <c r="AF435" s="28">
        <v>3</v>
      </c>
      <c r="AG435" s="28">
        <v>3</v>
      </c>
      <c r="AH435" s="29" t="s">
        <v>947</v>
      </c>
      <c r="AI435" s="36">
        <f>IF(OR(AND(K435&lt;32, J435&lt;2), O435=1, P435=1, Q435=1, R435=1, S435=1, T435=1, U435=1, AND(W435&lt;&gt;"", W435&lt;&gt;"Oxygen", W435&lt;&gt;"LowFlow")), "Intensive", "Intermediate")</f>
      </c>
      <c r="AJ435" s="37">
        <f>IF(OR(LEFT(AH435, 1)="X", LEFT(AH435, 1)="Y", LEFT(AH435, 3)="J47M"), "CUSM", "No Match")</f>
      </c>
      <c r="AK435" s="37">
        <f>IF(AND(OR(O435=3, P435=1, Q435=1, T435=1), AJ435="no Match"), "CUSM, CHU SJ, CHUQ", "")</f>
      </c>
      <c r="AL435" s="37">
        <f>IF(AND(O435=2, ISBLANK(P435), ISBLANK(Q435), ISBLANK(R435), ISBLANK(S435), ISBLANK(T435)), "CUSM, CHU SJ, CHUS, CHUQ", "")</f>
      </c>
      <c r="AM435" s="37">
        <f>IF(AND(AJ435="no match", AK435="", AL435="", K435&lt;26), "CUSM, CHU SJ, HGJ, CHUQ, CHUS", "")</f>
      </c>
      <c r="AN435" s="37">
        <f>IF(AND(AJ435="no match", AK435="", AL435="", K435&gt;26), "CUSM, CHU SJ, HGJ, CHUQ, CHUS, HMR", "")</f>
      </c>
    </row>
    <row x14ac:dyDescent="0.25" r="436" customHeight="1" ht="17.25">
      <c r="A436" s="27" t="s">
        <v>948</v>
      </c>
      <c r="B436" s="28">
        <v>2</v>
      </c>
      <c r="C436" s="28">
        <v>734</v>
      </c>
      <c r="D436" s="29" t="s">
        <v>264</v>
      </c>
      <c r="E436" s="30" t="s">
        <v>54</v>
      </c>
      <c r="F436" s="31">
        <v>44800</v>
      </c>
      <c r="G436" s="32">
        <v>4.822916666666666</v>
      </c>
      <c r="H436" s="31">
        <v>44800</v>
      </c>
      <c r="I436" s="32">
        <v>4.683333333333334</v>
      </c>
      <c r="J436" s="33">
        <f>F436-H436</f>
      </c>
      <c r="K436" s="28">
        <v>29</v>
      </c>
      <c r="L436" s="28">
        <v>3</v>
      </c>
      <c r="M436" s="28">
        <v>1</v>
      </c>
      <c r="N436" s="28">
        <v>1</v>
      </c>
      <c r="O436" s="34"/>
      <c r="P436" s="35">
        <v>1</v>
      </c>
      <c r="Q436" s="34"/>
      <c r="R436" s="34"/>
      <c r="S436" s="34"/>
      <c r="T436" s="34"/>
      <c r="U436" s="34"/>
      <c r="V436" s="34"/>
      <c r="W436" s="29" t="s">
        <v>74</v>
      </c>
      <c r="X436" s="28">
        <v>29</v>
      </c>
      <c r="Y436" s="28">
        <v>1</v>
      </c>
      <c r="Z436" s="28">
        <v>1</v>
      </c>
      <c r="AA436" s="28">
        <v>1</v>
      </c>
      <c r="AB436" s="28">
        <v>1</v>
      </c>
      <c r="AC436" s="28">
        <v>2</v>
      </c>
      <c r="AD436" s="28">
        <v>2</v>
      </c>
      <c r="AE436" s="28">
        <v>4</v>
      </c>
      <c r="AF436" s="28">
        <v>2</v>
      </c>
      <c r="AG436" s="28">
        <v>2</v>
      </c>
      <c r="AH436" s="29" t="s">
        <v>949</v>
      </c>
      <c r="AI436" s="36">
        <f>IF(OR(AND(K436&lt;32, J436&lt;2), O436=1, P436=1, Q436=1, R436=1, S436=1, T436=1, U436=1, AND(W436&lt;&gt;"", W436&lt;&gt;"Oxygen", W436&lt;&gt;"LowFlow")), "Intensive", "Intermediate")</f>
      </c>
      <c r="AJ436" s="37">
        <f>IF(OR(LEFT(AH436, 1)="X", LEFT(AH436, 1)="Y", LEFT(AH436, 3)="J48M"), "CUSM", "No Match")</f>
      </c>
      <c r="AK436" s="37">
        <f>IF(AND(OR(O436=3, P436=1, Q436=1, T436=1), AJ436="no Match"), "CUSM, CHU SJ, CHUQ", "")</f>
      </c>
      <c r="AL436" s="37">
        <f>IF(AND(O436=2, ISBLANK(P436), ISBLANK(Q436), ISBLANK(R436), ISBLANK(S436), ISBLANK(T436)), "CUSM, CHU SJ, CHUS, CHUQ", "")</f>
      </c>
      <c r="AM436" s="37">
        <f>IF(AND(AJ436="no match", AK436="", AL436="", K436&lt;26), "CUSM, CHU SJ, HGJ, CHUQ, CHUS", "")</f>
      </c>
      <c r="AN436" s="37">
        <f>IF(AND(AJ436="no match", AK436="", AL436="", K436&gt;26), "CUSM, CHU SJ, HGJ, CHUQ, CHUS, HMR", "")</f>
      </c>
    </row>
    <row x14ac:dyDescent="0.25" r="437" customHeight="1" ht="17.25">
      <c r="A437" s="27" t="s">
        <v>950</v>
      </c>
      <c r="B437" s="28">
        <v>2</v>
      </c>
      <c r="C437" s="28">
        <v>824</v>
      </c>
      <c r="D437" s="29" t="s">
        <v>57</v>
      </c>
      <c r="E437" s="30" t="s">
        <v>54</v>
      </c>
      <c r="F437" s="31">
        <v>44802</v>
      </c>
      <c r="G437" s="32">
        <v>4.847222222222222</v>
      </c>
      <c r="H437" s="31">
        <v>44802</v>
      </c>
      <c r="I437" s="32">
        <v>4.579166666666667</v>
      </c>
      <c r="J437" s="33">
        <f>F437-H437</f>
      </c>
      <c r="K437" s="28">
        <v>36</v>
      </c>
      <c r="L437" s="28">
        <v>6</v>
      </c>
      <c r="M437" s="28">
        <v>2</v>
      </c>
      <c r="N437" s="38"/>
      <c r="O437" s="38"/>
      <c r="P437" s="38"/>
      <c r="Q437" s="34"/>
      <c r="R437" s="34"/>
      <c r="S437" s="34"/>
      <c r="T437" s="35">
        <v>1</v>
      </c>
      <c r="U437" s="38"/>
      <c r="V437" s="38"/>
      <c r="W437" s="29" t="s">
        <v>74</v>
      </c>
      <c r="X437" s="28">
        <v>20</v>
      </c>
      <c r="Y437" s="28">
        <v>1</v>
      </c>
      <c r="Z437" s="28">
        <v>2</v>
      </c>
      <c r="AA437" s="28">
        <v>3</v>
      </c>
      <c r="AB437" s="28">
        <v>1</v>
      </c>
      <c r="AC437" s="28">
        <v>2</v>
      </c>
      <c r="AD437" s="28">
        <v>2</v>
      </c>
      <c r="AE437" s="28">
        <v>4</v>
      </c>
      <c r="AF437" s="28">
        <v>3</v>
      </c>
      <c r="AG437" s="28">
        <v>3</v>
      </c>
      <c r="AH437" s="29" t="s">
        <v>951</v>
      </c>
      <c r="AI437" s="36">
        <f>IF(OR(AND(K437&lt;32, J437&lt;2), O437=1, P437=1, Q437=1, R437=1, S437=1, T437=1, U437=1, AND(W437&lt;&gt;"", W437&lt;&gt;"Oxygen", W437&lt;&gt;"LowFlow")), "Intensive", "Intermediate")</f>
      </c>
      <c r="AJ437" s="37">
        <f>IF(OR(LEFT(AH437, 1)="X", LEFT(AH437, 1)="Y", LEFT(AH437, 3)="J49M"), "CUSM", "No Match")</f>
      </c>
      <c r="AK437" s="37">
        <f>IF(AND(OR(O437=3, P437=1, Q437=1, T437=1), AJ437="no Match"), "CUSM, CHU SJ, CHUQ", "")</f>
      </c>
      <c r="AL437" s="37">
        <f>IF(AND(O437=2, ISBLANK(P437), ISBLANK(Q437), ISBLANK(R437), ISBLANK(S437), ISBLANK(T437)), "CUSM, CHU SJ, CHUS, CHUQ", "")</f>
      </c>
      <c r="AM437" s="37">
        <f>IF(AND(AJ437="no match", AK437="", AL437="", K437&lt;26), "CUSM, CHU SJ, HGJ, CHUQ, CHUS", "")</f>
      </c>
      <c r="AN437" s="37">
        <f>IF(AND(AJ437="no match", AK437="", AL437="", K437&gt;26), "CUSM, CHU SJ, HGJ, CHUQ, CHUS, HMR", "")</f>
      </c>
    </row>
    <row x14ac:dyDescent="0.25" r="438" customHeight="1" ht="17.25">
      <c r="A438" s="27" t="s">
        <v>952</v>
      </c>
      <c r="B438" s="28">
        <v>2</v>
      </c>
      <c r="C438" s="28">
        <v>824</v>
      </c>
      <c r="D438" s="29" t="s">
        <v>57</v>
      </c>
      <c r="E438" s="30" t="s">
        <v>50</v>
      </c>
      <c r="F438" s="31">
        <v>44802</v>
      </c>
      <c r="G438" s="32">
        <v>4.8875</v>
      </c>
      <c r="H438" s="31">
        <v>44801</v>
      </c>
      <c r="I438" s="32">
        <v>4.927083333333334</v>
      </c>
      <c r="J438" s="33">
        <f>F438-H438</f>
      </c>
      <c r="K438" s="28">
        <v>40</v>
      </c>
      <c r="L438" s="28">
        <v>0</v>
      </c>
      <c r="M438" s="28">
        <v>2</v>
      </c>
      <c r="N438" s="34"/>
      <c r="O438" s="34"/>
      <c r="P438" s="34"/>
      <c r="Q438" s="34"/>
      <c r="R438" s="34"/>
      <c r="S438" s="34"/>
      <c r="T438" s="34"/>
      <c r="U438" s="34"/>
      <c r="V438" s="34"/>
      <c r="W438" s="29"/>
      <c r="X438" s="28">
        <v>28</v>
      </c>
      <c r="Y438" s="28">
        <v>1</v>
      </c>
      <c r="Z438" s="28">
        <v>1</v>
      </c>
      <c r="AA438" s="28">
        <v>1</v>
      </c>
      <c r="AB438" s="28">
        <v>1</v>
      </c>
      <c r="AC438" s="28">
        <v>2</v>
      </c>
      <c r="AD438" s="28">
        <v>2</v>
      </c>
      <c r="AE438" s="28">
        <v>4</v>
      </c>
      <c r="AF438" s="28">
        <v>2</v>
      </c>
      <c r="AG438" s="28">
        <v>2</v>
      </c>
      <c r="AH438" s="29" t="s">
        <v>953</v>
      </c>
      <c r="AI438" s="36">
        <f>IF(OR(AND(K438&lt;32, J438&lt;2), O438=1, P438=1, Q438=1, R438=1, S438=1, T438=1, U438=1, AND(W438&lt;&gt;"", W438&lt;&gt;"Oxygen", W438&lt;&gt;"LowFlow")), "Intensive", "Intermediate")</f>
      </c>
      <c r="AJ438" s="37">
        <f>IF(OR(LEFT(AH438, 1)="X", LEFT(AH438, 1)="Y", LEFT(AH438, 3)="J50M"), "CUSM", "No Match")</f>
      </c>
      <c r="AK438" s="37">
        <f>IF(AND(OR(O438=3, P438=1, Q438=1, T438=1), AJ438="no Match"), "CUSM, CHU SJ, CHUQ", "")</f>
      </c>
      <c r="AL438" s="37">
        <f>IF(AND(O438=2, ISBLANK(P438), ISBLANK(Q438), ISBLANK(R438), ISBLANK(S438), ISBLANK(T438)), "CUSM, CHU SJ, CHUS, CHUQ", "")</f>
      </c>
      <c r="AM438" s="37">
        <f>IF(AND(AJ438="no match", AK438="", AL438="", K438&lt;26), "CUSM, CHU SJ, HGJ, CHUQ, CHUS", "")</f>
      </c>
      <c r="AN438" s="37">
        <f>IF(AND(AJ438="no match", AK438="", AL438="", K438&gt;26), "CUSM, CHU SJ, HGJ, CHUQ, CHUS, HMR", "")</f>
      </c>
    </row>
    <row x14ac:dyDescent="0.25" r="439" customHeight="1" ht="17.25">
      <c r="A439" s="27" t="s">
        <v>954</v>
      </c>
      <c r="B439" s="28">
        <v>2</v>
      </c>
      <c r="C439" s="28">
        <v>749</v>
      </c>
      <c r="D439" s="29" t="s">
        <v>955</v>
      </c>
      <c r="E439" s="30" t="s">
        <v>149</v>
      </c>
      <c r="F439" s="31">
        <v>44803</v>
      </c>
      <c r="G439" s="32">
        <v>4.448611111111111</v>
      </c>
      <c r="H439" s="31">
        <v>44803</v>
      </c>
      <c r="I439" s="32">
        <v>4.279166666666667</v>
      </c>
      <c r="J439" s="33">
        <f>F439-H439</f>
      </c>
      <c r="K439" s="28">
        <v>26</v>
      </c>
      <c r="L439" s="28">
        <v>0</v>
      </c>
      <c r="M439" s="28">
        <v>1</v>
      </c>
      <c r="N439" s="34"/>
      <c r="O439" s="34"/>
      <c r="P439" s="34"/>
      <c r="Q439" s="34"/>
      <c r="R439" s="34"/>
      <c r="S439" s="34"/>
      <c r="T439" s="34"/>
      <c r="U439" s="34"/>
      <c r="V439" s="34"/>
      <c r="W439" s="29" t="s">
        <v>74</v>
      </c>
      <c r="X439" s="28">
        <v>32</v>
      </c>
      <c r="Y439" s="28">
        <v>1</v>
      </c>
      <c r="Z439" s="28">
        <v>1</v>
      </c>
      <c r="AA439" s="28">
        <v>3</v>
      </c>
      <c r="AB439" s="28">
        <v>4</v>
      </c>
      <c r="AC439" s="28">
        <v>3</v>
      </c>
      <c r="AD439" s="28">
        <v>3</v>
      </c>
      <c r="AE439" s="28">
        <v>4</v>
      </c>
      <c r="AF439" s="28">
        <v>3</v>
      </c>
      <c r="AG439" s="28">
        <v>1</v>
      </c>
      <c r="AH439" s="29" t="s">
        <v>956</v>
      </c>
      <c r="AI439" s="36">
        <f>IF(OR(AND(K439&lt;32, J439&lt;2), O439=1, P439=1, Q439=1, R439=1, S439=1, T439=1, U439=1, AND(W439&lt;&gt;"", W439&lt;&gt;"Oxygen", W439&lt;&gt;"LowFlow")), "Intensive", "Intermediate")</f>
      </c>
      <c r="AJ439" s="37">
        <f>IF(OR(LEFT(AH439, 1)="X", LEFT(AH439, 1)="Y", LEFT(AH439, 3)="J51M"), "CUSM", "No Match")</f>
      </c>
      <c r="AK439" s="37">
        <f>IF(AND(OR(O439=3, P439=1, Q439=1, T439=1), AJ439="no Match"), "CUSM, CHU SJ, CHUQ", "")</f>
      </c>
      <c r="AL439" s="37">
        <f>IF(AND(O439=2, ISBLANK(P439), ISBLANK(Q439), ISBLANK(R439), ISBLANK(S439), ISBLANK(T439)), "CUSM, CHU SJ, CHUS, CHUQ", "")</f>
      </c>
      <c r="AM439" s="37">
        <f>IF(AND(AJ439="no match", AK439="", AL439="", K439&lt;26), "CUSM, CHU SJ, HGJ, CHUQ, CHUS", "")</f>
      </c>
      <c r="AN439" s="37">
        <f>IF(AND(AJ439="no match", AK439="", AL439="", K439&gt;26), "CUSM, CHU SJ, HGJ, CHUQ, CHUS, HMR", "")</f>
      </c>
    </row>
    <row x14ac:dyDescent="0.25" r="440" customHeight="1" ht="17.25">
      <c r="A440" s="27" t="s">
        <v>957</v>
      </c>
      <c r="B440" s="28">
        <v>2</v>
      </c>
      <c r="C440" s="35">
        <v>825</v>
      </c>
      <c r="D440" s="29" t="s">
        <v>77</v>
      </c>
      <c r="E440" s="30" t="s">
        <v>54</v>
      </c>
      <c r="F440" s="31">
        <v>44803</v>
      </c>
      <c r="G440" s="32">
        <v>4.520833333333334</v>
      </c>
      <c r="H440" s="31">
        <v>44803</v>
      </c>
      <c r="I440" s="32">
        <v>4.304861111111111</v>
      </c>
      <c r="J440" s="33">
        <f>F440-H440</f>
      </c>
      <c r="K440" s="28">
        <v>40</v>
      </c>
      <c r="L440" s="28">
        <v>2</v>
      </c>
      <c r="M440" s="28">
        <v>1</v>
      </c>
      <c r="N440" s="34"/>
      <c r="O440" s="34"/>
      <c r="P440" s="34"/>
      <c r="Q440" s="34"/>
      <c r="R440" s="34"/>
      <c r="S440" s="34"/>
      <c r="T440" s="35">
        <v>1</v>
      </c>
      <c r="U440" s="34"/>
      <c r="V440" s="34"/>
      <c r="W440" s="29" t="s">
        <v>58</v>
      </c>
      <c r="X440" s="28">
        <v>37</v>
      </c>
      <c r="Y440" s="28">
        <v>1</v>
      </c>
      <c r="Z440" s="28">
        <v>1</v>
      </c>
      <c r="AA440" s="28">
        <v>1</v>
      </c>
      <c r="AB440" s="28">
        <v>1</v>
      </c>
      <c r="AC440" s="28">
        <v>2</v>
      </c>
      <c r="AD440" s="28">
        <v>2</v>
      </c>
      <c r="AE440" s="28">
        <v>4</v>
      </c>
      <c r="AF440" s="28">
        <v>2</v>
      </c>
      <c r="AG440" s="28">
        <v>2</v>
      </c>
      <c r="AH440" s="29" t="s">
        <v>958</v>
      </c>
      <c r="AI440" s="36">
        <f>IF(OR(AND(K440&lt;32, J440&lt;2), O440=1, P440=1, Q440=1, R440=1, S440=1, T440=1, U440=1, AND(W440&lt;&gt;"", W440&lt;&gt;"Oxygen", W440&lt;&gt;"LowFlow")), "Intensive", "Intermediate")</f>
      </c>
      <c r="AJ440" s="37">
        <f>IF(OR(LEFT(AH440, 1)="X", LEFT(AH440, 1)="Y", LEFT(AH440, 3)="J52M"), "CUSM", "No Match")</f>
      </c>
      <c r="AK440" s="37">
        <f>IF(AND(OR(O440=3, P440=1, Q440=1, T440=1), AJ440="no Match"), "CUSM, CHU SJ, CHUQ", "")</f>
      </c>
      <c r="AL440" s="37">
        <f>IF(AND(O440=2, ISBLANK(P440), ISBLANK(Q440), ISBLANK(R440), ISBLANK(S440), ISBLANK(T440)), "CUSM, CHU SJ, CHUS, CHUQ", "")</f>
      </c>
      <c r="AM440" s="37">
        <f>IF(AND(AJ440="no match", AK440="", AL440="", K440&lt;26), "CUSM, CHU SJ, HGJ, CHUQ, CHUS", "")</f>
      </c>
      <c r="AN440" s="37">
        <f>IF(AND(AJ440="no match", AK440="", AL440="", K440&gt;26), "CUSM, CHU SJ, HGJ, CHUQ, CHUS, HMR", "")</f>
      </c>
    </row>
    <row x14ac:dyDescent="0.25" r="441" customHeight="1" ht="17.25">
      <c r="A441" s="27" t="s">
        <v>959</v>
      </c>
      <c r="B441" s="28">
        <v>2</v>
      </c>
      <c r="C441" s="35">
        <v>824</v>
      </c>
      <c r="D441" s="29" t="s">
        <v>57</v>
      </c>
      <c r="E441" s="30" t="s">
        <v>50</v>
      </c>
      <c r="F441" s="31">
        <v>44803</v>
      </c>
      <c r="G441" s="32">
        <v>4.895138888888889</v>
      </c>
      <c r="H441" s="31">
        <v>44803</v>
      </c>
      <c r="I441" s="32">
        <v>4.627083333333333</v>
      </c>
      <c r="J441" s="33">
        <f>F441-H441</f>
      </c>
      <c r="K441" s="28">
        <v>40</v>
      </c>
      <c r="L441" s="28">
        <v>3</v>
      </c>
      <c r="M441" s="28">
        <v>1</v>
      </c>
      <c r="N441" s="34"/>
      <c r="O441" s="34"/>
      <c r="P441" s="34"/>
      <c r="Q441" s="34"/>
      <c r="R441" s="34"/>
      <c r="S441" s="34"/>
      <c r="T441" s="35">
        <v>1</v>
      </c>
      <c r="U441" s="34"/>
      <c r="V441" s="34"/>
      <c r="W441" s="29" t="s">
        <v>58</v>
      </c>
      <c r="X441" s="28">
        <v>31</v>
      </c>
      <c r="Y441" s="28">
        <v>1</v>
      </c>
      <c r="Z441" s="28">
        <v>1</v>
      </c>
      <c r="AA441" s="28">
        <v>1</v>
      </c>
      <c r="AB441" s="28">
        <v>1</v>
      </c>
      <c r="AC441" s="28">
        <v>2</v>
      </c>
      <c r="AD441" s="28">
        <v>2</v>
      </c>
      <c r="AE441" s="28">
        <v>4</v>
      </c>
      <c r="AF441" s="28">
        <v>2</v>
      </c>
      <c r="AG441" s="28">
        <v>2</v>
      </c>
      <c r="AH441" s="29" t="s">
        <v>960</v>
      </c>
      <c r="AI441" s="36">
        <f>IF(OR(AND(K441&lt;32, J441&lt;2), O441=1, P441=1, Q441=1, R441=1, S441=1, T441=1, U441=1, AND(W441&lt;&gt;"", W441&lt;&gt;"Oxygen", W441&lt;&gt;"LowFlow")), "Intensive", "Intermediate")</f>
      </c>
      <c r="AJ441" s="37">
        <f>IF(OR(LEFT(AH441, 1)="X", LEFT(AH441, 1)="Y", LEFT(AH441, 3)="J53M"), "CUSM", "No Match")</f>
      </c>
      <c r="AK441" s="37">
        <f>IF(AND(OR(O441=3, P441=1, Q441=1, T441=1), AJ441="no Match"), "CUSM, CHU SJ, CHUQ", "")</f>
      </c>
      <c r="AL441" s="37">
        <f>IF(AND(O441=2, ISBLANK(P441), ISBLANK(Q441), ISBLANK(R441), ISBLANK(S441), ISBLANK(T441)), "CUSM, CHU SJ, CHUS, CHUQ", "")</f>
      </c>
      <c r="AM441" s="37">
        <f>IF(AND(AJ441="no match", AK441="", AL441="", K441&lt;26), "CUSM, CHU SJ, HGJ, CHUQ, CHUS", "")</f>
      </c>
      <c r="AN441" s="37">
        <f>IF(AND(AJ441="no match", AK441="", AL441="", K441&gt;26), "CUSM, CHU SJ, HGJ, CHUQ, CHUS, HMR", "")</f>
      </c>
    </row>
    <row x14ac:dyDescent="0.25" r="442" customHeight="1" ht="17.25">
      <c r="A442" s="27" t="s">
        <v>961</v>
      </c>
      <c r="B442" s="28">
        <v>2</v>
      </c>
      <c r="C442" s="35">
        <v>779</v>
      </c>
      <c r="D442" s="29" t="s">
        <v>136</v>
      </c>
      <c r="E442" s="30" t="s">
        <v>78</v>
      </c>
      <c r="F442" s="31">
        <v>44804</v>
      </c>
      <c r="G442" s="32">
        <v>4.1875</v>
      </c>
      <c r="H442" s="31">
        <v>44801</v>
      </c>
      <c r="I442" s="32">
        <v>4.920138888888889</v>
      </c>
      <c r="J442" s="33">
        <f>F442-H442</f>
      </c>
      <c r="K442" s="28">
        <v>41</v>
      </c>
      <c r="L442" s="28">
        <v>0</v>
      </c>
      <c r="M442" s="28">
        <v>1</v>
      </c>
      <c r="N442" s="34"/>
      <c r="O442" s="34"/>
      <c r="P442" s="34"/>
      <c r="Q442" s="34"/>
      <c r="R442" s="34"/>
      <c r="S442" s="34"/>
      <c r="T442" s="34"/>
      <c r="U442" s="34"/>
      <c r="V442" s="34"/>
      <c r="W442" s="29"/>
      <c r="X442" s="28">
        <v>34</v>
      </c>
      <c r="Y442" s="28">
        <v>1</v>
      </c>
      <c r="Z442" s="28">
        <v>2</v>
      </c>
      <c r="AA442" s="28">
        <v>1</v>
      </c>
      <c r="AB442" s="28">
        <v>4</v>
      </c>
      <c r="AC442" s="28">
        <v>2</v>
      </c>
      <c r="AD442" s="28">
        <v>2</v>
      </c>
      <c r="AE442" s="28">
        <v>4</v>
      </c>
      <c r="AF442" s="28">
        <v>3</v>
      </c>
      <c r="AG442" s="28">
        <v>2</v>
      </c>
      <c r="AH442" s="29" t="s">
        <v>962</v>
      </c>
      <c r="AI442" s="36">
        <f>IF(OR(AND(K442&lt;32, J442&lt;2), O442=1, P442=1, Q442=1, R442=1, S442=1, T442=1, U442=1, AND(W442&lt;&gt;"", W442&lt;&gt;"Oxygen", W442&lt;&gt;"LowFlow")), "Intensive", "Intermediate")</f>
      </c>
      <c r="AJ442" s="37">
        <f>IF(OR(LEFT(AH442, 1)="X", LEFT(AH442, 1)="Y", LEFT(AH442, 3)="J54M"), "CUSM", "No Match")</f>
      </c>
      <c r="AK442" s="37">
        <f>IF(AND(OR(O442=3, P442=1, Q442=1, T442=1), AJ442="no Match"), "CUSM, CHU SJ, CHUQ", "")</f>
      </c>
      <c r="AL442" s="37">
        <f>IF(AND(O442=2, ISBLANK(P442), ISBLANK(Q442), ISBLANK(R442), ISBLANK(S442), ISBLANK(T442)), "CUSM, CHU SJ, CHUS, CHUQ", "")</f>
      </c>
      <c r="AM442" s="37">
        <f>IF(AND(AJ442="no match", AK442="", AL442="", K442&lt;26), "CUSM, CHU SJ, HGJ, CHUQ, CHUS", "")</f>
      </c>
      <c r="AN442" s="37">
        <f>IF(AND(AJ442="no match", AK442="", AL442="", K442&gt;26), "CUSM, CHU SJ, HGJ, CHUQ, CHUS, HMR", "")</f>
      </c>
    </row>
    <row x14ac:dyDescent="0.25" r="443" customHeight="1" ht="17.25">
      <c r="A443" s="27" t="s">
        <v>963</v>
      </c>
      <c r="B443" s="28">
        <v>2</v>
      </c>
      <c r="C443" s="35">
        <v>831</v>
      </c>
      <c r="D443" s="29" t="s">
        <v>313</v>
      </c>
      <c r="E443" s="30" t="s">
        <v>50</v>
      </c>
      <c r="F443" s="31">
        <v>44804</v>
      </c>
      <c r="G443" s="32">
        <v>4.763888888888889</v>
      </c>
      <c r="H443" s="31">
        <v>44804</v>
      </c>
      <c r="I443" s="32">
        <v>4.354166666666666</v>
      </c>
      <c r="J443" s="33">
        <f>F443-H443</f>
      </c>
      <c r="K443" s="28">
        <v>37</v>
      </c>
      <c r="L443" s="28">
        <v>1</v>
      </c>
      <c r="M443" s="28">
        <v>1</v>
      </c>
      <c r="N443" s="28">
        <v>1</v>
      </c>
      <c r="O443" s="34"/>
      <c r="P443" s="34"/>
      <c r="Q443" s="34"/>
      <c r="R443" s="34"/>
      <c r="S443" s="34"/>
      <c r="T443" s="34"/>
      <c r="U443" s="34"/>
      <c r="V443" s="34"/>
      <c r="W443" s="29" t="s">
        <v>58</v>
      </c>
      <c r="X443" s="28">
        <v>38</v>
      </c>
      <c r="Y443" s="28">
        <v>1</v>
      </c>
      <c r="Z443" s="28">
        <v>2</v>
      </c>
      <c r="AA443" s="28">
        <v>2</v>
      </c>
      <c r="AB443" s="28">
        <v>1</v>
      </c>
      <c r="AC443" s="28">
        <v>2</v>
      </c>
      <c r="AD443" s="28">
        <v>2</v>
      </c>
      <c r="AE443" s="28">
        <v>4</v>
      </c>
      <c r="AF443" s="28">
        <v>2</v>
      </c>
      <c r="AG443" s="28">
        <v>2</v>
      </c>
      <c r="AH443" s="29" t="s">
        <v>964</v>
      </c>
      <c r="AI443" s="36">
        <f>IF(OR(AND(K443&lt;32, J443&lt;2), O443=1, P443=1, Q443=1, R443=1, S443=1, T443=1, U443=1, AND(W443&lt;&gt;"", W443&lt;&gt;"Oxygen", W443&lt;&gt;"LowFlow")), "Intensive", "Intermediate")</f>
      </c>
      <c r="AJ443" s="37">
        <f>IF(OR(LEFT(AH443, 1)="X", LEFT(AH443, 1)="Y", LEFT(AH443, 3)="J55M"), "CUSM", "No Match")</f>
      </c>
      <c r="AK443" s="37">
        <f>IF(AND(OR(O443=3, P443=1, Q443=1, T443=1), AJ443="no Match"), "CUSM, CHU SJ, CHUQ", "")</f>
      </c>
      <c r="AL443" s="37">
        <f>IF(AND(O443=2, ISBLANK(P443), ISBLANK(Q443), ISBLANK(R443), ISBLANK(S443), ISBLANK(T443)), "CUSM, CHU SJ, CHUS, CHUQ", "")</f>
      </c>
      <c r="AM443" s="37">
        <f>IF(AND(AJ443="no match", AK443="", AL443="", K443&lt;26), "CUSM, CHU SJ, HGJ, CHUQ, CHUS", "")</f>
      </c>
      <c r="AN443" s="37">
        <f>IF(AND(AJ443="no match", AK443="", AL443="", K443&gt;26), "CUSM, CHU SJ, HGJ, CHUQ, CHUS, HMR", "")</f>
      </c>
    </row>
    <row x14ac:dyDescent="0.25" r="444" customHeight="1" ht="17.25">
      <c r="A444" s="27" t="s">
        <v>965</v>
      </c>
      <c r="B444" s="28">
        <v>2</v>
      </c>
      <c r="C444" s="35">
        <v>756</v>
      </c>
      <c r="D444" s="29" t="s">
        <v>66</v>
      </c>
      <c r="E444" s="30" t="s">
        <v>50</v>
      </c>
      <c r="F444" s="31">
        <v>44805</v>
      </c>
      <c r="G444" s="32">
        <v>4.833333333333334</v>
      </c>
      <c r="H444" s="31">
        <v>44804</v>
      </c>
      <c r="I444" s="32">
        <v>4.679861111111111</v>
      </c>
      <c r="J444" s="33">
        <f>F444-H444</f>
      </c>
      <c r="K444" s="28">
        <v>42</v>
      </c>
      <c r="L444" s="28">
        <v>2</v>
      </c>
      <c r="M444" s="28">
        <v>2</v>
      </c>
      <c r="N444" s="34"/>
      <c r="O444" s="34"/>
      <c r="P444" s="34"/>
      <c r="Q444" s="34"/>
      <c r="R444" s="34"/>
      <c r="S444" s="34"/>
      <c r="T444" s="34"/>
      <c r="U444" s="34"/>
      <c r="V444" s="34"/>
      <c r="W444" s="29"/>
      <c r="X444" s="35">
        <v>32</v>
      </c>
      <c r="Y444" s="28">
        <v>1</v>
      </c>
      <c r="Z444" s="28">
        <v>1</v>
      </c>
      <c r="AA444" s="28">
        <v>2</v>
      </c>
      <c r="AB444" s="28">
        <v>1</v>
      </c>
      <c r="AC444" s="28">
        <v>2</v>
      </c>
      <c r="AD444" s="28">
        <v>2</v>
      </c>
      <c r="AE444" s="28">
        <v>4</v>
      </c>
      <c r="AF444" s="28">
        <v>2</v>
      </c>
      <c r="AG444" s="28">
        <v>2</v>
      </c>
      <c r="AH444" s="29" t="s">
        <v>966</v>
      </c>
      <c r="AI444" s="36">
        <f>IF(OR(AND(K444&lt;32, J444&lt;2), O444=1, P444=1, Q444=1, R444=1, S444=1, T444=1, U444=1, AND(W444&lt;&gt;"", W444&lt;&gt;"Oxygen", W444&lt;&gt;"LowFlow")), "Intensive", "Intermediate")</f>
      </c>
      <c r="AJ444" s="37">
        <f>IF(OR(LEFT(AH444, 1)="X", LEFT(AH444, 1)="Y", LEFT(AH444, 3)="J56M"), "CUSM", "No Match")</f>
      </c>
      <c r="AK444" s="37">
        <f>IF(AND(OR(O444=3, P444=1, Q444=1, T444=1), AJ444="no Match"), "CUSM, CHU SJ, CHUQ", "")</f>
      </c>
      <c r="AL444" s="37">
        <f>IF(AND(O444=2, ISBLANK(P444), ISBLANK(Q444), ISBLANK(R444), ISBLANK(S444), ISBLANK(T444)), "CUSM, CHU SJ, CHUS, CHUQ", "")</f>
      </c>
      <c r="AM444" s="37">
        <f>IF(AND(AJ444="no match", AK444="", AL444="", K444&lt;26), "CUSM, CHU SJ, HGJ, CHUQ, CHUS", "")</f>
      </c>
      <c r="AN444" s="37">
        <f>IF(AND(AJ444="no match", AK444="", AL444="", K444&gt;26), "CUSM, CHU SJ, HGJ, CHUQ, CHUS, HMR", "")</f>
      </c>
    </row>
    <row x14ac:dyDescent="0.25" r="445" customHeight="1" ht="17.25">
      <c r="A445" s="27" t="s">
        <v>967</v>
      </c>
      <c r="B445" s="28">
        <v>2</v>
      </c>
      <c r="C445" s="35">
        <v>7</v>
      </c>
      <c r="D445" s="29" t="s">
        <v>968</v>
      </c>
      <c r="E445" s="30" t="s">
        <v>50</v>
      </c>
      <c r="F445" s="31">
        <v>44805</v>
      </c>
      <c r="G445" s="32">
        <v>4.4375</v>
      </c>
      <c r="H445" s="31">
        <v>44729</v>
      </c>
      <c r="I445" s="32">
        <v>4.606944444444444</v>
      </c>
      <c r="J445" s="33">
        <f>F445-H445</f>
      </c>
      <c r="K445" s="28">
        <v>39</v>
      </c>
      <c r="L445" s="28">
        <v>2</v>
      </c>
      <c r="M445" s="28">
        <v>1</v>
      </c>
      <c r="N445" s="35">
        <v>1</v>
      </c>
      <c r="O445" s="34"/>
      <c r="P445" s="35">
        <v>1</v>
      </c>
      <c r="Q445" s="34"/>
      <c r="R445" s="34"/>
      <c r="S445" s="34"/>
      <c r="T445" s="34"/>
      <c r="U445" s="34"/>
      <c r="V445" s="34"/>
      <c r="W445" s="29" t="s">
        <v>600</v>
      </c>
      <c r="X445" s="28">
        <v>25</v>
      </c>
      <c r="Y445" s="28">
        <v>1</v>
      </c>
      <c r="Z445" s="28">
        <v>1</v>
      </c>
      <c r="AA445" s="28">
        <v>3</v>
      </c>
      <c r="AB445" s="28">
        <v>4</v>
      </c>
      <c r="AC445" s="28">
        <v>2</v>
      </c>
      <c r="AD445" s="28">
        <v>2</v>
      </c>
      <c r="AE445" s="28">
        <v>4</v>
      </c>
      <c r="AF445" s="28">
        <v>3</v>
      </c>
      <c r="AG445" s="28">
        <v>3</v>
      </c>
      <c r="AH445" s="29" t="s">
        <v>617</v>
      </c>
      <c r="AI445" s="36">
        <f>IF(OR(AND(K445&lt;32, J445&lt;2), O445=1, P445=1, Q445=1, R445=1, S445=1, T445=1, U445=1, AND(W445&lt;&gt;"", W445&lt;&gt;"Oxygen", W445&lt;&gt;"LowFlow")), "Intensive", "Intermediate")</f>
      </c>
      <c r="AJ445" s="37">
        <f>IF(OR(LEFT(AH445, 1)="X", LEFT(AH445, 1)="Y", LEFT(AH445, 3)="J57M"), "CUSM", "No Match")</f>
      </c>
      <c r="AK445" s="37">
        <f>IF(AND(OR(O445=3, P445=1, Q445=1, T445=1), AJ445="no Match"), "CUSM, CHU SJ, CHUQ", "")</f>
      </c>
      <c r="AL445" s="37">
        <f>IF(AND(O445=2, ISBLANK(P445), ISBLANK(Q445), ISBLANK(R445), ISBLANK(S445), ISBLANK(T445)), "CUSM, CHU SJ, CHUS, CHUQ", "")</f>
      </c>
      <c r="AM445" s="37">
        <f>IF(AND(AJ445="no match", AK445="", AL445="", K445&lt;26), "CUSM, CHU SJ, HGJ, CHUQ, CHUS", "")</f>
      </c>
      <c r="AN445" s="37">
        <f>IF(AND(AJ445="no match", AK445="", AL445="", K445&gt;26), "CUSM, CHU SJ, HGJ, CHUQ, CHUS, HMR", "")</f>
      </c>
    </row>
    <row x14ac:dyDescent="0.25" r="446" customHeight="1" ht="17.25">
      <c r="A446" s="27" t="s">
        <v>969</v>
      </c>
      <c r="B446" s="28">
        <v>2</v>
      </c>
      <c r="C446" s="28">
        <v>731</v>
      </c>
      <c r="D446" s="29" t="s">
        <v>103</v>
      </c>
      <c r="E446" s="30" t="s">
        <v>50</v>
      </c>
      <c r="F446" s="31">
        <v>44806</v>
      </c>
      <c r="G446" s="32">
        <v>4.78125</v>
      </c>
      <c r="H446" s="31">
        <v>44805</v>
      </c>
      <c r="I446" s="32">
        <v>4.442361111111111</v>
      </c>
      <c r="J446" s="33">
        <f>F446-H446</f>
      </c>
      <c r="K446" s="28">
        <v>34</v>
      </c>
      <c r="L446" s="28">
        <v>0</v>
      </c>
      <c r="M446" s="28">
        <v>1</v>
      </c>
      <c r="N446" s="35">
        <v>1</v>
      </c>
      <c r="O446" s="34"/>
      <c r="P446" s="34"/>
      <c r="Q446" s="34"/>
      <c r="R446" s="34"/>
      <c r="S446" s="34"/>
      <c r="T446" s="34"/>
      <c r="U446" s="34"/>
      <c r="V446" s="38"/>
      <c r="W446" s="29" t="s">
        <v>58</v>
      </c>
      <c r="X446" s="28">
        <v>27</v>
      </c>
      <c r="Y446" s="28">
        <v>2</v>
      </c>
      <c r="Z446" s="28">
        <v>1</v>
      </c>
      <c r="AA446" s="28">
        <v>1</v>
      </c>
      <c r="AB446" s="28">
        <v>1</v>
      </c>
      <c r="AC446" s="28">
        <v>1</v>
      </c>
      <c r="AD446" s="28">
        <v>2</v>
      </c>
      <c r="AE446" s="28">
        <v>4</v>
      </c>
      <c r="AF446" s="28">
        <v>2</v>
      </c>
      <c r="AG446" s="28">
        <v>2</v>
      </c>
      <c r="AH446" s="29" t="s">
        <v>970</v>
      </c>
      <c r="AI446" s="36">
        <f>IF(OR(AND(K446&lt;32, J446&lt;2), O446=1, P446=1, Q446=1, R446=1, S446=1, T446=1, U446=1, AND(W446&lt;&gt;"", W446&lt;&gt;"Oxygen", W446&lt;&gt;"LowFlow")), "Intensive", "Intermediate")</f>
      </c>
      <c r="AJ446" s="37">
        <f>IF(OR(LEFT(AH446, 1)="X", LEFT(AH446, 1)="Y", LEFT(AH446, 3)="J58M"), "CUSM", "No Match")</f>
      </c>
      <c r="AK446" s="37">
        <f>IF(AND(OR(O446=3, P446=1, Q446=1, T446=1), AJ446="no Match"), "CUSM, CHU SJ, CHUQ", "")</f>
      </c>
      <c r="AL446" s="37">
        <f>IF(AND(O446=2, ISBLANK(P446), ISBLANK(Q446), ISBLANK(R446), ISBLANK(S446), ISBLANK(T446)), "CUSM, CHU SJ, CHUS, CHUQ", "")</f>
      </c>
      <c r="AM446" s="37">
        <f>IF(AND(AJ446="no match", AK446="", AL446="", K446&lt;26), "CUSM, CHU SJ, HGJ, CHUQ, CHUS", "")</f>
      </c>
      <c r="AN446" s="37">
        <f>IF(AND(AJ446="no match", AK446="", AL446="", K446&gt;26), "CUSM, CHU SJ, HGJ, CHUQ, CHUS, HMR", "")</f>
      </c>
    </row>
    <row x14ac:dyDescent="0.25" r="447" customHeight="1" ht="17.25">
      <c r="A447" s="27" t="s">
        <v>971</v>
      </c>
      <c r="B447" s="28">
        <v>2</v>
      </c>
      <c r="C447" s="35">
        <v>831</v>
      </c>
      <c r="D447" s="29" t="s">
        <v>313</v>
      </c>
      <c r="E447" s="30" t="s">
        <v>50</v>
      </c>
      <c r="F447" s="31">
        <v>44807</v>
      </c>
      <c r="G447" s="32">
        <v>4.454166666666667</v>
      </c>
      <c r="H447" s="31">
        <v>44807</v>
      </c>
      <c r="I447" s="32">
        <v>4.070833333333333</v>
      </c>
      <c r="J447" s="33">
        <f>F447-H447</f>
      </c>
      <c r="K447" s="28">
        <v>37</v>
      </c>
      <c r="L447" s="28">
        <v>4</v>
      </c>
      <c r="M447" s="28">
        <v>2</v>
      </c>
      <c r="N447" s="38"/>
      <c r="O447" s="34"/>
      <c r="P447" s="38"/>
      <c r="Q447" s="34"/>
      <c r="R447" s="34"/>
      <c r="S447" s="34"/>
      <c r="T447" s="34"/>
      <c r="U447" s="34"/>
      <c r="V447" s="34"/>
      <c r="W447" s="29" t="s">
        <v>74</v>
      </c>
      <c r="X447" s="28">
        <v>33</v>
      </c>
      <c r="Y447" s="28">
        <v>1</v>
      </c>
      <c r="Z447" s="28">
        <v>1</v>
      </c>
      <c r="AA447" s="28">
        <v>2</v>
      </c>
      <c r="AB447" s="28">
        <v>1</v>
      </c>
      <c r="AC447" s="28">
        <v>2</v>
      </c>
      <c r="AD447" s="28">
        <v>2</v>
      </c>
      <c r="AE447" s="28">
        <v>4</v>
      </c>
      <c r="AF447" s="28">
        <v>2</v>
      </c>
      <c r="AG447" s="28">
        <v>2</v>
      </c>
      <c r="AH447" s="29" t="s">
        <v>972</v>
      </c>
      <c r="AI447" s="36">
        <f>IF(OR(AND(K447&lt;32, J447&lt;2), O447=1, P447=1, Q447=1, R447=1, S447=1, T447=1, U447=1, AND(W447&lt;&gt;"", W447&lt;&gt;"Oxygen", W447&lt;&gt;"LowFlow")), "Intensive", "Intermediate")</f>
      </c>
      <c r="AJ447" s="37">
        <f>IF(OR(LEFT(AH447, 1)="X", LEFT(AH447, 1)="Y", LEFT(AH447, 3)="J59M"), "CUSM", "No Match")</f>
      </c>
      <c r="AK447" s="37">
        <f>IF(AND(OR(O447=3, P447=1, Q447=1, T447=1), AJ447="no Match"), "CUSM, CHU SJ, CHUQ", "")</f>
      </c>
      <c r="AL447" s="37">
        <f>IF(AND(O447=2, ISBLANK(P447), ISBLANK(Q447), ISBLANK(R447), ISBLANK(S447), ISBLANK(T447)), "CUSM, CHU SJ, CHUS, CHUQ", "")</f>
      </c>
      <c r="AM447" s="37">
        <f>IF(AND(AJ447="no match", AK447="", AL447="", K447&lt;26), "CUSM, CHU SJ, HGJ, CHUQ, CHUS", "")</f>
      </c>
      <c r="AN447" s="37">
        <f>IF(AND(AJ447="no match", AK447="", AL447="", K447&gt;26), "CUSM, CHU SJ, HGJ, CHUQ, CHUS, HMR", "")</f>
      </c>
    </row>
    <row x14ac:dyDescent="0.25" r="448" customHeight="1" ht="17.25">
      <c r="A448" s="27" t="s">
        <v>973</v>
      </c>
      <c r="B448" s="28">
        <v>2</v>
      </c>
      <c r="C448" s="28">
        <v>731</v>
      </c>
      <c r="D448" s="29" t="s">
        <v>103</v>
      </c>
      <c r="E448" s="30" t="s">
        <v>220</v>
      </c>
      <c r="F448" s="31">
        <v>44807</v>
      </c>
      <c r="G448" s="32">
        <v>4.504166666666666</v>
      </c>
      <c r="H448" s="31">
        <v>44806</v>
      </c>
      <c r="I448" s="32">
        <v>4.802777777777777</v>
      </c>
      <c r="J448" s="33">
        <f>F448-H448</f>
      </c>
      <c r="K448" s="28">
        <v>32</v>
      </c>
      <c r="L448" s="28">
        <v>0</v>
      </c>
      <c r="M448" s="28">
        <v>1</v>
      </c>
      <c r="N448" s="35">
        <v>1</v>
      </c>
      <c r="O448" s="34"/>
      <c r="P448" s="34"/>
      <c r="Q448" s="34"/>
      <c r="R448" s="34"/>
      <c r="S448" s="34"/>
      <c r="T448" s="34"/>
      <c r="U448" s="38"/>
      <c r="V448" s="38"/>
      <c r="W448" s="29" t="s">
        <v>58</v>
      </c>
      <c r="X448" s="28">
        <v>27</v>
      </c>
      <c r="Y448" s="28">
        <v>1</v>
      </c>
      <c r="Z448" s="28">
        <v>1</v>
      </c>
      <c r="AA448" s="28">
        <v>1</v>
      </c>
      <c r="AB448" s="28">
        <v>2</v>
      </c>
      <c r="AC448" s="28">
        <v>2</v>
      </c>
      <c r="AD448" s="28">
        <v>1</v>
      </c>
      <c r="AE448" s="28">
        <v>4</v>
      </c>
      <c r="AF448" s="28">
        <v>1</v>
      </c>
      <c r="AG448" s="28">
        <v>2</v>
      </c>
      <c r="AH448" s="29" t="s">
        <v>974</v>
      </c>
      <c r="AI448" s="36">
        <f>IF(OR(AND(K448&lt;32, J448&lt;2), O448=1, P448=1, Q448=1, R448=1, S448=1, T448=1, U448=1, AND(W448&lt;&gt;"", W448&lt;&gt;"Oxygen", W448&lt;&gt;"LowFlow")), "Intensive", "Intermediate")</f>
      </c>
      <c r="AJ448" s="37">
        <f>IF(OR(LEFT(AH448, 1)="X", LEFT(AH448, 1)="Y", LEFT(AH448, 3)="J60M"), "CUSM", "No Match")</f>
      </c>
      <c r="AK448" s="37">
        <f>IF(AND(OR(O448=3, P448=1, Q448=1, T448=1), AJ448="no Match"), "CUSM, CHU SJ, CHUQ", "")</f>
      </c>
      <c r="AL448" s="37">
        <f>IF(AND(O448=2, ISBLANK(P448), ISBLANK(Q448), ISBLANK(R448), ISBLANK(S448), ISBLANK(T448)), "CUSM, CHU SJ, CHUS, CHUQ", "")</f>
      </c>
      <c r="AM448" s="37">
        <f>IF(AND(AJ448="no match", AK448="", AL448="", K448&lt;26), "CUSM, CHU SJ, HGJ, CHUQ, CHUS", "")</f>
      </c>
      <c r="AN448" s="37">
        <f>IF(AND(AJ448="no match", AK448="", AL448="", K448&gt;26), "CUSM, CHU SJ, HGJ, CHUQ, CHUS, HMR", "")</f>
      </c>
    </row>
    <row x14ac:dyDescent="0.25" r="449" customHeight="1" ht="17.25">
      <c r="A449" s="27" t="s">
        <v>975</v>
      </c>
      <c r="B449" s="28">
        <v>2</v>
      </c>
      <c r="C449" s="28">
        <v>780</v>
      </c>
      <c r="D449" s="29" t="s">
        <v>190</v>
      </c>
      <c r="E449" s="30" t="s">
        <v>54</v>
      </c>
      <c r="F449" s="31">
        <v>44810</v>
      </c>
      <c r="G449" s="32">
        <v>4.017361111111111</v>
      </c>
      <c r="H449" s="31">
        <v>44805</v>
      </c>
      <c r="I449" s="32">
        <v>4.350694444444445</v>
      </c>
      <c r="J449" s="33">
        <f>F449-H449</f>
      </c>
      <c r="K449" s="28">
        <v>38</v>
      </c>
      <c r="L449" s="28">
        <v>2</v>
      </c>
      <c r="M449" s="28">
        <v>1</v>
      </c>
      <c r="N449" s="38"/>
      <c r="O449" s="38"/>
      <c r="P449" s="38"/>
      <c r="Q449" s="34"/>
      <c r="R449" s="34"/>
      <c r="S449" s="34"/>
      <c r="T449" s="34"/>
      <c r="U449" s="34"/>
      <c r="V449" s="34"/>
      <c r="W449" s="29" t="s">
        <v>164</v>
      </c>
      <c r="X449" s="28">
        <v>24</v>
      </c>
      <c r="Y449" s="28">
        <v>1</v>
      </c>
      <c r="Z449" s="28">
        <v>2</v>
      </c>
      <c r="AA449" s="28">
        <v>3</v>
      </c>
      <c r="AB449" s="28">
        <v>2</v>
      </c>
      <c r="AC449" s="28">
        <v>3</v>
      </c>
      <c r="AD449" s="28">
        <v>3</v>
      </c>
      <c r="AE449" s="28">
        <v>4</v>
      </c>
      <c r="AF449" s="28">
        <v>3</v>
      </c>
      <c r="AG449" s="28">
        <v>3</v>
      </c>
      <c r="AH449" s="29" t="s">
        <v>976</v>
      </c>
      <c r="AI449" s="36">
        <f>IF(OR(AND(K449&lt;32, J449&lt;2), O449=1, P449=1, Q449=1, R449=1, S449=1, T449=1, U449=1, AND(W449&lt;&gt;"", W449&lt;&gt;"Oxygen", W449&lt;&gt;"LowFlow")), "Intensive", "Intermediate")</f>
      </c>
      <c r="AJ449" s="37">
        <f>IF(OR(LEFT(AH449, 1)="X", LEFT(AH449, 1)="Y", LEFT(AH449, 3)="J61M"), "CUSM", "No Match")</f>
      </c>
      <c r="AK449" s="37">
        <f>IF(AND(OR(O449=3, P449=1, Q449=1, T449=1), AJ449="no Match"), "CUSM, CHU SJ, CHUQ", "")</f>
      </c>
      <c r="AL449" s="37">
        <f>IF(AND(O449=2, ISBLANK(P449), ISBLANK(Q449), ISBLANK(R449), ISBLANK(S449), ISBLANK(T449)), "CUSM, CHU SJ, CHUS, CHUQ", "")</f>
      </c>
      <c r="AM449" s="37">
        <f>IF(AND(AJ449="no match", AK449="", AL449="", K449&lt;26), "CUSM, CHU SJ, HGJ, CHUQ, CHUS", "")</f>
      </c>
      <c r="AN449" s="37">
        <f>IF(AND(AJ449="no match", AK449="", AL449="", K449&gt;26), "CUSM, CHU SJ, HGJ, CHUQ, CHUS, HMR", "")</f>
      </c>
    </row>
    <row x14ac:dyDescent="0.25" r="450" customHeight="1" ht="17.25">
      <c r="A450" s="27" t="s">
        <v>977</v>
      </c>
      <c r="B450" s="28">
        <v>2</v>
      </c>
      <c r="C450" s="28">
        <v>806</v>
      </c>
      <c r="D450" s="29" t="s">
        <v>438</v>
      </c>
      <c r="E450" s="30" t="s">
        <v>54</v>
      </c>
      <c r="F450" s="31">
        <v>44810</v>
      </c>
      <c r="G450" s="32">
        <v>4.6875</v>
      </c>
      <c r="H450" s="31">
        <v>44810</v>
      </c>
      <c r="I450" s="32">
        <v>4.51875</v>
      </c>
      <c r="J450" s="33">
        <f>F450-H450</f>
      </c>
      <c r="K450" s="28">
        <v>26</v>
      </c>
      <c r="L450" s="28">
        <v>2</v>
      </c>
      <c r="M450" s="28">
        <v>1</v>
      </c>
      <c r="N450" s="28">
        <v>1</v>
      </c>
      <c r="O450" s="38"/>
      <c r="P450" s="28">
        <v>1</v>
      </c>
      <c r="Q450" s="34"/>
      <c r="R450" s="34"/>
      <c r="S450" s="34"/>
      <c r="T450" s="34"/>
      <c r="U450" s="34"/>
      <c r="V450" s="34"/>
      <c r="W450" s="29" t="s">
        <v>74</v>
      </c>
      <c r="X450" s="28">
        <v>31</v>
      </c>
      <c r="Y450" s="28">
        <v>1</v>
      </c>
      <c r="Z450" s="28">
        <v>2</v>
      </c>
      <c r="AA450" s="28">
        <v>1</v>
      </c>
      <c r="AB450" s="28">
        <v>1</v>
      </c>
      <c r="AC450" s="28">
        <v>2</v>
      </c>
      <c r="AD450" s="28">
        <v>2</v>
      </c>
      <c r="AE450" s="28">
        <v>4</v>
      </c>
      <c r="AF450" s="28">
        <v>3</v>
      </c>
      <c r="AG450" s="28">
        <v>2</v>
      </c>
      <c r="AH450" s="29" t="s">
        <v>978</v>
      </c>
      <c r="AI450" s="36">
        <f>IF(OR(AND(K450&lt;32, J450&lt;2), O450=1, P450=1, Q450=1, R450=1, S450=1, T450=1, U450=1, AND(W450&lt;&gt;"", W450&lt;&gt;"Oxygen", W450&lt;&gt;"LowFlow")), "Intensive", "Intermediate")</f>
      </c>
      <c r="AJ450" s="37">
        <f>IF(OR(LEFT(AH450, 1)="X", LEFT(AH450, 1)="Y", LEFT(AH450, 3)="J62M"), "CUSM", "No Match")</f>
      </c>
      <c r="AK450" s="37">
        <f>IF(AND(OR(O450=3, P450=1, Q450=1, T450=1), AJ450="no Match"), "CUSM, CHU SJ, CHUQ", "")</f>
      </c>
      <c r="AL450" s="37">
        <f>IF(AND(O450=2, ISBLANK(P450), ISBLANK(Q450), ISBLANK(R450), ISBLANK(S450), ISBLANK(T450)), "CUSM, CHU SJ, CHUS, CHUQ", "")</f>
      </c>
      <c r="AM450" s="37">
        <f>IF(AND(AJ450="no match", AK450="", AL450="", K450&lt;26), "CUSM, CHU SJ, HGJ, CHUQ, CHUS", "")</f>
      </c>
      <c r="AN450" s="37">
        <f>IF(AND(AJ450="no match", AK450="", AL450="", K450&gt;26), "CUSM, CHU SJ, HGJ, CHUQ, CHUS, HMR", "")</f>
      </c>
    </row>
    <row x14ac:dyDescent="0.25" r="451" customHeight="1" ht="17.25">
      <c r="A451" s="27" t="s">
        <v>979</v>
      </c>
      <c r="B451" s="28">
        <v>2</v>
      </c>
      <c r="C451" s="28">
        <v>820</v>
      </c>
      <c r="D451" s="29" t="s">
        <v>69</v>
      </c>
      <c r="E451" s="30" t="s">
        <v>54</v>
      </c>
      <c r="F451" s="31">
        <v>44811</v>
      </c>
      <c r="G451" s="32">
        <v>4.791666666666666</v>
      </c>
      <c r="H451" s="31">
        <v>44811</v>
      </c>
      <c r="I451" s="32">
        <v>4.514583333333333</v>
      </c>
      <c r="J451" s="33">
        <f>F451-H451</f>
      </c>
      <c r="K451" s="28">
        <v>39</v>
      </c>
      <c r="L451" s="28">
        <v>2</v>
      </c>
      <c r="M451" s="28">
        <v>1</v>
      </c>
      <c r="N451" s="35">
        <v>1</v>
      </c>
      <c r="O451" s="34"/>
      <c r="P451" s="35">
        <v>1</v>
      </c>
      <c r="Q451" s="34"/>
      <c r="R451" s="34"/>
      <c r="S451" s="34"/>
      <c r="T451" s="34"/>
      <c r="U451" s="34"/>
      <c r="V451" s="34"/>
      <c r="W451" s="29"/>
      <c r="X451" s="28">
        <v>31</v>
      </c>
      <c r="Y451" s="28">
        <v>1</v>
      </c>
      <c r="Z451" s="28">
        <v>1</v>
      </c>
      <c r="AA451" s="28">
        <v>1</v>
      </c>
      <c r="AB451" s="28">
        <v>1</v>
      </c>
      <c r="AC451" s="28">
        <v>2</v>
      </c>
      <c r="AD451" s="28">
        <v>2</v>
      </c>
      <c r="AE451" s="28">
        <v>4</v>
      </c>
      <c r="AF451" s="28">
        <v>2</v>
      </c>
      <c r="AG451" s="28">
        <v>2</v>
      </c>
      <c r="AH451" s="29" t="s">
        <v>980</v>
      </c>
      <c r="AI451" s="36">
        <f>IF(OR(AND(K451&lt;32, J451&lt;2), O451=1, P451=1, Q451=1, R451=1, S451=1, T451=1, U451=1, AND(W451&lt;&gt;"", W451&lt;&gt;"Oxygen", W451&lt;&gt;"LowFlow")), "Intensive", "Intermediate")</f>
      </c>
      <c r="AJ451" s="37">
        <f>IF(OR(LEFT(AH451, 1)="X", LEFT(AH451, 1)="Y", LEFT(AH451, 3)="J63M"), "CUSM", "No Match")</f>
      </c>
      <c r="AK451" s="37">
        <f>IF(AND(OR(O451=3, P451=1, Q451=1, T451=1), AJ451="no Match"), "CUSM, CHU SJ, CHUQ", "")</f>
      </c>
      <c r="AL451" s="37">
        <f>IF(AND(O451=2, ISBLANK(P451), ISBLANK(Q451), ISBLANK(R451), ISBLANK(S451), ISBLANK(T451)), "CUSM, CHU SJ, CHUS, CHUQ", "")</f>
      </c>
      <c r="AM451" s="37">
        <f>IF(AND(AJ451="no match", AK451="", AL451="", K451&lt;26), "CUSM, CHU SJ, HGJ, CHUQ, CHUS", "")</f>
      </c>
      <c r="AN451" s="37">
        <f>IF(AND(AJ451="no match", AK451="", AL451="", K451&gt;26), "CUSM, CHU SJ, HGJ, CHUQ, CHUS, HMR", "")</f>
      </c>
    </row>
    <row x14ac:dyDescent="0.25" r="452" customHeight="1" ht="17.25">
      <c r="A452" s="27" t="s">
        <v>981</v>
      </c>
      <c r="B452" s="28">
        <v>2</v>
      </c>
      <c r="C452" s="28">
        <v>815</v>
      </c>
      <c r="D452" s="29" t="s">
        <v>100</v>
      </c>
      <c r="E452" s="30" t="s">
        <v>54</v>
      </c>
      <c r="F452" s="31">
        <v>44811</v>
      </c>
      <c r="G452" s="32">
        <v>4.89375</v>
      </c>
      <c r="H452" s="31">
        <v>44811</v>
      </c>
      <c r="I452" s="32">
        <v>4.763888888888889</v>
      </c>
      <c r="J452" s="33">
        <f>F452-H452</f>
      </c>
      <c r="K452" s="28">
        <v>41</v>
      </c>
      <c r="L452" s="28">
        <v>0</v>
      </c>
      <c r="M452" s="28">
        <v>1</v>
      </c>
      <c r="N452" s="35">
        <v>1</v>
      </c>
      <c r="O452" s="34"/>
      <c r="P452" s="35">
        <v>1</v>
      </c>
      <c r="Q452" s="34"/>
      <c r="R452" s="34"/>
      <c r="S452" s="34"/>
      <c r="T452" s="35">
        <v>1</v>
      </c>
      <c r="U452" s="34"/>
      <c r="V452" s="35">
        <v>1</v>
      </c>
      <c r="W452" s="29" t="s">
        <v>74</v>
      </c>
      <c r="X452" s="28">
        <v>31</v>
      </c>
      <c r="Y452" s="28">
        <v>1</v>
      </c>
      <c r="Z452" s="28">
        <v>2</v>
      </c>
      <c r="AA452" s="28">
        <v>1</v>
      </c>
      <c r="AB452" s="28">
        <v>1</v>
      </c>
      <c r="AC452" s="28">
        <v>2</v>
      </c>
      <c r="AD452" s="28">
        <v>2</v>
      </c>
      <c r="AE452" s="28">
        <v>4</v>
      </c>
      <c r="AF452" s="28">
        <v>1</v>
      </c>
      <c r="AG452" s="28">
        <v>2</v>
      </c>
      <c r="AH452" s="29" t="s">
        <v>982</v>
      </c>
      <c r="AI452" s="36">
        <f>IF(OR(AND(K452&lt;32, J452&lt;2), O452=1, P452=1, Q452=1, R452=1, S452=1, T452=1, U452=1, AND(W452&lt;&gt;"", W452&lt;&gt;"Oxygen", W452&lt;&gt;"LowFlow")), "Intensive", "Intermediate")</f>
      </c>
      <c r="AJ452" s="37">
        <f>IF(OR(LEFT(AH452, 1)="X", LEFT(AH452, 1)="Y", LEFT(AH452, 3)="J0M"), "CUSM", "No Match")</f>
      </c>
      <c r="AK452" s="37">
        <f>IF(AND(OR(O452=3, P452=1, Q452=1, T452=1), AJ452="no Match"), "CUSM, CHU SJ, CHUQ", "")</f>
      </c>
      <c r="AL452" s="37">
        <f>IF(AND(O452=2, ISBLANK(P452), ISBLANK(Q452), ISBLANK(R452), ISBLANK(S452), ISBLANK(T452)), "CUSM, CHU SJ, CHUS, CHUQ", "")</f>
      </c>
      <c r="AM452" s="37">
        <f>IF(AND(AJ452="no match", AK452="", AL452="", K452&lt;26), "CUSM, CHU SJ, HGJ, CHUQ, CHUS", "")</f>
      </c>
      <c r="AN452" s="37">
        <f>IF(AND(AJ452="no match", AK452="", AL452="", K452&gt;26), "CUSM, CHU SJ, HGJ, CHUQ, CHUS, HMR", "")</f>
      </c>
    </row>
    <row x14ac:dyDescent="0.25" r="453" customHeight="1" ht="17.25">
      <c r="A453" s="27" t="s">
        <v>983</v>
      </c>
      <c r="B453" s="28">
        <v>2</v>
      </c>
      <c r="C453" s="28">
        <v>839</v>
      </c>
      <c r="D453" s="29" t="s">
        <v>53</v>
      </c>
      <c r="E453" s="30" t="s">
        <v>54</v>
      </c>
      <c r="F453" s="31">
        <v>44812</v>
      </c>
      <c r="G453" s="32">
        <v>4.440972222222222</v>
      </c>
      <c r="H453" s="31">
        <v>44811</v>
      </c>
      <c r="I453" s="32">
        <v>4.496527777777778</v>
      </c>
      <c r="J453" s="33">
        <f>F453-H453</f>
      </c>
      <c r="K453" s="28">
        <v>40</v>
      </c>
      <c r="L453" s="28">
        <v>1</v>
      </c>
      <c r="M453" s="28">
        <v>1</v>
      </c>
      <c r="N453" s="35">
        <v>1</v>
      </c>
      <c r="O453" s="34"/>
      <c r="P453" s="35">
        <v>1</v>
      </c>
      <c r="Q453" s="34"/>
      <c r="R453" s="34"/>
      <c r="S453" s="34"/>
      <c r="T453" s="34"/>
      <c r="U453" s="34"/>
      <c r="V453" s="34"/>
      <c r="W453" s="29"/>
      <c r="X453" s="28">
        <v>31</v>
      </c>
      <c r="Y453" s="28">
        <v>1</v>
      </c>
      <c r="Z453" s="28">
        <v>2</v>
      </c>
      <c r="AA453" s="28">
        <v>2</v>
      </c>
      <c r="AB453" s="28">
        <v>1</v>
      </c>
      <c r="AC453" s="28">
        <v>1</v>
      </c>
      <c r="AD453" s="28">
        <v>2</v>
      </c>
      <c r="AE453" s="28">
        <v>4</v>
      </c>
      <c r="AF453" s="28">
        <v>2</v>
      </c>
      <c r="AG453" s="28">
        <v>2</v>
      </c>
      <c r="AH453" s="29" t="s">
        <v>984</v>
      </c>
      <c r="AI453" s="36">
        <f>IF(OR(AND(K453&lt;32, J453&lt;2), O453=1, P453=1, Q453=1, R453=1, S453=1, T453=1, U453=1, AND(W453&lt;&gt;"", W453&lt;&gt;"Oxygen", W453&lt;&gt;"LowFlow")), "Intensive", "Intermediate")</f>
      </c>
      <c r="AJ453" s="37">
        <f>IF(OR(LEFT(AH453, 1)="X", LEFT(AH453, 1)="Y", LEFT(AH453, 3)="J1M"), "CUSM", "No Match")</f>
      </c>
      <c r="AK453" s="37">
        <f>IF(AND(OR(O453=3, P453=1, Q453=1, T453=1), AJ453="no Match"), "CUSM, CHU SJ, CHUQ", "")</f>
      </c>
      <c r="AL453" s="37">
        <f>IF(AND(O453=2, ISBLANK(P453), ISBLANK(Q453), ISBLANK(R453), ISBLANK(S453), ISBLANK(T453)), "CUSM, CHU SJ, CHUS, CHUQ", "")</f>
      </c>
      <c r="AM453" s="37">
        <f>IF(AND(AJ453="no match", AK453="", AL453="", K453&lt;26), "CUSM, CHU SJ, HGJ, CHUQ, CHUS", "")</f>
      </c>
      <c r="AN453" s="37">
        <f>IF(AND(AJ453="no match", AK453="", AL453="", K453&gt;26), "CUSM, CHU SJ, HGJ, CHUQ, CHUS, HMR", "")</f>
      </c>
    </row>
    <row x14ac:dyDescent="0.25" r="454" customHeight="1" ht="17.25">
      <c r="A454" s="27" t="s">
        <v>985</v>
      </c>
      <c r="B454" s="28">
        <v>2</v>
      </c>
      <c r="C454" s="28">
        <v>832</v>
      </c>
      <c r="D454" s="29" t="s">
        <v>308</v>
      </c>
      <c r="E454" s="30" t="s">
        <v>54</v>
      </c>
      <c r="F454" s="31">
        <v>44812</v>
      </c>
      <c r="G454" s="32">
        <v>4.947916666666666</v>
      </c>
      <c r="H454" s="31">
        <v>44812</v>
      </c>
      <c r="I454" s="32">
        <v>4.6402777777777775</v>
      </c>
      <c r="J454" s="33">
        <f>F454-H454</f>
      </c>
      <c r="K454" s="28">
        <v>41</v>
      </c>
      <c r="L454" s="28">
        <v>2</v>
      </c>
      <c r="M454" s="28">
        <v>2</v>
      </c>
      <c r="N454" s="38"/>
      <c r="O454" s="34"/>
      <c r="P454" s="34"/>
      <c r="Q454" s="38"/>
      <c r="R454" s="34"/>
      <c r="S454" s="34"/>
      <c r="T454" s="35">
        <v>1</v>
      </c>
      <c r="U454" s="34"/>
      <c r="V454" s="34"/>
      <c r="W454" s="29" t="s">
        <v>74</v>
      </c>
      <c r="X454" s="28">
        <v>18</v>
      </c>
      <c r="Y454" s="28">
        <v>1</v>
      </c>
      <c r="Z454" s="28">
        <v>1</v>
      </c>
      <c r="AA454" s="28">
        <v>3</v>
      </c>
      <c r="AB454" s="28">
        <v>1</v>
      </c>
      <c r="AC454" s="28">
        <v>2</v>
      </c>
      <c r="AD454" s="28">
        <v>2</v>
      </c>
      <c r="AE454" s="28">
        <v>4</v>
      </c>
      <c r="AF454" s="28">
        <v>3</v>
      </c>
      <c r="AG454" s="28">
        <v>2</v>
      </c>
      <c r="AH454" s="29" t="s">
        <v>986</v>
      </c>
      <c r="AI454" s="36">
        <f>IF(OR(AND(K454&lt;32, J454&lt;2), O454=1, P454=1, Q454=1, R454=1, S454=1, T454=1, U454=1, AND(W454&lt;&gt;"", W454&lt;&gt;"Oxygen", W454&lt;&gt;"LowFlow")), "Intensive", "Intermediate")</f>
      </c>
      <c r="AJ454" s="37">
        <f>IF(OR(LEFT(AH454, 1)="X", LEFT(AH454, 1)="Y", LEFT(AH454, 3)="J2M"), "CUSM", "No Match")</f>
      </c>
      <c r="AK454" s="37">
        <f>IF(AND(OR(O454=3, P454=1, Q454=1, T454=1), AJ454="no Match"), "CUSM, CHU SJ, CHUQ", "")</f>
      </c>
      <c r="AL454" s="37">
        <f>IF(AND(O454=2, ISBLANK(P454), ISBLANK(Q454), ISBLANK(R454), ISBLANK(S454), ISBLANK(T454)), "CUSM, CHU SJ, CHUS, CHUQ", "")</f>
      </c>
      <c r="AM454" s="37">
        <f>IF(AND(AJ454="no match", AK454="", AL454="", K454&lt;26), "CUSM, CHU SJ, HGJ, CHUQ, CHUS", "")</f>
      </c>
      <c r="AN454" s="37">
        <f>IF(AND(AJ454="no match", AK454="", AL454="", K454&gt;26), "CUSM, CHU SJ, HGJ, CHUQ, CHUS, HMR", "")</f>
      </c>
    </row>
    <row x14ac:dyDescent="0.25" r="455" customHeight="1" ht="17.25">
      <c r="A455" s="27" t="s">
        <v>987</v>
      </c>
      <c r="B455" s="28">
        <v>2</v>
      </c>
      <c r="C455" s="28">
        <v>820</v>
      </c>
      <c r="D455" s="29" t="s">
        <v>69</v>
      </c>
      <c r="E455" s="30" t="s">
        <v>54</v>
      </c>
      <c r="F455" s="31">
        <v>44813</v>
      </c>
      <c r="G455" s="32">
        <v>4.791666666666666</v>
      </c>
      <c r="H455" s="31">
        <v>44811</v>
      </c>
      <c r="I455" s="32">
        <v>4.675</v>
      </c>
      <c r="J455" s="33">
        <f>F455-H455</f>
      </c>
      <c r="K455" s="28">
        <v>39</v>
      </c>
      <c r="L455" s="28">
        <v>6</v>
      </c>
      <c r="M455" s="28">
        <v>1</v>
      </c>
      <c r="N455" s="35">
        <v>1</v>
      </c>
      <c r="O455" s="35">
        <v>2</v>
      </c>
      <c r="P455" s="35">
        <v>1</v>
      </c>
      <c r="Q455" s="34"/>
      <c r="R455" s="34"/>
      <c r="S455" s="34"/>
      <c r="T455" s="34"/>
      <c r="U455" s="34"/>
      <c r="V455" s="34"/>
      <c r="W455" s="29"/>
      <c r="X455" s="28">
        <v>39</v>
      </c>
      <c r="Y455" s="28">
        <v>1</v>
      </c>
      <c r="Z455" s="28">
        <v>1</v>
      </c>
      <c r="AA455" s="28">
        <v>3</v>
      </c>
      <c r="AB455" s="28">
        <v>1</v>
      </c>
      <c r="AC455" s="28">
        <v>2</v>
      </c>
      <c r="AD455" s="28">
        <v>2</v>
      </c>
      <c r="AE455" s="28">
        <v>4</v>
      </c>
      <c r="AF455" s="28">
        <v>2</v>
      </c>
      <c r="AG455" s="28">
        <v>2</v>
      </c>
      <c r="AH455" s="29" t="s">
        <v>988</v>
      </c>
      <c r="AI455" s="36">
        <f>IF(OR(AND(K455&lt;32, J455&lt;2), O455=1, P455=1, Q455=1, R455=1, S455=1, T455=1, U455=1, AND(W455&lt;&gt;"", W455&lt;&gt;"Oxygen", W455&lt;&gt;"LowFlow")), "Intensive", "Intermediate")</f>
      </c>
      <c r="AJ455" s="37">
        <f>IF(OR(LEFT(AH455, 1)="X", LEFT(AH455, 1)="Y", LEFT(AH455, 3)="J3M"), "CUSM", "No Match")</f>
      </c>
      <c r="AK455" s="37">
        <f>IF(AND(OR(O455=3, P455=1, Q455=1, T455=1), AJ455="no Match"), "CUSM, CHU SJ, CHUQ", "")</f>
      </c>
      <c r="AL455" s="37">
        <f>IF(AND(O455=2, ISBLANK(P455), ISBLANK(Q455), ISBLANK(R455), ISBLANK(S455), ISBLANK(T455)), "CUSM, CHU SJ, CHUS, CHUQ", "")</f>
      </c>
      <c r="AM455" s="37">
        <f>IF(AND(AJ455="no match", AK455="", AL455="", K455&lt;26), "CUSM, CHU SJ, HGJ, CHUQ, CHUS", "")</f>
      </c>
      <c r="AN455" s="37">
        <f>IF(AND(AJ455="no match", AK455="", AL455="", K455&gt;26), "CUSM, CHU SJ, HGJ, CHUQ, CHUS, HMR", "")</f>
      </c>
    </row>
    <row x14ac:dyDescent="0.25" r="456" customHeight="1" ht="17.25">
      <c r="A456" s="27" t="s">
        <v>989</v>
      </c>
      <c r="B456" s="28">
        <v>2</v>
      </c>
      <c r="C456" s="35">
        <v>779</v>
      </c>
      <c r="D456" s="29" t="s">
        <v>136</v>
      </c>
      <c r="E456" s="30" t="s">
        <v>50</v>
      </c>
      <c r="F456" s="31">
        <v>44813</v>
      </c>
      <c r="G456" s="32">
        <v>4.208333333333334</v>
      </c>
      <c r="H456" s="31">
        <v>44813</v>
      </c>
      <c r="I456" s="32">
        <v>4.023611111111111</v>
      </c>
      <c r="J456" s="33">
        <f>F456-H456</f>
      </c>
      <c r="K456" s="28">
        <v>38</v>
      </c>
      <c r="L456" s="28">
        <v>6</v>
      </c>
      <c r="M456" s="28">
        <v>2</v>
      </c>
      <c r="N456" s="38"/>
      <c r="O456" s="34"/>
      <c r="P456" s="38"/>
      <c r="Q456" s="34"/>
      <c r="R456" s="34"/>
      <c r="S456" s="34"/>
      <c r="T456" s="34"/>
      <c r="U456" s="34"/>
      <c r="V456" s="34"/>
      <c r="W456" s="29" t="s">
        <v>58</v>
      </c>
      <c r="X456" s="28">
        <v>42</v>
      </c>
      <c r="Y456" s="28">
        <v>1</v>
      </c>
      <c r="Z456" s="28">
        <v>1</v>
      </c>
      <c r="AA456" s="28">
        <v>2</v>
      </c>
      <c r="AB456" s="28">
        <v>1</v>
      </c>
      <c r="AC456" s="28">
        <v>2</v>
      </c>
      <c r="AD456" s="28">
        <v>2</v>
      </c>
      <c r="AE456" s="28">
        <v>4</v>
      </c>
      <c r="AF456" s="28">
        <v>2</v>
      </c>
      <c r="AG456" s="28">
        <v>2</v>
      </c>
      <c r="AH456" s="29" t="s">
        <v>990</v>
      </c>
      <c r="AI456" s="36">
        <f>IF(OR(AND(K456&lt;32, J456&lt;2), O456=1, P456=1, Q456=1, R456=1, S456=1, T456=1, U456=1, AND(W456&lt;&gt;"", W456&lt;&gt;"Oxygen", W456&lt;&gt;"LowFlow")), "Intensive", "Intermediate")</f>
      </c>
      <c r="AJ456" s="37">
        <f>IF(OR(LEFT(AH456, 1)="X", LEFT(AH456, 1)="Y", LEFT(AH456, 3)="J4M"), "CUSM", "No Match")</f>
      </c>
      <c r="AK456" s="37">
        <f>IF(AND(OR(O456=3, P456=1, Q456=1, T456=1), AJ456="no Match"), "CUSM, CHU SJ, CHUQ", "")</f>
      </c>
      <c r="AL456" s="37">
        <f>IF(AND(O456=2, ISBLANK(P456), ISBLANK(Q456), ISBLANK(R456), ISBLANK(S456), ISBLANK(T456)), "CUSM, CHU SJ, CHUS, CHUQ", "")</f>
      </c>
      <c r="AM456" s="37">
        <f>IF(AND(AJ456="no match", AK456="", AL456="", K456&lt;26), "CUSM, CHU SJ, HGJ, CHUQ, CHUS", "")</f>
      </c>
      <c r="AN456" s="37">
        <f>IF(AND(AJ456="no match", AK456="", AL456="", K456&gt;26), "CUSM, CHU SJ, HGJ, CHUQ, CHUS, HMR", "")</f>
      </c>
    </row>
    <row x14ac:dyDescent="0.25" r="457" customHeight="1" ht="17.25">
      <c r="A457" s="27" t="s">
        <v>991</v>
      </c>
      <c r="B457" s="28">
        <v>2</v>
      </c>
      <c r="C457" s="35">
        <v>727</v>
      </c>
      <c r="D457" s="29" t="s">
        <v>992</v>
      </c>
      <c r="E457" s="30" t="s">
        <v>50</v>
      </c>
      <c r="F457" s="31">
        <v>44813</v>
      </c>
      <c r="G457" s="32">
        <v>4.165277777777778</v>
      </c>
      <c r="H457" s="31">
        <v>44813</v>
      </c>
      <c r="I457" s="32">
        <v>4.114583333333334</v>
      </c>
      <c r="J457" s="33">
        <f>F457-H457</f>
      </c>
      <c r="K457" s="28">
        <v>25</v>
      </c>
      <c r="L457" s="28">
        <v>0</v>
      </c>
      <c r="M457" s="28">
        <v>1</v>
      </c>
      <c r="N457" s="34"/>
      <c r="O457" s="34"/>
      <c r="P457" s="34"/>
      <c r="Q457" s="34"/>
      <c r="R457" s="34"/>
      <c r="S457" s="34"/>
      <c r="T457" s="35">
        <v>1</v>
      </c>
      <c r="U457" s="35">
        <v>1</v>
      </c>
      <c r="V457" s="35">
        <v>1</v>
      </c>
      <c r="W457" s="29" t="s">
        <v>70</v>
      </c>
      <c r="X457" s="28">
        <v>23</v>
      </c>
      <c r="Y457" s="28">
        <v>1</v>
      </c>
      <c r="Z457" s="28">
        <v>1</v>
      </c>
      <c r="AA457" s="28">
        <v>2</v>
      </c>
      <c r="AB457" s="28">
        <v>4</v>
      </c>
      <c r="AC457" s="28">
        <v>3</v>
      </c>
      <c r="AD457" s="28">
        <v>3</v>
      </c>
      <c r="AE457" s="28">
        <v>1</v>
      </c>
      <c r="AF457" s="38"/>
      <c r="AG457" s="28">
        <v>1</v>
      </c>
      <c r="AH457" s="29" t="s">
        <v>949</v>
      </c>
      <c r="AI457" s="36">
        <f>IF(OR(AND(K457&lt;32, J457&lt;2), O457=1, P457=1, Q457=1, R457=1, S457=1, T457=1, U457=1, AND(W457&lt;&gt;"", W457&lt;&gt;"Oxygen", W457&lt;&gt;"LowFlow")), "Intensive", "Intermediate")</f>
      </c>
      <c r="AJ457" s="37">
        <f>IF(OR(LEFT(AH457, 1)="X", LEFT(AH457, 1)="Y", LEFT(AH457, 3)="J5M"), "CUSM", "No Match")</f>
      </c>
      <c r="AK457" s="37">
        <f>IF(AND(OR(O457=3, P457=1, Q457=1, T457=1), AJ457="no Match"), "CUSM, CHU SJ, CHUQ", "")</f>
      </c>
      <c r="AL457" s="37">
        <f>IF(AND(O457=2, ISBLANK(P457), ISBLANK(Q457), ISBLANK(R457), ISBLANK(S457), ISBLANK(T457)), "CUSM, CHU SJ, CHUS, CHUQ", "")</f>
      </c>
      <c r="AM457" s="37">
        <f>IF(AND(AJ457="no match", AK457="", AL457="", K457&lt;26), "CUSM, CHU SJ, HGJ, CHUQ, CHUS", "")</f>
      </c>
      <c r="AN457" s="37">
        <f>IF(AND(AJ457="no match", AK457="", AL457="", K457&gt;26), "CUSM, CHU SJ, HGJ, CHUQ, CHUS, HMR", "")</f>
      </c>
    </row>
    <row x14ac:dyDescent="0.25" r="458" customHeight="1" ht="17.25">
      <c r="A458" s="27" t="s">
        <v>993</v>
      </c>
      <c r="B458" s="28">
        <v>2</v>
      </c>
      <c r="C458" s="35">
        <v>782</v>
      </c>
      <c r="D458" s="29" t="s">
        <v>95</v>
      </c>
      <c r="E458" s="30" t="s">
        <v>50</v>
      </c>
      <c r="F458" s="31">
        <v>44813</v>
      </c>
      <c r="G458" s="32">
        <v>4.989583333333334</v>
      </c>
      <c r="H458" s="31">
        <v>44813</v>
      </c>
      <c r="I458" s="32">
        <v>4.7625</v>
      </c>
      <c r="J458" s="33">
        <f>F458-H458</f>
      </c>
      <c r="K458" s="28">
        <v>38</v>
      </c>
      <c r="L458" s="28">
        <v>2</v>
      </c>
      <c r="M458" s="28">
        <v>2</v>
      </c>
      <c r="N458" s="35">
        <v>1</v>
      </c>
      <c r="O458" s="34"/>
      <c r="P458" s="34"/>
      <c r="Q458" s="34"/>
      <c r="R458" s="34"/>
      <c r="S458" s="34"/>
      <c r="T458" s="34"/>
      <c r="U458" s="34"/>
      <c r="V458" s="34"/>
      <c r="W458" s="29"/>
      <c r="X458" s="28">
        <v>32</v>
      </c>
      <c r="Y458" s="28">
        <v>1</v>
      </c>
      <c r="Z458" s="28">
        <v>2</v>
      </c>
      <c r="AA458" s="28">
        <v>3</v>
      </c>
      <c r="AB458" s="28">
        <v>4</v>
      </c>
      <c r="AC458" s="28">
        <v>2</v>
      </c>
      <c r="AD458" s="28">
        <v>2</v>
      </c>
      <c r="AE458" s="28">
        <v>4</v>
      </c>
      <c r="AF458" s="28">
        <v>2</v>
      </c>
      <c r="AG458" s="28">
        <v>2</v>
      </c>
      <c r="AH458" s="29" t="s">
        <v>994</v>
      </c>
      <c r="AI458" s="36">
        <f>IF(OR(AND(K458&lt;32, J458&lt;2), O458=1, P458=1, Q458=1, R458=1, S458=1, T458=1, U458=1, AND(W458&lt;&gt;"", W458&lt;&gt;"Oxygen", W458&lt;&gt;"LowFlow")), "Intensive", "Intermediate")</f>
      </c>
      <c r="AJ458" s="37">
        <f>IF(OR(LEFT(AH458, 1)="X", LEFT(AH458, 1)="Y", LEFT(AH458, 3)="J6M"), "CUSM", "No Match")</f>
      </c>
      <c r="AK458" s="37">
        <f>IF(AND(OR(O458=3, P458=1, Q458=1, T458=1), AJ458="no Match"), "CUSM, CHU SJ, CHUQ", "")</f>
      </c>
      <c r="AL458" s="37">
        <f>IF(AND(O458=2, ISBLANK(P458), ISBLANK(Q458), ISBLANK(R458), ISBLANK(S458), ISBLANK(T458)), "CUSM, CHU SJ, CHUS, CHUQ", "")</f>
      </c>
      <c r="AM458" s="37">
        <f>IF(AND(AJ458="no match", AK458="", AL458="", K458&lt;26), "CUSM, CHU SJ, HGJ, CHUQ, CHUS", "")</f>
      </c>
      <c r="AN458" s="37">
        <f>IF(AND(AJ458="no match", AK458="", AL458="", K458&gt;26), "CUSM, CHU SJ, HGJ, CHUQ, CHUS, HMR", "")</f>
      </c>
    </row>
    <row x14ac:dyDescent="0.25" r="459" customHeight="1" ht="17.25">
      <c r="A459" s="27" t="s">
        <v>995</v>
      </c>
      <c r="B459" s="28">
        <v>2</v>
      </c>
      <c r="C459" s="28">
        <v>734</v>
      </c>
      <c r="D459" s="29" t="s">
        <v>264</v>
      </c>
      <c r="E459" s="30" t="s">
        <v>50</v>
      </c>
      <c r="F459" s="31">
        <v>44813</v>
      </c>
      <c r="G459" s="32">
        <v>4.860416666666667</v>
      </c>
      <c r="H459" s="31">
        <v>44813</v>
      </c>
      <c r="I459" s="32">
        <v>4.722222222222222</v>
      </c>
      <c r="J459" s="33">
        <f>F459-H459</f>
      </c>
      <c r="K459" s="28">
        <v>40</v>
      </c>
      <c r="L459" s="28">
        <v>2</v>
      </c>
      <c r="M459" s="28">
        <v>1</v>
      </c>
      <c r="N459" s="35">
        <v>1</v>
      </c>
      <c r="O459" s="34"/>
      <c r="P459" s="34"/>
      <c r="Q459" s="34"/>
      <c r="R459" s="34"/>
      <c r="S459" s="34"/>
      <c r="T459" s="35">
        <v>1</v>
      </c>
      <c r="U459" s="34"/>
      <c r="V459" s="34"/>
      <c r="W459" s="29" t="s">
        <v>74</v>
      </c>
      <c r="X459" s="28">
        <v>31</v>
      </c>
      <c r="Y459" s="28">
        <v>1</v>
      </c>
      <c r="Z459" s="28">
        <v>2</v>
      </c>
      <c r="AA459" s="28">
        <v>1</v>
      </c>
      <c r="AB459" s="28">
        <v>1</v>
      </c>
      <c r="AC459" s="28">
        <v>2</v>
      </c>
      <c r="AD459" s="28">
        <v>1</v>
      </c>
      <c r="AE459" s="28">
        <v>4</v>
      </c>
      <c r="AF459" s="28">
        <v>1</v>
      </c>
      <c r="AG459" s="28">
        <v>2</v>
      </c>
      <c r="AH459" s="29" t="s">
        <v>996</v>
      </c>
      <c r="AI459" s="36">
        <f>IF(OR(AND(K459&lt;32, J459&lt;2), O459=1, P459=1, Q459=1, R459=1, S459=1, T459=1, U459=1, AND(W459&lt;&gt;"", W459&lt;&gt;"Oxygen", W459&lt;&gt;"LowFlow")), "Intensive", "Intermediate")</f>
      </c>
      <c r="AJ459" s="37">
        <f>IF(OR(LEFT(AH459, 1)="X", LEFT(AH459, 1)="Y", LEFT(AH459, 3)="J7M"), "CUSM", "No Match")</f>
      </c>
      <c r="AK459" s="37">
        <f>IF(AND(OR(O459=3, P459=1, Q459=1, T459=1), AJ459="no Match"), "CUSM, CHU SJ, CHUQ", "")</f>
      </c>
      <c r="AL459" s="37">
        <f>IF(AND(O459=2, ISBLANK(P459), ISBLANK(Q459), ISBLANK(R459), ISBLANK(S459), ISBLANK(T459)), "CUSM, CHU SJ, CHUS, CHUQ", "")</f>
      </c>
      <c r="AM459" s="37">
        <f>IF(AND(AJ459="no match", AK459="", AL459="", K459&lt;26), "CUSM, CHU SJ, HGJ, CHUQ, CHUS", "")</f>
      </c>
      <c r="AN459" s="37">
        <f>IF(AND(AJ459="no match", AK459="", AL459="", K459&gt;26), "CUSM, CHU SJ, HGJ, CHUQ, CHUS, HMR", "")</f>
      </c>
    </row>
    <row x14ac:dyDescent="0.25" r="460" customHeight="1" ht="17.25">
      <c r="A460" s="27" t="s">
        <v>997</v>
      </c>
      <c r="B460" s="28">
        <v>2</v>
      </c>
      <c r="C460" s="28">
        <v>748</v>
      </c>
      <c r="D460" s="29" t="s">
        <v>145</v>
      </c>
      <c r="E460" s="30" t="s">
        <v>118</v>
      </c>
      <c r="F460" s="31">
        <v>44814</v>
      </c>
      <c r="G460" s="32">
        <v>4.9631944444444445</v>
      </c>
      <c r="H460" s="31">
        <v>44814</v>
      </c>
      <c r="I460" s="32">
        <v>4.714583333333334</v>
      </c>
      <c r="J460" s="33">
        <f>F460-H460</f>
      </c>
      <c r="K460" s="28">
        <v>40</v>
      </c>
      <c r="L460" s="28">
        <v>1</v>
      </c>
      <c r="M460" s="28">
        <v>2</v>
      </c>
      <c r="N460" s="34"/>
      <c r="O460" s="34"/>
      <c r="P460" s="34"/>
      <c r="Q460" s="34"/>
      <c r="R460" s="34"/>
      <c r="S460" s="34"/>
      <c r="T460" s="35">
        <v>1</v>
      </c>
      <c r="U460" s="34"/>
      <c r="V460" s="34"/>
      <c r="W460" s="29" t="s">
        <v>74</v>
      </c>
      <c r="X460" s="28">
        <v>23</v>
      </c>
      <c r="Y460" s="28">
        <v>1</v>
      </c>
      <c r="Z460" s="28">
        <v>1</v>
      </c>
      <c r="AA460" s="28">
        <v>2</v>
      </c>
      <c r="AB460" s="28">
        <v>1</v>
      </c>
      <c r="AC460" s="28">
        <v>2</v>
      </c>
      <c r="AD460" s="28">
        <v>2</v>
      </c>
      <c r="AE460" s="28">
        <v>4</v>
      </c>
      <c r="AF460" s="28">
        <v>2</v>
      </c>
      <c r="AG460" s="28">
        <v>2</v>
      </c>
      <c r="AH460" s="29" t="s">
        <v>998</v>
      </c>
      <c r="AI460" s="36">
        <f>IF(OR(AND(K460&lt;32, J460&lt;2), O460=1, P460=1, Q460=1, R460=1, S460=1, T460=1, U460=1, AND(W460&lt;&gt;"", W460&lt;&gt;"Oxygen", W460&lt;&gt;"LowFlow")), "Intensive", "Intermediate")</f>
      </c>
      <c r="AJ460" s="37">
        <f>IF(OR(LEFT(AH460, 1)="X", LEFT(AH460, 1)="Y", LEFT(AH460, 3)="J8M"), "CUSM", "No Match")</f>
      </c>
      <c r="AK460" s="37">
        <f>IF(AND(OR(O460=3, P460=1, Q460=1, T460=1), AJ460="no Match"), "CUSM, CHU SJ, CHUQ", "")</f>
      </c>
      <c r="AL460" s="37">
        <f>IF(AND(O460=2, ISBLANK(P460), ISBLANK(Q460), ISBLANK(R460), ISBLANK(S460), ISBLANK(T460)), "CUSM, CHU SJ, CHUS, CHUQ", "")</f>
      </c>
      <c r="AM460" s="37">
        <f>IF(AND(AJ460="no match", AK460="", AL460="", K460&lt;26), "CUSM, CHU SJ, HGJ, CHUQ, CHUS", "")</f>
      </c>
      <c r="AN460" s="37">
        <f>IF(AND(AJ460="no match", AK460="", AL460="", K460&gt;26), "CUSM, CHU SJ, HGJ, CHUQ, CHUS, HMR", "")</f>
      </c>
    </row>
    <row x14ac:dyDescent="0.25" r="461" customHeight="1" ht="17.25">
      <c r="A461" s="27" t="s">
        <v>999</v>
      </c>
      <c r="B461" s="28">
        <v>2</v>
      </c>
      <c r="C461" s="28">
        <v>779</v>
      </c>
      <c r="D461" s="29" t="s">
        <v>136</v>
      </c>
      <c r="E461" s="30" t="s">
        <v>54</v>
      </c>
      <c r="F461" s="31">
        <v>44814</v>
      </c>
      <c r="G461" s="32">
        <v>4.368055555555555</v>
      </c>
      <c r="H461" s="31">
        <v>44812</v>
      </c>
      <c r="I461" s="32">
        <v>4.677777777777777</v>
      </c>
      <c r="J461" s="33">
        <f>F461-H461</f>
      </c>
      <c r="K461" s="28">
        <v>40</v>
      </c>
      <c r="L461" s="28">
        <v>0</v>
      </c>
      <c r="M461" s="28">
        <v>2</v>
      </c>
      <c r="N461" s="34"/>
      <c r="O461" s="34"/>
      <c r="P461" s="34"/>
      <c r="Q461" s="34"/>
      <c r="R461" s="34"/>
      <c r="S461" s="34"/>
      <c r="T461" s="34"/>
      <c r="U461" s="34"/>
      <c r="V461" s="34"/>
      <c r="W461" s="29" t="s">
        <v>74</v>
      </c>
      <c r="X461" s="28">
        <v>22</v>
      </c>
      <c r="Y461" s="28">
        <v>1</v>
      </c>
      <c r="Z461" s="28">
        <v>1</v>
      </c>
      <c r="AA461" s="28">
        <v>3</v>
      </c>
      <c r="AB461" s="28">
        <v>1</v>
      </c>
      <c r="AC461" s="28">
        <v>2</v>
      </c>
      <c r="AD461" s="28">
        <v>2</v>
      </c>
      <c r="AE461" s="28">
        <v>4</v>
      </c>
      <c r="AF461" s="28">
        <v>3</v>
      </c>
      <c r="AG461" s="28">
        <v>2</v>
      </c>
      <c r="AH461" s="29" t="s">
        <v>1000</v>
      </c>
      <c r="AI461" s="36">
        <f>IF(OR(AND(K461&lt;32, J461&lt;2), O461=1, P461=1, Q461=1, R461=1, S461=1, T461=1, U461=1, AND(W461&lt;&gt;"", W461&lt;&gt;"Oxygen", W461&lt;&gt;"LowFlow")), "Intensive", "Intermediate")</f>
      </c>
      <c r="AJ461" s="37">
        <f>IF(OR(LEFT(AH461, 1)="X", LEFT(AH461, 1)="Y", LEFT(AH461, 3)="J9M"), "CUSM", "No Match")</f>
      </c>
      <c r="AK461" s="37">
        <f>IF(AND(OR(O461=3, P461=1, Q461=1, T461=1), AJ461="no Match"), "CUSM, CHU SJ, CHUQ", "")</f>
      </c>
      <c r="AL461" s="37">
        <f>IF(AND(O461=2, ISBLANK(P461), ISBLANK(Q461), ISBLANK(R461), ISBLANK(S461), ISBLANK(T461)), "CUSM, CHU SJ, CHUS, CHUQ", "")</f>
      </c>
      <c r="AM461" s="37">
        <f>IF(AND(AJ461="no match", AK461="", AL461="", K461&lt;26), "CUSM, CHU SJ, HGJ, CHUQ, CHUS", "")</f>
      </c>
      <c r="AN461" s="37">
        <f>IF(AND(AJ461="no match", AK461="", AL461="", K461&gt;26), "CUSM, CHU SJ, HGJ, CHUQ, CHUS, HMR", "")</f>
      </c>
    </row>
    <row x14ac:dyDescent="0.25" r="462" customHeight="1" ht="17.25">
      <c r="A462" s="27" t="s">
        <v>1001</v>
      </c>
      <c r="B462" s="28">
        <v>2</v>
      </c>
      <c r="C462" s="28">
        <v>833</v>
      </c>
      <c r="D462" s="29" t="s">
        <v>376</v>
      </c>
      <c r="E462" s="30" t="s">
        <v>54</v>
      </c>
      <c r="F462" s="31">
        <v>44814</v>
      </c>
      <c r="G462" s="32">
        <v>4.177083333333334</v>
      </c>
      <c r="H462" s="31">
        <v>44813</v>
      </c>
      <c r="I462" s="32">
        <v>4.938888888888889</v>
      </c>
      <c r="J462" s="33">
        <f>F462-H462</f>
      </c>
      <c r="K462" s="28">
        <v>39</v>
      </c>
      <c r="L462" s="28">
        <v>3</v>
      </c>
      <c r="M462" s="28">
        <v>2</v>
      </c>
      <c r="N462" s="38"/>
      <c r="O462" s="34"/>
      <c r="P462" s="38"/>
      <c r="Q462" s="34"/>
      <c r="R462" s="34"/>
      <c r="S462" s="34"/>
      <c r="T462" s="34"/>
      <c r="U462" s="34"/>
      <c r="V462" s="34"/>
      <c r="W462" s="29"/>
      <c r="X462" s="28">
        <v>31</v>
      </c>
      <c r="Y462" s="28">
        <v>1</v>
      </c>
      <c r="Z462" s="28">
        <v>2</v>
      </c>
      <c r="AA462" s="28">
        <v>3</v>
      </c>
      <c r="AB462" s="28">
        <v>1</v>
      </c>
      <c r="AC462" s="28">
        <v>2</v>
      </c>
      <c r="AD462" s="28">
        <v>2</v>
      </c>
      <c r="AE462" s="28">
        <v>4</v>
      </c>
      <c r="AF462" s="28">
        <v>2</v>
      </c>
      <c r="AG462" s="28">
        <v>2</v>
      </c>
      <c r="AH462" s="29" t="s">
        <v>1002</v>
      </c>
      <c r="AI462" s="36">
        <f>IF(OR(AND(K462&lt;32, J462&lt;2), O462=1, P462=1, Q462=1, R462=1, S462=1, T462=1, U462=1, AND(W462&lt;&gt;"", W462&lt;&gt;"Oxygen", W462&lt;&gt;"LowFlow")), "Intensive", "Intermediate")</f>
      </c>
      <c r="AJ462" s="37">
        <f>IF(OR(LEFT(AH462, 1)="X", LEFT(AH462, 1)="Y", LEFT(AH462, 3)="J10M"), "CUSM", "No Match")</f>
      </c>
      <c r="AK462" s="37">
        <f>IF(AND(OR(O462=3, P462=1, Q462=1, T462=1), AJ462="no Match"), "CUSM, CHU SJ, CHUQ", "")</f>
      </c>
      <c r="AL462" s="37">
        <f>IF(AND(O462=2, ISBLANK(P462), ISBLANK(Q462), ISBLANK(R462), ISBLANK(S462), ISBLANK(T462)), "CUSM, CHU SJ, CHUS, CHUQ", "")</f>
      </c>
      <c r="AM462" s="37">
        <f>IF(AND(AJ462="no match", AK462="", AL462="", K462&lt;26), "CUSM, CHU SJ, HGJ, CHUQ, CHUS", "")</f>
      </c>
      <c r="AN462" s="37">
        <f>IF(AND(AJ462="no match", AK462="", AL462="", K462&gt;26), "CUSM, CHU SJ, HGJ, CHUQ, CHUS, HMR", "")</f>
      </c>
    </row>
    <row x14ac:dyDescent="0.25" r="463" customHeight="1" ht="17.25">
      <c r="A463" s="27" t="s">
        <v>1003</v>
      </c>
      <c r="B463" s="28">
        <v>2</v>
      </c>
      <c r="C463" s="35">
        <v>824</v>
      </c>
      <c r="D463" s="29" t="s">
        <v>57</v>
      </c>
      <c r="E463" s="30" t="s">
        <v>50</v>
      </c>
      <c r="F463" s="31">
        <v>44814</v>
      </c>
      <c r="G463" s="32">
        <v>4.273611111111111</v>
      </c>
      <c r="H463" s="31">
        <v>44814</v>
      </c>
      <c r="I463" s="32">
        <v>4.073611111111111</v>
      </c>
      <c r="J463" s="33">
        <f>F463-H463</f>
      </c>
      <c r="K463" s="28">
        <v>41</v>
      </c>
      <c r="L463" s="28">
        <v>5</v>
      </c>
      <c r="M463" s="28">
        <v>2</v>
      </c>
      <c r="N463" s="34"/>
      <c r="O463" s="34"/>
      <c r="P463" s="34"/>
      <c r="Q463" s="34"/>
      <c r="R463" s="34"/>
      <c r="S463" s="34"/>
      <c r="T463" s="34"/>
      <c r="U463" s="34"/>
      <c r="V463" s="34"/>
      <c r="W463" s="29" t="s">
        <v>58</v>
      </c>
      <c r="X463" s="28">
        <v>33</v>
      </c>
      <c r="Y463" s="28">
        <v>1</v>
      </c>
      <c r="Z463" s="28">
        <v>2</v>
      </c>
      <c r="AA463" s="28">
        <v>1</v>
      </c>
      <c r="AB463" s="28">
        <v>1</v>
      </c>
      <c r="AC463" s="28">
        <v>2</v>
      </c>
      <c r="AD463" s="28">
        <v>2</v>
      </c>
      <c r="AE463" s="28">
        <v>3</v>
      </c>
      <c r="AF463" s="28">
        <v>1</v>
      </c>
      <c r="AG463" s="28">
        <v>2</v>
      </c>
      <c r="AH463" s="29" t="s">
        <v>1004</v>
      </c>
      <c r="AI463" s="36">
        <f>IF(OR(AND(K463&lt;32, J463&lt;2), O463=1, P463=1, Q463=1, R463=1, S463=1, T463=1, U463=1, AND(W463&lt;&gt;"", W463&lt;&gt;"Oxygen", W463&lt;&gt;"LowFlow")), "Intensive", "Intermediate")</f>
      </c>
      <c r="AJ463" s="37">
        <f>IF(OR(LEFT(AH463, 1)="X", LEFT(AH463, 1)="Y", LEFT(AH463, 3)="J11M"), "CUSM", "No Match")</f>
      </c>
      <c r="AK463" s="37">
        <f>IF(AND(OR(O463=3, P463=1, Q463=1, T463=1), AJ463="no Match"), "CUSM, CHU SJ, CHUQ", "")</f>
      </c>
      <c r="AL463" s="37">
        <f>IF(AND(O463=2, ISBLANK(P463), ISBLANK(Q463), ISBLANK(R463), ISBLANK(S463), ISBLANK(T463)), "CUSM, CHU SJ, CHUS, CHUQ", "")</f>
      </c>
      <c r="AM463" s="37">
        <f>IF(AND(AJ463="no match", AK463="", AL463="", K463&lt;26), "CUSM, CHU SJ, HGJ, CHUQ, CHUS", "")</f>
      </c>
      <c r="AN463" s="37">
        <f>IF(AND(AJ463="no match", AK463="", AL463="", K463&gt;26), "CUSM, CHU SJ, HGJ, CHUQ, CHUS, HMR", "")</f>
      </c>
    </row>
    <row x14ac:dyDescent="0.25" r="464" customHeight="1" ht="17.25">
      <c r="A464" s="27" t="s">
        <v>1005</v>
      </c>
      <c r="B464" s="28">
        <v>2</v>
      </c>
      <c r="C464" s="28">
        <v>2</v>
      </c>
      <c r="D464" s="29" t="s">
        <v>269</v>
      </c>
      <c r="E464" s="30" t="s">
        <v>118</v>
      </c>
      <c r="F464" s="31">
        <v>44815</v>
      </c>
      <c r="G464" s="32">
        <v>4.047916666666667</v>
      </c>
      <c r="H464" s="31">
        <v>44814</v>
      </c>
      <c r="I464" s="32">
        <v>4.932638888888889</v>
      </c>
      <c r="J464" s="33">
        <f>F464-H464</f>
      </c>
      <c r="K464" s="28">
        <v>38</v>
      </c>
      <c r="L464" s="28">
        <v>6</v>
      </c>
      <c r="M464" s="28">
        <v>1</v>
      </c>
      <c r="N464" s="38"/>
      <c r="O464" s="34"/>
      <c r="P464" s="34"/>
      <c r="Q464" s="34"/>
      <c r="R464" s="34"/>
      <c r="S464" s="34"/>
      <c r="T464" s="35">
        <v>1</v>
      </c>
      <c r="U464" s="34"/>
      <c r="V464" s="35">
        <v>1</v>
      </c>
      <c r="W464" s="29" t="s">
        <v>600</v>
      </c>
      <c r="X464" s="28">
        <v>28</v>
      </c>
      <c r="Y464" s="28">
        <v>1</v>
      </c>
      <c r="Z464" s="28">
        <v>1</v>
      </c>
      <c r="AA464" s="28">
        <v>2</v>
      </c>
      <c r="AB464" s="28">
        <v>1</v>
      </c>
      <c r="AC464" s="28">
        <v>2</v>
      </c>
      <c r="AD464" s="28">
        <v>2</v>
      </c>
      <c r="AE464" s="28">
        <v>4</v>
      </c>
      <c r="AF464" s="28">
        <v>2</v>
      </c>
      <c r="AG464" s="28">
        <v>2</v>
      </c>
      <c r="AH464" s="29" t="s">
        <v>1006</v>
      </c>
      <c r="AI464" s="36">
        <f>IF(OR(AND(K464&lt;32, J464&lt;2), O464=1, P464=1, Q464=1, R464=1, S464=1, T464=1, U464=1, AND(W464&lt;&gt;"", W464&lt;&gt;"Oxygen", W464&lt;&gt;"LowFlow")), "Intensive", "Intermediate")</f>
      </c>
      <c r="AJ464" s="37">
        <f>IF(OR(LEFT(AH464, 1)="X", LEFT(AH464, 1)="Y", LEFT(AH464, 3)="J12M"), "CUSM", "No Match")</f>
      </c>
      <c r="AK464" s="37">
        <f>IF(AND(OR(O464=3, P464=1, Q464=1, T464=1), AJ464="no Match"), "CUSM, CHU SJ, CHUQ", "")</f>
      </c>
      <c r="AL464" s="37">
        <f>IF(AND(O464=2, ISBLANK(P464), ISBLANK(Q464), ISBLANK(R464), ISBLANK(S464), ISBLANK(T464)), "CUSM, CHU SJ, CHUS, CHUQ", "")</f>
      </c>
      <c r="AM464" s="37">
        <f>IF(AND(AJ464="no match", AK464="", AL464="", K464&lt;26), "CUSM, CHU SJ, HGJ, CHUQ, CHUS", "")</f>
      </c>
      <c r="AN464" s="37">
        <f>IF(AND(AJ464="no match", AK464="", AL464="", K464&gt;26), "CUSM, CHU SJ, HGJ, CHUQ, CHUS, HMR", "")</f>
      </c>
    </row>
    <row x14ac:dyDescent="0.25" r="465" customHeight="1" ht="17.25">
      <c r="A465" s="27" t="s">
        <v>1007</v>
      </c>
      <c r="B465" s="28">
        <v>2</v>
      </c>
      <c r="C465" s="35">
        <v>806</v>
      </c>
      <c r="D465" s="29" t="s">
        <v>438</v>
      </c>
      <c r="E465" s="30" t="s">
        <v>54</v>
      </c>
      <c r="F465" s="31">
        <v>44815</v>
      </c>
      <c r="G465" s="32">
        <v>4.15625</v>
      </c>
      <c r="H465" s="31">
        <v>44814</v>
      </c>
      <c r="I465" s="32">
        <v>4.225</v>
      </c>
      <c r="J465" s="33">
        <f>F465-H465</f>
      </c>
      <c r="K465" s="28">
        <v>40</v>
      </c>
      <c r="L465" s="28">
        <v>4</v>
      </c>
      <c r="M465" s="28">
        <v>1</v>
      </c>
      <c r="N465" s="34"/>
      <c r="O465" s="34"/>
      <c r="P465" s="34"/>
      <c r="Q465" s="34"/>
      <c r="R465" s="34"/>
      <c r="S465" s="34"/>
      <c r="T465" s="34"/>
      <c r="U465" s="34"/>
      <c r="V465" s="34"/>
      <c r="W465" s="29" t="s">
        <v>58</v>
      </c>
      <c r="X465" s="28">
        <v>27</v>
      </c>
      <c r="Y465" s="28">
        <v>1</v>
      </c>
      <c r="Z465" s="28">
        <v>1</v>
      </c>
      <c r="AA465" s="28">
        <v>2</v>
      </c>
      <c r="AB465" s="28">
        <v>1</v>
      </c>
      <c r="AC465" s="28">
        <v>2</v>
      </c>
      <c r="AD465" s="28">
        <v>2</v>
      </c>
      <c r="AE465" s="28">
        <v>4</v>
      </c>
      <c r="AF465" s="28">
        <v>2</v>
      </c>
      <c r="AG465" s="28">
        <v>2</v>
      </c>
      <c r="AH465" s="29" t="s">
        <v>1008</v>
      </c>
      <c r="AI465" s="36">
        <f>IF(OR(AND(K465&lt;32, J465&lt;2), O465=1, P465=1, Q465=1, R465=1, S465=1, T465=1, U465=1, AND(W465&lt;&gt;"", W465&lt;&gt;"Oxygen", W465&lt;&gt;"LowFlow")), "Intensive", "Intermediate")</f>
      </c>
      <c r="AJ465" s="37">
        <f>IF(OR(LEFT(AH465, 1)="X", LEFT(AH465, 1)="Y", LEFT(AH465, 3)="J13M"), "CUSM", "No Match")</f>
      </c>
      <c r="AK465" s="37">
        <f>IF(AND(OR(O465=3, P465=1, Q465=1, T465=1), AJ465="no Match"), "CUSM, CHU SJ, CHUQ", "")</f>
      </c>
      <c r="AL465" s="37">
        <f>IF(AND(O465=2, ISBLANK(P465), ISBLANK(Q465), ISBLANK(R465), ISBLANK(S465), ISBLANK(T465)), "CUSM, CHU SJ, CHUS, CHUQ", "")</f>
      </c>
      <c r="AM465" s="37">
        <f>IF(AND(AJ465="no match", AK465="", AL465="", K465&lt;26), "CUSM, CHU SJ, HGJ, CHUQ, CHUS", "")</f>
      </c>
      <c r="AN465" s="37">
        <f>IF(AND(AJ465="no match", AK465="", AL465="", K465&gt;26), "CUSM, CHU SJ, HGJ, CHUQ, CHUS, HMR", "")</f>
      </c>
    </row>
    <row x14ac:dyDescent="0.25" r="466" customHeight="1" ht="17.25">
      <c r="A466" s="27" t="s">
        <v>1009</v>
      </c>
      <c r="B466" s="28">
        <v>2</v>
      </c>
      <c r="C466" s="28">
        <v>734</v>
      </c>
      <c r="D466" s="29" t="s">
        <v>264</v>
      </c>
      <c r="E466" s="30" t="s">
        <v>54</v>
      </c>
      <c r="F466" s="31">
        <v>44815</v>
      </c>
      <c r="G466" s="32">
        <v>4.53125</v>
      </c>
      <c r="H466" s="31">
        <v>44807</v>
      </c>
      <c r="I466" s="32">
        <v>4.114583333333334</v>
      </c>
      <c r="J466" s="33">
        <f>F466-H466</f>
      </c>
      <c r="K466" s="28">
        <v>36</v>
      </c>
      <c r="L466" s="28">
        <v>0</v>
      </c>
      <c r="M466" s="28">
        <v>1</v>
      </c>
      <c r="N466" s="34"/>
      <c r="O466" s="34"/>
      <c r="P466" s="34"/>
      <c r="Q466" s="34"/>
      <c r="R466" s="34"/>
      <c r="S466" s="34"/>
      <c r="T466" s="34"/>
      <c r="U466" s="34"/>
      <c r="V466" s="34"/>
      <c r="W466" s="29"/>
      <c r="X466" s="35">
        <v>36</v>
      </c>
      <c r="Y466" s="28">
        <v>1</v>
      </c>
      <c r="Z466" s="28">
        <v>2</v>
      </c>
      <c r="AA466" s="28">
        <v>3</v>
      </c>
      <c r="AB466" s="28">
        <v>1</v>
      </c>
      <c r="AC466" s="28">
        <v>2</v>
      </c>
      <c r="AD466" s="28">
        <v>2</v>
      </c>
      <c r="AE466" s="28">
        <v>4</v>
      </c>
      <c r="AF466" s="28">
        <v>1</v>
      </c>
      <c r="AG466" s="28">
        <v>2</v>
      </c>
      <c r="AH466" s="29" t="s">
        <v>1010</v>
      </c>
      <c r="AI466" s="36">
        <f>IF(OR(AND(K466&lt;32, J466&lt;2), O466=1, P466=1, Q466=1, R466=1, S466=1, T466=1, U466=1, AND(W466&lt;&gt;"", W466&lt;&gt;"Oxygen", W466&lt;&gt;"LowFlow")), "Intensive", "Intermediate")</f>
      </c>
      <c r="AJ466" s="37">
        <f>IF(OR(LEFT(AH466, 1)="X", LEFT(AH466, 1)="Y", LEFT(AH466, 3)="J14M"), "CUSM", "No Match")</f>
      </c>
      <c r="AK466" s="37">
        <f>IF(AND(OR(O466=3, P466=1, Q466=1, T466=1), AJ466="no Match"), "CUSM, CHU SJ, CHUQ", "")</f>
      </c>
      <c r="AL466" s="37">
        <f>IF(AND(O466=2, ISBLANK(P466), ISBLANK(Q466), ISBLANK(R466), ISBLANK(S466), ISBLANK(T466)), "CUSM, CHU SJ, CHUS, CHUQ", "")</f>
      </c>
      <c r="AM466" s="37">
        <f>IF(AND(AJ466="no match", AK466="", AL466="", K466&lt;26), "CUSM, CHU SJ, HGJ, CHUQ, CHUS", "")</f>
      </c>
      <c r="AN466" s="37">
        <f>IF(AND(AJ466="no match", AK466="", AL466="", K466&gt;26), "CUSM, CHU SJ, HGJ, CHUQ, CHUS, HMR", "")</f>
      </c>
    </row>
    <row x14ac:dyDescent="0.25" r="467" customHeight="1" ht="17.25">
      <c r="A467" s="27" t="s">
        <v>1011</v>
      </c>
      <c r="B467" s="28">
        <v>2</v>
      </c>
      <c r="C467" s="35">
        <v>757</v>
      </c>
      <c r="D467" s="29" t="s">
        <v>124</v>
      </c>
      <c r="E467" s="30" t="s">
        <v>54</v>
      </c>
      <c r="F467" s="31">
        <v>44816</v>
      </c>
      <c r="G467" s="32">
        <v>4.645833333333334</v>
      </c>
      <c r="H467" s="31">
        <v>44816</v>
      </c>
      <c r="I467" s="32">
        <v>4.26875</v>
      </c>
      <c r="J467" s="33">
        <f>F467-H467</f>
      </c>
      <c r="K467" s="28">
        <v>40</v>
      </c>
      <c r="L467" s="28">
        <v>3</v>
      </c>
      <c r="M467" s="28">
        <v>1</v>
      </c>
      <c r="N467" s="35">
        <v>1</v>
      </c>
      <c r="O467" s="34"/>
      <c r="P467" s="35">
        <v>1</v>
      </c>
      <c r="Q467" s="34"/>
      <c r="R467" s="34"/>
      <c r="S467" s="34"/>
      <c r="T467" s="34"/>
      <c r="U467" s="34"/>
      <c r="V467" s="34"/>
      <c r="W467" s="29" t="s">
        <v>74</v>
      </c>
      <c r="X467" s="28">
        <v>29</v>
      </c>
      <c r="Y467" s="28">
        <v>1</v>
      </c>
      <c r="Z467" s="28">
        <v>1</v>
      </c>
      <c r="AA467" s="28">
        <v>3</v>
      </c>
      <c r="AB467" s="28">
        <v>1</v>
      </c>
      <c r="AC467" s="28">
        <v>2</v>
      </c>
      <c r="AD467" s="28">
        <v>2</v>
      </c>
      <c r="AE467" s="28">
        <v>4</v>
      </c>
      <c r="AF467" s="28">
        <v>2</v>
      </c>
      <c r="AG467" s="28">
        <v>2</v>
      </c>
      <c r="AH467" s="29" t="s">
        <v>1012</v>
      </c>
      <c r="AI467" s="36">
        <f>IF(OR(AND(K467&lt;32, J467&lt;2), O467=1, P467=1, Q467=1, R467=1, S467=1, T467=1, U467=1, AND(W467&lt;&gt;"", W467&lt;&gt;"Oxygen", W467&lt;&gt;"LowFlow")), "Intensive", "Intermediate")</f>
      </c>
      <c r="AJ467" s="37">
        <f>IF(OR(LEFT(AH467, 1)="X", LEFT(AH467, 1)="Y", LEFT(AH467, 3)="J15M"), "CUSM", "No Match")</f>
      </c>
      <c r="AK467" s="37">
        <f>IF(AND(OR(O467=3, P467=1, Q467=1, T467=1), AJ467="no Match"), "CUSM, CHU SJ, CHUQ", "")</f>
      </c>
      <c r="AL467" s="37">
        <f>IF(AND(O467=2, ISBLANK(P467), ISBLANK(Q467), ISBLANK(R467), ISBLANK(S467), ISBLANK(T467)), "CUSM, CHU SJ, CHUS, CHUQ", "")</f>
      </c>
      <c r="AM467" s="37">
        <f>IF(AND(AJ467="no match", AK467="", AL467="", K467&lt;26), "CUSM, CHU SJ, HGJ, CHUQ, CHUS", "")</f>
      </c>
      <c r="AN467" s="37">
        <f>IF(AND(AJ467="no match", AK467="", AL467="", K467&gt;26), "CUSM, CHU SJ, HGJ, CHUQ, CHUS, HMR", "")</f>
      </c>
    </row>
    <row x14ac:dyDescent="0.25" r="468" customHeight="1" ht="17.25">
      <c r="A468" s="27" t="s">
        <v>1013</v>
      </c>
      <c r="B468" s="28">
        <v>2</v>
      </c>
      <c r="C468" s="28">
        <v>721</v>
      </c>
      <c r="D468" s="29" t="s">
        <v>367</v>
      </c>
      <c r="E468" s="30" t="s">
        <v>78</v>
      </c>
      <c r="F468" s="31">
        <v>44817</v>
      </c>
      <c r="G468" s="32">
        <v>4.65625</v>
      </c>
      <c r="H468" s="31">
        <v>44817</v>
      </c>
      <c r="I468" s="32">
        <v>4.097916666666666</v>
      </c>
      <c r="J468" s="33">
        <f>F468-H468</f>
      </c>
      <c r="K468" s="28">
        <v>33</v>
      </c>
      <c r="L468" s="28">
        <v>0</v>
      </c>
      <c r="M468" s="28">
        <v>1</v>
      </c>
      <c r="N468" s="34"/>
      <c r="O468" s="34"/>
      <c r="P468" s="34"/>
      <c r="Q468" s="34"/>
      <c r="R468" s="34"/>
      <c r="S468" s="34"/>
      <c r="T468" s="34"/>
      <c r="U468" s="34"/>
      <c r="V468" s="34"/>
      <c r="W468" s="29"/>
      <c r="X468" s="28">
        <v>23</v>
      </c>
      <c r="Y468" s="28">
        <v>1</v>
      </c>
      <c r="Z468" s="28">
        <v>1</v>
      </c>
      <c r="AA468" s="28">
        <v>1</v>
      </c>
      <c r="AB468" s="28">
        <v>1</v>
      </c>
      <c r="AC468" s="28">
        <v>2</v>
      </c>
      <c r="AD468" s="28">
        <v>2</v>
      </c>
      <c r="AE468" s="28">
        <v>2</v>
      </c>
      <c r="AF468" s="28">
        <v>2</v>
      </c>
      <c r="AG468" s="28">
        <v>2</v>
      </c>
      <c r="AH468" s="29" t="s">
        <v>1014</v>
      </c>
      <c r="AI468" s="36">
        <f>IF(OR(AND(K468&lt;32, J468&lt;2), O468=1, P468=1, Q468=1, R468=1, S468=1, T468=1, U468=1, AND(W468&lt;&gt;"", W468&lt;&gt;"Oxygen", W468&lt;&gt;"LowFlow")), "Intensive", "Intermediate")</f>
      </c>
      <c r="AJ468" s="37">
        <f>IF(OR(LEFT(AH468, 1)="X", LEFT(AH468, 1)="Y", LEFT(AH468, 3)="J16M"), "CUSM", "No Match")</f>
      </c>
      <c r="AK468" s="37">
        <f>IF(AND(OR(O468=3, P468=1, Q468=1, T468=1), AJ468="no Match"), "CUSM, CHU SJ, CHUQ", "")</f>
      </c>
      <c r="AL468" s="37">
        <f>IF(AND(O468=2, ISBLANK(P468), ISBLANK(Q468), ISBLANK(R468), ISBLANK(S468), ISBLANK(T468)), "CUSM, CHU SJ, CHUS, CHUQ", "")</f>
      </c>
      <c r="AM468" s="37">
        <f>IF(AND(AJ468="no match", AK468="", AL468="", K468&lt;26), "CUSM, CHU SJ, HGJ, CHUQ, CHUS", "")</f>
      </c>
      <c r="AN468" s="37">
        <f>IF(AND(AJ468="no match", AK468="", AL468="", K468&gt;26), "CUSM, CHU SJ, HGJ, CHUQ, CHUS, HMR", "")</f>
      </c>
    </row>
    <row x14ac:dyDescent="0.25" r="469" customHeight="1" ht="17.25">
      <c r="A469" s="27" t="s">
        <v>1015</v>
      </c>
      <c r="B469" s="28">
        <v>2</v>
      </c>
      <c r="C469" s="28">
        <v>824</v>
      </c>
      <c r="D469" s="29" t="s">
        <v>57</v>
      </c>
      <c r="E469" s="30" t="s">
        <v>54</v>
      </c>
      <c r="F469" s="31">
        <v>44818</v>
      </c>
      <c r="G469" s="32">
        <v>4.048611111111111</v>
      </c>
      <c r="H469" s="31">
        <v>44817</v>
      </c>
      <c r="I469" s="32">
        <v>4.788888888888889</v>
      </c>
      <c r="J469" s="33">
        <f>F469-H469</f>
      </c>
      <c r="K469" s="28">
        <v>38</v>
      </c>
      <c r="L469" s="28">
        <v>3</v>
      </c>
      <c r="M469" s="28">
        <v>2</v>
      </c>
      <c r="N469" s="38"/>
      <c r="O469" s="34"/>
      <c r="P469" s="34"/>
      <c r="Q469" s="34"/>
      <c r="R469" s="34"/>
      <c r="S469" s="34"/>
      <c r="T469" s="35">
        <v>1</v>
      </c>
      <c r="U469" s="34"/>
      <c r="V469" s="34"/>
      <c r="W469" s="29"/>
      <c r="X469" s="28">
        <v>27</v>
      </c>
      <c r="Y469" s="28">
        <v>1</v>
      </c>
      <c r="Z469" s="28">
        <v>1</v>
      </c>
      <c r="AA469" s="28">
        <v>1</v>
      </c>
      <c r="AB469" s="28">
        <v>1</v>
      </c>
      <c r="AC469" s="28">
        <v>2</v>
      </c>
      <c r="AD469" s="28">
        <v>2</v>
      </c>
      <c r="AE469" s="28">
        <v>4</v>
      </c>
      <c r="AF469" s="28">
        <v>1</v>
      </c>
      <c r="AG469" s="28">
        <v>2</v>
      </c>
      <c r="AH469" s="29" t="s">
        <v>1016</v>
      </c>
      <c r="AI469" s="36">
        <f>IF(OR(AND(K469&lt;32, J469&lt;2), O469=1, P469=1, Q469=1, R469=1, S469=1, T469=1, U469=1, AND(W469&lt;&gt;"", W469&lt;&gt;"Oxygen", W469&lt;&gt;"LowFlow")), "Intensive", "Intermediate")</f>
      </c>
      <c r="AJ469" s="37">
        <f>IF(OR(LEFT(AH469, 1)="X", LEFT(AH469, 1)="Y", LEFT(AH469, 3)="J17M"), "CUSM", "No Match")</f>
      </c>
      <c r="AK469" s="37">
        <f>IF(AND(OR(O469=3, P469=1, Q469=1, T469=1), AJ469="no Match"), "CUSM, CHU SJ, CHUQ", "")</f>
      </c>
      <c r="AL469" s="37">
        <f>IF(AND(O469=2, ISBLANK(P469), ISBLANK(Q469), ISBLANK(R469), ISBLANK(S469), ISBLANK(T469)), "CUSM, CHU SJ, CHUS, CHUQ", "")</f>
      </c>
      <c r="AM469" s="37">
        <f>IF(AND(AJ469="no match", AK469="", AL469="", K469&lt;26), "CUSM, CHU SJ, HGJ, CHUQ, CHUS", "")</f>
      </c>
      <c r="AN469" s="37">
        <f>IF(AND(AJ469="no match", AK469="", AL469="", K469&gt;26), "CUSM, CHU SJ, HGJ, CHUQ, CHUS, HMR", "")</f>
      </c>
    </row>
    <row x14ac:dyDescent="0.25" r="470" customHeight="1" ht="17.25">
      <c r="A470" s="27" t="s">
        <v>1017</v>
      </c>
      <c r="B470" s="28">
        <v>2</v>
      </c>
      <c r="C470" s="28">
        <v>796</v>
      </c>
      <c r="D470" s="29" t="s">
        <v>63</v>
      </c>
      <c r="E470" s="30" t="s">
        <v>54</v>
      </c>
      <c r="F470" s="31">
        <v>44818</v>
      </c>
      <c r="G470" s="32">
        <v>4.666666666666666</v>
      </c>
      <c r="H470" s="31">
        <v>44814</v>
      </c>
      <c r="I470" s="32">
        <v>4.141666666666667</v>
      </c>
      <c r="J470" s="33">
        <f>F470-H470</f>
      </c>
      <c r="K470" s="28">
        <v>40</v>
      </c>
      <c r="L470" s="28">
        <v>0</v>
      </c>
      <c r="M470" s="28">
        <v>1</v>
      </c>
      <c r="N470" s="34"/>
      <c r="O470" s="35">
        <v>2</v>
      </c>
      <c r="P470" s="35">
        <v>1</v>
      </c>
      <c r="Q470" s="34"/>
      <c r="R470" s="34"/>
      <c r="S470" s="34"/>
      <c r="T470" s="34"/>
      <c r="U470" s="34"/>
      <c r="V470" s="34"/>
      <c r="W470" s="29"/>
      <c r="X470" s="28">
        <v>26</v>
      </c>
      <c r="Y470" s="28">
        <v>1</v>
      </c>
      <c r="Z470" s="28">
        <v>1</v>
      </c>
      <c r="AA470" s="28">
        <v>2</v>
      </c>
      <c r="AB470" s="28">
        <v>1</v>
      </c>
      <c r="AC470" s="28">
        <v>2</v>
      </c>
      <c r="AD470" s="28">
        <v>2</v>
      </c>
      <c r="AE470" s="28">
        <v>4</v>
      </c>
      <c r="AF470" s="28">
        <v>2</v>
      </c>
      <c r="AG470" s="28">
        <v>2</v>
      </c>
      <c r="AH470" s="29" t="s">
        <v>1018</v>
      </c>
      <c r="AI470" s="36">
        <f>IF(OR(AND(K470&lt;32, J470&lt;2), O470=1, P470=1, Q470=1, R470=1, S470=1, T470=1, U470=1, AND(W470&lt;&gt;"", W470&lt;&gt;"Oxygen", W470&lt;&gt;"LowFlow")), "Intensive", "Intermediate")</f>
      </c>
      <c r="AJ470" s="37">
        <f>IF(OR(LEFT(AH470, 1)="X", LEFT(AH470, 1)="Y", LEFT(AH470, 3)="J18M"), "CUSM", "No Match")</f>
      </c>
      <c r="AK470" s="37">
        <f>IF(AND(OR(O470=3, P470=1, Q470=1, T470=1), AJ470="no Match"), "CUSM, CHU SJ, CHUQ", "")</f>
      </c>
      <c r="AL470" s="37">
        <f>IF(AND(O470=2, ISBLANK(P470), ISBLANK(Q470), ISBLANK(R470), ISBLANK(S470), ISBLANK(T470)), "CUSM, CHU SJ, CHUS, CHUQ", "")</f>
      </c>
      <c r="AM470" s="37">
        <f>IF(AND(AJ470="no match", AK470="", AL470="", K470&lt;26), "CUSM, CHU SJ, HGJ, CHUQ, CHUS", "")</f>
      </c>
      <c r="AN470" s="37">
        <f>IF(AND(AJ470="no match", AK470="", AL470="", K470&gt;26), "CUSM, CHU SJ, HGJ, CHUQ, CHUS, HMR", "")</f>
      </c>
    </row>
    <row x14ac:dyDescent="0.25" r="471" customHeight="1" ht="17.25">
      <c r="A471" s="27" t="s">
        <v>1019</v>
      </c>
      <c r="B471" s="28">
        <v>2</v>
      </c>
      <c r="C471" s="35">
        <v>796</v>
      </c>
      <c r="D471" s="29" t="s">
        <v>63</v>
      </c>
      <c r="E471" s="30" t="s">
        <v>50</v>
      </c>
      <c r="F471" s="31">
        <v>44818</v>
      </c>
      <c r="G471" s="32">
        <v>4.315972222222222</v>
      </c>
      <c r="H471" s="31">
        <v>44818</v>
      </c>
      <c r="I471" s="32">
        <v>4.0784722222222225</v>
      </c>
      <c r="J471" s="33">
        <f>F471-H471</f>
      </c>
      <c r="K471" s="28">
        <v>38</v>
      </c>
      <c r="L471" s="28">
        <v>3</v>
      </c>
      <c r="M471" s="28">
        <v>2</v>
      </c>
      <c r="N471" s="38"/>
      <c r="O471" s="34"/>
      <c r="P471" s="34"/>
      <c r="Q471" s="34"/>
      <c r="R471" s="34"/>
      <c r="S471" s="34"/>
      <c r="T471" s="35">
        <v>1</v>
      </c>
      <c r="U471" s="34"/>
      <c r="V471" s="34"/>
      <c r="W471" s="29"/>
      <c r="X471" s="28">
        <v>28</v>
      </c>
      <c r="Y471" s="28">
        <v>1</v>
      </c>
      <c r="Z471" s="28">
        <v>1</v>
      </c>
      <c r="AA471" s="28">
        <v>2</v>
      </c>
      <c r="AB471" s="28">
        <v>1</v>
      </c>
      <c r="AC471" s="28">
        <v>2</v>
      </c>
      <c r="AD471" s="28">
        <v>2</v>
      </c>
      <c r="AE471" s="28">
        <v>4</v>
      </c>
      <c r="AF471" s="28">
        <v>2</v>
      </c>
      <c r="AG471" s="28">
        <v>2</v>
      </c>
      <c r="AH471" s="29" t="s">
        <v>1020</v>
      </c>
      <c r="AI471" s="36">
        <f>IF(OR(AND(K471&lt;32, J471&lt;2), O471=1, P471=1, Q471=1, R471=1, S471=1, T471=1, U471=1, AND(W471&lt;&gt;"", W471&lt;&gt;"Oxygen", W471&lt;&gt;"LowFlow")), "Intensive", "Intermediate")</f>
      </c>
      <c r="AJ471" s="37">
        <f>IF(OR(LEFT(AH471, 1)="X", LEFT(AH471, 1)="Y", LEFT(AH471, 3)="J19M"), "CUSM", "No Match")</f>
      </c>
      <c r="AK471" s="37">
        <f>IF(AND(OR(O471=3, P471=1, Q471=1, T471=1), AJ471="no Match"), "CUSM, CHU SJ, CHUQ", "")</f>
      </c>
      <c r="AL471" s="37">
        <f>IF(AND(O471=2, ISBLANK(P471), ISBLANK(Q471), ISBLANK(R471), ISBLANK(S471), ISBLANK(T471)), "CUSM, CHU SJ, CHUS, CHUQ", "")</f>
      </c>
      <c r="AM471" s="37">
        <f>IF(AND(AJ471="no match", AK471="", AL471="", K471&lt;26), "CUSM, CHU SJ, HGJ, CHUQ, CHUS", "")</f>
      </c>
      <c r="AN471" s="37">
        <f>IF(AND(AJ471="no match", AK471="", AL471="", K471&gt;26), "CUSM, CHU SJ, HGJ, CHUQ, CHUS, HMR", "")</f>
      </c>
    </row>
    <row x14ac:dyDescent="0.25" r="472" customHeight="1" ht="17.25">
      <c r="A472" s="27" t="s">
        <v>1021</v>
      </c>
      <c r="B472" s="28">
        <v>2</v>
      </c>
      <c r="C472" s="35">
        <v>761</v>
      </c>
      <c r="D472" s="29" t="s">
        <v>746</v>
      </c>
      <c r="E472" s="30" t="s">
        <v>50</v>
      </c>
      <c r="F472" s="31">
        <v>44818</v>
      </c>
      <c r="G472" s="32">
        <v>4.325</v>
      </c>
      <c r="H472" s="31">
        <v>44814</v>
      </c>
      <c r="I472" s="32">
        <v>4.829861111111111</v>
      </c>
      <c r="J472" s="33">
        <f>F472-H472</f>
      </c>
      <c r="K472" s="28">
        <v>38</v>
      </c>
      <c r="L472" s="28">
        <v>6</v>
      </c>
      <c r="M472" s="28">
        <v>1</v>
      </c>
      <c r="N472" s="34"/>
      <c r="O472" s="34"/>
      <c r="P472" s="34"/>
      <c r="Q472" s="34"/>
      <c r="R472" s="34"/>
      <c r="S472" s="34"/>
      <c r="T472" s="34"/>
      <c r="U472" s="34"/>
      <c r="V472" s="34"/>
      <c r="W472" s="29"/>
      <c r="X472" s="28">
        <v>27</v>
      </c>
      <c r="Y472" s="28">
        <v>1</v>
      </c>
      <c r="Z472" s="28">
        <v>2</v>
      </c>
      <c r="AA472" s="28">
        <v>3</v>
      </c>
      <c r="AB472" s="28">
        <v>4</v>
      </c>
      <c r="AC472" s="28">
        <v>2</v>
      </c>
      <c r="AD472" s="28">
        <v>1</v>
      </c>
      <c r="AE472" s="28">
        <v>4</v>
      </c>
      <c r="AF472" s="28">
        <v>3</v>
      </c>
      <c r="AG472" s="28">
        <v>2</v>
      </c>
      <c r="AH472" s="29" t="s">
        <v>1022</v>
      </c>
      <c r="AI472" s="36">
        <f>IF(OR(AND(K472&lt;32, J472&lt;2), O472=1, P472=1, Q472=1, R472=1, S472=1, T472=1, U472=1, AND(W472&lt;&gt;"", W472&lt;&gt;"Oxygen", W472&lt;&gt;"LowFlow")), "Intensive", "Intermediate")</f>
      </c>
      <c r="AJ472" s="37">
        <f>IF(OR(LEFT(AH472, 1)="X", LEFT(AH472, 1)="Y", LEFT(AH472, 3)="J20M"), "CUSM", "No Match")</f>
      </c>
      <c r="AK472" s="37">
        <f>IF(AND(OR(O472=3, P472=1, Q472=1, T472=1), AJ472="no Match"), "CUSM, CHU SJ, CHUQ", "")</f>
      </c>
      <c r="AL472" s="37">
        <f>IF(AND(O472=2, ISBLANK(P472), ISBLANK(Q472), ISBLANK(R472), ISBLANK(S472), ISBLANK(T472)), "CUSM, CHU SJ, CHUS, CHUQ", "")</f>
      </c>
      <c r="AM472" s="37">
        <f>IF(AND(AJ472="no match", AK472="", AL472="", K472&lt;26), "CUSM, CHU SJ, HGJ, CHUQ, CHUS", "")</f>
      </c>
      <c r="AN472" s="37">
        <f>IF(AND(AJ472="no match", AK472="", AL472="", K472&gt;26), "CUSM, CHU SJ, HGJ, CHUQ, CHUS, HMR", "")</f>
      </c>
    </row>
    <row x14ac:dyDescent="0.25" r="473" customHeight="1" ht="17.25">
      <c r="A473" s="27" t="s">
        <v>1023</v>
      </c>
      <c r="B473" s="28">
        <v>2</v>
      </c>
      <c r="C473" s="35">
        <v>748</v>
      </c>
      <c r="D473" s="29" t="s">
        <v>145</v>
      </c>
      <c r="E473" s="30" t="s">
        <v>118</v>
      </c>
      <c r="F473" s="31">
        <v>44819</v>
      </c>
      <c r="G473" s="32">
        <v>4.0881944444444445</v>
      </c>
      <c r="H473" s="31">
        <v>44818</v>
      </c>
      <c r="I473" s="32">
        <v>4.823611111111111</v>
      </c>
      <c r="J473" s="33">
        <f>F473-H473</f>
      </c>
      <c r="K473" s="28">
        <v>41</v>
      </c>
      <c r="L473" s="28">
        <v>1</v>
      </c>
      <c r="M473" s="28">
        <v>1</v>
      </c>
      <c r="N473" s="34"/>
      <c r="O473" s="34"/>
      <c r="P473" s="34"/>
      <c r="Q473" s="34"/>
      <c r="R473" s="34"/>
      <c r="S473" s="34"/>
      <c r="T473" s="35">
        <v>1</v>
      </c>
      <c r="U473" s="35">
        <v>1</v>
      </c>
      <c r="V473" s="35">
        <v>1</v>
      </c>
      <c r="W473" s="29" t="s">
        <v>74</v>
      </c>
      <c r="X473" s="28">
        <v>28</v>
      </c>
      <c r="Y473" s="28">
        <v>1</v>
      </c>
      <c r="Z473" s="28">
        <v>1</v>
      </c>
      <c r="AA473" s="28">
        <v>2</v>
      </c>
      <c r="AB473" s="28">
        <v>1</v>
      </c>
      <c r="AC473" s="28">
        <v>2</v>
      </c>
      <c r="AD473" s="28">
        <v>2</v>
      </c>
      <c r="AE473" s="28">
        <v>4</v>
      </c>
      <c r="AF473" s="28">
        <v>3</v>
      </c>
      <c r="AG473" s="28">
        <v>2</v>
      </c>
      <c r="AH473" s="29" t="s">
        <v>1024</v>
      </c>
      <c r="AI473" s="36">
        <f>IF(OR(AND(K473&lt;32, J473&lt;2), O473=1, P473=1, Q473=1, R473=1, S473=1, T473=1, U473=1, AND(W473&lt;&gt;"", W473&lt;&gt;"Oxygen", W473&lt;&gt;"LowFlow")), "Intensive", "Intermediate")</f>
      </c>
      <c r="AJ473" s="37">
        <f>IF(OR(LEFT(AH473, 1)="X", LEFT(AH473, 1)="Y", LEFT(AH473, 3)="J21M"), "CUSM", "No Match")</f>
      </c>
      <c r="AK473" s="37">
        <f>IF(AND(OR(O473=3, P473=1, Q473=1, T473=1), AJ473="no Match"), "CUSM, CHU SJ, CHUQ", "")</f>
      </c>
      <c r="AL473" s="37">
        <f>IF(AND(O473=2, ISBLANK(P473), ISBLANK(Q473), ISBLANK(R473), ISBLANK(S473), ISBLANK(T473)), "CUSM, CHU SJ, CHUS, CHUQ", "")</f>
      </c>
      <c r="AM473" s="37">
        <f>IF(AND(AJ473="no match", AK473="", AL473="", K473&lt;26), "CUSM, CHU SJ, HGJ, CHUQ, CHUS", "")</f>
      </c>
      <c r="AN473" s="37">
        <f>IF(AND(AJ473="no match", AK473="", AL473="", K473&gt;26), "CUSM, CHU SJ, HGJ, CHUQ, CHUS, HMR", "")</f>
      </c>
    </row>
    <row x14ac:dyDescent="0.25" r="474" customHeight="1" ht="17.25">
      <c r="A474" s="27" t="s">
        <v>1025</v>
      </c>
      <c r="B474" s="28">
        <v>2</v>
      </c>
      <c r="C474" s="35">
        <v>820</v>
      </c>
      <c r="D474" s="29" t="s">
        <v>69</v>
      </c>
      <c r="E474" s="30" t="s">
        <v>78</v>
      </c>
      <c r="F474" s="31">
        <v>44819</v>
      </c>
      <c r="G474" s="32">
        <v>4.680555555555555</v>
      </c>
      <c r="H474" s="31">
        <v>44818</v>
      </c>
      <c r="I474" s="32">
        <v>4.760416666666666</v>
      </c>
      <c r="J474" s="33">
        <f>F474-H474</f>
      </c>
      <c r="K474" s="28">
        <v>35</v>
      </c>
      <c r="L474" s="28">
        <v>0</v>
      </c>
      <c r="M474" s="28">
        <v>2</v>
      </c>
      <c r="N474" s="38"/>
      <c r="O474" s="34"/>
      <c r="P474" s="38"/>
      <c r="Q474" s="34"/>
      <c r="R474" s="34"/>
      <c r="S474" s="34"/>
      <c r="T474" s="34"/>
      <c r="U474" s="34"/>
      <c r="V474" s="34"/>
      <c r="W474" s="29" t="s">
        <v>74</v>
      </c>
      <c r="X474" s="28">
        <v>26</v>
      </c>
      <c r="Y474" s="28">
        <v>1</v>
      </c>
      <c r="Z474" s="28">
        <v>2</v>
      </c>
      <c r="AA474" s="28">
        <v>1</v>
      </c>
      <c r="AB474" s="28">
        <v>1</v>
      </c>
      <c r="AC474" s="28">
        <v>2</v>
      </c>
      <c r="AD474" s="28">
        <v>2</v>
      </c>
      <c r="AE474" s="28">
        <v>4</v>
      </c>
      <c r="AF474" s="28">
        <v>1</v>
      </c>
      <c r="AG474" s="28">
        <v>2</v>
      </c>
      <c r="AH474" s="29" t="s">
        <v>1026</v>
      </c>
      <c r="AI474" s="36">
        <f>IF(OR(AND(K474&lt;32, J474&lt;2), O474=1, P474=1, Q474=1, R474=1, S474=1, T474=1, U474=1, AND(W474&lt;&gt;"", W474&lt;&gt;"Oxygen", W474&lt;&gt;"LowFlow")), "Intensive", "Intermediate")</f>
      </c>
      <c r="AJ474" s="37">
        <f>IF(OR(LEFT(AH474, 1)="X", LEFT(AH474, 1)="Y", LEFT(AH474, 3)="J22M"), "CUSM", "No Match")</f>
      </c>
      <c r="AK474" s="37">
        <f>IF(AND(OR(O474=3, P474=1, Q474=1, T474=1), AJ474="no Match"), "CUSM, CHU SJ, CHUQ", "")</f>
      </c>
      <c r="AL474" s="37">
        <f>IF(AND(O474=2, ISBLANK(P474), ISBLANK(Q474), ISBLANK(R474), ISBLANK(S474), ISBLANK(T474)), "CUSM, CHU SJ, CHUS, CHUQ", "")</f>
      </c>
      <c r="AM474" s="37">
        <f>IF(AND(AJ474="no match", AK474="", AL474="", K474&lt;26), "CUSM, CHU SJ, HGJ, CHUQ, CHUS", "")</f>
      </c>
      <c r="AN474" s="37">
        <f>IF(AND(AJ474="no match", AK474="", AL474="", K474&gt;26), "CUSM, CHU SJ, HGJ, CHUQ, CHUS, HMR", "")</f>
      </c>
    </row>
    <row x14ac:dyDescent="0.25" r="475" customHeight="1" ht="17.25">
      <c r="A475" s="27" t="s">
        <v>1027</v>
      </c>
      <c r="B475" s="28">
        <v>2</v>
      </c>
      <c r="C475" s="35">
        <v>795</v>
      </c>
      <c r="D475" s="29" t="s">
        <v>73</v>
      </c>
      <c r="E475" s="30" t="s">
        <v>54</v>
      </c>
      <c r="F475" s="31">
        <v>44821</v>
      </c>
      <c r="G475" s="32">
        <v>4.6875</v>
      </c>
      <c r="H475" s="31">
        <v>44819</v>
      </c>
      <c r="I475" s="32">
        <v>4.29375</v>
      </c>
      <c r="J475" s="33">
        <f>F475-H475</f>
      </c>
      <c r="K475" s="28">
        <v>39</v>
      </c>
      <c r="L475" s="28">
        <v>0</v>
      </c>
      <c r="M475" s="28">
        <v>2</v>
      </c>
      <c r="N475" s="34"/>
      <c r="O475" s="38"/>
      <c r="P475" s="34"/>
      <c r="Q475" s="34"/>
      <c r="R475" s="34"/>
      <c r="S475" s="38"/>
      <c r="T475" s="34"/>
      <c r="U475" s="34"/>
      <c r="V475" s="34"/>
      <c r="W475" s="29"/>
      <c r="X475" s="28">
        <v>40</v>
      </c>
      <c r="Y475" s="28">
        <v>1</v>
      </c>
      <c r="Z475" s="28">
        <v>2</v>
      </c>
      <c r="AA475" s="28">
        <v>1</v>
      </c>
      <c r="AB475" s="28">
        <v>1</v>
      </c>
      <c r="AC475" s="28">
        <v>2</v>
      </c>
      <c r="AD475" s="28">
        <v>1</v>
      </c>
      <c r="AE475" s="28">
        <v>4</v>
      </c>
      <c r="AF475" s="28">
        <v>2</v>
      </c>
      <c r="AG475" s="28">
        <v>2</v>
      </c>
      <c r="AH475" s="29" t="s">
        <v>1028</v>
      </c>
      <c r="AI475" s="36">
        <f>IF(OR(AND(K475&lt;32, J475&lt;2), O475=1, P475=1, Q475=1, R475=1, S475=1, T475=1, U475=1, AND(W475&lt;&gt;"", W475&lt;&gt;"Oxygen", W475&lt;&gt;"LowFlow")), "Intensive", "Intermediate")</f>
      </c>
      <c r="AJ475" s="37">
        <f>IF(OR(LEFT(AH475, 1)="X", LEFT(AH475, 1)="Y", LEFT(AH475, 3)="J23M"), "CUSM", "No Match")</f>
      </c>
      <c r="AK475" s="37">
        <f>IF(AND(OR(O475=3, P475=1, Q475=1, T475=1), AJ475="no Match"), "CUSM, CHU SJ, CHUQ", "")</f>
      </c>
      <c r="AL475" s="37">
        <f>IF(AND(O475=2, ISBLANK(P475), ISBLANK(Q475), ISBLANK(R475), ISBLANK(S475), ISBLANK(T475)), "CUSM, CHU SJ, CHUS, CHUQ", "")</f>
      </c>
      <c r="AM475" s="37">
        <f>IF(AND(AJ475="no match", AK475="", AL475="", K475&lt;26), "CUSM, CHU SJ, HGJ, CHUQ, CHUS", "")</f>
      </c>
      <c r="AN475" s="37">
        <f>IF(AND(AJ475="no match", AK475="", AL475="", K475&gt;26), "CUSM, CHU SJ, HGJ, CHUQ, CHUS, HMR", "")</f>
      </c>
    </row>
    <row x14ac:dyDescent="0.25" r="476" customHeight="1" ht="17.25">
      <c r="A476" s="27" t="s">
        <v>1029</v>
      </c>
      <c r="B476" s="28">
        <v>2</v>
      </c>
      <c r="C476" s="35">
        <v>831</v>
      </c>
      <c r="D476" s="29" t="s">
        <v>313</v>
      </c>
      <c r="E476" s="30" t="s">
        <v>54</v>
      </c>
      <c r="F476" s="31">
        <v>44822</v>
      </c>
      <c r="G476" s="32">
        <v>4.635416666666666</v>
      </c>
      <c r="H476" s="31">
        <v>44821</v>
      </c>
      <c r="I476" s="32">
        <v>4.13125</v>
      </c>
      <c r="J476" s="33">
        <f>F476-H476</f>
      </c>
      <c r="K476" s="28">
        <v>38</v>
      </c>
      <c r="L476" s="28">
        <v>4</v>
      </c>
      <c r="M476" s="28">
        <v>1</v>
      </c>
      <c r="N476" s="35">
        <v>1</v>
      </c>
      <c r="O476" s="35">
        <v>2</v>
      </c>
      <c r="P476" s="35">
        <v>1</v>
      </c>
      <c r="Q476" s="34"/>
      <c r="R476" s="34"/>
      <c r="S476" s="34"/>
      <c r="T476" s="38"/>
      <c r="U476" s="34"/>
      <c r="V476" s="34"/>
      <c r="W476" s="29"/>
      <c r="X476" s="28">
        <v>20</v>
      </c>
      <c r="Y476" s="28">
        <v>1</v>
      </c>
      <c r="Z476" s="28">
        <v>2</v>
      </c>
      <c r="AA476" s="28">
        <v>2</v>
      </c>
      <c r="AB476" s="28">
        <v>1</v>
      </c>
      <c r="AC476" s="28">
        <v>2</v>
      </c>
      <c r="AD476" s="28">
        <v>2</v>
      </c>
      <c r="AE476" s="28">
        <v>4</v>
      </c>
      <c r="AF476" s="28">
        <v>2</v>
      </c>
      <c r="AG476" s="28">
        <v>2</v>
      </c>
      <c r="AH476" s="29" t="s">
        <v>1030</v>
      </c>
      <c r="AI476" s="36">
        <f>IF(OR(AND(K476&lt;32, J476&lt;2), O476=1, P476=1, Q476=1, R476=1, S476=1, T476=1, U476=1, AND(W476&lt;&gt;"", W476&lt;&gt;"Oxygen", W476&lt;&gt;"LowFlow")), "Intensive", "Intermediate")</f>
      </c>
      <c r="AJ476" s="37">
        <f>IF(OR(LEFT(AH476, 1)="X", LEFT(AH476, 1)="Y", LEFT(AH476, 3)="J24M"), "CUSM", "No Match")</f>
      </c>
      <c r="AK476" s="37">
        <f>IF(AND(OR(O476=3, P476=1, Q476=1, T476=1), AJ476="no Match"), "CUSM, CHU SJ, CHUQ", "")</f>
      </c>
      <c r="AL476" s="37">
        <f>IF(AND(O476=2, ISBLANK(P476), ISBLANK(Q476), ISBLANK(R476), ISBLANK(S476), ISBLANK(T476)), "CUSM, CHU SJ, CHUS, CHUQ", "")</f>
      </c>
      <c r="AM476" s="37">
        <f>IF(AND(AJ476="no match", AK476="", AL476="", K476&lt;26), "CUSM, CHU SJ, HGJ, CHUQ, CHUS", "")</f>
      </c>
      <c r="AN476" s="37">
        <f>IF(AND(AJ476="no match", AK476="", AL476="", K476&gt;26), "CUSM, CHU SJ, HGJ, CHUQ, CHUS, HMR", "")</f>
      </c>
    </row>
    <row x14ac:dyDescent="0.25" r="477" customHeight="1" ht="17.25">
      <c r="A477" s="27" t="s">
        <v>1031</v>
      </c>
      <c r="B477" s="28">
        <v>2</v>
      </c>
      <c r="C477" s="35">
        <v>815</v>
      </c>
      <c r="D477" s="29" t="s">
        <v>100</v>
      </c>
      <c r="E477" s="30" t="s">
        <v>54</v>
      </c>
      <c r="F477" s="31">
        <v>44822</v>
      </c>
      <c r="G477" s="32">
        <v>4.239583333333334</v>
      </c>
      <c r="H477" s="31">
        <v>44822</v>
      </c>
      <c r="I477" s="32">
        <v>4.065277777777778</v>
      </c>
      <c r="J477" s="33">
        <f>F477-H477</f>
      </c>
      <c r="K477" s="28">
        <v>34</v>
      </c>
      <c r="L477" s="28">
        <v>2</v>
      </c>
      <c r="M477" s="28">
        <v>2</v>
      </c>
      <c r="N477" s="35">
        <v>1</v>
      </c>
      <c r="O477" s="34"/>
      <c r="P477" s="35">
        <v>1</v>
      </c>
      <c r="Q477" s="34"/>
      <c r="R477" s="34"/>
      <c r="S477" s="34"/>
      <c r="T477" s="34"/>
      <c r="U477" s="34"/>
      <c r="V477" s="34"/>
      <c r="W477" s="29" t="s">
        <v>74</v>
      </c>
      <c r="X477" s="28">
        <v>31</v>
      </c>
      <c r="Y477" s="28">
        <v>1</v>
      </c>
      <c r="Z477" s="28">
        <v>2</v>
      </c>
      <c r="AA477" s="28">
        <v>1</v>
      </c>
      <c r="AB477" s="28">
        <v>1</v>
      </c>
      <c r="AC477" s="28">
        <v>2</v>
      </c>
      <c r="AD477" s="28">
        <v>2</v>
      </c>
      <c r="AE477" s="28">
        <v>4</v>
      </c>
      <c r="AF477" s="28">
        <v>2</v>
      </c>
      <c r="AG477" s="28">
        <v>2</v>
      </c>
      <c r="AH477" s="29" t="s">
        <v>1032</v>
      </c>
      <c r="AI477" s="36">
        <f>IF(OR(AND(K477&lt;32, J477&lt;2), O477=1, P477=1, Q477=1, R477=1, S477=1, T477=1, U477=1, AND(W477&lt;&gt;"", W477&lt;&gt;"Oxygen", W477&lt;&gt;"LowFlow")), "Intensive", "Intermediate")</f>
      </c>
      <c r="AJ477" s="37">
        <f>IF(OR(LEFT(AH477, 1)="X", LEFT(AH477, 1)="Y", LEFT(AH477, 3)="J25M"), "CUSM", "No Match")</f>
      </c>
      <c r="AK477" s="37">
        <f>IF(AND(OR(O477=3, P477=1, Q477=1, T477=1), AJ477="no Match"), "CUSM, CHU SJ, CHUQ", "")</f>
      </c>
      <c r="AL477" s="37">
        <f>IF(AND(O477=2, ISBLANK(P477), ISBLANK(Q477), ISBLANK(R477), ISBLANK(S477), ISBLANK(T477)), "CUSM, CHU SJ, CHUS, CHUQ", "")</f>
      </c>
      <c r="AM477" s="37">
        <f>IF(AND(AJ477="no match", AK477="", AL477="", K477&lt;26), "CUSM, CHU SJ, HGJ, CHUQ, CHUS", "")</f>
      </c>
      <c r="AN477" s="37">
        <f>IF(AND(AJ477="no match", AK477="", AL477="", K477&gt;26), "CUSM, CHU SJ, HGJ, CHUQ, CHUS, HMR", "")</f>
      </c>
    </row>
    <row x14ac:dyDescent="0.25" r="478" customHeight="1" ht="17.25">
      <c r="A478" s="27" t="s">
        <v>1033</v>
      </c>
      <c r="B478" s="28">
        <v>2</v>
      </c>
      <c r="C478" s="28">
        <v>730</v>
      </c>
      <c r="D478" s="29" t="s">
        <v>81</v>
      </c>
      <c r="E478" s="30" t="s">
        <v>50</v>
      </c>
      <c r="F478" s="31">
        <v>44822</v>
      </c>
      <c r="G478" s="32">
        <v>4.576388888888889</v>
      </c>
      <c r="H478" s="31">
        <v>44822</v>
      </c>
      <c r="I478" s="32">
        <v>4.409722222222222</v>
      </c>
      <c r="J478" s="33">
        <f>F478-H478</f>
      </c>
      <c r="K478" s="28">
        <v>36</v>
      </c>
      <c r="L478" s="28">
        <v>0</v>
      </c>
      <c r="M478" s="28">
        <v>2</v>
      </c>
      <c r="N478" s="34"/>
      <c r="O478" s="34"/>
      <c r="P478" s="34"/>
      <c r="Q478" s="34"/>
      <c r="R478" s="34"/>
      <c r="S478" s="34"/>
      <c r="T478" s="34"/>
      <c r="U478" s="35">
        <v>1</v>
      </c>
      <c r="V478" s="35">
        <v>1</v>
      </c>
      <c r="W478" s="29" t="s">
        <v>74</v>
      </c>
      <c r="X478" s="28">
        <v>36</v>
      </c>
      <c r="Y478" s="28">
        <v>1</v>
      </c>
      <c r="Z478" s="28">
        <v>2</v>
      </c>
      <c r="AA478" s="28">
        <v>1</v>
      </c>
      <c r="AB478" s="28">
        <v>1</v>
      </c>
      <c r="AC478" s="28">
        <v>2</v>
      </c>
      <c r="AD478" s="28">
        <v>1</v>
      </c>
      <c r="AE478" s="28">
        <v>4</v>
      </c>
      <c r="AF478" s="28">
        <v>3</v>
      </c>
      <c r="AG478" s="28">
        <v>2</v>
      </c>
      <c r="AH478" s="29" t="s">
        <v>1034</v>
      </c>
      <c r="AI478" s="36">
        <f>IF(OR(AND(K478&lt;32, J478&lt;2), O478=1, P478=1, Q478=1, R478=1, S478=1, T478=1, U478=1, AND(W478&lt;&gt;"", W478&lt;&gt;"Oxygen", W478&lt;&gt;"LowFlow")), "Intensive", "Intermediate")</f>
      </c>
      <c r="AJ478" s="37">
        <f>IF(OR(LEFT(AH478, 1)="X", LEFT(AH478, 1)="Y", LEFT(AH478, 3)="J26M"), "CUSM", "No Match")</f>
      </c>
      <c r="AK478" s="37">
        <f>IF(AND(OR(O478=3, P478=1, Q478=1, T478=1), AJ478="no Match"), "CUSM, CHU SJ, CHUQ", "")</f>
      </c>
      <c r="AL478" s="37">
        <f>IF(AND(O478=2, ISBLANK(P478), ISBLANK(Q478), ISBLANK(R478), ISBLANK(S478), ISBLANK(T478)), "CUSM, CHU SJ, CHUS, CHUQ", "")</f>
      </c>
      <c r="AM478" s="37">
        <f>IF(AND(AJ478="no match", AK478="", AL478="", K478&lt;26), "CUSM, CHU SJ, HGJ, CHUQ, CHUS", "")</f>
      </c>
      <c r="AN478" s="37">
        <f>IF(AND(AJ478="no match", AK478="", AL478="", K478&gt;26), "CUSM, CHU SJ, HGJ, CHUQ, CHUS, HMR", "")</f>
      </c>
    </row>
    <row x14ac:dyDescent="0.25" r="479" customHeight="1" ht="17.25">
      <c r="A479" s="27" t="s">
        <v>1035</v>
      </c>
      <c r="B479" s="28">
        <v>2</v>
      </c>
      <c r="C479" s="35">
        <v>839</v>
      </c>
      <c r="D479" s="29" t="s">
        <v>53</v>
      </c>
      <c r="E479" s="30" t="s">
        <v>54</v>
      </c>
      <c r="F479" s="31">
        <v>44823</v>
      </c>
      <c r="G479" s="32">
        <v>4.604166666666666</v>
      </c>
      <c r="H479" s="31">
        <v>44821</v>
      </c>
      <c r="I479" s="32">
        <v>4.3590277777777775</v>
      </c>
      <c r="J479" s="33">
        <f>F479-H479</f>
      </c>
      <c r="K479" s="28">
        <v>40</v>
      </c>
      <c r="L479" s="28">
        <v>0</v>
      </c>
      <c r="M479" s="28">
        <v>2</v>
      </c>
      <c r="N479" s="34"/>
      <c r="O479" s="34"/>
      <c r="P479" s="34"/>
      <c r="Q479" s="34"/>
      <c r="R479" s="34"/>
      <c r="S479" s="34"/>
      <c r="T479" s="34"/>
      <c r="U479" s="34"/>
      <c r="V479" s="34"/>
      <c r="W479" s="29"/>
      <c r="X479" s="28">
        <v>24</v>
      </c>
      <c r="Y479" s="28">
        <v>1</v>
      </c>
      <c r="Z479" s="28">
        <v>2</v>
      </c>
      <c r="AA479" s="28">
        <v>1</v>
      </c>
      <c r="AB479" s="28">
        <v>1</v>
      </c>
      <c r="AC479" s="28">
        <v>2</v>
      </c>
      <c r="AD479" s="28">
        <v>2</v>
      </c>
      <c r="AE479" s="28">
        <v>4</v>
      </c>
      <c r="AF479" s="28">
        <v>2</v>
      </c>
      <c r="AG479" s="28">
        <v>2</v>
      </c>
      <c r="AH479" s="29" t="s">
        <v>1036</v>
      </c>
      <c r="AI479" s="36">
        <f>IF(OR(AND(K479&lt;32, J479&lt;2), O479=1, P479=1, Q479=1, R479=1, S479=1, T479=1, U479=1, AND(W479&lt;&gt;"", W479&lt;&gt;"Oxygen", W479&lt;&gt;"LowFlow")), "Intensive", "Intermediate")</f>
      </c>
      <c r="AJ479" s="37">
        <f>IF(OR(LEFT(AH479, 1)="X", LEFT(AH479, 1)="Y", LEFT(AH479, 3)="J27M"), "CUSM", "No Match")</f>
      </c>
      <c r="AK479" s="37">
        <f>IF(AND(OR(O479=3, P479=1, Q479=1, T479=1), AJ479="no Match"), "CUSM, CHU SJ, CHUQ", "")</f>
      </c>
      <c r="AL479" s="37">
        <f>IF(AND(O479=2, ISBLANK(P479), ISBLANK(Q479), ISBLANK(R479), ISBLANK(S479), ISBLANK(T479)), "CUSM, CHU SJ, CHUS, CHUQ", "")</f>
      </c>
      <c r="AM479" s="37">
        <f>IF(AND(AJ479="no match", AK479="", AL479="", K479&lt;26), "CUSM, CHU SJ, HGJ, CHUQ, CHUS", "")</f>
      </c>
      <c r="AN479" s="37">
        <f>IF(AND(AJ479="no match", AK479="", AL479="", K479&gt;26), "CUSM, CHU SJ, HGJ, CHUQ, CHUS, HMR", "")</f>
      </c>
    </row>
    <row x14ac:dyDescent="0.25" r="480" customHeight="1" ht="17.25">
      <c r="A480" s="27" t="s">
        <v>1037</v>
      </c>
      <c r="B480" s="28">
        <v>2</v>
      </c>
      <c r="C480" s="28">
        <v>779</v>
      </c>
      <c r="D480" s="29" t="s">
        <v>136</v>
      </c>
      <c r="E480" s="30" t="s">
        <v>54</v>
      </c>
      <c r="F480" s="31">
        <v>44823</v>
      </c>
      <c r="G480" s="32">
        <v>4.052083333333334</v>
      </c>
      <c r="H480" s="31">
        <v>44822</v>
      </c>
      <c r="I480" s="32">
        <v>4.752083333333333</v>
      </c>
      <c r="J480" s="33">
        <f>F480-H480</f>
      </c>
      <c r="K480" s="28">
        <v>38</v>
      </c>
      <c r="L480" s="28">
        <v>0</v>
      </c>
      <c r="M480" s="28">
        <v>2</v>
      </c>
      <c r="N480" s="28">
        <v>1</v>
      </c>
      <c r="O480" s="34"/>
      <c r="P480" s="28">
        <v>1</v>
      </c>
      <c r="Q480" s="34"/>
      <c r="R480" s="34"/>
      <c r="S480" s="34"/>
      <c r="T480" s="34"/>
      <c r="U480" s="34"/>
      <c r="V480" s="34"/>
      <c r="W480" s="29" t="s">
        <v>58</v>
      </c>
      <c r="X480" s="28">
        <v>36</v>
      </c>
      <c r="Y480" s="28">
        <v>1</v>
      </c>
      <c r="Z480" s="28">
        <v>1</v>
      </c>
      <c r="AA480" s="28">
        <v>2</v>
      </c>
      <c r="AB480" s="28">
        <v>1</v>
      </c>
      <c r="AC480" s="28">
        <v>2</v>
      </c>
      <c r="AD480" s="28">
        <v>1</v>
      </c>
      <c r="AE480" s="28">
        <v>4</v>
      </c>
      <c r="AF480" s="28">
        <v>2</v>
      </c>
      <c r="AG480" s="28">
        <v>2</v>
      </c>
      <c r="AH480" s="29" t="s">
        <v>1038</v>
      </c>
      <c r="AI480" s="36">
        <f>IF(OR(AND(K480&lt;32, J480&lt;2), O480=1, P480=1, Q480=1, R480=1, S480=1, T480=1, U480=1, AND(W480&lt;&gt;"", W480&lt;&gt;"Oxygen", W480&lt;&gt;"LowFlow")), "Intensive", "Intermediate")</f>
      </c>
      <c r="AJ480" s="37">
        <f>IF(OR(LEFT(AH480, 1)="X", LEFT(AH480, 1)="Y", LEFT(AH480, 3)="J28M"), "CUSM", "No Match")</f>
      </c>
      <c r="AK480" s="37">
        <f>IF(AND(OR(O480=3, P480=1, Q480=1, T480=1), AJ480="no Match"), "CUSM, CHU SJ, CHUQ", "")</f>
      </c>
      <c r="AL480" s="37">
        <f>IF(AND(O480=2, ISBLANK(P480), ISBLANK(Q480), ISBLANK(R480), ISBLANK(S480), ISBLANK(T480)), "CUSM, CHU SJ, CHUS, CHUQ", "")</f>
      </c>
      <c r="AM480" s="37">
        <f>IF(AND(AJ480="no match", AK480="", AL480="", K480&lt;26), "CUSM, CHU SJ, HGJ, CHUQ, CHUS", "")</f>
      </c>
      <c r="AN480" s="37">
        <f>IF(AND(AJ480="no match", AK480="", AL480="", K480&gt;26), "CUSM, CHU SJ, HGJ, CHUQ, CHUS, HMR", "")</f>
      </c>
    </row>
    <row x14ac:dyDescent="0.25" r="481" customHeight="1" ht="17.25">
      <c r="A481" s="27" t="s">
        <v>1039</v>
      </c>
      <c r="B481" s="28">
        <v>2</v>
      </c>
      <c r="C481" s="28">
        <v>730</v>
      </c>
      <c r="D481" s="29" t="s">
        <v>81</v>
      </c>
      <c r="E481" s="30" t="s">
        <v>50</v>
      </c>
      <c r="F481" s="31">
        <v>44823</v>
      </c>
      <c r="G481" s="32">
        <v>4.670833333333333</v>
      </c>
      <c r="H481" s="31">
        <v>44822</v>
      </c>
      <c r="I481" s="32">
        <v>4.740972222222222</v>
      </c>
      <c r="J481" s="33">
        <f>F481-H481</f>
      </c>
      <c r="K481" s="28">
        <v>41</v>
      </c>
      <c r="L481" s="28">
        <v>2</v>
      </c>
      <c r="M481" s="28">
        <v>2</v>
      </c>
      <c r="N481" s="28">
        <v>1</v>
      </c>
      <c r="O481" s="34"/>
      <c r="P481" s="28">
        <v>1</v>
      </c>
      <c r="Q481" s="34"/>
      <c r="R481" s="34"/>
      <c r="S481" s="34"/>
      <c r="T481" s="34"/>
      <c r="U481" s="34"/>
      <c r="V481" s="38"/>
      <c r="W481" s="29"/>
      <c r="X481" s="28">
        <v>29</v>
      </c>
      <c r="Y481" s="28">
        <v>1</v>
      </c>
      <c r="Z481" s="28">
        <v>1</v>
      </c>
      <c r="AA481" s="28">
        <v>2</v>
      </c>
      <c r="AB481" s="28">
        <v>3</v>
      </c>
      <c r="AC481" s="28">
        <v>1</v>
      </c>
      <c r="AD481" s="28">
        <v>2</v>
      </c>
      <c r="AE481" s="28">
        <v>4</v>
      </c>
      <c r="AF481" s="28">
        <v>3</v>
      </c>
      <c r="AG481" s="28">
        <v>2</v>
      </c>
      <c r="AH481" s="29" t="s">
        <v>1040</v>
      </c>
      <c r="AI481" s="36">
        <f>IF(OR(AND(K481&lt;32, J481&lt;2), O481=1, P481=1, Q481=1, R481=1, S481=1, T481=1, U481=1, AND(W481&lt;&gt;"", W481&lt;&gt;"Oxygen", W481&lt;&gt;"LowFlow")), "Intensive", "Intermediate")</f>
      </c>
      <c r="AJ481" s="37">
        <f>IF(OR(LEFT(AH481, 1)="X", LEFT(AH481, 1)="Y", LEFT(AH481, 3)="J29M"), "CUSM", "No Match")</f>
      </c>
      <c r="AK481" s="37">
        <f>IF(AND(OR(O481=3, P481=1, Q481=1, T481=1), AJ481="no Match"), "CUSM, CHU SJ, CHUQ", "")</f>
      </c>
      <c r="AL481" s="37">
        <f>IF(AND(O481=2, ISBLANK(P481), ISBLANK(Q481), ISBLANK(R481), ISBLANK(S481), ISBLANK(T481)), "CUSM, CHU SJ, CHUS, CHUQ", "")</f>
      </c>
      <c r="AM481" s="37">
        <f>IF(AND(AJ481="no match", AK481="", AL481="", K481&lt;26), "CUSM, CHU SJ, HGJ, CHUQ, CHUS", "")</f>
      </c>
      <c r="AN481" s="37">
        <f>IF(AND(AJ481="no match", AK481="", AL481="", K481&gt;26), "CUSM, CHU SJ, HGJ, CHUQ, CHUS, HMR", "")</f>
      </c>
    </row>
    <row x14ac:dyDescent="0.25" r="482" customHeight="1" ht="17.25">
      <c r="A482" s="27" t="s">
        <v>1041</v>
      </c>
      <c r="B482" s="28">
        <v>2</v>
      </c>
      <c r="C482" s="35">
        <v>839</v>
      </c>
      <c r="D482" s="29" t="s">
        <v>53</v>
      </c>
      <c r="E482" s="30" t="s">
        <v>50</v>
      </c>
      <c r="F482" s="31">
        <v>44823</v>
      </c>
      <c r="G482" s="32">
        <v>4.4222222222222225</v>
      </c>
      <c r="H482" s="31">
        <v>44823</v>
      </c>
      <c r="I482" s="32">
        <v>4.222916666666666</v>
      </c>
      <c r="J482" s="33">
        <f>F482-H482</f>
      </c>
      <c r="K482" s="28">
        <v>41</v>
      </c>
      <c r="L482" s="28">
        <v>1</v>
      </c>
      <c r="M482" s="28">
        <v>2</v>
      </c>
      <c r="N482" s="38"/>
      <c r="O482" s="34"/>
      <c r="P482" s="38"/>
      <c r="Q482" s="34"/>
      <c r="R482" s="34"/>
      <c r="S482" s="34"/>
      <c r="T482" s="34"/>
      <c r="U482" s="34"/>
      <c r="V482" s="34"/>
      <c r="W482" s="29" t="s">
        <v>58</v>
      </c>
      <c r="X482" s="28">
        <v>20</v>
      </c>
      <c r="Y482" s="28">
        <v>1</v>
      </c>
      <c r="Z482" s="28">
        <v>1</v>
      </c>
      <c r="AA482" s="28">
        <v>1</v>
      </c>
      <c r="AB482" s="28">
        <v>1</v>
      </c>
      <c r="AC482" s="28">
        <v>2</v>
      </c>
      <c r="AD482" s="28">
        <v>2</v>
      </c>
      <c r="AE482" s="28">
        <v>4</v>
      </c>
      <c r="AF482" s="28">
        <v>3</v>
      </c>
      <c r="AG482" s="28">
        <v>2</v>
      </c>
      <c r="AH482" s="29" t="s">
        <v>1042</v>
      </c>
      <c r="AI482" s="36">
        <f>IF(OR(AND(K482&lt;32, J482&lt;2), O482=1, P482=1, Q482=1, R482=1, S482=1, T482=1, U482=1, AND(W482&lt;&gt;"", W482&lt;&gt;"Oxygen", W482&lt;&gt;"LowFlow")), "Intensive", "Intermediate")</f>
      </c>
      <c r="AJ482" s="37">
        <f>IF(OR(LEFT(AH482, 1)="X", LEFT(AH482, 1)="Y", LEFT(AH482, 3)="J30M"), "CUSM", "No Match")</f>
      </c>
      <c r="AK482" s="37">
        <f>IF(AND(OR(O482=3, P482=1, Q482=1, T482=1), AJ482="no Match"), "CUSM, CHU SJ, CHUQ", "")</f>
      </c>
      <c r="AL482" s="37">
        <f>IF(AND(O482=2, ISBLANK(P482), ISBLANK(Q482), ISBLANK(R482), ISBLANK(S482), ISBLANK(T482)), "CUSM, CHU SJ, CHUS, CHUQ", "")</f>
      </c>
      <c r="AM482" s="37">
        <f>IF(AND(AJ482="no match", AK482="", AL482="", K482&lt;26), "CUSM, CHU SJ, HGJ, CHUQ, CHUS", "")</f>
      </c>
      <c r="AN482" s="37">
        <f>IF(AND(AJ482="no match", AK482="", AL482="", K482&gt;26), "CUSM, CHU SJ, HGJ, CHUQ, CHUS, HMR", "")</f>
      </c>
    </row>
    <row x14ac:dyDescent="0.25" r="483" customHeight="1" ht="17.25">
      <c r="A483" s="27" t="s">
        <v>1043</v>
      </c>
      <c r="B483" s="28">
        <v>2</v>
      </c>
      <c r="C483" s="28">
        <v>824</v>
      </c>
      <c r="D483" s="29" t="s">
        <v>57</v>
      </c>
      <c r="E483" s="30" t="s">
        <v>118</v>
      </c>
      <c r="F483" s="31">
        <v>44824</v>
      </c>
      <c r="G483" s="32">
        <v>4.041666666666666</v>
      </c>
      <c r="H483" s="31">
        <v>44823</v>
      </c>
      <c r="I483" s="32">
        <v>4.776388888888889</v>
      </c>
      <c r="J483" s="33">
        <f>F483-H483</f>
      </c>
      <c r="K483" s="28">
        <v>32</v>
      </c>
      <c r="L483" s="28">
        <v>6</v>
      </c>
      <c r="M483" s="28">
        <v>1</v>
      </c>
      <c r="N483" s="34"/>
      <c r="O483" s="34"/>
      <c r="P483" s="34"/>
      <c r="Q483" s="34"/>
      <c r="R483" s="34"/>
      <c r="S483" s="34"/>
      <c r="T483" s="34"/>
      <c r="U483" s="34"/>
      <c r="V483" s="34"/>
      <c r="W483" s="29" t="s">
        <v>58</v>
      </c>
      <c r="X483" s="28">
        <v>26</v>
      </c>
      <c r="Y483" s="28">
        <v>1</v>
      </c>
      <c r="Z483" s="28">
        <v>1</v>
      </c>
      <c r="AA483" s="28">
        <v>1</v>
      </c>
      <c r="AB483" s="28">
        <v>1</v>
      </c>
      <c r="AC483" s="28">
        <v>2</v>
      </c>
      <c r="AD483" s="28">
        <v>2</v>
      </c>
      <c r="AE483" s="28">
        <v>4</v>
      </c>
      <c r="AF483" s="28">
        <v>3</v>
      </c>
      <c r="AG483" s="28">
        <v>2</v>
      </c>
      <c r="AH483" s="29" t="s">
        <v>1044</v>
      </c>
      <c r="AI483" s="36">
        <f>IF(OR(AND(K483&lt;32, J483&lt;2), O483=1, P483=1, Q483=1, R483=1, S483=1, T483=1, U483=1, AND(W483&lt;&gt;"", W483&lt;&gt;"Oxygen", W483&lt;&gt;"LowFlow")), "Intensive", "Intermediate")</f>
      </c>
      <c r="AJ483" s="37">
        <f>IF(OR(LEFT(AH483, 1)="X", LEFT(AH483, 1)="Y", LEFT(AH483, 3)="J31M"), "CUSM", "No Match")</f>
      </c>
      <c r="AK483" s="37">
        <f>IF(AND(OR(O483=3, P483=1, Q483=1, T483=1), AJ483="no Match"), "CUSM, CHU SJ, CHUQ", "")</f>
      </c>
      <c r="AL483" s="37">
        <f>IF(AND(O483=2, ISBLANK(P483), ISBLANK(Q483), ISBLANK(R483), ISBLANK(S483), ISBLANK(T483)), "CUSM, CHU SJ, CHUS, CHUQ", "")</f>
      </c>
      <c r="AM483" s="37">
        <f>IF(AND(AJ483="no match", AK483="", AL483="", K483&lt;26), "CUSM, CHU SJ, HGJ, CHUQ, CHUS", "")</f>
      </c>
      <c r="AN483" s="37">
        <f>IF(AND(AJ483="no match", AK483="", AL483="", K483&gt;26), "CUSM, CHU SJ, HGJ, CHUQ, CHUS, HMR", "")</f>
      </c>
    </row>
    <row x14ac:dyDescent="0.25" r="484" customHeight="1" ht="17.25">
      <c r="A484" s="27" t="s">
        <v>1045</v>
      </c>
      <c r="B484" s="28">
        <v>2</v>
      </c>
      <c r="C484" s="28">
        <v>820</v>
      </c>
      <c r="D484" s="29" t="s">
        <v>69</v>
      </c>
      <c r="E484" s="30" t="s">
        <v>54</v>
      </c>
      <c r="F484" s="31">
        <v>44824</v>
      </c>
      <c r="G484" s="32">
        <v>4.888888888888889</v>
      </c>
      <c r="H484" s="31">
        <v>44824</v>
      </c>
      <c r="I484" s="32">
        <v>4.449305555555556</v>
      </c>
      <c r="J484" s="33">
        <f>F484-H484</f>
      </c>
      <c r="K484" s="28">
        <v>40</v>
      </c>
      <c r="L484" s="28">
        <v>3</v>
      </c>
      <c r="M484" s="28">
        <v>1</v>
      </c>
      <c r="N484" s="35">
        <v>1</v>
      </c>
      <c r="O484" s="35">
        <v>2</v>
      </c>
      <c r="P484" s="35">
        <v>1</v>
      </c>
      <c r="Q484" s="34"/>
      <c r="R484" s="34"/>
      <c r="S484" s="34"/>
      <c r="T484" s="34"/>
      <c r="U484" s="34"/>
      <c r="V484" s="34"/>
      <c r="W484" s="29"/>
      <c r="X484" s="28">
        <v>31</v>
      </c>
      <c r="Y484" s="28">
        <v>1</v>
      </c>
      <c r="Z484" s="28">
        <v>1</v>
      </c>
      <c r="AA484" s="28">
        <v>2</v>
      </c>
      <c r="AB484" s="28">
        <v>1</v>
      </c>
      <c r="AC484" s="28">
        <v>2</v>
      </c>
      <c r="AD484" s="28">
        <v>2</v>
      </c>
      <c r="AE484" s="28">
        <v>4</v>
      </c>
      <c r="AF484" s="28">
        <v>2</v>
      </c>
      <c r="AG484" s="28">
        <v>2</v>
      </c>
      <c r="AH484" s="29" t="s">
        <v>1046</v>
      </c>
      <c r="AI484" s="36">
        <f>IF(OR(AND(K484&lt;32, J484&lt;2), O484=1, P484=1, Q484=1, R484=1, S484=1, T484=1, U484=1, AND(W484&lt;&gt;"", W484&lt;&gt;"Oxygen", W484&lt;&gt;"LowFlow")), "Intensive", "Intermediate")</f>
      </c>
      <c r="AJ484" s="37">
        <f>IF(OR(LEFT(AH484, 1)="X", LEFT(AH484, 1)="Y", LEFT(AH484, 3)="J32M"), "CUSM", "No Match")</f>
      </c>
      <c r="AK484" s="37">
        <f>IF(AND(OR(O484=3, P484=1, Q484=1, T484=1), AJ484="no Match"), "CUSM, CHU SJ, CHUQ", "")</f>
      </c>
      <c r="AL484" s="37">
        <f>IF(AND(O484=2, ISBLANK(P484), ISBLANK(Q484), ISBLANK(R484), ISBLANK(S484), ISBLANK(T484)), "CUSM, CHU SJ, CHUS, CHUQ", "")</f>
      </c>
      <c r="AM484" s="37">
        <f>IF(AND(AJ484="no match", AK484="", AL484="", K484&lt;26), "CUSM, CHU SJ, HGJ, CHUQ, CHUS", "")</f>
      </c>
      <c r="AN484" s="37">
        <f>IF(AND(AJ484="no match", AK484="", AL484="", K484&gt;26), "CUSM, CHU SJ, HGJ, CHUQ, CHUS, HMR", "")</f>
      </c>
    </row>
    <row x14ac:dyDescent="0.25" r="485" customHeight="1" ht="17.25">
      <c r="A485" s="27" t="s">
        <v>1047</v>
      </c>
      <c r="B485" s="28">
        <v>2</v>
      </c>
      <c r="C485" s="28">
        <v>776</v>
      </c>
      <c r="D485" s="29" t="s">
        <v>84</v>
      </c>
      <c r="E485" s="30" t="s">
        <v>50</v>
      </c>
      <c r="F485" s="31">
        <v>44824</v>
      </c>
      <c r="G485" s="32">
        <v>4.746527777777778</v>
      </c>
      <c r="H485" s="31">
        <v>44824</v>
      </c>
      <c r="I485" s="32">
        <v>4.084027777777777</v>
      </c>
      <c r="J485" s="33">
        <f>F485-H485</f>
      </c>
      <c r="K485" s="28">
        <v>38</v>
      </c>
      <c r="L485" s="28">
        <v>5</v>
      </c>
      <c r="M485" s="28">
        <v>1</v>
      </c>
      <c r="N485" s="28">
        <v>1</v>
      </c>
      <c r="O485" s="35">
        <v>2</v>
      </c>
      <c r="P485" s="28">
        <v>1</v>
      </c>
      <c r="Q485" s="34"/>
      <c r="R485" s="34"/>
      <c r="S485" s="34"/>
      <c r="T485" s="34"/>
      <c r="U485" s="34"/>
      <c r="V485" s="34"/>
      <c r="W485" s="29"/>
      <c r="X485" s="28">
        <v>23</v>
      </c>
      <c r="Y485" s="28">
        <v>1</v>
      </c>
      <c r="Z485" s="28">
        <v>1</v>
      </c>
      <c r="AA485" s="28">
        <v>1</v>
      </c>
      <c r="AB485" s="28">
        <v>1</v>
      </c>
      <c r="AC485" s="28">
        <v>2</v>
      </c>
      <c r="AD485" s="28">
        <v>1</v>
      </c>
      <c r="AE485" s="28">
        <v>4</v>
      </c>
      <c r="AF485" s="28">
        <v>3</v>
      </c>
      <c r="AG485" s="28">
        <v>2</v>
      </c>
      <c r="AH485" s="29" t="s">
        <v>747</v>
      </c>
      <c r="AI485" s="36">
        <f>IF(OR(AND(K485&lt;32, J485&lt;2), O485=1, P485=1, Q485=1, R485=1, S485=1, T485=1, U485=1, AND(W485&lt;&gt;"", W485&lt;&gt;"Oxygen", W485&lt;&gt;"LowFlow")), "Intensive", "Intermediate")</f>
      </c>
      <c r="AJ485" s="37">
        <f>IF(OR(LEFT(AH485, 1)="X", LEFT(AH485, 1)="Y", LEFT(AH485, 3)="J33M"), "CUSM", "No Match")</f>
      </c>
      <c r="AK485" s="37">
        <f>IF(AND(OR(O485=3, P485=1, Q485=1, T485=1), AJ485="no Match"), "CUSM, CHU SJ, CHUQ", "")</f>
      </c>
      <c r="AL485" s="37">
        <f>IF(AND(O485=2, ISBLANK(P485), ISBLANK(Q485), ISBLANK(R485), ISBLANK(S485), ISBLANK(T485)), "CUSM, CHU SJ, CHUS, CHUQ", "")</f>
      </c>
      <c r="AM485" s="37">
        <f>IF(AND(AJ485="no match", AK485="", AL485="", K485&lt;26), "CUSM, CHU SJ, HGJ, CHUQ, CHUS", "")</f>
      </c>
      <c r="AN485" s="37">
        <f>IF(AND(AJ485="no match", AK485="", AL485="", K485&gt;26), "CUSM, CHU SJ, HGJ, CHUQ, CHUS, HMR", "")</f>
      </c>
    </row>
    <row x14ac:dyDescent="0.25" r="486" customHeight="1" ht="17.25">
      <c r="A486" s="27" t="s">
        <v>1048</v>
      </c>
      <c r="B486" s="28">
        <v>2</v>
      </c>
      <c r="C486" s="35">
        <v>731</v>
      </c>
      <c r="D486" s="29" t="s">
        <v>103</v>
      </c>
      <c r="E486" s="30" t="s">
        <v>78</v>
      </c>
      <c r="F486" s="31">
        <v>44825</v>
      </c>
      <c r="G486" s="32">
        <v>4.826388888888889</v>
      </c>
      <c r="H486" s="31">
        <v>44825</v>
      </c>
      <c r="I486" s="32">
        <v>4.602083333333333</v>
      </c>
      <c r="J486" s="33">
        <f>F486-H486</f>
      </c>
      <c r="K486" s="28">
        <v>29</v>
      </c>
      <c r="L486" s="28">
        <v>0</v>
      </c>
      <c r="M486" s="28">
        <v>2</v>
      </c>
      <c r="N486" s="34"/>
      <c r="O486" s="34"/>
      <c r="P486" s="34"/>
      <c r="Q486" s="34"/>
      <c r="R486" s="34"/>
      <c r="S486" s="34"/>
      <c r="T486" s="34"/>
      <c r="U486" s="34"/>
      <c r="V486" s="34"/>
      <c r="W486" s="29" t="s">
        <v>74</v>
      </c>
      <c r="X486" s="28">
        <v>31</v>
      </c>
      <c r="Y486" s="28">
        <v>2</v>
      </c>
      <c r="Z486" s="28">
        <v>2</v>
      </c>
      <c r="AA486" s="28">
        <v>2</v>
      </c>
      <c r="AB486" s="28">
        <v>1</v>
      </c>
      <c r="AC486" s="28">
        <v>2</v>
      </c>
      <c r="AD486" s="28">
        <v>2</v>
      </c>
      <c r="AE486" s="28">
        <v>2</v>
      </c>
      <c r="AF486" s="28">
        <v>2</v>
      </c>
      <c r="AG486" s="28">
        <v>2</v>
      </c>
      <c r="AH486" s="29" t="s">
        <v>1049</v>
      </c>
      <c r="AI486" s="36">
        <f>IF(OR(AND(K486&lt;32, J486&lt;2), O486=1, P486=1, Q486=1, R486=1, S486=1, T486=1, U486=1, AND(W486&lt;&gt;"", W486&lt;&gt;"Oxygen", W486&lt;&gt;"LowFlow")), "Intensive", "Intermediate")</f>
      </c>
      <c r="AJ486" s="37">
        <f>IF(OR(LEFT(AH486, 1)="X", LEFT(AH486, 1)="Y", LEFT(AH486, 3)="J34M"), "CUSM", "No Match")</f>
      </c>
      <c r="AK486" s="37">
        <f>IF(AND(OR(O486=3, P486=1, Q486=1, T486=1), AJ486="no Match"), "CUSM, CHU SJ, CHUQ", "")</f>
      </c>
      <c r="AL486" s="37">
        <f>IF(AND(O486=2, ISBLANK(P486), ISBLANK(Q486), ISBLANK(R486), ISBLANK(S486), ISBLANK(T486)), "CUSM, CHU SJ, CHUS, CHUQ", "")</f>
      </c>
      <c r="AM486" s="37">
        <f>IF(AND(AJ486="no match", AK486="", AL486="", K486&lt;26), "CUSM, CHU SJ, HGJ, CHUQ, CHUS", "")</f>
      </c>
      <c r="AN486" s="37">
        <f>IF(AND(AJ486="no match", AK486="", AL486="", K486&gt;26), "CUSM, CHU SJ, HGJ, CHUQ, CHUS, HMR", "")</f>
      </c>
    </row>
    <row x14ac:dyDescent="0.25" r="487" customHeight="1" ht="17.25">
      <c r="A487" s="27" t="s">
        <v>1050</v>
      </c>
      <c r="B487" s="28">
        <v>2</v>
      </c>
      <c r="C487" s="28">
        <v>731</v>
      </c>
      <c r="D487" s="29" t="s">
        <v>103</v>
      </c>
      <c r="E487" s="30" t="s">
        <v>78</v>
      </c>
      <c r="F487" s="31">
        <v>44825</v>
      </c>
      <c r="G487" s="32">
        <v>4.850694444444445</v>
      </c>
      <c r="H487" s="31">
        <v>44825</v>
      </c>
      <c r="I487" s="32">
        <v>4.603472222222223</v>
      </c>
      <c r="J487" s="33">
        <f>F487-H487</f>
      </c>
      <c r="K487" s="28">
        <v>29</v>
      </c>
      <c r="L487" s="28">
        <v>0</v>
      </c>
      <c r="M487" s="28">
        <v>1</v>
      </c>
      <c r="N487" s="34"/>
      <c r="O487" s="34"/>
      <c r="P487" s="34"/>
      <c r="Q487" s="34"/>
      <c r="R487" s="34"/>
      <c r="S487" s="34"/>
      <c r="T487" s="34"/>
      <c r="U487" s="34"/>
      <c r="V487" s="34"/>
      <c r="W487" s="29" t="s">
        <v>74</v>
      </c>
      <c r="X487" s="28">
        <v>31</v>
      </c>
      <c r="Y487" s="28">
        <v>2</v>
      </c>
      <c r="Z487" s="28">
        <v>2</v>
      </c>
      <c r="AA487" s="28">
        <v>2</v>
      </c>
      <c r="AB487" s="28">
        <v>1</v>
      </c>
      <c r="AC487" s="28">
        <v>2</v>
      </c>
      <c r="AD487" s="28">
        <v>2</v>
      </c>
      <c r="AE487" s="28">
        <v>2</v>
      </c>
      <c r="AF487" s="28">
        <v>2</v>
      </c>
      <c r="AG487" s="28">
        <v>2</v>
      </c>
      <c r="AH487" s="29" t="s">
        <v>1049</v>
      </c>
      <c r="AI487" s="36">
        <f>IF(OR(AND(K487&lt;32, J487&lt;2), O487=1, P487=1, Q487=1, R487=1, S487=1, T487=1, U487=1, AND(W487&lt;&gt;"", W487&lt;&gt;"Oxygen", W487&lt;&gt;"LowFlow")), "Intensive", "Intermediate")</f>
      </c>
      <c r="AJ487" s="37">
        <f>IF(OR(LEFT(AH487, 1)="X", LEFT(AH487, 1)="Y", LEFT(AH487, 3)="J35M"), "CUSM", "No Match")</f>
      </c>
      <c r="AK487" s="37">
        <f>IF(AND(OR(O487=3, P487=1, Q487=1, T487=1), AJ487="no Match"), "CUSM, CHU SJ, CHUQ", "")</f>
      </c>
      <c r="AL487" s="37">
        <f>IF(AND(O487=2, ISBLANK(P487), ISBLANK(Q487), ISBLANK(R487), ISBLANK(S487), ISBLANK(T487)), "CUSM, CHU SJ, CHUS, CHUQ", "")</f>
      </c>
      <c r="AM487" s="37">
        <f>IF(AND(AJ487="no match", AK487="", AL487="", K487&lt;26), "CUSM, CHU SJ, HGJ, CHUQ, CHUS", "")</f>
      </c>
      <c r="AN487" s="37">
        <f>IF(AND(AJ487="no match", AK487="", AL487="", K487&gt;26), "CUSM, CHU SJ, HGJ, CHUQ, CHUS, HMR", "")</f>
      </c>
    </row>
    <row x14ac:dyDescent="0.25" r="488" customHeight="1" ht="17.25">
      <c r="A488" s="27" t="s">
        <v>1051</v>
      </c>
      <c r="B488" s="28">
        <v>2</v>
      </c>
      <c r="C488" s="28">
        <v>796</v>
      </c>
      <c r="D488" s="29" t="s">
        <v>63</v>
      </c>
      <c r="E488" s="30" t="s">
        <v>50</v>
      </c>
      <c r="F488" s="31">
        <v>44825</v>
      </c>
      <c r="G488" s="32">
        <v>4.368055555555555</v>
      </c>
      <c r="H488" s="31">
        <v>44825</v>
      </c>
      <c r="I488" s="32">
        <v>4.1506944444444445</v>
      </c>
      <c r="J488" s="33">
        <f>F488-H488</f>
      </c>
      <c r="K488" s="28">
        <v>39</v>
      </c>
      <c r="L488" s="28">
        <v>1</v>
      </c>
      <c r="M488" s="28">
        <v>1</v>
      </c>
      <c r="N488" s="34"/>
      <c r="O488" s="34"/>
      <c r="P488" s="34"/>
      <c r="Q488" s="34"/>
      <c r="R488" s="34"/>
      <c r="S488" s="34"/>
      <c r="T488" s="34"/>
      <c r="U488" s="34"/>
      <c r="V488" s="34"/>
      <c r="W488" s="29"/>
      <c r="X488" s="28">
        <v>34</v>
      </c>
      <c r="Y488" s="28">
        <v>1</v>
      </c>
      <c r="Z488" s="28">
        <v>2</v>
      </c>
      <c r="AA488" s="28">
        <v>2</v>
      </c>
      <c r="AB488" s="28">
        <v>1</v>
      </c>
      <c r="AC488" s="28">
        <v>1</v>
      </c>
      <c r="AD488" s="28">
        <v>2</v>
      </c>
      <c r="AE488" s="28">
        <v>4</v>
      </c>
      <c r="AF488" s="28">
        <v>3</v>
      </c>
      <c r="AG488" s="28">
        <v>2</v>
      </c>
      <c r="AH488" s="29" t="s">
        <v>1052</v>
      </c>
      <c r="AI488" s="36">
        <f>IF(OR(AND(K488&lt;32, J488&lt;2), O488=1, P488=1, Q488=1, R488=1, S488=1, T488=1, U488=1, AND(W488&lt;&gt;"", W488&lt;&gt;"Oxygen", W488&lt;&gt;"LowFlow")), "Intensive", "Intermediate")</f>
      </c>
      <c r="AJ488" s="37">
        <f>IF(OR(LEFT(AH488, 1)="X", LEFT(AH488, 1)="Y", LEFT(AH488, 3)="J36M"), "CUSM", "No Match")</f>
      </c>
      <c r="AK488" s="37">
        <f>IF(AND(OR(O488=3, P488=1, Q488=1, T488=1), AJ488="no Match"), "CUSM, CHU SJ, CHUQ", "")</f>
      </c>
      <c r="AL488" s="37">
        <f>IF(AND(O488=2, ISBLANK(P488), ISBLANK(Q488), ISBLANK(R488), ISBLANK(S488), ISBLANK(T488)), "CUSM, CHU SJ, CHUS, CHUQ", "")</f>
      </c>
      <c r="AM488" s="37">
        <f>IF(AND(AJ488="no match", AK488="", AL488="", K488&lt;26), "CUSM, CHU SJ, HGJ, CHUQ, CHUS", "")</f>
      </c>
      <c r="AN488" s="37">
        <f>IF(AND(AJ488="no match", AK488="", AL488="", K488&gt;26), "CUSM, CHU SJ, HGJ, CHUQ, CHUS, HMR", "")</f>
      </c>
    </row>
    <row x14ac:dyDescent="0.25" r="489" customHeight="1" ht="17.25">
      <c r="A489" s="27" t="s">
        <v>1053</v>
      </c>
      <c r="B489" s="28">
        <v>2</v>
      </c>
      <c r="C489" s="28">
        <v>730</v>
      </c>
      <c r="D489" s="29" t="s">
        <v>81</v>
      </c>
      <c r="E489" s="30" t="s">
        <v>50</v>
      </c>
      <c r="F489" s="31">
        <v>44826</v>
      </c>
      <c r="G489" s="32">
        <v>4.006944444444445</v>
      </c>
      <c r="H489" s="31">
        <v>44825</v>
      </c>
      <c r="I489" s="32">
        <v>4.853472222222223</v>
      </c>
      <c r="J489" s="33">
        <f>F489-H489</f>
      </c>
      <c r="K489" s="28">
        <v>37</v>
      </c>
      <c r="L489" s="28">
        <v>3</v>
      </c>
      <c r="M489" s="28">
        <v>1</v>
      </c>
      <c r="N489" s="28">
        <v>1</v>
      </c>
      <c r="O489" s="38"/>
      <c r="P489" s="28">
        <v>1</v>
      </c>
      <c r="Q489" s="34"/>
      <c r="R489" s="34"/>
      <c r="S489" s="34"/>
      <c r="T489" s="35">
        <v>1</v>
      </c>
      <c r="U489" s="34"/>
      <c r="V489" s="34"/>
      <c r="W489" s="29" t="s">
        <v>58</v>
      </c>
      <c r="X489" s="28">
        <v>33</v>
      </c>
      <c r="Y489" s="28">
        <v>1</v>
      </c>
      <c r="Z489" s="28">
        <v>2</v>
      </c>
      <c r="AA489" s="28">
        <v>2</v>
      </c>
      <c r="AB489" s="28">
        <v>1</v>
      </c>
      <c r="AC489" s="28">
        <v>2</v>
      </c>
      <c r="AD489" s="28">
        <v>2</v>
      </c>
      <c r="AE489" s="28">
        <v>4</v>
      </c>
      <c r="AF489" s="28">
        <v>3</v>
      </c>
      <c r="AG489" s="28">
        <v>2</v>
      </c>
      <c r="AH489" s="29" t="s">
        <v>1054</v>
      </c>
      <c r="AI489" s="36">
        <f>IF(OR(AND(K489&lt;32, J489&lt;2), O489=1, P489=1, Q489=1, R489=1, S489=1, T489=1, U489=1, AND(W489&lt;&gt;"", W489&lt;&gt;"Oxygen", W489&lt;&gt;"LowFlow")), "Intensive", "Intermediate")</f>
      </c>
      <c r="AJ489" s="37">
        <f>IF(OR(LEFT(AH489, 1)="X", LEFT(AH489, 1)="Y", LEFT(AH489, 3)="J37M"), "CUSM", "No Match")</f>
      </c>
      <c r="AK489" s="37">
        <f>IF(AND(OR(O489=3, P489=1, Q489=1, T489=1), AJ489="no Match"), "CUSM, CHU SJ, CHUQ", "")</f>
      </c>
      <c r="AL489" s="37">
        <f>IF(AND(O489=2, ISBLANK(P489), ISBLANK(Q489), ISBLANK(R489), ISBLANK(S489), ISBLANK(T489)), "CUSM, CHU SJ, CHUS, CHUQ", "")</f>
      </c>
      <c r="AM489" s="37">
        <f>IF(AND(AJ489="no match", AK489="", AL489="", K489&lt;26), "CUSM, CHU SJ, HGJ, CHUQ, CHUS", "")</f>
      </c>
      <c r="AN489" s="37">
        <f>IF(AND(AJ489="no match", AK489="", AL489="", K489&gt;26), "CUSM, CHU SJ, HGJ, CHUQ, CHUS, HMR", "")</f>
      </c>
    </row>
    <row x14ac:dyDescent="0.25" r="490" customHeight="1" ht="17.25">
      <c r="A490" s="27" t="s">
        <v>1055</v>
      </c>
      <c r="B490" s="28">
        <v>2</v>
      </c>
      <c r="C490" s="35">
        <v>839</v>
      </c>
      <c r="D490" s="29" t="s">
        <v>53</v>
      </c>
      <c r="E490" s="30" t="s">
        <v>220</v>
      </c>
      <c r="F490" s="31">
        <v>44826</v>
      </c>
      <c r="G490" s="32">
        <v>4.785416666666666</v>
      </c>
      <c r="H490" s="31">
        <v>44826</v>
      </c>
      <c r="I490" s="32">
        <v>4.696527777777778</v>
      </c>
      <c r="J490" s="33">
        <f>F490-H490</f>
      </c>
      <c r="K490" s="28">
        <v>31</v>
      </c>
      <c r="L490" s="28">
        <v>0</v>
      </c>
      <c r="M490" s="28">
        <v>1</v>
      </c>
      <c r="N490" s="38"/>
      <c r="O490" s="38"/>
      <c r="P490" s="34"/>
      <c r="Q490" s="34"/>
      <c r="R490" s="34"/>
      <c r="S490" s="34"/>
      <c r="T490" s="34"/>
      <c r="U490" s="34"/>
      <c r="V490" s="34"/>
      <c r="W490" s="29" t="s">
        <v>164</v>
      </c>
      <c r="X490" s="28">
        <v>39</v>
      </c>
      <c r="Y490" s="28">
        <v>1</v>
      </c>
      <c r="Z490" s="28">
        <v>1</v>
      </c>
      <c r="AA490" s="28">
        <v>1</v>
      </c>
      <c r="AB490" s="28">
        <v>1</v>
      </c>
      <c r="AC490" s="28">
        <v>2</v>
      </c>
      <c r="AD490" s="28">
        <v>2</v>
      </c>
      <c r="AE490" s="28">
        <v>4</v>
      </c>
      <c r="AF490" s="28">
        <v>2</v>
      </c>
      <c r="AG490" s="28">
        <v>2</v>
      </c>
      <c r="AH490" s="29" t="s">
        <v>1056</v>
      </c>
      <c r="AI490" s="36">
        <f>IF(OR(AND(K490&lt;32, J490&lt;2), O490=1, P490=1, Q490=1, R490=1, S490=1, T490=1, U490=1, AND(W490&lt;&gt;"", W490&lt;&gt;"Oxygen", W490&lt;&gt;"LowFlow")), "Intensive", "Intermediate")</f>
      </c>
      <c r="AJ490" s="37">
        <f>IF(OR(LEFT(AH490, 1)="X", LEFT(AH490, 1)="Y", LEFT(AH490, 3)="J38M"), "CUSM", "No Match")</f>
      </c>
      <c r="AK490" s="37">
        <f>IF(AND(OR(O490=3, P490=1, Q490=1, T490=1), AJ490="no Match"), "CUSM, CHU SJ, CHUQ", "")</f>
      </c>
      <c r="AL490" s="37">
        <f>IF(AND(O490=2, ISBLANK(P490), ISBLANK(Q490), ISBLANK(R490), ISBLANK(S490), ISBLANK(T490)), "CUSM, CHU SJ, CHUS, CHUQ", "")</f>
      </c>
      <c r="AM490" s="37">
        <f>IF(AND(AJ490="no match", AK490="", AL490="", K490&lt;26), "CUSM, CHU SJ, HGJ, CHUQ, CHUS", "")</f>
      </c>
      <c r="AN490" s="37">
        <f>IF(AND(AJ490="no match", AK490="", AL490="", K490&gt;26), "CUSM, CHU SJ, HGJ, CHUQ, CHUS, HMR", "")</f>
      </c>
    </row>
    <row x14ac:dyDescent="0.25" r="491" customHeight="1" ht="17.25">
      <c r="A491" s="27" t="s">
        <v>1057</v>
      </c>
      <c r="B491" s="28">
        <v>2</v>
      </c>
      <c r="C491" s="28">
        <v>813</v>
      </c>
      <c r="D491" s="29" t="s">
        <v>1058</v>
      </c>
      <c r="E491" s="30" t="s">
        <v>118</v>
      </c>
      <c r="F491" s="31">
        <v>44828</v>
      </c>
      <c r="G491" s="32">
        <v>4.270833333333334</v>
      </c>
      <c r="H491" s="31">
        <v>44828</v>
      </c>
      <c r="I491" s="32">
        <v>4.0465277777777775</v>
      </c>
      <c r="J491" s="33">
        <f>F491-H491</f>
      </c>
      <c r="K491" s="28">
        <v>38</v>
      </c>
      <c r="L491" s="28">
        <v>1</v>
      </c>
      <c r="M491" s="28">
        <v>1</v>
      </c>
      <c r="N491" s="34"/>
      <c r="O491" s="35">
        <v>2</v>
      </c>
      <c r="P491" s="34"/>
      <c r="Q491" s="34"/>
      <c r="R491" s="34"/>
      <c r="S491" s="34"/>
      <c r="T491" s="35">
        <v>1</v>
      </c>
      <c r="U491" s="34"/>
      <c r="V491" s="34"/>
      <c r="W491" s="29" t="s">
        <v>74</v>
      </c>
      <c r="X491" s="28">
        <v>35</v>
      </c>
      <c r="Y491" s="28">
        <v>1</v>
      </c>
      <c r="Z491" s="28">
        <v>2</v>
      </c>
      <c r="AA491" s="28">
        <v>1</v>
      </c>
      <c r="AB491" s="28">
        <v>1</v>
      </c>
      <c r="AC491" s="28">
        <v>1</v>
      </c>
      <c r="AD491" s="28">
        <v>2</v>
      </c>
      <c r="AE491" s="28">
        <v>4</v>
      </c>
      <c r="AF491" s="28">
        <v>1</v>
      </c>
      <c r="AG491" s="28">
        <v>2</v>
      </c>
      <c r="AH491" s="29" t="s">
        <v>1059</v>
      </c>
      <c r="AI491" s="36">
        <f>IF(OR(AND(K491&lt;32, J491&lt;2), O491=1, P491=1, Q491=1, R491=1, S491=1, T491=1, U491=1, AND(W491&lt;&gt;"", W491&lt;&gt;"Oxygen", W491&lt;&gt;"LowFlow")), "Intensive", "Intermediate")</f>
      </c>
      <c r="AJ491" s="37">
        <f>IF(OR(LEFT(AH491, 1)="X", LEFT(AH491, 1)="Y", LEFT(AH491, 3)="J39M"), "CUSM", "No Match")</f>
      </c>
      <c r="AK491" s="37">
        <f>IF(AND(OR(O491=3, P491=1, Q491=1, T491=1), AJ491="no Match"), "CUSM, CHU SJ, CHUQ", "")</f>
      </c>
      <c r="AL491" s="37">
        <f>IF(AND(O491=2, ISBLANK(P491), ISBLANK(Q491), ISBLANK(R491), ISBLANK(S491), ISBLANK(T491)), "CUSM, CHU SJ, CHUS, CHUQ", "")</f>
      </c>
      <c r="AM491" s="37">
        <f>IF(AND(AJ491="no match", AK491="", AL491="", K491&lt;26), "CUSM, CHU SJ, HGJ, CHUQ, CHUS", "")</f>
      </c>
      <c r="AN491" s="37">
        <f>IF(AND(AJ491="no match", AK491="", AL491="", K491&gt;26), "CUSM, CHU SJ, HGJ, CHUQ, CHUS, HMR", "")</f>
      </c>
    </row>
    <row x14ac:dyDescent="0.25" r="492" customHeight="1" ht="17.25">
      <c r="A492" s="27" t="s">
        <v>1060</v>
      </c>
      <c r="B492" s="28">
        <v>2</v>
      </c>
      <c r="C492" s="28">
        <v>832</v>
      </c>
      <c r="D492" s="29" t="s">
        <v>308</v>
      </c>
      <c r="E492" s="30" t="s">
        <v>54</v>
      </c>
      <c r="F492" s="31">
        <v>44828</v>
      </c>
      <c r="G492" s="32">
        <v>4.21875</v>
      </c>
      <c r="H492" s="31">
        <v>44827</v>
      </c>
      <c r="I492" s="32">
        <v>4.84375</v>
      </c>
      <c r="J492" s="33">
        <f>F492-H492</f>
      </c>
      <c r="K492" s="28">
        <v>39</v>
      </c>
      <c r="L492" s="28">
        <v>6</v>
      </c>
      <c r="M492" s="28">
        <v>2</v>
      </c>
      <c r="N492" s="28">
        <v>1</v>
      </c>
      <c r="O492" s="34"/>
      <c r="P492" s="35">
        <v>1</v>
      </c>
      <c r="Q492" s="34"/>
      <c r="R492" s="34"/>
      <c r="S492" s="34"/>
      <c r="T492" s="34"/>
      <c r="U492" s="34"/>
      <c r="V492" s="34"/>
      <c r="W492" s="29"/>
      <c r="X492" s="28">
        <v>29</v>
      </c>
      <c r="Y492" s="28">
        <v>1</v>
      </c>
      <c r="Z492" s="28">
        <v>1</v>
      </c>
      <c r="AA492" s="28">
        <v>2</v>
      </c>
      <c r="AB492" s="28">
        <v>1</v>
      </c>
      <c r="AC492" s="28">
        <v>2</v>
      </c>
      <c r="AD492" s="28">
        <v>2</v>
      </c>
      <c r="AE492" s="28">
        <v>4</v>
      </c>
      <c r="AF492" s="28">
        <v>2</v>
      </c>
      <c r="AG492" s="28">
        <v>2</v>
      </c>
      <c r="AH492" s="29" t="s">
        <v>1061</v>
      </c>
      <c r="AI492" s="36">
        <f>IF(OR(AND(K492&lt;32, J492&lt;2), O492=1, P492=1, Q492=1, R492=1, S492=1, T492=1, U492=1, AND(W492&lt;&gt;"", W492&lt;&gt;"Oxygen", W492&lt;&gt;"LowFlow")), "Intensive", "Intermediate")</f>
      </c>
      <c r="AJ492" s="37">
        <f>IF(OR(LEFT(AH492, 1)="X", LEFT(AH492, 1)="Y", LEFT(AH492, 3)="J40M"), "CUSM", "No Match")</f>
      </c>
      <c r="AK492" s="37">
        <f>IF(AND(OR(O492=3, P492=1, Q492=1, T492=1), AJ492="no Match"), "CUSM, CHU SJ, CHUQ", "")</f>
      </c>
      <c r="AL492" s="37">
        <f>IF(AND(O492=2, ISBLANK(P492), ISBLANK(Q492), ISBLANK(R492), ISBLANK(S492), ISBLANK(T492)), "CUSM, CHU SJ, CHUS, CHUQ", "")</f>
      </c>
      <c r="AM492" s="37">
        <f>IF(AND(AJ492="no match", AK492="", AL492="", K492&lt;26), "CUSM, CHU SJ, HGJ, CHUQ, CHUS", "")</f>
      </c>
      <c r="AN492" s="37">
        <f>IF(AND(AJ492="no match", AK492="", AL492="", K492&gt;26), "CUSM, CHU SJ, HGJ, CHUQ, CHUS, HMR", "")</f>
      </c>
    </row>
    <row x14ac:dyDescent="0.25" r="493" customHeight="1" ht="17.25">
      <c r="A493" s="27" t="s">
        <v>1062</v>
      </c>
      <c r="B493" s="28">
        <v>2</v>
      </c>
      <c r="C493" s="35">
        <v>839</v>
      </c>
      <c r="D493" s="29" t="s">
        <v>53</v>
      </c>
      <c r="E493" s="30" t="s">
        <v>50</v>
      </c>
      <c r="F493" s="31">
        <v>44828</v>
      </c>
      <c r="G493" s="32">
        <v>4.170833333333333</v>
      </c>
      <c r="H493" s="31">
        <v>44828</v>
      </c>
      <c r="I493" s="32">
        <v>4.023611111111111</v>
      </c>
      <c r="J493" s="33">
        <f>F493-H493</f>
      </c>
      <c r="K493" s="28">
        <v>39</v>
      </c>
      <c r="L493" s="28">
        <v>5</v>
      </c>
      <c r="M493" s="28">
        <v>1</v>
      </c>
      <c r="N493" s="34"/>
      <c r="O493" s="34"/>
      <c r="P493" s="34"/>
      <c r="Q493" s="34"/>
      <c r="R493" s="34"/>
      <c r="S493" s="34"/>
      <c r="T493" s="35">
        <v>1</v>
      </c>
      <c r="U493" s="34"/>
      <c r="V493" s="34"/>
      <c r="W493" s="29" t="s">
        <v>142</v>
      </c>
      <c r="X493" s="28">
        <v>38</v>
      </c>
      <c r="Y493" s="28">
        <v>1</v>
      </c>
      <c r="Z493" s="28">
        <v>1</v>
      </c>
      <c r="AA493" s="28">
        <v>2</v>
      </c>
      <c r="AB493" s="28">
        <v>3</v>
      </c>
      <c r="AC493" s="28">
        <v>2</v>
      </c>
      <c r="AD493" s="28">
        <v>2</v>
      </c>
      <c r="AE493" s="28">
        <v>4</v>
      </c>
      <c r="AF493" s="28">
        <v>3</v>
      </c>
      <c r="AG493" s="28">
        <v>2</v>
      </c>
      <c r="AH493" s="29" t="s">
        <v>1063</v>
      </c>
      <c r="AI493" s="36">
        <f>IF(OR(AND(K493&lt;32, J493&lt;2), O493=1, P493=1, Q493=1, R493=1, S493=1, T493=1, U493=1, AND(W493&lt;&gt;"", W493&lt;&gt;"Oxygen", W493&lt;&gt;"LowFlow")), "Intensive", "Intermediate")</f>
      </c>
      <c r="AJ493" s="37">
        <f>IF(OR(LEFT(AH493, 1)="X", LEFT(AH493, 1)="Y", LEFT(AH493, 3)="J41M"), "CUSM", "No Match")</f>
      </c>
      <c r="AK493" s="37">
        <f>IF(AND(OR(O493=3, P493=1, Q493=1, T493=1), AJ493="no Match"), "CUSM, CHU SJ, CHUQ", "")</f>
      </c>
      <c r="AL493" s="37">
        <f>IF(AND(O493=2, ISBLANK(P493), ISBLANK(Q493), ISBLANK(R493), ISBLANK(S493), ISBLANK(T493)), "CUSM, CHU SJ, CHUS, CHUQ", "")</f>
      </c>
      <c r="AM493" s="37">
        <f>IF(AND(AJ493="no match", AK493="", AL493="", K493&lt;26), "CUSM, CHU SJ, HGJ, CHUQ, CHUS", "")</f>
      </c>
      <c r="AN493" s="37">
        <f>IF(AND(AJ493="no match", AK493="", AL493="", K493&gt;26), "CUSM, CHU SJ, HGJ, CHUQ, CHUS, HMR", "")</f>
      </c>
    </row>
    <row x14ac:dyDescent="0.25" r="494" customHeight="1" ht="17.25">
      <c r="A494" s="27" t="s">
        <v>1064</v>
      </c>
      <c r="B494" s="28">
        <v>2</v>
      </c>
      <c r="C494" s="28">
        <v>796</v>
      </c>
      <c r="D494" s="29" t="s">
        <v>63</v>
      </c>
      <c r="E494" s="30" t="s">
        <v>54</v>
      </c>
      <c r="F494" s="31">
        <v>44829</v>
      </c>
      <c r="G494" s="32">
        <v>4.135416666666666</v>
      </c>
      <c r="H494" s="31">
        <v>44826</v>
      </c>
      <c r="I494" s="32">
        <v>4.370833333333334</v>
      </c>
      <c r="J494" s="33">
        <f>F494-H494</f>
      </c>
      <c r="K494" s="28">
        <v>40</v>
      </c>
      <c r="L494" s="28">
        <v>3</v>
      </c>
      <c r="M494" s="28">
        <v>1</v>
      </c>
      <c r="N494" s="38"/>
      <c r="O494" s="34"/>
      <c r="P494" s="38"/>
      <c r="Q494" s="34"/>
      <c r="R494" s="34"/>
      <c r="S494" s="34"/>
      <c r="T494" s="38"/>
      <c r="U494" s="34"/>
      <c r="V494" s="34"/>
      <c r="W494" s="29"/>
      <c r="X494" s="28">
        <v>41</v>
      </c>
      <c r="Y494" s="28">
        <v>1</v>
      </c>
      <c r="Z494" s="28">
        <v>1</v>
      </c>
      <c r="AA494" s="28">
        <v>1</v>
      </c>
      <c r="AB494" s="28">
        <v>1</v>
      </c>
      <c r="AC494" s="28">
        <v>2</v>
      </c>
      <c r="AD494" s="28">
        <v>2</v>
      </c>
      <c r="AE494" s="28">
        <v>4</v>
      </c>
      <c r="AF494" s="28">
        <v>2</v>
      </c>
      <c r="AG494" s="28">
        <v>2</v>
      </c>
      <c r="AH494" s="29"/>
      <c r="AI494" s="36">
        <f>IF(OR(AND(K494&lt;32, J494&lt;2), O494=1, P494=1, Q494=1, R494=1, S494=1, T494=1, U494=1, AND(W494&lt;&gt;"", W494&lt;&gt;"Oxygen", W494&lt;&gt;"LowFlow")), "Intensive", "Intermediate")</f>
      </c>
      <c r="AJ494" s="37">
        <f>IF(OR(LEFT(AH494, 1)="X", LEFT(AH494, 1)="Y", LEFT(AH494, 3)="J42M"), "CUSM", "No Match")</f>
      </c>
      <c r="AK494" s="37">
        <f>IF(AND(OR(O494=3, P494=1, Q494=1, T494=1), AJ494="no Match"), "CUSM, CHU SJ, CHUQ", "")</f>
      </c>
      <c r="AL494" s="37">
        <f>IF(AND(O494=2, ISBLANK(P494), ISBLANK(Q494), ISBLANK(R494), ISBLANK(S494), ISBLANK(T494)), "CUSM, CHU SJ, CHUS, CHUQ", "")</f>
      </c>
      <c r="AM494" s="37">
        <f>IF(AND(AJ494="no match", AK494="", AL494="", K494&lt;26), "CUSM, CHU SJ, HGJ, CHUQ, CHUS", "")</f>
      </c>
      <c r="AN494" s="37">
        <f>IF(AND(AJ494="no match", AK494="", AL494="", K494&gt;26), "CUSM, CHU SJ, HGJ, CHUQ, CHUS, HMR", "")</f>
      </c>
    </row>
    <row x14ac:dyDescent="0.25" r="495" customHeight="1" ht="17.25">
      <c r="A495" s="27" t="s">
        <v>1065</v>
      </c>
      <c r="B495" s="28">
        <v>2</v>
      </c>
      <c r="C495" s="28">
        <v>779</v>
      </c>
      <c r="D495" s="29" t="s">
        <v>136</v>
      </c>
      <c r="E495" s="30" t="s">
        <v>50</v>
      </c>
      <c r="F495" s="31">
        <v>44829</v>
      </c>
      <c r="G495" s="32">
        <v>4.848611111111111</v>
      </c>
      <c r="H495" s="31">
        <v>44829</v>
      </c>
      <c r="I495" s="32">
        <v>4.528472222222222</v>
      </c>
      <c r="J495" s="33">
        <f>F495-H495</f>
      </c>
      <c r="K495" s="28">
        <v>33</v>
      </c>
      <c r="L495" s="28">
        <v>0</v>
      </c>
      <c r="M495" s="28">
        <v>1</v>
      </c>
      <c r="N495" s="28">
        <v>1</v>
      </c>
      <c r="O495" s="38"/>
      <c r="P495" s="28">
        <v>1</v>
      </c>
      <c r="Q495" s="34"/>
      <c r="R495" s="34"/>
      <c r="S495" s="34"/>
      <c r="T495" s="34"/>
      <c r="U495" s="34"/>
      <c r="V495" s="34"/>
      <c r="W495" s="29" t="s">
        <v>74</v>
      </c>
      <c r="X495" s="28">
        <v>25</v>
      </c>
      <c r="Y495" s="28">
        <v>1</v>
      </c>
      <c r="Z495" s="28">
        <v>1</v>
      </c>
      <c r="AA495" s="28">
        <v>2</v>
      </c>
      <c r="AB495" s="28">
        <v>1</v>
      </c>
      <c r="AC495" s="28">
        <v>2</v>
      </c>
      <c r="AD495" s="28">
        <v>2</v>
      </c>
      <c r="AE495" s="28">
        <v>4</v>
      </c>
      <c r="AF495" s="28">
        <v>3</v>
      </c>
      <c r="AG495" s="28">
        <v>2</v>
      </c>
      <c r="AH495" s="29" t="s">
        <v>1066</v>
      </c>
      <c r="AI495" s="36">
        <f>IF(OR(AND(K495&lt;32, J495&lt;2), O495=1, P495=1, Q495=1, R495=1, S495=1, T495=1, U495=1, AND(W495&lt;&gt;"", W495&lt;&gt;"Oxygen", W495&lt;&gt;"LowFlow")), "Intensive", "Intermediate")</f>
      </c>
      <c r="AJ495" s="37">
        <f>IF(OR(LEFT(AH495, 1)="X", LEFT(AH495, 1)="Y", LEFT(AH495, 3)="J43M"), "CUSM", "No Match")</f>
      </c>
      <c r="AK495" s="37">
        <f>IF(AND(OR(O495=3, P495=1, Q495=1, T495=1), AJ495="no Match"), "CUSM, CHU SJ, CHUQ", "")</f>
      </c>
      <c r="AL495" s="37">
        <f>IF(AND(O495=2, ISBLANK(P495), ISBLANK(Q495), ISBLANK(R495), ISBLANK(S495), ISBLANK(T495)), "CUSM, CHU SJ, CHUS, CHUQ", "")</f>
      </c>
      <c r="AM495" s="37">
        <f>IF(AND(AJ495="no match", AK495="", AL495="", K495&lt;26), "CUSM, CHU SJ, HGJ, CHUQ, CHUS", "")</f>
      </c>
      <c r="AN495" s="37">
        <f>IF(AND(AJ495="no match", AK495="", AL495="", K495&gt;26), "CUSM, CHU SJ, HGJ, CHUQ, CHUS, HMR", "")</f>
      </c>
    </row>
    <row x14ac:dyDescent="0.25" r="496" customHeight="1" ht="17.25">
      <c r="A496" s="27" t="s">
        <v>1067</v>
      </c>
      <c r="B496" s="28">
        <v>2</v>
      </c>
      <c r="C496" s="28">
        <v>839</v>
      </c>
      <c r="D496" s="29" t="s">
        <v>53</v>
      </c>
      <c r="E496" s="30" t="s">
        <v>54</v>
      </c>
      <c r="F496" s="31">
        <v>44831</v>
      </c>
      <c r="G496" s="32">
        <v>4.095138888888889</v>
      </c>
      <c r="H496" s="31">
        <v>44830</v>
      </c>
      <c r="I496" s="32">
        <v>4.925</v>
      </c>
      <c r="J496" s="33">
        <f>F496-H496</f>
      </c>
      <c r="K496" s="28">
        <v>40</v>
      </c>
      <c r="L496" s="28">
        <v>4</v>
      </c>
      <c r="M496" s="28">
        <v>1</v>
      </c>
      <c r="N496" s="34"/>
      <c r="O496" s="34"/>
      <c r="P496" s="34"/>
      <c r="Q496" s="34"/>
      <c r="R496" s="34"/>
      <c r="S496" s="34"/>
      <c r="T496" s="28">
        <v>1</v>
      </c>
      <c r="U496" s="34"/>
      <c r="V496" s="34"/>
      <c r="W496" s="29"/>
      <c r="X496" s="28">
        <v>26</v>
      </c>
      <c r="Y496" s="28">
        <v>1</v>
      </c>
      <c r="Z496" s="28">
        <v>1</v>
      </c>
      <c r="AA496" s="28">
        <v>2</v>
      </c>
      <c r="AB496" s="28">
        <v>1</v>
      </c>
      <c r="AC496" s="28">
        <v>2</v>
      </c>
      <c r="AD496" s="28">
        <v>2</v>
      </c>
      <c r="AE496" s="28">
        <v>4</v>
      </c>
      <c r="AF496" s="28">
        <v>2</v>
      </c>
      <c r="AG496" s="28">
        <v>2</v>
      </c>
      <c r="AH496" s="29" t="s">
        <v>1068</v>
      </c>
      <c r="AI496" s="36">
        <f>IF(OR(AND(K496&lt;32, J496&lt;2), O496=1, P496=1, Q496=1, R496=1, S496=1, T496=1, U496=1, AND(W496&lt;&gt;"", W496&lt;&gt;"Oxygen", W496&lt;&gt;"LowFlow")), "Intensive", "Intermediate")</f>
      </c>
      <c r="AJ496" s="37">
        <f>IF(OR(LEFT(AH496, 1)="X", LEFT(AH496, 1)="Y", LEFT(AH496, 3)="J44M"), "CUSM", "No Match")</f>
      </c>
      <c r="AK496" s="37">
        <f>IF(AND(OR(O496=3, P496=1, Q496=1, T496=1), AJ496="no Match"), "CUSM, CHU SJ, CHUQ", "")</f>
      </c>
      <c r="AL496" s="37">
        <f>IF(AND(O496=2, ISBLANK(P496), ISBLANK(Q496), ISBLANK(R496), ISBLANK(S496), ISBLANK(T496)), "CUSM, CHU SJ, CHUS, CHUQ", "")</f>
      </c>
      <c r="AM496" s="37">
        <f>IF(AND(AJ496="no match", AK496="", AL496="", K496&lt;26), "CUSM, CHU SJ, HGJ, CHUQ, CHUS", "")</f>
      </c>
      <c r="AN496" s="37">
        <f>IF(AND(AJ496="no match", AK496="", AL496="", K496&gt;26), "CUSM, CHU SJ, HGJ, CHUQ, CHUS, HMR", "")</f>
      </c>
    </row>
    <row x14ac:dyDescent="0.25" r="497" customHeight="1" ht="17.25">
      <c r="A497" s="27" t="s">
        <v>1069</v>
      </c>
      <c r="B497" s="28">
        <v>2</v>
      </c>
      <c r="C497" s="35">
        <v>832</v>
      </c>
      <c r="D497" s="29" t="s">
        <v>308</v>
      </c>
      <c r="E497" s="30" t="s">
        <v>50</v>
      </c>
      <c r="F497" s="31">
        <v>44831</v>
      </c>
      <c r="G497" s="32">
        <v>4.215277777777778</v>
      </c>
      <c r="H497" s="31">
        <v>44830</v>
      </c>
      <c r="I497" s="32">
        <v>4.972916666666666</v>
      </c>
      <c r="J497" s="33">
        <f>F497-H497</f>
      </c>
      <c r="K497" s="28">
        <v>38</v>
      </c>
      <c r="L497" s="28">
        <v>4</v>
      </c>
      <c r="M497" s="28">
        <v>2</v>
      </c>
      <c r="N497" s="38"/>
      <c r="O497" s="38"/>
      <c r="P497" s="38"/>
      <c r="Q497" s="34"/>
      <c r="R497" s="34"/>
      <c r="S497" s="34"/>
      <c r="T497" s="34"/>
      <c r="U497" s="34"/>
      <c r="V497" s="34"/>
      <c r="W497" s="29" t="s">
        <v>58</v>
      </c>
      <c r="X497" s="28">
        <v>22</v>
      </c>
      <c r="Y497" s="28">
        <v>1</v>
      </c>
      <c r="Z497" s="28">
        <v>1</v>
      </c>
      <c r="AA497" s="28">
        <v>2</v>
      </c>
      <c r="AB497" s="28">
        <v>1</v>
      </c>
      <c r="AC497" s="28">
        <v>2</v>
      </c>
      <c r="AD497" s="28">
        <v>2</v>
      </c>
      <c r="AE497" s="28">
        <v>2</v>
      </c>
      <c r="AF497" s="28">
        <v>2</v>
      </c>
      <c r="AG497" s="28">
        <v>2</v>
      </c>
      <c r="AH497" s="29" t="s">
        <v>1070</v>
      </c>
      <c r="AI497" s="36">
        <f>IF(OR(AND(K497&lt;32, J497&lt;2), O497=1, P497=1, Q497=1, R497=1, S497=1, T497=1, U497=1, AND(W497&lt;&gt;"", W497&lt;&gt;"Oxygen", W497&lt;&gt;"LowFlow")), "Intensive", "Intermediate")</f>
      </c>
      <c r="AJ497" s="37">
        <f>IF(OR(LEFT(AH497, 1)="X", LEFT(AH497, 1)="Y", LEFT(AH497, 3)="J45M"), "CUSM", "No Match")</f>
      </c>
      <c r="AK497" s="37">
        <f>IF(AND(OR(O497=3, P497=1, Q497=1, T497=1), AJ497="no Match"), "CUSM, CHU SJ, CHUQ", "")</f>
      </c>
      <c r="AL497" s="37">
        <f>IF(AND(O497=2, ISBLANK(P497), ISBLANK(Q497), ISBLANK(R497), ISBLANK(S497), ISBLANK(T497)), "CUSM, CHU SJ, CHUS, CHUQ", "")</f>
      </c>
      <c r="AM497" s="37">
        <f>IF(AND(AJ497="no match", AK497="", AL497="", K497&lt;26), "CUSM, CHU SJ, HGJ, CHUQ, CHUS", "")</f>
      </c>
      <c r="AN497" s="37">
        <f>IF(AND(AJ497="no match", AK497="", AL497="", K497&gt;26), "CUSM, CHU SJ, HGJ, CHUQ, CHUS, HMR", "")</f>
      </c>
    </row>
    <row x14ac:dyDescent="0.25" r="498" customHeight="1" ht="17.25">
      <c r="A498" s="27" t="s">
        <v>1071</v>
      </c>
      <c r="B498" s="28">
        <v>2</v>
      </c>
      <c r="C498" s="35">
        <v>845</v>
      </c>
      <c r="D498" s="29" t="s">
        <v>381</v>
      </c>
      <c r="E498" s="30" t="s">
        <v>149</v>
      </c>
      <c r="F498" s="31">
        <v>44832</v>
      </c>
      <c r="G498" s="32">
        <v>4.670138888888889</v>
      </c>
      <c r="H498" s="31">
        <v>44791</v>
      </c>
      <c r="I498" s="32">
        <v>4.798611111111111</v>
      </c>
      <c r="J498" s="33">
        <f>F498-H498</f>
      </c>
      <c r="K498" s="28">
        <v>29</v>
      </c>
      <c r="L498" s="28">
        <v>0</v>
      </c>
      <c r="M498" s="28">
        <v>1</v>
      </c>
      <c r="N498" s="34"/>
      <c r="O498" s="28">
        <v>2</v>
      </c>
      <c r="P498" s="35">
        <v>1</v>
      </c>
      <c r="Q498" s="34"/>
      <c r="R498" s="34"/>
      <c r="S498" s="34"/>
      <c r="T498" s="34"/>
      <c r="U498" s="34"/>
      <c r="V498" s="34"/>
      <c r="W498" s="29" t="s">
        <v>600</v>
      </c>
      <c r="X498" s="28">
        <v>30</v>
      </c>
      <c r="Y498" s="28">
        <v>1</v>
      </c>
      <c r="Z498" s="28">
        <v>2</v>
      </c>
      <c r="AA498" s="28">
        <v>3</v>
      </c>
      <c r="AB498" s="28">
        <v>1</v>
      </c>
      <c r="AC498" s="28">
        <v>2</v>
      </c>
      <c r="AD498" s="28">
        <v>2</v>
      </c>
      <c r="AE498" s="28">
        <v>1</v>
      </c>
      <c r="AF498" s="38"/>
      <c r="AG498" s="28">
        <v>3</v>
      </c>
      <c r="AH498" s="29" t="s">
        <v>928</v>
      </c>
      <c r="AI498" s="36">
        <f>IF(OR(AND(K498&lt;32, J498&lt;2), O498=1, P498=1, Q498=1, R498=1, S498=1, T498=1, U498=1, AND(W498&lt;&gt;"", W498&lt;&gt;"Oxygen", W498&lt;&gt;"LowFlow")), "Intensive", "Intermediate")</f>
      </c>
      <c r="AJ498" s="37">
        <f>IF(OR(LEFT(AH498, 1)="X", LEFT(AH498, 1)="Y", LEFT(AH498, 3)="J46M"), "CUSM", "No Match")</f>
      </c>
      <c r="AK498" s="37">
        <f>IF(AND(OR(O498=3, P498=1, Q498=1, T498=1), AJ498="no Match"), "CUSM, CHU SJ, CHUQ", "")</f>
      </c>
      <c r="AL498" s="37">
        <f>IF(AND(O498=2, ISBLANK(P498), ISBLANK(Q498), ISBLANK(R498), ISBLANK(S498), ISBLANK(T498)), "CUSM, CHU SJ, CHUS, CHUQ", "")</f>
      </c>
      <c r="AM498" s="37">
        <f>IF(AND(AJ498="no match", AK498="", AL498="", K498&lt;26), "CUSM, CHU SJ, HGJ, CHUQ, CHUS", "")</f>
      </c>
      <c r="AN498" s="37">
        <f>IF(AND(AJ498="no match", AK498="", AL498="", K498&gt;26), "CUSM, CHU SJ, HGJ, CHUQ, CHUS, HMR", "")</f>
      </c>
    </row>
    <row x14ac:dyDescent="0.25" r="499" customHeight="1" ht="17.25">
      <c r="A499" s="27" t="s">
        <v>1072</v>
      </c>
      <c r="B499" s="28">
        <v>2</v>
      </c>
      <c r="C499" s="28">
        <v>796</v>
      </c>
      <c r="D499" s="29" t="s">
        <v>63</v>
      </c>
      <c r="E499" s="30" t="s">
        <v>50</v>
      </c>
      <c r="F499" s="31">
        <v>44832</v>
      </c>
      <c r="G499" s="32">
        <v>4.604166666666666</v>
      </c>
      <c r="H499" s="31">
        <v>44832</v>
      </c>
      <c r="I499" s="32">
        <v>4.2659722222222225</v>
      </c>
      <c r="J499" s="33">
        <f>F499-H499</f>
      </c>
      <c r="K499" s="28">
        <v>37</v>
      </c>
      <c r="L499" s="28">
        <v>2</v>
      </c>
      <c r="M499" s="28">
        <v>2</v>
      </c>
      <c r="N499" s="34"/>
      <c r="O499" s="34"/>
      <c r="P499" s="34"/>
      <c r="Q499" s="34"/>
      <c r="R499" s="34"/>
      <c r="S499" s="34"/>
      <c r="T499" s="38"/>
      <c r="U499" s="34"/>
      <c r="V499" s="34"/>
      <c r="W499" s="29"/>
      <c r="X499" s="28">
        <v>25</v>
      </c>
      <c r="Y499" s="28">
        <v>1</v>
      </c>
      <c r="Z499" s="28">
        <v>1</v>
      </c>
      <c r="AA499" s="28">
        <v>1</v>
      </c>
      <c r="AB499" s="28">
        <v>1</v>
      </c>
      <c r="AC499" s="28">
        <v>2</v>
      </c>
      <c r="AD499" s="28">
        <v>2</v>
      </c>
      <c r="AE499" s="28">
        <v>4</v>
      </c>
      <c r="AF499" s="28">
        <v>3</v>
      </c>
      <c r="AG499" s="28">
        <v>2</v>
      </c>
      <c r="AH499" s="29" t="s">
        <v>1073</v>
      </c>
      <c r="AI499" s="36">
        <f>IF(OR(AND(K499&lt;32, J499&lt;2), O499=1, P499=1, Q499=1, R499=1, S499=1, T499=1, U499=1, AND(W499&lt;&gt;"", W499&lt;&gt;"Oxygen", W499&lt;&gt;"LowFlow")), "Intensive", "Intermediate")</f>
      </c>
      <c r="AJ499" s="37">
        <f>IF(OR(LEFT(AH499, 1)="X", LEFT(AH499, 1)="Y", LEFT(AH499, 3)="J47M"), "CUSM", "No Match")</f>
      </c>
      <c r="AK499" s="37">
        <f>IF(AND(OR(O499=3, P499=1, Q499=1, T499=1), AJ499="no Match"), "CUSM, CHU SJ, CHUQ", "")</f>
      </c>
      <c r="AL499" s="37">
        <f>IF(AND(O499=2, ISBLANK(P499), ISBLANK(Q499), ISBLANK(R499), ISBLANK(S499), ISBLANK(T499)), "CUSM, CHU SJ, CHUS, CHUQ", "")</f>
      </c>
      <c r="AM499" s="37">
        <f>IF(AND(AJ499="no match", AK499="", AL499="", K499&lt;26), "CUSM, CHU SJ, HGJ, CHUQ, CHUS", "")</f>
      </c>
      <c r="AN499" s="37">
        <f>IF(AND(AJ499="no match", AK499="", AL499="", K499&gt;26), "CUSM, CHU SJ, HGJ, CHUQ, CHUS, HMR", "")</f>
      </c>
    </row>
    <row x14ac:dyDescent="0.25" r="500" customHeight="1" ht="17.25">
      <c r="A500" s="27" t="s">
        <v>1074</v>
      </c>
      <c r="B500" s="28">
        <v>2</v>
      </c>
      <c r="C500" s="28">
        <v>831</v>
      </c>
      <c r="D500" s="29" t="s">
        <v>313</v>
      </c>
      <c r="E500" s="30" t="s">
        <v>54</v>
      </c>
      <c r="F500" s="31">
        <v>44833</v>
      </c>
      <c r="G500" s="32">
        <v>4.84375</v>
      </c>
      <c r="H500" s="31">
        <v>44832</v>
      </c>
      <c r="I500" s="32">
        <v>4.759027777777778</v>
      </c>
      <c r="J500" s="33">
        <f>F500-H500</f>
      </c>
      <c r="K500" s="28">
        <v>39</v>
      </c>
      <c r="L500" s="28">
        <v>0</v>
      </c>
      <c r="M500" s="28">
        <v>1</v>
      </c>
      <c r="N500" s="28">
        <v>1</v>
      </c>
      <c r="O500" s="38"/>
      <c r="P500" s="34"/>
      <c r="Q500" s="34"/>
      <c r="R500" s="34"/>
      <c r="S500" s="34"/>
      <c r="T500" s="34"/>
      <c r="U500" s="34"/>
      <c r="V500" s="34"/>
      <c r="W500" s="29"/>
      <c r="X500" s="28">
        <v>31</v>
      </c>
      <c r="Y500" s="28">
        <v>1</v>
      </c>
      <c r="Z500" s="28">
        <v>1</v>
      </c>
      <c r="AA500" s="28">
        <v>3</v>
      </c>
      <c r="AB500" s="28">
        <v>1</v>
      </c>
      <c r="AC500" s="28">
        <v>2</v>
      </c>
      <c r="AD500" s="28">
        <v>2</v>
      </c>
      <c r="AE500" s="28">
        <v>4</v>
      </c>
      <c r="AF500" s="28">
        <v>2</v>
      </c>
      <c r="AG500" s="28">
        <v>2</v>
      </c>
      <c r="AH500" s="29" t="s">
        <v>1075</v>
      </c>
      <c r="AI500" s="36">
        <f>IF(OR(AND(K500&lt;32, J500&lt;2), O500=1, P500=1, Q500=1, R500=1, S500=1, T500=1, U500=1, AND(W500&lt;&gt;"", W500&lt;&gt;"Oxygen", W500&lt;&gt;"LowFlow")), "Intensive", "Intermediate")</f>
      </c>
      <c r="AJ500" s="37">
        <f>IF(OR(LEFT(AH500, 1)="X", LEFT(AH500, 1)="Y", LEFT(AH500, 3)="J48M"), "CUSM", "No Match")</f>
      </c>
      <c r="AK500" s="37">
        <f>IF(AND(OR(O500=3, P500=1, Q500=1, T500=1), AJ500="no Match"), "CUSM, CHU SJ, CHUQ", "")</f>
      </c>
      <c r="AL500" s="37">
        <f>IF(AND(O500=2, ISBLANK(P500), ISBLANK(Q500), ISBLANK(R500), ISBLANK(S500), ISBLANK(T500)), "CUSM, CHU SJ, CHUS, CHUQ", "")</f>
      </c>
      <c r="AM500" s="37">
        <f>IF(AND(AJ500="no match", AK500="", AL500="", K500&lt;26), "CUSM, CHU SJ, HGJ, CHUQ, CHUS", "")</f>
      </c>
      <c r="AN500" s="37">
        <f>IF(AND(AJ500="no match", AK500="", AL500="", K500&gt;26), "CUSM, CHU SJ, HGJ, CHUQ, CHUS, HMR", "")</f>
      </c>
    </row>
    <row x14ac:dyDescent="0.25" r="501" customHeight="1" ht="17.25">
      <c r="A501" s="27" t="s">
        <v>1076</v>
      </c>
      <c r="B501" s="28">
        <v>2</v>
      </c>
      <c r="C501" s="35">
        <v>734</v>
      </c>
      <c r="D501" s="29" t="s">
        <v>264</v>
      </c>
      <c r="E501" s="30" t="s">
        <v>50</v>
      </c>
      <c r="F501" s="31">
        <v>44833</v>
      </c>
      <c r="G501" s="32">
        <v>4.010416666666666</v>
      </c>
      <c r="H501" s="31">
        <v>44832</v>
      </c>
      <c r="I501" s="32">
        <v>4.775</v>
      </c>
      <c r="J501" s="33">
        <f>F501-H501</f>
      </c>
      <c r="K501" s="28">
        <v>34</v>
      </c>
      <c r="L501" s="28">
        <v>0</v>
      </c>
      <c r="M501" s="28">
        <v>1</v>
      </c>
      <c r="N501" s="34"/>
      <c r="O501" s="34"/>
      <c r="P501" s="34"/>
      <c r="Q501" s="34"/>
      <c r="R501" s="34"/>
      <c r="S501" s="34"/>
      <c r="T501" s="35">
        <v>1</v>
      </c>
      <c r="U501" s="34"/>
      <c r="V501" s="34"/>
      <c r="W501" s="29"/>
      <c r="X501" s="28">
        <v>30</v>
      </c>
      <c r="Y501" s="28">
        <v>1</v>
      </c>
      <c r="Z501" s="28">
        <v>2</v>
      </c>
      <c r="AA501" s="28">
        <v>1</v>
      </c>
      <c r="AB501" s="28">
        <v>3</v>
      </c>
      <c r="AC501" s="28">
        <v>2</v>
      </c>
      <c r="AD501" s="28">
        <v>2</v>
      </c>
      <c r="AE501" s="28">
        <v>2</v>
      </c>
      <c r="AF501" s="28">
        <v>1</v>
      </c>
      <c r="AG501" s="28">
        <v>2</v>
      </c>
      <c r="AH501" s="29" t="s">
        <v>1077</v>
      </c>
      <c r="AI501" s="36">
        <f>IF(OR(AND(K501&lt;32, J501&lt;2), O501=1, P501=1, Q501=1, R501=1, S501=1, T501=1, U501=1, AND(W501&lt;&gt;"", W501&lt;&gt;"Oxygen", W501&lt;&gt;"LowFlow")), "Intensive", "Intermediate")</f>
      </c>
      <c r="AJ501" s="37">
        <f>IF(OR(LEFT(AH501, 1)="X", LEFT(AH501, 1)="Y", LEFT(AH501, 3)="J49M"), "CUSM", "No Match")</f>
      </c>
      <c r="AK501" s="37">
        <f>IF(AND(OR(O501=3, P501=1, Q501=1, T501=1), AJ501="no Match"), "CUSM, CHU SJ, CHUQ", "")</f>
      </c>
      <c r="AL501" s="37">
        <f>IF(AND(O501=2, ISBLANK(P501), ISBLANK(Q501), ISBLANK(R501), ISBLANK(S501), ISBLANK(T501)), "CUSM, CHU SJ, CHUS, CHUQ", "")</f>
      </c>
      <c r="AM501" s="37">
        <f>IF(AND(AJ501="no match", AK501="", AL501="", K501&lt;26), "CUSM, CHU SJ, HGJ, CHUQ, CHUS", "")</f>
      </c>
      <c r="AN501" s="37">
        <f>IF(AND(AJ501="no match", AK501="", AL501="", K501&gt;26), "CUSM, CHU SJ, HGJ, CHUQ, CHUS, HMR", "")</f>
      </c>
    </row>
    <row x14ac:dyDescent="0.25" r="502" customHeight="1" ht="17.25">
      <c r="A502" s="27" t="s">
        <v>1078</v>
      </c>
      <c r="B502" s="28">
        <v>2</v>
      </c>
      <c r="C502" s="28">
        <v>822</v>
      </c>
      <c r="D502" s="29" t="s">
        <v>167</v>
      </c>
      <c r="E502" s="30" t="s">
        <v>50</v>
      </c>
      <c r="F502" s="31">
        <v>44833</v>
      </c>
      <c r="G502" s="32">
        <v>4.920138888888889</v>
      </c>
      <c r="H502" s="31">
        <v>44824</v>
      </c>
      <c r="I502" s="32">
        <v>4.908333333333333</v>
      </c>
      <c r="J502" s="33">
        <f>F502-H502</f>
      </c>
      <c r="K502" s="28">
        <v>34</v>
      </c>
      <c r="L502" s="28">
        <v>3</v>
      </c>
      <c r="M502" s="28">
        <v>2</v>
      </c>
      <c r="N502" s="34"/>
      <c r="O502" s="34"/>
      <c r="P502" s="34"/>
      <c r="Q502" s="34"/>
      <c r="R502" s="34"/>
      <c r="S502" s="34"/>
      <c r="T502" s="34"/>
      <c r="U502" s="34"/>
      <c r="V502" s="38"/>
      <c r="W502" s="29"/>
      <c r="X502" s="28">
        <v>32</v>
      </c>
      <c r="Y502" s="28">
        <v>1</v>
      </c>
      <c r="Z502" s="28">
        <v>2</v>
      </c>
      <c r="AA502" s="28">
        <v>3</v>
      </c>
      <c r="AB502" s="28">
        <v>1</v>
      </c>
      <c r="AC502" s="28">
        <v>2</v>
      </c>
      <c r="AD502" s="28">
        <v>1</v>
      </c>
      <c r="AE502" s="28">
        <v>4</v>
      </c>
      <c r="AF502" s="28">
        <v>3</v>
      </c>
      <c r="AG502" s="28">
        <v>2</v>
      </c>
      <c r="AH502" s="29" t="s">
        <v>1079</v>
      </c>
      <c r="AI502" s="36">
        <f>IF(OR(AND(K502&lt;32, J502&lt;2), O502=1, P502=1, Q502=1, R502=1, S502=1, T502=1, U502=1, AND(W502&lt;&gt;"", W502&lt;&gt;"Oxygen", W502&lt;&gt;"LowFlow")), "Intensive", "Intermediate")</f>
      </c>
      <c r="AJ502" s="37">
        <f>IF(OR(LEFT(AH502, 1)="X", LEFT(AH502, 1)="Y", LEFT(AH502, 3)="J50M"), "CUSM", "No Match")</f>
      </c>
      <c r="AK502" s="37">
        <f>IF(AND(OR(O502=3, P502=1, Q502=1, T502=1), AJ502="no Match"), "CUSM, CHU SJ, CHUQ", "")</f>
      </c>
      <c r="AL502" s="37">
        <f>IF(AND(O502=2, ISBLANK(P502), ISBLANK(Q502), ISBLANK(R502), ISBLANK(S502), ISBLANK(T502)), "CUSM, CHU SJ, CHUS, CHUQ", "")</f>
      </c>
      <c r="AM502" s="37">
        <f>IF(AND(AJ502="no match", AK502="", AL502="", K502&lt;26), "CUSM, CHU SJ, HGJ, CHUQ, CHUS", "")</f>
      </c>
      <c r="AN502" s="37">
        <f>IF(AND(AJ502="no match", AK502="", AL502="", K502&gt;26), "CUSM, CHU SJ, HGJ, CHUQ, CHUS, HMR", "")</f>
      </c>
    </row>
    <row x14ac:dyDescent="0.25" r="503" customHeight="1" ht="17.25">
      <c r="A503" s="27" t="s">
        <v>1080</v>
      </c>
      <c r="B503" s="28">
        <v>2</v>
      </c>
      <c r="C503" s="35">
        <v>822</v>
      </c>
      <c r="D503" s="29" t="s">
        <v>167</v>
      </c>
      <c r="E503" s="30" t="s">
        <v>50</v>
      </c>
      <c r="F503" s="31">
        <v>44833</v>
      </c>
      <c r="G503" s="32">
        <v>4.75</v>
      </c>
      <c r="H503" s="31">
        <v>44833</v>
      </c>
      <c r="I503" s="32">
        <v>4.560416666666667</v>
      </c>
      <c r="J503" s="33">
        <f>F503-H503</f>
      </c>
      <c r="K503" s="28">
        <v>39</v>
      </c>
      <c r="L503" s="28">
        <v>1</v>
      </c>
      <c r="M503" s="28">
        <v>1</v>
      </c>
      <c r="N503" s="34"/>
      <c r="O503" s="34"/>
      <c r="P503" s="34"/>
      <c r="Q503" s="34"/>
      <c r="R503" s="34"/>
      <c r="S503" s="34"/>
      <c r="T503" s="35">
        <v>1</v>
      </c>
      <c r="U503" s="34"/>
      <c r="V503" s="34"/>
      <c r="W503" s="29" t="s">
        <v>74</v>
      </c>
      <c r="X503" s="28">
        <v>40</v>
      </c>
      <c r="Y503" s="28">
        <v>1</v>
      </c>
      <c r="Z503" s="28">
        <v>2</v>
      </c>
      <c r="AA503" s="28">
        <v>2</v>
      </c>
      <c r="AB503" s="28">
        <v>1</v>
      </c>
      <c r="AC503" s="28">
        <v>2</v>
      </c>
      <c r="AD503" s="28">
        <v>1</v>
      </c>
      <c r="AE503" s="28">
        <v>2</v>
      </c>
      <c r="AF503" s="28">
        <v>2</v>
      </c>
      <c r="AG503" s="28">
        <v>2</v>
      </c>
      <c r="AH503" s="29" t="s">
        <v>1081</v>
      </c>
      <c r="AI503" s="36">
        <f>IF(OR(AND(K503&lt;32, J503&lt;2), O503=1, P503=1, Q503=1, R503=1, S503=1, T503=1, U503=1, AND(W503&lt;&gt;"", W503&lt;&gt;"Oxygen", W503&lt;&gt;"LowFlow")), "Intensive", "Intermediate")</f>
      </c>
      <c r="AJ503" s="37">
        <f>IF(OR(LEFT(AH503, 1)="X", LEFT(AH503, 1)="Y", LEFT(AH503, 3)="J51M"), "CUSM", "No Match")</f>
      </c>
      <c r="AK503" s="37">
        <f>IF(AND(OR(O503=3, P503=1, Q503=1, T503=1), AJ503="no Match"), "CUSM, CHU SJ, CHUQ", "")</f>
      </c>
      <c r="AL503" s="37">
        <f>IF(AND(O503=2, ISBLANK(P503), ISBLANK(Q503), ISBLANK(R503), ISBLANK(S503), ISBLANK(T503)), "CUSM, CHU SJ, CHUS, CHUQ", "")</f>
      </c>
      <c r="AM503" s="37">
        <f>IF(AND(AJ503="no match", AK503="", AL503="", K503&lt;26), "CUSM, CHU SJ, HGJ, CHUQ, CHUS", "")</f>
      </c>
      <c r="AN503" s="37">
        <f>IF(AND(AJ503="no match", AK503="", AL503="", K503&gt;26), "CUSM, CHU SJ, HGJ, CHUQ, CHUS, HMR", "")</f>
      </c>
    </row>
    <row x14ac:dyDescent="0.25" r="504" customHeight="1" ht="17.25">
      <c r="A504" s="27" t="s">
        <v>1082</v>
      </c>
      <c r="B504" s="28">
        <v>2</v>
      </c>
      <c r="C504" s="35">
        <v>824</v>
      </c>
      <c r="D504" s="29" t="s">
        <v>57</v>
      </c>
      <c r="E504" s="30" t="s">
        <v>50</v>
      </c>
      <c r="F504" s="31">
        <v>44833</v>
      </c>
      <c r="G504" s="32">
        <v>4.649305555555555</v>
      </c>
      <c r="H504" s="31">
        <v>44832</v>
      </c>
      <c r="I504" s="32">
        <v>4.848611111111111</v>
      </c>
      <c r="J504" s="33">
        <f>F504-H504</f>
      </c>
      <c r="K504" s="28">
        <v>41</v>
      </c>
      <c r="L504" s="28">
        <v>2</v>
      </c>
      <c r="M504" s="28">
        <v>2</v>
      </c>
      <c r="N504" s="34"/>
      <c r="O504" s="34"/>
      <c r="P504" s="34"/>
      <c r="Q504" s="34"/>
      <c r="R504" s="34"/>
      <c r="S504" s="34"/>
      <c r="T504" s="34"/>
      <c r="U504" s="34"/>
      <c r="V504" s="34"/>
      <c r="W504" s="29"/>
      <c r="X504" s="28">
        <v>31</v>
      </c>
      <c r="Y504" s="28">
        <v>1</v>
      </c>
      <c r="Z504" s="28">
        <v>1</v>
      </c>
      <c r="AA504" s="28">
        <v>2</v>
      </c>
      <c r="AB504" s="28">
        <v>1</v>
      </c>
      <c r="AC504" s="28">
        <v>2</v>
      </c>
      <c r="AD504" s="28">
        <v>2</v>
      </c>
      <c r="AE504" s="28">
        <v>4</v>
      </c>
      <c r="AF504" s="28">
        <v>3</v>
      </c>
      <c r="AG504" s="28">
        <v>2</v>
      </c>
      <c r="AH504" s="29" t="s">
        <v>1083</v>
      </c>
      <c r="AI504" s="36">
        <f>IF(OR(AND(K504&lt;32, J504&lt;2), O504=1, P504=1, Q504=1, R504=1, S504=1, T504=1, U504=1, AND(W504&lt;&gt;"", W504&lt;&gt;"Oxygen", W504&lt;&gt;"LowFlow")), "Intensive", "Intermediate")</f>
      </c>
      <c r="AJ504" s="37">
        <f>IF(OR(LEFT(AH504, 1)="X", LEFT(AH504, 1)="Y", LEFT(AH504, 3)="J52M"), "CUSM", "No Match")</f>
      </c>
      <c r="AK504" s="37">
        <f>IF(AND(OR(O504=3, P504=1, Q504=1, T504=1), AJ504="no Match"), "CUSM, CHU SJ, CHUQ", "")</f>
      </c>
      <c r="AL504" s="37">
        <f>IF(AND(O504=2, ISBLANK(P504), ISBLANK(Q504), ISBLANK(R504), ISBLANK(S504), ISBLANK(T504)), "CUSM, CHU SJ, CHUS, CHUQ", "")</f>
      </c>
      <c r="AM504" s="37">
        <f>IF(AND(AJ504="no match", AK504="", AL504="", K504&lt;26), "CUSM, CHU SJ, HGJ, CHUQ, CHUS", "")</f>
      </c>
      <c r="AN504" s="37">
        <f>IF(AND(AJ504="no match", AK504="", AL504="", K504&gt;26), "CUSM, CHU SJ, HGJ, CHUQ, CHUS, HMR", "")</f>
      </c>
    </row>
    <row x14ac:dyDescent="0.25" r="505" customHeight="1" ht="17.25">
      <c r="A505" s="27" t="s">
        <v>1084</v>
      </c>
      <c r="B505" s="28">
        <v>2</v>
      </c>
      <c r="C505" s="28">
        <v>851</v>
      </c>
      <c r="D505" s="29" t="s">
        <v>1085</v>
      </c>
      <c r="E505" s="30" t="s">
        <v>149</v>
      </c>
      <c r="F505" s="31">
        <v>44834</v>
      </c>
      <c r="G505" s="32">
        <v>4.146527777777777</v>
      </c>
      <c r="H505" s="31">
        <v>44834</v>
      </c>
      <c r="I505" s="32">
        <v>4.086111111111111</v>
      </c>
      <c r="J505" s="33">
        <f>F505-H505</f>
      </c>
      <c r="K505" s="28">
        <v>29</v>
      </c>
      <c r="L505" s="28">
        <v>0</v>
      </c>
      <c r="M505" s="28">
        <v>2</v>
      </c>
      <c r="N505" s="38"/>
      <c r="O505" s="38"/>
      <c r="P505" s="34"/>
      <c r="Q505" s="34"/>
      <c r="R505" s="38"/>
      <c r="S505" s="34"/>
      <c r="T505" s="34"/>
      <c r="U505" s="38"/>
      <c r="V505" s="38"/>
      <c r="W505" s="29" t="s">
        <v>58</v>
      </c>
      <c r="X505" s="28">
        <v>24</v>
      </c>
      <c r="Y505" s="28">
        <v>1</v>
      </c>
      <c r="Z505" s="28">
        <v>2</v>
      </c>
      <c r="AA505" s="28">
        <v>3</v>
      </c>
      <c r="AB505" s="28">
        <v>4</v>
      </c>
      <c r="AC505" s="28">
        <v>2</v>
      </c>
      <c r="AD505" s="28">
        <v>1</v>
      </c>
      <c r="AE505" s="28">
        <v>4</v>
      </c>
      <c r="AF505" s="28">
        <v>3</v>
      </c>
      <c r="AG505" s="28">
        <v>2</v>
      </c>
      <c r="AH505" s="29" t="s">
        <v>1086</v>
      </c>
      <c r="AI505" s="36">
        <f>IF(OR(AND(K505&lt;32, J505&lt;2), O505=1, P505=1, Q505=1, R505=1, S505=1, T505=1, U505=1, AND(W505&lt;&gt;"", W505&lt;&gt;"Oxygen", W505&lt;&gt;"LowFlow")), "Intensive", "Intermediate")</f>
      </c>
      <c r="AJ505" s="37">
        <f>IF(OR(LEFT(AH505, 1)="X", LEFT(AH505, 1)="Y", LEFT(AH505, 3)="J53M"), "CUSM", "No Match")</f>
      </c>
      <c r="AK505" s="37">
        <f>IF(AND(OR(O505=3, P505=1, Q505=1, T505=1), AJ505="no Match"), "CUSM, CHU SJ, CHUQ", "")</f>
      </c>
      <c r="AL505" s="37">
        <f>IF(AND(O505=2, ISBLANK(P505), ISBLANK(Q505), ISBLANK(R505), ISBLANK(S505), ISBLANK(T505)), "CUSM, CHU SJ, CHUS, CHUQ", "")</f>
      </c>
      <c r="AM505" s="37">
        <f>IF(AND(AJ505="no match", AK505="", AL505="", K505&lt;26), "CUSM, CHU SJ, HGJ, CHUQ, CHUS", "")</f>
      </c>
      <c r="AN505" s="37">
        <f>IF(AND(AJ505="no match", AK505="", AL505="", K505&gt;26), "CUSM, CHU SJ, HGJ, CHUQ, CHUS, HMR", "")</f>
      </c>
    </row>
    <row x14ac:dyDescent="0.25" r="506" customHeight="1" ht="17.25">
      <c r="A506" s="27" t="s">
        <v>1087</v>
      </c>
      <c r="B506" s="28">
        <v>2</v>
      </c>
      <c r="C506" s="28">
        <v>782</v>
      </c>
      <c r="D506" s="29" t="s">
        <v>95</v>
      </c>
      <c r="E506" s="30" t="s">
        <v>50</v>
      </c>
      <c r="F506" s="31">
        <v>44834</v>
      </c>
      <c r="G506" s="32">
        <v>4.479166666666666</v>
      </c>
      <c r="H506" s="31">
        <v>44834</v>
      </c>
      <c r="I506" s="32">
        <v>4.242361111111111</v>
      </c>
      <c r="J506" s="33">
        <f>F506-H506</f>
      </c>
      <c r="K506" s="28">
        <v>41</v>
      </c>
      <c r="L506" s="28">
        <v>2</v>
      </c>
      <c r="M506" s="28">
        <v>2</v>
      </c>
      <c r="N506" s="28">
        <v>1</v>
      </c>
      <c r="O506" s="34"/>
      <c r="P506" s="28">
        <v>1</v>
      </c>
      <c r="Q506" s="34"/>
      <c r="R506" s="34"/>
      <c r="S506" s="34"/>
      <c r="T506" s="35">
        <v>1</v>
      </c>
      <c r="U506" s="28">
        <v>1</v>
      </c>
      <c r="V506" s="28">
        <v>1</v>
      </c>
      <c r="W506" s="29" t="s">
        <v>74</v>
      </c>
      <c r="X506" s="28">
        <v>32</v>
      </c>
      <c r="Y506" s="28">
        <v>1</v>
      </c>
      <c r="Z506" s="28">
        <v>1</v>
      </c>
      <c r="AA506" s="28">
        <v>3</v>
      </c>
      <c r="AB506" s="28">
        <v>4</v>
      </c>
      <c r="AC506" s="28">
        <v>2</v>
      </c>
      <c r="AD506" s="28">
        <v>2</v>
      </c>
      <c r="AE506" s="28">
        <v>4</v>
      </c>
      <c r="AF506" s="28">
        <v>3</v>
      </c>
      <c r="AG506" s="28">
        <v>2</v>
      </c>
      <c r="AH506" s="29" t="s">
        <v>1088</v>
      </c>
      <c r="AI506" s="36">
        <f>IF(OR(AND(K506&lt;32, J506&lt;2), O506=1, P506=1, Q506=1, R506=1, S506=1, T506=1, U506=1, AND(W506&lt;&gt;"", W506&lt;&gt;"Oxygen", W506&lt;&gt;"LowFlow")), "Intensive", "Intermediate")</f>
      </c>
      <c r="AJ506" s="37">
        <f>IF(OR(LEFT(AH506, 1)="X", LEFT(AH506, 1)="Y", LEFT(AH506, 3)="J54M"), "CUSM", "No Match")</f>
      </c>
      <c r="AK506" s="37">
        <f>IF(AND(OR(O506=3, P506=1, Q506=1, T506=1), AJ506="no Match"), "CUSM, CHU SJ, CHUQ", "")</f>
      </c>
      <c r="AL506" s="37">
        <f>IF(AND(O506=2, ISBLANK(P506), ISBLANK(Q506), ISBLANK(R506), ISBLANK(S506), ISBLANK(T506)), "CUSM, CHU SJ, CHUS, CHUQ", "")</f>
      </c>
      <c r="AM506" s="37">
        <f>IF(AND(AJ506="no match", AK506="", AL506="", K506&lt;26), "CUSM, CHU SJ, HGJ, CHUQ, CHUS", "")</f>
      </c>
      <c r="AN506" s="37">
        <f>IF(AND(AJ506="no match", AK506="", AL506="", K506&gt;26), "CUSM, CHU SJ, HGJ, CHUQ, CHUS, HMR", "")</f>
      </c>
    </row>
    <row x14ac:dyDescent="0.25" r="507" customHeight="1" ht="17.25">
      <c r="A507" s="41" t="s">
        <v>1089</v>
      </c>
      <c r="B507" s="28">
        <v>2</v>
      </c>
      <c r="C507" s="35">
        <v>779</v>
      </c>
      <c r="D507" s="29" t="s">
        <v>136</v>
      </c>
      <c r="E507" s="30" t="s">
        <v>54</v>
      </c>
      <c r="F507" s="31">
        <v>44835</v>
      </c>
      <c r="G507" s="32">
        <v>4.833333333333334</v>
      </c>
      <c r="H507" s="31">
        <v>44835</v>
      </c>
      <c r="I507" s="32">
        <v>4.595833333333333</v>
      </c>
      <c r="J507" s="33">
        <f>F507-H507</f>
      </c>
      <c r="K507" s="28">
        <v>36</v>
      </c>
      <c r="L507" s="28">
        <v>1</v>
      </c>
      <c r="M507" s="28">
        <v>2</v>
      </c>
      <c r="N507" s="34"/>
      <c r="O507" s="34"/>
      <c r="P507" s="34"/>
      <c r="Q507" s="34"/>
      <c r="R507" s="34"/>
      <c r="S507" s="34"/>
      <c r="T507" s="35">
        <v>1</v>
      </c>
      <c r="U507" s="34"/>
      <c r="V507" s="34"/>
      <c r="W507" s="29"/>
      <c r="X507" s="28">
        <v>27</v>
      </c>
      <c r="Y507" s="28">
        <v>1</v>
      </c>
      <c r="Z507" s="28">
        <v>2</v>
      </c>
      <c r="AA507" s="28">
        <v>2</v>
      </c>
      <c r="AB507" s="28">
        <v>1</v>
      </c>
      <c r="AC507" s="28">
        <v>2</v>
      </c>
      <c r="AD507" s="28">
        <v>2</v>
      </c>
      <c r="AE507" s="28">
        <v>4</v>
      </c>
      <c r="AF507" s="28">
        <v>2</v>
      </c>
      <c r="AG507" s="28">
        <v>2</v>
      </c>
      <c r="AH507" s="29" t="s">
        <v>1090</v>
      </c>
      <c r="AI507" s="36">
        <f>IF(OR(AND(K507&lt;32, J507&lt;2), O507=1, P507=1, Q507=1, R507=1, S507=1, T507=1, U507=1, AND(W507&lt;&gt;"", W507&lt;&gt;"Oxygen", W507&lt;&gt;"LowFlow")), "Intensive", "Intermediate")</f>
      </c>
      <c r="AJ507" s="37">
        <f>IF(OR(LEFT(AH507, 1)="X", LEFT(AH507, 1)="Y", LEFT(AH507, 3)="J55M"), "CUSM", "No Match")</f>
      </c>
      <c r="AK507" s="37">
        <f>IF(AND(OR(O507=3, P507=1, Q507=1, T507=1), AJ507="no Match"), "CUSM, CHU SJ, CHUQ", "")</f>
      </c>
      <c r="AL507" s="37">
        <f>IF(AND(O507=2, ISBLANK(P507), ISBLANK(Q507), ISBLANK(R507), ISBLANK(S507), ISBLANK(T507)), "CUSM, CHU SJ, CHUS, CHUQ", "")</f>
      </c>
      <c r="AM507" s="37">
        <f>IF(AND(AJ507="no match", AK507="", AL507="", K507&lt;26), "CUSM, CHU SJ, HGJ, CHUQ, CHUS", "")</f>
      </c>
      <c r="AN507" s="37">
        <f>IF(AND(AJ507="no match", AK507="", AL507="", K507&gt;26), "CUSM, CHU SJ, HGJ, CHUQ, CHUS, HMR", "")</f>
      </c>
    </row>
    <row x14ac:dyDescent="0.25" r="508" customHeight="1" ht="17.25">
      <c r="A508" s="41" t="s">
        <v>1091</v>
      </c>
      <c r="B508" s="28">
        <v>2</v>
      </c>
      <c r="C508" s="35">
        <v>822</v>
      </c>
      <c r="D508" s="29" t="s">
        <v>167</v>
      </c>
      <c r="E508" s="30" t="s">
        <v>50</v>
      </c>
      <c r="F508" s="31">
        <v>44835</v>
      </c>
      <c r="G508" s="32">
        <v>4.041666666666666</v>
      </c>
      <c r="H508" s="31">
        <v>44834</v>
      </c>
      <c r="I508" s="32">
        <v>4.7972222222222225</v>
      </c>
      <c r="J508" s="33">
        <f>F508-H508</f>
      </c>
      <c r="K508" s="28">
        <v>40</v>
      </c>
      <c r="L508" s="28">
        <v>5</v>
      </c>
      <c r="M508" s="28">
        <v>1</v>
      </c>
      <c r="N508" s="34"/>
      <c r="O508" s="34"/>
      <c r="P508" s="34"/>
      <c r="Q508" s="34"/>
      <c r="R508" s="34"/>
      <c r="S508" s="34"/>
      <c r="T508" s="34"/>
      <c r="U508" s="34"/>
      <c r="V508" s="34"/>
      <c r="W508" s="29" t="s">
        <v>74</v>
      </c>
      <c r="X508" s="28">
        <v>24</v>
      </c>
      <c r="Y508" s="28">
        <v>1</v>
      </c>
      <c r="Z508" s="28">
        <v>1</v>
      </c>
      <c r="AA508" s="28">
        <v>3</v>
      </c>
      <c r="AB508" s="28">
        <v>1</v>
      </c>
      <c r="AC508" s="28">
        <v>2</v>
      </c>
      <c r="AD508" s="28">
        <v>2</v>
      </c>
      <c r="AE508" s="28">
        <v>4</v>
      </c>
      <c r="AF508" s="35">
        <v>1</v>
      </c>
      <c r="AG508" s="28">
        <v>2</v>
      </c>
      <c r="AH508" s="29" t="s">
        <v>379</v>
      </c>
      <c r="AI508" s="36">
        <f>IF(OR(AND(K508&lt;32, J508&lt;2), O508=1, P508=1, Q508=1, R508=1, S508=1, T508=1, U508=1, AND(W508&lt;&gt;"", W508&lt;&gt;"Oxygen", W508&lt;&gt;"LowFlow")), "Intensive", "Intermediate")</f>
      </c>
      <c r="AJ508" s="37">
        <f>IF(OR(LEFT(AH508, 1)="X", LEFT(AH508, 1)="Y", LEFT(AH508, 3)="J56M"), "CUSM", "No Match")</f>
      </c>
      <c r="AK508" s="37">
        <f>IF(AND(OR(O508=3, P508=1, Q508=1, T508=1), AJ508="no Match"), "CUSM, CHU SJ, CHUQ", "")</f>
      </c>
      <c r="AL508" s="37">
        <f>IF(AND(O508=2, ISBLANK(P508), ISBLANK(Q508), ISBLANK(R508), ISBLANK(S508), ISBLANK(T508)), "CUSM, CHU SJ, CHUS, CHUQ", "")</f>
      </c>
      <c r="AM508" s="37">
        <f>IF(AND(AJ508="no match", AK508="", AL508="", K508&lt;26), "CUSM, CHU SJ, HGJ, CHUQ, CHUS", "")</f>
      </c>
      <c r="AN508" s="37">
        <f>IF(AND(AJ508="no match", AK508="", AL508="", K508&gt;26), "CUSM, CHU SJ, HGJ, CHUQ, CHUS, HMR", "")</f>
      </c>
    </row>
    <row x14ac:dyDescent="0.25" r="509" customHeight="1" ht="17.25">
      <c r="A509" s="41" t="s">
        <v>1092</v>
      </c>
      <c r="B509" s="28">
        <v>2</v>
      </c>
      <c r="C509" s="28">
        <v>820</v>
      </c>
      <c r="D509" s="29" t="s">
        <v>69</v>
      </c>
      <c r="E509" s="30" t="s">
        <v>50</v>
      </c>
      <c r="F509" s="31">
        <v>44835</v>
      </c>
      <c r="G509" s="32">
        <v>4.513194444444444</v>
      </c>
      <c r="H509" s="31">
        <v>44834</v>
      </c>
      <c r="I509" s="32">
        <v>4.824305555555556</v>
      </c>
      <c r="J509" s="33">
        <f>F509-H509</f>
      </c>
      <c r="K509" s="28">
        <v>39</v>
      </c>
      <c r="L509" s="28">
        <v>0</v>
      </c>
      <c r="M509" s="28">
        <v>1</v>
      </c>
      <c r="N509" s="35">
        <v>1</v>
      </c>
      <c r="O509" s="35">
        <v>2</v>
      </c>
      <c r="P509" s="34"/>
      <c r="Q509" s="34"/>
      <c r="R509" s="34"/>
      <c r="S509" s="34"/>
      <c r="T509" s="38"/>
      <c r="U509" s="34"/>
      <c r="V509" s="34"/>
      <c r="W509" s="29" t="s">
        <v>58</v>
      </c>
      <c r="X509" s="28">
        <v>36</v>
      </c>
      <c r="Y509" s="28">
        <v>1</v>
      </c>
      <c r="Z509" s="28">
        <v>1</v>
      </c>
      <c r="AA509" s="28">
        <v>2</v>
      </c>
      <c r="AB509" s="28">
        <v>1</v>
      </c>
      <c r="AC509" s="28">
        <v>2</v>
      </c>
      <c r="AD509" s="28">
        <v>2</v>
      </c>
      <c r="AE509" s="28">
        <v>4</v>
      </c>
      <c r="AF509" s="28">
        <v>2</v>
      </c>
      <c r="AG509" s="28">
        <v>2</v>
      </c>
      <c r="AH509" s="29" t="s">
        <v>1093</v>
      </c>
      <c r="AI509" s="36">
        <f>IF(OR(AND(K509&lt;32, J509&lt;2), O509=1, P509=1, Q509=1, R509=1, S509=1, T509=1, U509=1, AND(W509&lt;&gt;"", W509&lt;&gt;"Oxygen", W509&lt;&gt;"LowFlow")), "Intensive", "Intermediate")</f>
      </c>
      <c r="AJ509" s="37">
        <f>IF(OR(LEFT(AH509, 1)="X", LEFT(AH509, 1)="Y", LEFT(AH509, 3)="J57M"), "CUSM", "No Match")</f>
      </c>
      <c r="AK509" s="37">
        <f>IF(AND(OR(O509=3, P509=1, Q509=1, T509=1), AJ509="no Match"), "CUSM, CHU SJ, CHUQ", "")</f>
      </c>
      <c r="AL509" s="37">
        <f>IF(AND(O509=2, ISBLANK(P509), ISBLANK(Q509), ISBLANK(R509), ISBLANK(S509), ISBLANK(T509)), "CUSM, CHU SJ, CHUS, CHUQ", "")</f>
      </c>
      <c r="AM509" s="37">
        <f>IF(AND(AJ509="no match", AK509="", AL509="", K509&lt;26), "CUSM, CHU SJ, HGJ, CHUQ, CHUS", "")</f>
      </c>
      <c r="AN509" s="37">
        <f>IF(AND(AJ509="no match", AK509="", AL509="", K509&gt;26), "CUSM, CHU SJ, HGJ, CHUQ, CHUS, HMR", "")</f>
      </c>
    </row>
    <row x14ac:dyDescent="0.25" r="510" customHeight="1" ht="17.25">
      <c r="A510" s="41" t="s">
        <v>1094</v>
      </c>
      <c r="B510" s="28">
        <v>2</v>
      </c>
      <c r="C510" s="35">
        <v>820</v>
      </c>
      <c r="D510" s="29" t="s">
        <v>69</v>
      </c>
      <c r="E510" s="30" t="s">
        <v>54</v>
      </c>
      <c r="F510" s="31">
        <v>44836</v>
      </c>
      <c r="G510" s="32">
        <v>4.465277777777778</v>
      </c>
      <c r="H510" s="31">
        <v>44836</v>
      </c>
      <c r="I510" s="32">
        <v>4.246527777777778</v>
      </c>
      <c r="J510" s="33">
        <f>F510-H510</f>
      </c>
      <c r="K510" s="28">
        <v>39</v>
      </c>
      <c r="L510" s="28">
        <v>1</v>
      </c>
      <c r="M510" s="28">
        <v>1</v>
      </c>
      <c r="N510" s="38"/>
      <c r="O510" s="38"/>
      <c r="P510" s="38"/>
      <c r="Q510" s="34"/>
      <c r="R510" s="34"/>
      <c r="S510" s="34"/>
      <c r="T510" s="34"/>
      <c r="U510" s="34"/>
      <c r="V510" s="34"/>
      <c r="W510" s="29" t="s">
        <v>106</v>
      </c>
      <c r="X510" s="28">
        <v>21</v>
      </c>
      <c r="Y510" s="28">
        <v>1</v>
      </c>
      <c r="Z510" s="28">
        <v>2</v>
      </c>
      <c r="AA510" s="28">
        <v>2</v>
      </c>
      <c r="AB510" s="28">
        <v>1</v>
      </c>
      <c r="AC510" s="28">
        <v>2</v>
      </c>
      <c r="AD510" s="28">
        <v>1</v>
      </c>
      <c r="AE510" s="28">
        <v>4</v>
      </c>
      <c r="AF510" s="28">
        <v>1</v>
      </c>
      <c r="AG510" s="28">
        <v>2</v>
      </c>
      <c r="AH510" s="29" t="s">
        <v>1095</v>
      </c>
      <c r="AI510" s="36">
        <f>IF(OR(AND(K510&lt;32, J510&lt;2), O510=1, P510=1, Q510=1, R510=1, S510=1, T510=1, U510=1, AND(W510&lt;&gt;"", W510&lt;&gt;"Oxygen", W510&lt;&gt;"LowFlow")), "Intensive", "Intermediate")</f>
      </c>
      <c r="AJ510" s="37">
        <f>IF(OR(LEFT(AH510, 1)="X", LEFT(AH510, 1)="Y", LEFT(AH510, 3)="J58M"), "CUSM", "No Match")</f>
      </c>
      <c r="AK510" s="37">
        <f>IF(AND(OR(O510=3, P510=1, Q510=1, T510=1), AJ510="no Match"), "CUSM, CHU SJ, CHUQ", "")</f>
      </c>
      <c r="AL510" s="37">
        <f>IF(AND(O510=2, ISBLANK(P510), ISBLANK(Q510), ISBLANK(R510), ISBLANK(S510), ISBLANK(T510)), "CUSM, CHU SJ, CHUS, CHUQ", "")</f>
      </c>
      <c r="AM510" s="37">
        <f>IF(AND(AJ510="no match", AK510="", AL510="", K510&lt;26), "CUSM, CHU SJ, HGJ, CHUQ, CHUS", "")</f>
      </c>
      <c r="AN510" s="37">
        <f>IF(AND(AJ510="no match", AK510="", AL510="", K510&gt;26), "CUSM, CHU SJ, HGJ, CHUQ, CHUS, HMR", "")</f>
      </c>
    </row>
    <row x14ac:dyDescent="0.25" r="511" customHeight="1" ht="17.25">
      <c r="A511" s="41" t="s">
        <v>1096</v>
      </c>
      <c r="B511" s="28">
        <v>2</v>
      </c>
      <c r="C511" s="35">
        <v>827</v>
      </c>
      <c r="D511" s="29" t="s">
        <v>525</v>
      </c>
      <c r="E511" s="30" t="s">
        <v>54</v>
      </c>
      <c r="F511" s="31">
        <v>44836</v>
      </c>
      <c r="G511" s="32">
        <v>4.690972222222222</v>
      </c>
      <c r="H511" s="31">
        <v>44836</v>
      </c>
      <c r="I511" s="32">
        <v>4.315972222222222</v>
      </c>
      <c r="J511" s="33">
        <f>F511-H511</f>
      </c>
      <c r="K511" s="28">
        <v>39</v>
      </c>
      <c r="L511" s="28">
        <v>6</v>
      </c>
      <c r="M511" s="28">
        <v>1</v>
      </c>
      <c r="N511" s="35">
        <v>1</v>
      </c>
      <c r="O511" s="34"/>
      <c r="P511" s="35">
        <v>1</v>
      </c>
      <c r="Q511" s="34"/>
      <c r="R511" s="34"/>
      <c r="S511" s="34"/>
      <c r="T511" s="35">
        <v>1</v>
      </c>
      <c r="U511" s="35">
        <v>1</v>
      </c>
      <c r="V511" s="35">
        <v>1</v>
      </c>
      <c r="W511" s="29" t="s">
        <v>74</v>
      </c>
      <c r="X511" s="28">
        <v>28</v>
      </c>
      <c r="Y511" s="28">
        <v>1</v>
      </c>
      <c r="Z511" s="28">
        <v>1</v>
      </c>
      <c r="AA511" s="28">
        <v>1</v>
      </c>
      <c r="AB511" s="28">
        <v>1</v>
      </c>
      <c r="AC511" s="28">
        <v>2</v>
      </c>
      <c r="AD511" s="28">
        <v>2</v>
      </c>
      <c r="AE511" s="28">
        <v>4</v>
      </c>
      <c r="AF511" s="28">
        <v>1</v>
      </c>
      <c r="AG511" s="28">
        <v>2</v>
      </c>
      <c r="AH511" s="29" t="s">
        <v>1097</v>
      </c>
      <c r="AI511" s="36">
        <f>IF(OR(AND(K511&lt;32, J511&lt;2), O511=1, P511=1, Q511=1, R511=1, S511=1, T511=1, U511=1, AND(W511&lt;&gt;"", W511&lt;&gt;"Oxygen", W511&lt;&gt;"LowFlow")), "Intensive", "Intermediate")</f>
      </c>
      <c r="AJ511" s="37">
        <f>IF(OR(LEFT(AH511, 1)="X", LEFT(AH511, 1)="Y", LEFT(AH511, 3)="J59M"), "CUSM", "No Match")</f>
      </c>
      <c r="AK511" s="37">
        <f>IF(AND(OR(O511=3, P511=1, Q511=1, T511=1), AJ511="no Match"), "CUSM, CHU SJ, CHUQ", "")</f>
      </c>
      <c r="AL511" s="37">
        <f>IF(AND(O511=2, ISBLANK(P511), ISBLANK(Q511), ISBLANK(R511), ISBLANK(S511), ISBLANK(T511)), "CUSM, CHU SJ, CHUS, CHUQ", "")</f>
      </c>
      <c r="AM511" s="37">
        <f>IF(AND(AJ511="no match", AK511="", AL511="", K511&lt;26), "CUSM, CHU SJ, HGJ, CHUQ, CHUS", "")</f>
      </c>
      <c r="AN511" s="37">
        <f>IF(AND(AJ511="no match", AK511="", AL511="", K511&gt;26), "CUSM, CHU SJ, HGJ, CHUQ, CHUS, HMR", "")</f>
      </c>
    </row>
    <row x14ac:dyDescent="0.25" r="512" customHeight="1" ht="17.25">
      <c r="A512" s="41" t="s">
        <v>1098</v>
      </c>
      <c r="B512" s="28">
        <v>2</v>
      </c>
      <c r="C512" s="35">
        <v>815</v>
      </c>
      <c r="D512" s="29" t="s">
        <v>100</v>
      </c>
      <c r="E512" s="30" t="s">
        <v>50</v>
      </c>
      <c r="F512" s="31">
        <v>44836</v>
      </c>
      <c r="G512" s="32">
        <v>4.954861111111111</v>
      </c>
      <c r="H512" s="31">
        <v>44836</v>
      </c>
      <c r="I512" s="32">
        <v>4.635416666666666</v>
      </c>
      <c r="J512" s="33">
        <f>F512-H512</f>
      </c>
      <c r="K512" s="28">
        <v>36</v>
      </c>
      <c r="L512" s="28">
        <v>0</v>
      </c>
      <c r="M512" s="28">
        <v>1</v>
      </c>
      <c r="N512" s="35">
        <v>1</v>
      </c>
      <c r="O512" s="34"/>
      <c r="P512" s="34"/>
      <c r="Q512" s="34"/>
      <c r="R512" s="34"/>
      <c r="S512" s="34"/>
      <c r="T512" s="35">
        <v>1</v>
      </c>
      <c r="U512" s="34"/>
      <c r="V512" s="34"/>
      <c r="W512" s="29" t="s">
        <v>164</v>
      </c>
      <c r="X512" s="28">
        <v>28</v>
      </c>
      <c r="Y512" s="28">
        <v>1</v>
      </c>
      <c r="Z512" s="28">
        <v>2</v>
      </c>
      <c r="AA512" s="28">
        <v>2</v>
      </c>
      <c r="AB512" s="28">
        <v>1</v>
      </c>
      <c r="AC512" s="28">
        <v>2</v>
      </c>
      <c r="AD512" s="28">
        <v>1</v>
      </c>
      <c r="AE512" s="28">
        <v>4</v>
      </c>
      <c r="AF512" s="28">
        <v>2</v>
      </c>
      <c r="AG512" s="28">
        <v>2</v>
      </c>
      <c r="AH512" s="29" t="s">
        <v>1099</v>
      </c>
      <c r="AI512" s="36">
        <f>IF(OR(AND(K512&lt;32, J512&lt;2), O512=1, P512=1, Q512=1, R512=1, S512=1, T512=1, U512=1, AND(W512&lt;&gt;"", W512&lt;&gt;"Oxygen", W512&lt;&gt;"LowFlow")), "Intensive", "Intermediate")</f>
      </c>
      <c r="AJ512" s="37">
        <f>IF(OR(LEFT(AH512, 1)="X", LEFT(AH512, 1)="Y", LEFT(AH512, 3)="J60M"), "CUSM", "No Match")</f>
      </c>
      <c r="AK512" s="37">
        <f>IF(AND(OR(O512=3, P512=1, Q512=1, T512=1), AJ512="no Match"), "CUSM, CHU SJ, CHUQ", "")</f>
      </c>
      <c r="AL512" s="37">
        <f>IF(AND(O512=2, ISBLANK(P512), ISBLANK(Q512), ISBLANK(R512), ISBLANK(S512), ISBLANK(T512)), "CUSM, CHU SJ, CHUS, CHUQ", "")</f>
      </c>
      <c r="AM512" s="37">
        <f>IF(AND(AJ512="no match", AK512="", AL512="", K512&lt;26), "CUSM, CHU SJ, HGJ, CHUQ, CHUS", "")</f>
      </c>
      <c r="AN512" s="37">
        <f>IF(AND(AJ512="no match", AK512="", AL512="", K512&gt;26), "CUSM, CHU SJ, HGJ, CHUQ, CHUS, HMR", "")</f>
      </c>
    </row>
    <row x14ac:dyDescent="0.25" r="513" customHeight="1" ht="17.25">
      <c r="A513" s="41" t="s">
        <v>1100</v>
      </c>
      <c r="B513" s="28">
        <v>2</v>
      </c>
      <c r="C513" s="35">
        <v>806</v>
      </c>
      <c r="D513" s="29" t="s">
        <v>438</v>
      </c>
      <c r="E513" s="30" t="s">
        <v>54</v>
      </c>
      <c r="F513" s="31">
        <v>44837</v>
      </c>
      <c r="G513" s="32">
        <v>4.535416666666666</v>
      </c>
      <c r="H513" s="31">
        <v>44834</v>
      </c>
      <c r="I513" s="32">
        <v>4.526388888888889</v>
      </c>
      <c r="J513" s="33">
        <f>F513-H513</f>
      </c>
      <c r="K513" s="28">
        <v>39</v>
      </c>
      <c r="L513" s="28">
        <v>0</v>
      </c>
      <c r="M513" s="28">
        <v>1</v>
      </c>
      <c r="N513" s="34"/>
      <c r="O513" s="34"/>
      <c r="P513" s="34"/>
      <c r="Q513" s="34"/>
      <c r="R513" s="34"/>
      <c r="S513" s="34"/>
      <c r="T513" s="34"/>
      <c r="U513" s="34"/>
      <c r="V513" s="34"/>
      <c r="W513" s="29"/>
      <c r="X513" s="28">
        <v>21</v>
      </c>
      <c r="Y513" s="28">
        <v>1</v>
      </c>
      <c r="Z513" s="28">
        <v>1</v>
      </c>
      <c r="AA513" s="28">
        <v>2</v>
      </c>
      <c r="AB513" s="28">
        <v>1</v>
      </c>
      <c r="AC513" s="28">
        <v>2</v>
      </c>
      <c r="AD513" s="28">
        <v>2</v>
      </c>
      <c r="AE513" s="28">
        <v>4</v>
      </c>
      <c r="AF513" s="28">
        <v>2</v>
      </c>
      <c r="AG513" s="28">
        <v>2</v>
      </c>
      <c r="AH513" s="29" t="s">
        <v>1101</v>
      </c>
      <c r="AI513" s="36">
        <f>IF(OR(AND(K513&lt;32, J513&lt;2), O513=1, P513=1, Q513=1, R513=1, S513=1, T513=1, U513=1, AND(W513&lt;&gt;"", W513&lt;&gt;"Oxygen", W513&lt;&gt;"LowFlow")), "Intensive", "Intermediate")</f>
      </c>
      <c r="AJ513" s="37">
        <f>IF(OR(LEFT(AH513, 1)="X", LEFT(AH513, 1)="Y", LEFT(AH513, 3)="J61M"), "CUSM", "No Match")</f>
      </c>
      <c r="AK513" s="37">
        <f>IF(AND(OR(O513=3, P513=1, Q513=1, T513=1), AJ513="no Match"), "CUSM, CHU SJ, CHUQ", "")</f>
      </c>
      <c r="AL513" s="37">
        <f>IF(AND(O513=2, ISBLANK(P513), ISBLANK(Q513), ISBLANK(R513), ISBLANK(S513), ISBLANK(T513)), "CUSM, CHU SJ, CHUS, CHUQ", "")</f>
      </c>
      <c r="AM513" s="37">
        <f>IF(AND(AJ513="no match", AK513="", AL513="", K513&lt;26), "CUSM, CHU SJ, HGJ, CHUQ, CHUS", "")</f>
      </c>
      <c r="AN513" s="37">
        <f>IF(AND(AJ513="no match", AK513="", AL513="", K513&gt;26), "CUSM, CHU SJ, HGJ, CHUQ, CHUS, HMR", "")</f>
      </c>
    </row>
    <row x14ac:dyDescent="0.25" r="514" customHeight="1" ht="17.25">
      <c r="A514" s="41" t="s">
        <v>1102</v>
      </c>
      <c r="B514" s="28">
        <v>2</v>
      </c>
      <c r="C514" s="28">
        <v>756</v>
      </c>
      <c r="D514" s="29" t="s">
        <v>66</v>
      </c>
      <c r="E514" s="30" t="s">
        <v>50</v>
      </c>
      <c r="F514" s="31">
        <v>44837</v>
      </c>
      <c r="G514" s="32">
        <v>4.541666666666666</v>
      </c>
      <c r="H514" s="31">
        <v>44837</v>
      </c>
      <c r="I514" s="32">
        <v>4.411111111111111</v>
      </c>
      <c r="J514" s="33">
        <f>F514-H514</f>
      </c>
      <c r="K514" s="28">
        <v>34</v>
      </c>
      <c r="L514" s="28">
        <v>4</v>
      </c>
      <c r="M514" s="28">
        <v>1</v>
      </c>
      <c r="N514" s="34"/>
      <c r="O514" s="34"/>
      <c r="P514" s="34"/>
      <c r="Q514" s="34"/>
      <c r="R514" s="34"/>
      <c r="S514" s="34"/>
      <c r="T514" s="34"/>
      <c r="U514" s="34"/>
      <c r="V514" s="34"/>
      <c r="W514" s="29" t="s">
        <v>58</v>
      </c>
      <c r="X514" s="28">
        <v>39</v>
      </c>
      <c r="Y514" s="28">
        <v>1</v>
      </c>
      <c r="Z514" s="28">
        <v>2</v>
      </c>
      <c r="AA514" s="28">
        <v>1</v>
      </c>
      <c r="AB514" s="28">
        <v>1</v>
      </c>
      <c r="AC514" s="28">
        <v>2</v>
      </c>
      <c r="AD514" s="28">
        <v>2</v>
      </c>
      <c r="AE514" s="28">
        <v>4</v>
      </c>
      <c r="AF514" s="28">
        <v>2</v>
      </c>
      <c r="AG514" s="28">
        <v>2</v>
      </c>
      <c r="AH514" s="29" t="s">
        <v>1103</v>
      </c>
      <c r="AI514" s="36">
        <f>IF(OR(AND(K514&lt;32, J514&lt;2), O514=1, P514=1, Q514=1, R514=1, S514=1, T514=1, U514=1, AND(W514&lt;&gt;"", W514&lt;&gt;"Oxygen", W514&lt;&gt;"LowFlow")), "Intensive", "Intermediate")</f>
      </c>
      <c r="AJ514" s="37">
        <f>IF(OR(LEFT(AH514, 1)="X", LEFT(AH514, 1)="Y", LEFT(AH514, 3)="J62M"), "CUSM", "No Match")</f>
      </c>
      <c r="AK514" s="37">
        <f>IF(AND(OR(O514=3, P514=1, Q514=1, T514=1), AJ514="no Match"), "CUSM, CHU SJ, CHUQ", "")</f>
      </c>
      <c r="AL514" s="37">
        <f>IF(AND(O514=2, ISBLANK(P514), ISBLANK(Q514), ISBLANK(R514), ISBLANK(S514), ISBLANK(T514)), "CUSM, CHU SJ, CHUS, CHUQ", "")</f>
      </c>
      <c r="AM514" s="37">
        <f>IF(AND(AJ514="no match", AK514="", AL514="", K514&lt;26), "CUSM, CHU SJ, HGJ, CHUQ, CHUS", "")</f>
      </c>
      <c r="AN514" s="37">
        <f>IF(AND(AJ514="no match", AK514="", AL514="", K514&gt;26), "CUSM, CHU SJ, HGJ, CHUQ, CHUS, HMR", "")</f>
      </c>
    </row>
    <row x14ac:dyDescent="0.25" r="515" customHeight="1" ht="17.25">
      <c r="A515" s="41" t="s">
        <v>1104</v>
      </c>
      <c r="B515" s="28">
        <v>2</v>
      </c>
      <c r="C515" s="35">
        <v>756</v>
      </c>
      <c r="D515" s="29" t="s">
        <v>66</v>
      </c>
      <c r="E515" s="30" t="s">
        <v>50</v>
      </c>
      <c r="F515" s="31">
        <v>44838</v>
      </c>
      <c r="G515" s="32">
        <v>4.291666666666666</v>
      </c>
      <c r="H515" s="31">
        <v>44836</v>
      </c>
      <c r="I515" s="32">
        <v>4.1305555555555555</v>
      </c>
      <c r="J515" s="33">
        <f>F515-H515</f>
      </c>
      <c r="K515" s="28">
        <v>38</v>
      </c>
      <c r="L515" s="28">
        <v>4</v>
      </c>
      <c r="M515" s="28">
        <v>1</v>
      </c>
      <c r="N515" s="34"/>
      <c r="O515" s="34"/>
      <c r="P515" s="34"/>
      <c r="Q515" s="34"/>
      <c r="R515" s="34"/>
      <c r="S515" s="34"/>
      <c r="T515" s="34"/>
      <c r="U515" s="34"/>
      <c r="V515" s="34"/>
      <c r="W515" s="29"/>
      <c r="X515" s="28">
        <v>29</v>
      </c>
      <c r="Y515" s="28">
        <v>1</v>
      </c>
      <c r="Z515" s="28">
        <v>1</v>
      </c>
      <c r="AA515" s="28">
        <v>1</v>
      </c>
      <c r="AB515" s="28">
        <v>2</v>
      </c>
      <c r="AC515" s="28">
        <v>2</v>
      </c>
      <c r="AD515" s="28">
        <v>1</v>
      </c>
      <c r="AE515" s="28">
        <v>4</v>
      </c>
      <c r="AF515" s="28">
        <v>2</v>
      </c>
      <c r="AG515" s="28">
        <v>2</v>
      </c>
      <c r="AH515" s="29" t="s">
        <v>1105</v>
      </c>
      <c r="AI515" s="36">
        <f>IF(OR(AND(K515&lt;32, J515&lt;2), O515=1, P515=1, Q515=1, R515=1, S515=1, T515=1, U515=1, AND(W515&lt;&gt;"", W515&lt;&gt;"Oxygen", W515&lt;&gt;"LowFlow")), "Intensive", "Intermediate")</f>
      </c>
      <c r="AJ515" s="37">
        <f>IF(OR(LEFT(AH515, 1)="X", LEFT(AH515, 1)="Y", LEFT(AH515, 3)="J63M"), "CUSM", "No Match")</f>
      </c>
      <c r="AK515" s="37">
        <f>IF(AND(OR(O515=3, P515=1, Q515=1, T515=1), AJ515="no Match"), "CUSM, CHU SJ, CHUQ", "")</f>
      </c>
      <c r="AL515" s="37">
        <f>IF(AND(O515=2, ISBLANK(P515), ISBLANK(Q515), ISBLANK(R515), ISBLANK(S515), ISBLANK(T515)), "CUSM, CHU SJ, CHUS, CHUQ", "")</f>
      </c>
      <c r="AM515" s="37">
        <f>IF(AND(AJ515="no match", AK515="", AL515="", K515&lt;26), "CUSM, CHU SJ, HGJ, CHUQ, CHUS", "")</f>
      </c>
      <c r="AN515" s="37">
        <f>IF(AND(AJ515="no match", AK515="", AL515="", K515&gt;26), "CUSM, CHU SJ, HGJ, CHUQ, CHUS, HMR", "")</f>
      </c>
    </row>
    <row x14ac:dyDescent="0.25" r="516" customHeight="1" ht="17.25">
      <c r="A516" s="41" t="s">
        <v>1106</v>
      </c>
      <c r="B516" s="28">
        <v>2</v>
      </c>
      <c r="C516" s="28">
        <v>835</v>
      </c>
      <c r="D516" s="29" t="s">
        <v>170</v>
      </c>
      <c r="E516" s="30" t="s">
        <v>54</v>
      </c>
      <c r="F516" s="31">
        <v>44840</v>
      </c>
      <c r="G516" s="32">
        <v>4.041666666666666</v>
      </c>
      <c r="H516" s="31">
        <v>44839</v>
      </c>
      <c r="I516" s="32">
        <v>4.847222222222222</v>
      </c>
      <c r="J516" s="33">
        <f>F516-H516</f>
      </c>
      <c r="K516" s="28">
        <v>35</v>
      </c>
      <c r="L516" s="28">
        <v>0</v>
      </c>
      <c r="M516" s="28">
        <v>1</v>
      </c>
      <c r="N516" s="28">
        <v>1</v>
      </c>
      <c r="O516" s="38"/>
      <c r="P516" s="35">
        <v>1</v>
      </c>
      <c r="Q516" s="34"/>
      <c r="R516" s="34"/>
      <c r="S516" s="34"/>
      <c r="T516" s="34"/>
      <c r="U516" s="35">
        <v>1</v>
      </c>
      <c r="V516" s="35">
        <v>1</v>
      </c>
      <c r="W516" s="29" t="s">
        <v>164</v>
      </c>
      <c r="X516" s="28">
        <v>24</v>
      </c>
      <c r="Y516" s="28">
        <v>1</v>
      </c>
      <c r="Z516" s="28">
        <v>2</v>
      </c>
      <c r="AA516" s="28">
        <v>3</v>
      </c>
      <c r="AB516" s="28">
        <v>1</v>
      </c>
      <c r="AC516" s="28">
        <v>2</v>
      </c>
      <c r="AD516" s="28">
        <v>1</v>
      </c>
      <c r="AE516" s="28">
        <v>4</v>
      </c>
      <c r="AF516" s="28">
        <v>3</v>
      </c>
      <c r="AG516" s="28">
        <v>2</v>
      </c>
      <c r="AH516" s="29" t="s">
        <v>154</v>
      </c>
      <c r="AI516" s="36">
        <f>IF(OR(AND(K516&lt;32, J516&lt;2), O516=1, P516=1, Q516=1, R516=1, S516=1, T516=1, U516=1, AND(W516&lt;&gt;"", W516&lt;&gt;"Oxygen", W516&lt;&gt;"LowFlow")), "Intensive", "Intermediate")</f>
      </c>
      <c r="AJ516" s="37">
        <f>IF(OR(LEFT(AH516, 1)="X", LEFT(AH516, 1)="Y", LEFT(AH516, 3)="J0M"), "CUSM", "No Match")</f>
      </c>
      <c r="AK516" s="37">
        <f>IF(AND(OR(O516=3, P516=1, Q516=1, T516=1), AJ516="no Match"), "CUSM, CHU SJ, CHUQ", "")</f>
      </c>
      <c r="AL516" s="37">
        <f>IF(AND(O516=2, ISBLANK(P516), ISBLANK(Q516), ISBLANK(R516), ISBLANK(S516), ISBLANK(T516)), "CUSM, CHU SJ, CHUS, CHUQ", "")</f>
      </c>
      <c r="AM516" s="37">
        <f>IF(AND(AJ516="no match", AK516="", AL516="", K516&lt;26), "CUSM, CHU SJ, HGJ, CHUQ, CHUS", "")</f>
      </c>
      <c r="AN516" s="37">
        <f>IF(AND(AJ516="no match", AK516="", AL516="", K516&gt;26), "CUSM, CHU SJ, HGJ, CHUQ, CHUS, HMR", "")</f>
      </c>
    </row>
    <row x14ac:dyDescent="0.25" r="517" customHeight="1" ht="17.25">
      <c r="A517" s="41" t="s">
        <v>1107</v>
      </c>
      <c r="B517" s="28">
        <v>2</v>
      </c>
      <c r="C517" s="28">
        <v>734</v>
      </c>
      <c r="D517" s="29" t="s">
        <v>264</v>
      </c>
      <c r="E517" s="30" t="s">
        <v>54</v>
      </c>
      <c r="F517" s="31">
        <v>44840</v>
      </c>
      <c r="G517" s="32">
        <v>4.243055555555555</v>
      </c>
      <c r="H517" s="31">
        <v>44840</v>
      </c>
      <c r="I517" s="32">
        <v>4.098611111111111</v>
      </c>
      <c r="J517" s="33">
        <f>F517-H517</f>
      </c>
      <c r="K517" s="28">
        <v>39</v>
      </c>
      <c r="L517" s="28">
        <v>5</v>
      </c>
      <c r="M517" s="28">
        <v>1</v>
      </c>
      <c r="N517" s="35">
        <v>1</v>
      </c>
      <c r="O517" s="34"/>
      <c r="P517" s="35">
        <v>1</v>
      </c>
      <c r="Q517" s="34"/>
      <c r="R517" s="34"/>
      <c r="S517" s="34"/>
      <c r="T517" s="35">
        <v>1</v>
      </c>
      <c r="U517" s="35">
        <v>1</v>
      </c>
      <c r="V517" s="35">
        <v>1</v>
      </c>
      <c r="W517" s="29" t="s">
        <v>74</v>
      </c>
      <c r="X517" s="28">
        <v>32</v>
      </c>
      <c r="Y517" s="28">
        <v>1</v>
      </c>
      <c r="Z517" s="28">
        <v>2</v>
      </c>
      <c r="AA517" s="28">
        <v>2</v>
      </c>
      <c r="AB517" s="28">
        <v>1</v>
      </c>
      <c r="AC517" s="28">
        <v>2</v>
      </c>
      <c r="AD517" s="28">
        <v>1</v>
      </c>
      <c r="AE517" s="28">
        <v>4</v>
      </c>
      <c r="AF517" s="28">
        <v>2</v>
      </c>
      <c r="AG517" s="28">
        <v>2</v>
      </c>
      <c r="AH517" s="29" t="s">
        <v>1108</v>
      </c>
      <c r="AI517" s="36">
        <f>IF(OR(AND(K517&lt;32, J517&lt;2), O517=1, P517=1, Q517=1, R517=1, S517=1, T517=1, U517=1, AND(W517&lt;&gt;"", W517&lt;&gt;"Oxygen", W517&lt;&gt;"LowFlow")), "Intensive", "Intermediate")</f>
      </c>
      <c r="AJ517" s="37">
        <f>IF(OR(LEFT(AH517, 1)="X", LEFT(AH517, 1)="Y", LEFT(AH517, 3)="J1M"), "CUSM", "No Match")</f>
      </c>
      <c r="AK517" s="37">
        <f>IF(AND(OR(O517=3, P517=1, Q517=1, T517=1), AJ517="no Match"), "CUSM, CHU SJ, CHUQ", "")</f>
      </c>
      <c r="AL517" s="37">
        <f>IF(AND(O517=2, ISBLANK(P517), ISBLANK(Q517), ISBLANK(R517), ISBLANK(S517), ISBLANK(T517)), "CUSM, CHU SJ, CHUS, CHUQ", "")</f>
      </c>
      <c r="AM517" s="37">
        <f>IF(AND(AJ517="no match", AK517="", AL517="", K517&lt;26), "CUSM, CHU SJ, HGJ, CHUQ, CHUS", "")</f>
      </c>
      <c r="AN517" s="37">
        <f>IF(AND(AJ517="no match", AK517="", AL517="", K517&gt;26), "CUSM, CHU SJ, HGJ, CHUQ, CHUS, HMR", "")</f>
      </c>
    </row>
    <row x14ac:dyDescent="0.25" r="518" customHeight="1" ht="17.25">
      <c r="A518" s="41" t="s">
        <v>1109</v>
      </c>
      <c r="B518" s="28">
        <v>2</v>
      </c>
      <c r="C518" s="28">
        <v>822</v>
      </c>
      <c r="D518" s="29" t="s">
        <v>167</v>
      </c>
      <c r="E518" s="30" t="s">
        <v>50</v>
      </c>
      <c r="F518" s="31">
        <v>44840</v>
      </c>
      <c r="G518" s="32">
        <v>4.680555555555555</v>
      </c>
      <c r="H518" s="31">
        <v>44840</v>
      </c>
      <c r="I518" s="32">
        <v>4.461805555555555</v>
      </c>
      <c r="J518" s="33">
        <f>F518-H518</f>
      </c>
      <c r="K518" s="28">
        <v>28</v>
      </c>
      <c r="L518" s="28">
        <v>4</v>
      </c>
      <c r="M518" s="28">
        <v>1</v>
      </c>
      <c r="N518" s="38"/>
      <c r="O518" s="34"/>
      <c r="P518" s="38"/>
      <c r="Q518" s="34"/>
      <c r="R518" s="34"/>
      <c r="S518" s="34"/>
      <c r="T518" s="38"/>
      <c r="U518" s="38"/>
      <c r="V518" s="38"/>
      <c r="W518" s="29" t="s">
        <v>74</v>
      </c>
      <c r="X518" s="28">
        <v>31</v>
      </c>
      <c r="Y518" s="28">
        <v>1</v>
      </c>
      <c r="Z518" s="28">
        <v>1</v>
      </c>
      <c r="AA518" s="28">
        <v>2</v>
      </c>
      <c r="AB518" s="28">
        <v>1</v>
      </c>
      <c r="AC518" s="28">
        <v>1</v>
      </c>
      <c r="AD518" s="28">
        <v>1</v>
      </c>
      <c r="AE518" s="28">
        <v>4</v>
      </c>
      <c r="AF518" s="28">
        <v>3</v>
      </c>
      <c r="AG518" s="28">
        <v>2</v>
      </c>
      <c r="AH518" s="29" t="s">
        <v>1110</v>
      </c>
      <c r="AI518" s="36">
        <f>IF(OR(AND(K518&lt;32, J518&lt;2), O518=1, P518=1, Q518=1, R518=1, S518=1, T518=1, U518=1, AND(W518&lt;&gt;"", W518&lt;&gt;"Oxygen", W518&lt;&gt;"LowFlow")), "Intensive", "Intermediate")</f>
      </c>
      <c r="AJ518" s="37">
        <f>IF(OR(LEFT(AH518, 1)="X", LEFT(AH518, 1)="Y", LEFT(AH518, 3)="J2M"), "CUSM", "No Match")</f>
      </c>
      <c r="AK518" s="37">
        <f>IF(AND(OR(O518=3, P518=1, Q518=1, T518=1), AJ518="no Match"), "CUSM, CHU SJ, CHUQ", "")</f>
      </c>
      <c r="AL518" s="37">
        <f>IF(AND(O518=2, ISBLANK(P518), ISBLANK(Q518), ISBLANK(R518), ISBLANK(S518), ISBLANK(T518)), "CUSM, CHU SJ, CHUS, CHUQ", "")</f>
      </c>
      <c r="AM518" s="37">
        <f>IF(AND(AJ518="no match", AK518="", AL518="", K518&lt;26), "CUSM, CHU SJ, HGJ, CHUQ, CHUS", "")</f>
      </c>
      <c r="AN518" s="37">
        <f>IF(AND(AJ518="no match", AK518="", AL518="", K518&gt;26), "CUSM, CHU SJ, HGJ, CHUQ, CHUS, HMR", "")</f>
      </c>
    </row>
    <row x14ac:dyDescent="0.25" r="519" customHeight="1" ht="17.25">
      <c r="A519" s="41" t="s">
        <v>1111</v>
      </c>
      <c r="B519" s="28">
        <v>2</v>
      </c>
      <c r="C519" s="35">
        <v>817</v>
      </c>
      <c r="D519" s="29" t="s">
        <v>163</v>
      </c>
      <c r="E519" s="30" t="s">
        <v>50</v>
      </c>
      <c r="F519" s="31">
        <v>44840</v>
      </c>
      <c r="G519" s="32">
        <v>4.9625</v>
      </c>
      <c r="H519" s="31">
        <v>44835</v>
      </c>
      <c r="I519" s="32">
        <v>4.165277777777778</v>
      </c>
      <c r="J519" s="33">
        <f>F519-H519</f>
      </c>
      <c r="K519" s="28">
        <v>37</v>
      </c>
      <c r="L519" s="28">
        <v>2</v>
      </c>
      <c r="M519" s="28">
        <v>1</v>
      </c>
      <c r="N519" s="35">
        <v>1</v>
      </c>
      <c r="O519" s="34"/>
      <c r="P519" s="35">
        <v>1</v>
      </c>
      <c r="Q519" s="34"/>
      <c r="R519" s="34"/>
      <c r="S519" s="34"/>
      <c r="T519" s="34"/>
      <c r="U519" s="34"/>
      <c r="V519" s="34"/>
      <c r="W519" s="29"/>
      <c r="X519" s="28">
        <v>30</v>
      </c>
      <c r="Y519" s="28">
        <v>1</v>
      </c>
      <c r="Z519" s="28">
        <v>1</v>
      </c>
      <c r="AA519" s="28">
        <v>3</v>
      </c>
      <c r="AB519" s="28">
        <v>4</v>
      </c>
      <c r="AC519" s="28">
        <v>2</v>
      </c>
      <c r="AD519" s="28">
        <v>2</v>
      </c>
      <c r="AE519" s="28">
        <v>4</v>
      </c>
      <c r="AF519" s="28">
        <v>1</v>
      </c>
      <c r="AG519" s="28">
        <v>2</v>
      </c>
      <c r="AH519" s="29" t="s">
        <v>1112</v>
      </c>
      <c r="AI519" s="36">
        <f>IF(OR(AND(K519&lt;32, J519&lt;2), O519=1, P519=1, Q519=1, R519=1, S519=1, T519=1, U519=1, AND(W519&lt;&gt;"", W519&lt;&gt;"Oxygen", W519&lt;&gt;"LowFlow")), "Intensive", "Intermediate")</f>
      </c>
      <c r="AJ519" s="37">
        <f>IF(OR(LEFT(AH519, 1)="X", LEFT(AH519, 1)="Y", LEFT(AH519, 3)="J3M"), "CUSM", "No Match")</f>
      </c>
      <c r="AK519" s="37">
        <f>IF(AND(OR(O519=3, P519=1, Q519=1, T519=1), AJ519="no Match"), "CUSM, CHU SJ, CHUQ", "")</f>
      </c>
      <c r="AL519" s="37">
        <f>IF(AND(O519=2, ISBLANK(P519), ISBLANK(Q519), ISBLANK(R519), ISBLANK(S519), ISBLANK(T519)), "CUSM, CHU SJ, CHUS, CHUQ", "")</f>
      </c>
      <c r="AM519" s="37">
        <f>IF(AND(AJ519="no match", AK519="", AL519="", K519&lt;26), "CUSM, CHU SJ, HGJ, CHUQ, CHUS", "")</f>
      </c>
      <c r="AN519" s="37">
        <f>IF(AND(AJ519="no match", AK519="", AL519="", K519&gt;26), "CUSM, CHU SJ, HGJ, CHUQ, CHUS, HMR", "")</f>
      </c>
    </row>
    <row x14ac:dyDescent="0.25" r="520" customHeight="1" ht="17.25">
      <c r="A520" s="41" t="s">
        <v>1113</v>
      </c>
      <c r="B520" s="28">
        <v>2</v>
      </c>
      <c r="C520" s="35">
        <v>782</v>
      </c>
      <c r="D520" s="29" t="s">
        <v>95</v>
      </c>
      <c r="E520" s="30" t="s">
        <v>50</v>
      </c>
      <c r="F520" s="31">
        <v>44841</v>
      </c>
      <c r="G520" s="32">
        <v>4.125</v>
      </c>
      <c r="H520" s="31">
        <v>44840</v>
      </c>
      <c r="I520" s="32">
        <v>4.877083333333333</v>
      </c>
      <c r="J520" s="33">
        <f>F520-H520</f>
      </c>
      <c r="K520" s="28">
        <v>35</v>
      </c>
      <c r="L520" s="28">
        <v>3</v>
      </c>
      <c r="M520" s="28">
        <v>2</v>
      </c>
      <c r="N520" s="34"/>
      <c r="O520" s="34"/>
      <c r="P520" s="34"/>
      <c r="Q520" s="34"/>
      <c r="R520" s="34"/>
      <c r="S520" s="34"/>
      <c r="T520" s="34"/>
      <c r="U520" s="34"/>
      <c r="V520" s="34"/>
      <c r="W520" s="29" t="s">
        <v>58</v>
      </c>
      <c r="X520" s="28">
        <v>40</v>
      </c>
      <c r="Y520" s="28">
        <v>1</v>
      </c>
      <c r="Z520" s="28">
        <v>2</v>
      </c>
      <c r="AA520" s="28">
        <v>2</v>
      </c>
      <c r="AB520" s="28">
        <v>1</v>
      </c>
      <c r="AC520" s="28">
        <v>2</v>
      </c>
      <c r="AD520" s="28">
        <v>2</v>
      </c>
      <c r="AE520" s="28">
        <v>4</v>
      </c>
      <c r="AF520" s="28">
        <v>2</v>
      </c>
      <c r="AG520" s="28">
        <v>2</v>
      </c>
      <c r="AH520" s="29" t="s">
        <v>1114</v>
      </c>
      <c r="AI520" s="36">
        <f>IF(OR(AND(K520&lt;32, J520&lt;2), O520=1, P520=1, Q520=1, R520=1, S520=1, T520=1, U520=1, AND(W520&lt;&gt;"", W520&lt;&gt;"Oxygen", W520&lt;&gt;"LowFlow")), "Intensive", "Intermediate")</f>
      </c>
      <c r="AJ520" s="37">
        <f>IF(OR(LEFT(AH520, 1)="X", LEFT(AH520, 1)="Y", LEFT(AH520, 3)="J4M"), "CUSM", "No Match")</f>
      </c>
      <c r="AK520" s="37">
        <f>IF(AND(OR(O520=3, P520=1, Q520=1, T520=1), AJ520="no Match"), "CUSM, CHU SJ, CHUQ", "")</f>
      </c>
      <c r="AL520" s="37">
        <f>IF(AND(O520=2, ISBLANK(P520), ISBLANK(Q520), ISBLANK(R520), ISBLANK(S520), ISBLANK(T520)), "CUSM, CHU SJ, CHUS, CHUQ", "")</f>
      </c>
      <c r="AM520" s="37">
        <f>IF(AND(AJ520="no match", AK520="", AL520="", K520&lt;26), "CUSM, CHU SJ, HGJ, CHUQ, CHUS", "")</f>
      </c>
      <c r="AN520" s="37">
        <f>IF(AND(AJ520="no match", AK520="", AL520="", K520&gt;26), "CUSM, CHU SJ, HGJ, CHUQ, CHUS, HMR", "")</f>
      </c>
    </row>
    <row x14ac:dyDescent="0.25" r="521" customHeight="1" ht="17.25">
      <c r="A521" s="41" t="s">
        <v>1115</v>
      </c>
      <c r="B521" s="28">
        <v>2</v>
      </c>
      <c r="C521" s="28">
        <v>735</v>
      </c>
      <c r="D521" s="29" t="s">
        <v>49</v>
      </c>
      <c r="E521" s="30" t="s">
        <v>50</v>
      </c>
      <c r="F521" s="31">
        <v>44841</v>
      </c>
      <c r="G521" s="32">
        <v>4.569444444444445</v>
      </c>
      <c r="H521" s="31">
        <v>44838</v>
      </c>
      <c r="I521" s="32">
        <v>4.465972222222222</v>
      </c>
      <c r="J521" s="33">
        <f>F521-H521</f>
      </c>
      <c r="K521" s="28">
        <v>37</v>
      </c>
      <c r="L521" s="28">
        <v>0</v>
      </c>
      <c r="M521" s="28">
        <v>1</v>
      </c>
      <c r="N521" s="38"/>
      <c r="O521" s="35">
        <v>2</v>
      </c>
      <c r="P521" s="35">
        <v>1</v>
      </c>
      <c r="Q521" s="34"/>
      <c r="R521" s="34"/>
      <c r="S521" s="34"/>
      <c r="T521" s="38"/>
      <c r="U521" s="34"/>
      <c r="V521" s="34"/>
      <c r="W521" s="29" t="s">
        <v>58</v>
      </c>
      <c r="X521" s="28">
        <v>32</v>
      </c>
      <c r="Y521" s="28">
        <v>1</v>
      </c>
      <c r="Z521" s="28">
        <v>1</v>
      </c>
      <c r="AA521" s="28">
        <v>2</v>
      </c>
      <c r="AB521" s="28">
        <v>4</v>
      </c>
      <c r="AC521" s="28">
        <v>2</v>
      </c>
      <c r="AD521" s="28">
        <v>2</v>
      </c>
      <c r="AE521" s="28">
        <v>4</v>
      </c>
      <c r="AF521" s="28">
        <v>2</v>
      </c>
      <c r="AG521" s="28">
        <v>2</v>
      </c>
      <c r="AH521" s="29" t="s">
        <v>1116</v>
      </c>
      <c r="AI521" s="36">
        <f>IF(OR(AND(K521&lt;32, J521&lt;2), O521=1, P521=1, Q521=1, R521=1, S521=1, T521=1, U521=1, AND(W521&lt;&gt;"", W521&lt;&gt;"Oxygen", W521&lt;&gt;"LowFlow")), "Intensive", "Intermediate")</f>
      </c>
      <c r="AJ521" s="37">
        <f>IF(OR(LEFT(AH521, 1)="X", LEFT(AH521, 1)="Y", LEFT(AH521, 3)="J5M"), "CUSM", "No Match")</f>
      </c>
      <c r="AK521" s="37">
        <f>IF(AND(OR(O521=3, P521=1, Q521=1, T521=1), AJ521="no Match"), "CUSM, CHU SJ, CHUQ", "")</f>
      </c>
      <c r="AL521" s="37">
        <f>IF(AND(O521=2, ISBLANK(P521), ISBLANK(Q521), ISBLANK(R521), ISBLANK(S521), ISBLANK(T521)), "CUSM, CHU SJ, CHUS, CHUQ", "")</f>
      </c>
      <c r="AM521" s="37">
        <f>IF(AND(AJ521="no match", AK521="", AL521="", K521&lt;26), "CUSM, CHU SJ, HGJ, CHUQ, CHUS", "")</f>
      </c>
      <c r="AN521" s="37">
        <f>IF(AND(AJ521="no match", AK521="", AL521="", K521&gt;26), "CUSM, CHU SJ, HGJ, CHUQ, CHUS, HMR", "")</f>
      </c>
    </row>
    <row x14ac:dyDescent="0.25" r="522" customHeight="1" ht="17.25">
      <c r="A522" s="41" t="s">
        <v>1117</v>
      </c>
      <c r="B522" s="28">
        <v>2</v>
      </c>
      <c r="C522" s="35">
        <v>817</v>
      </c>
      <c r="D522" s="29" t="s">
        <v>163</v>
      </c>
      <c r="E522" s="30" t="s">
        <v>54</v>
      </c>
      <c r="F522" s="31">
        <v>44842</v>
      </c>
      <c r="G522" s="32">
        <v>4.611111111111111</v>
      </c>
      <c r="H522" s="31">
        <v>44839</v>
      </c>
      <c r="I522" s="32">
        <v>4.871527777777778</v>
      </c>
      <c r="J522" s="33">
        <f>F522-H522</f>
      </c>
      <c r="K522" s="28">
        <v>41</v>
      </c>
      <c r="L522" s="28">
        <v>0</v>
      </c>
      <c r="M522" s="28">
        <v>3</v>
      </c>
      <c r="N522" s="28">
        <v>1</v>
      </c>
      <c r="O522" s="38"/>
      <c r="P522" s="38"/>
      <c r="Q522" s="34"/>
      <c r="R522" s="34"/>
      <c r="S522" s="34"/>
      <c r="T522" s="34"/>
      <c r="U522" s="34"/>
      <c r="V522" s="34"/>
      <c r="W522" s="29"/>
      <c r="X522" s="28">
        <v>29</v>
      </c>
      <c r="Y522" s="28">
        <v>1</v>
      </c>
      <c r="Z522" s="28">
        <v>2</v>
      </c>
      <c r="AA522" s="28">
        <v>3</v>
      </c>
      <c r="AB522" s="28">
        <v>1</v>
      </c>
      <c r="AC522" s="28">
        <v>2</v>
      </c>
      <c r="AD522" s="28">
        <v>2</v>
      </c>
      <c r="AE522" s="28">
        <v>4</v>
      </c>
      <c r="AF522" s="35">
        <v>1</v>
      </c>
      <c r="AG522" s="28">
        <v>2</v>
      </c>
      <c r="AH522" s="29" t="s">
        <v>1118</v>
      </c>
      <c r="AI522" s="36">
        <f>IF(OR(AND(K522&lt;32, J522&lt;2), O522=1, P522=1, Q522=1, R522=1, S522=1, T522=1, U522=1, AND(W522&lt;&gt;"", W522&lt;&gt;"Oxygen", W522&lt;&gt;"LowFlow")), "Intensive", "Intermediate")</f>
      </c>
      <c r="AJ522" s="37">
        <f>IF(OR(LEFT(AH522, 1)="X", LEFT(AH522, 1)="Y", LEFT(AH522, 3)="J6M"), "CUSM", "No Match")</f>
      </c>
      <c r="AK522" s="37">
        <f>IF(AND(OR(O522=3, P522=1, Q522=1, T522=1), AJ522="no Match"), "CUSM, CHU SJ, CHUQ", "")</f>
      </c>
      <c r="AL522" s="37">
        <f>IF(AND(O522=2, ISBLANK(P522), ISBLANK(Q522), ISBLANK(R522), ISBLANK(S522), ISBLANK(T522)), "CUSM, CHU SJ, CHUS, CHUQ", "")</f>
      </c>
      <c r="AM522" s="37">
        <f>IF(AND(AJ522="no match", AK522="", AL522="", K522&lt;26), "CUSM, CHU SJ, HGJ, CHUQ, CHUS", "")</f>
      </c>
      <c r="AN522" s="37">
        <f>IF(AND(AJ522="no match", AK522="", AL522="", K522&gt;26), "CUSM, CHU SJ, HGJ, CHUQ, CHUS, HMR", "")</f>
      </c>
    </row>
    <row x14ac:dyDescent="0.25" r="523" customHeight="1" ht="17.25">
      <c r="A523" s="41" t="s">
        <v>1119</v>
      </c>
      <c r="B523" s="28">
        <v>2</v>
      </c>
      <c r="C523" s="35">
        <v>735</v>
      </c>
      <c r="D523" s="29" t="s">
        <v>49</v>
      </c>
      <c r="E523" s="30" t="s">
        <v>50</v>
      </c>
      <c r="F523" s="31">
        <v>44842</v>
      </c>
      <c r="G523" s="32">
        <v>4.922916666666667</v>
      </c>
      <c r="H523" s="31">
        <v>44840</v>
      </c>
      <c r="I523" s="32">
        <v>4.253472222222222</v>
      </c>
      <c r="J523" s="33">
        <f>F523-H523</f>
      </c>
      <c r="K523" s="28">
        <v>41</v>
      </c>
      <c r="L523" s="28">
        <v>2</v>
      </c>
      <c r="M523" s="28">
        <v>2</v>
      </c>
      <c r="N523" s="34"/>
      <c r="O523" s="34"/>
      <c r="P523" s="34"/>
      <c r="Q523" s="34"/>
      <c r="R523" s="34"/>
      <c r="S523" s="34"/>
      <c r="T523" s="34"/>
      <c r="U523" s="34"/>
      <c r="V523" s="34"/>
      <c r="W523" s="29"/>
      <c r="X523" s="28">
        <v>19</v>
      </c>
      <c r="Y523" s="28">
        <v>1</v>
      </c>
      <c r="Z523" s="28">
        <v>2</v>
      </c>
      <c r="AA523" s="28">
        <v>2</v>
      </c>
      <c r="AB523" s="28">
        <v>4</v>
      </c>
      <c r="AC523" s="28">
        <v>2</v>
      </c>
      <c r="AD523" s="28">
        <v>2</v>
      </c>
      <c r="AE523" s="28">
        <v>4</v>
      </c>
      <c r="AF523" s="28">
        <v>2</v>
      </c>
      <c r="AG523" s="28">
        <v>2</v>
      </c>
      <c r="AH523" s="29" t="s">
        <v>1120</v>
      </c>
      <c r="AI523" s="36">
        <f>IF(OR(AND(K523&lt;32, J523&lt;2), O523=1, P523=1, Q523=1, R523=1, S523=1, T523=1, U523=1, AND(W523&lt;&gt;"", W523&lt;&gt;"Oxygen", W523&lt;&gt;"LowFlow")), "Intensive", "Intermediate")</f>
      </c>
      <c r="AJ523" s="37">
        <f>IF(OR(LEFT(AH523, 1)="X", LEFT(AH523, 1)="Y", LEFT(AH523, 3)="J7M"), "CUSM", "No Match")</f>
      </c>
      <c r="AK523" s="37">
        <f>IF(AND(OR(O523=3, P523=1, Q523=1, T523=1), AJ523="no Match"), "CUSM, CHU SJ, CHUQ", "")</f>
      </c>
      <c r="AL523" s="37">
        <f>IF(AND(O523=2, ISBLANK(P523), ISBLANK(Q523), ISBLANK(R523), ISBLANK(S523), ISBLANK(T523)), "CUSM, CHU SJ, CHUS, CHUQ", "")</f>
      </c>
      <c r="AM523" s="37">
        <f>IF(AND(AJ523="no match", AK523="", AL523="", K523&lt;26), "CUSM, CHU SJ, HGJ, CHUQ, CHUS", "")</f>
      </c>
      <c r="AN523" s="37">
        <f>IF(AND(AJ523="no match", AK523="", AL523="", K523&gt;26), "CUSM, CHU SJ, HGJ, CHUQ, CHUS, HMR", "")</f>
      </c>
    </row>
    <row x14ac:dyDescent="0.25" r="524" customHeight="1" ht="17.25">
      <c r="A524" s="41" t="s">
        <v>1121</v>
      </c>
      <c r="B524" s="28">
        <v>2</v>
      </c>
      <c r="C524" s="28">
        <v>1019</v>
      </c>
      <c r="D524" s="29" t="s">
        <v>354</v>
      </c>
      <c r="E524" s="30" t="s">
        <v>54</v>
      </c>
      <c r="F524" s="31">
        <v>44843</v>
      </c>
      <c r="G524" s="32">
        <v>4.958333333333334</v>
      </c>
      <c r="H524" s="31">
        <v>44841</v>
      </c>
      <c r="I524" s="32">
        <v>4.823611111111111</v>
      </c>
      <c r="J524" s="33">
        <f>F524-H524</f>
      </c>
      <c r="K524" s="28">
        <v>33</v>
      </c>
      <c r="L524" s="28">
        <v>5</v>
      </c>
      <c r="M524" s="28">
        <v>1</v>
      </c>
      <c r="N524" s="34"/>
      <c r="O524" s="34"/>
      <c r="P524" s="34"/>
      <c r="Q524" s="34"/>
      <c r="R524" s="34"/>
      <c r="S524" s="34"/>
      <c r="T524" s="34"/>
      <c r="U524" s="34"/>
      <c r="V524" s="34"/>
      <c r="W524" s="29" t="s">
        <v>74</v>
      </c>
      <c r="X524" s="28">
        <v>32</v>
      </c>
      <c r="Y524" s="28">
        <v>1</v>
      </c>
      <c r="Z524" s="28">
        <v>2</v>
      </c>
      <c r="AA524" s="28">
        <v>1</v>
      </c>
      <c r="AB524" s="28">
        <v>2</v>
      </c>
      <c r="AC524" s="28">
        <v>2</v>
      </c>
      <c r="AD524" s="28">
        <v>2</v>
      </c>
      <c r="AE524" s="28">
        <v>4</v>
      </c>
      <c r="AF524" s="28">
        <v>2</v>
      </c>
      <c r="AG524" s="28">
        <v>2</v>
      </c>
      <c r="AH524" s="29" t="s">
        <v>1122</v>
      </c>
      <c r="AI524" s="36">
        <f>IF(OR(AND(K524&lt;32, J524&lt;2), O524=1, P524=1, Q524=1, R524=1, S524=1, T524=1, U524=1, AND(W524&lt;&gt;"", W524&lt;&gt;"Oxygen", W524&lt;&gt;"LowFlow")), "Intensive", "Intermediate")</f>
      </c>
      <c r="AJ524" s="37">
        <f>IF(OR(LEFT(AH524, 1)="X", LEFT(AH524, 1)="Y", LEFT(AH524, 3)="J8M"), "CUSM", "No Match")</f>
      </c>
      <c r="AK524" s="37">
        <f>IF(AND(OR(O524=3, P524=1, Q524=1, T524=1), AJ524="no Match"), "CUSM, CHU SJ, CHUQ", "")</f>
      </c>
      <c r="AL524" s="37">
        <f>IF(AND(O524=2, ISBLANK(P524), ISBLANK(Q524), ISBLANK(R524), ISBLANK(S524), ISBLANK(T524)), "CUSM, CHU SJ, CHUS, CHUQ", "")</f>
      </c>
      <c r="AM524" s="37">
        <f>IF(AND(AJ524="no match", AK524="", AL524="", K524&lt;26), "CUSM, CHU SJ, HGJ, CHUQ, CHUS", "")</f>
      </c>
      <c r="AN524" s="37">
        <f>IF(AND(AJ524="no match", AK524="", AL524="", K524&gt;26), "CUSM, CHU SJ, HGJ, CHUQ, CHUS, HMR", "")</f>
      </c>
    </row>
    <row x14ac:dyDescent="0.25" r="525" customHeight="1" ht="17.25">
      <c r="A525" s="41" t="s">
        <v>1123</v>
      </c>
      <c r="B525" s="28">
        <v>2</v>
      </c>
      <c r="C525" s="35">
        <v>825</v>
      </c>
      <c r="D525" s="29" t="s">
        <v>77</v>
      </c>
      <c r="E525" s="30" t="s">
        <v>50</v>
      </c>
      <c r="F525" s="31">
        <v>44843</v>
      </c>
      <c r="G525" s="32">
        <v>4.3</v>
      </c>
      <c r="H525" s="31">
        <v>44841</v>
      </c>
      <c r="I525" s="32">
        <v>4.500694444444445</v>
      </c>
      <c r="J525" s="33">
        <f>F525-H525</f>
      </c>
      <c r="K525" s="28">
        <v>38</v>
      </c>
      <c r="L525" s="28">
        <v>6</v>
      </c>
      <c r="M525" s="28">
        <v>1</v>
      </c>
      <c r="N525" s="35">
        <v>1</v>
      </c>
      <c r="O525" s="34"/>
      <c r="P525" s="34"/>
      <c r="Q525" s="35">
        <v>1</v>
      </c>
      <c r="R525" s="34"/>
      <c r="S525" s="34"/>
      <c r="T525" s="34"/>
      <c r="U525" s="34"/>
      <c r="V525" s="34"/>
      <c r="W525" s="29" t="s">
        <v>58</v>
      </c>
      <c r="X525" s="28">
        <v>37</v>
      </c>
      <c r="Y525" s="28">
        <v>1</v>
      </c>
      <c r="Z525" s="28">
        <v>2</v>
      </c>
      <c r="AA525" s="28">
        <v>1</v>
      </c>
      <c r="AB525" s="28">
        <v>3</v>
      </c>
      <c r="AC525" s="28">
        <v>2</v>
      </c>
      <c r="AD525" s="28">
        <v>2</v>
      </c>
      <c r="AE525" s="28">
        <v>4</v>
      </c>
      <c r="AF525" s="28">
        <v>2</v>
      </c>
      <c r="AG525" s="28">
        <v>2</v>
      </c>
      <c r="AH525" s="29" t="s">
        <v>1124</v>
      </c>
      <c r="AI525" s="36">
        <f>IF(OR(AND(K525&lt;32, J525&lt;2), O525=1, P525=1, Q525=1, R525=1, S525=1, T525=1, U525=1, AND(W525&lt;&gt;"", W525&lt;&gt;"Oxygen", W525&lt;&gt;"LowFlow")), "Intensive", "Intermediate")</f>
      </c>
      <c r="AJ525" s="37">
        <f>IF(OR(LEFT(AH525, 1)="X", LEFT(AH525, 1)="Y", LEFT(AH525, 3)="J9M"), "CUSM", "No Match")</f>
      </c>
      <c r="AK525" s="37">
        <f>IF(AND(OR(O525=3, P525=1, Q525=1, T525=1), AJ525="no Match"), "CUSM, CHU SJ, CHUQ", "")</f>
      </c>
      <c r="AL525" s="37">
        <f>IF(AND(O525=2, ISBLANK(P525), ISBLANK(Q525), ISBLANK(R525), ISBLANK(S525), ISBLANK(T525)), "CUSM, CHU SJ, CHUS, CHUQ", "")</f>
      </c>
      <c r="AM525" s="37">
        <f>IF(AND(AJ525="no match", AK525="", AL525="", K525&lt;26), "CUSM, CHU SJ, HGJ, CHUQ, CHUS", "")</f>
      </c>
      <c r="AN525" s="37">
        <f>IF(AND(AJ525="no match", AK525="", AL525="", K525&gt;26), "CUSM, CHU SJ, HGJ, CHUQ, CHUS, HMR", "")</f>
      </c>
    </row>
    <row x14ac:dyDescent="0.25" r="526" customHeight="1" ht="17.25">
      <c r="A526" s="41" t="s">
        <v>1125</v>
      </c>
      <c r="B526" s="28">
        <v>2</v>
      </c>
      <c r="C526" s="35">
        <v>820</v>
      </c>
      <c r="D526" s="29" t="s">
        <v>69</v>
      </c>
      <c r="E526" s="30" t="s">
        <v>54</v>
      </c>
      <c r="F526" s="31">
        <v>44844</v>
      </c>
      <c r="G526" s="32">
        <v>4.614583333333334</v>
      </c>
      <c r="H526" s="31">
        <v>44844</v>
      </c>
      <c r="I526" s="32">
        <v>4.352083333333333</v>
      </c>
      <c r="J526" s="33">
        <f>F526-H526</f>
      </c>
      <c r="K526" s="28">
        <v>36</v>
      </c>
      <c r="L526" s="28">
        <v>6</v>
      </c>
      <c r="M526" s="28">
        <v>1</v>
      </c>
      <c r="N526" s="34"/>
      <c r="O526" s="34"/>
      <c r="P526" s="34"/>
      <c r="Q526" s="34"/>
      <c r="R526" s="34"/>
      <c r="S526" s="34"/>
      <c r="T526" s="34"/>
      <c r="U526" s="34"/>
      <c r="V526" s="34"/>
      <c r="W526" s="29" t="s">
        <v>74</v>
      </c>
      <c r="X526" s="28">
        <v>32</v>
      </c>
      <c r="Y526" s="28">
        <v>1</v>
      </c>
      <c r="Z526" s="28">
        <v>1</v>
      </c>
      <c r="AA526" s="28">
        <v>3</v>
      </c>
      <c r="AB526" s="28">
        <v>4</v>
      </c>
      <c r="AC526" s="28">
        <v>2</v>
      </c>
      <c r="AD526" s="28">
        <v>1</v>
      </c>
      <c r="AE526" s="28">
        <v>4</v>
      </c>
      <c r="AF526" s="28">
        <v>3</v>
      </c>
      <c r="AG526" s="28">
        <v>2</v>
      </c>
      <c r="AH526" s="29" t="s">
        <v>1126</v>
      </c>
      <c r="AI526" s="36">
        <f>IF(OR(AND(K526&lt;32, J526&lt;2), O526=1, P526=1, Q526=1, R526=1, S526=1, T526=1, U526=1, AND(W526&lt;&gt;"", W526&lt;&gt;"Oxygen", W526&lt;&gt;"LowFlow")), "Intensive", "Intermediate")</f>
      </c>
      <c r="AJ526" s="37">
        <f>IF(OR(LEFT(AH526, 1)="X", LEFT(AH526, 1)="Y", LEFT(AH526, 3)="J10M"), "CUSM", "No Match")</f>
      </c>
      <c r="AK526" s="37">
        <f>IF(AND(OR(O526=3, P526=1, Q526=1, T526=1), AJ526="no Match"), "CUSM, CHU SJ, CHUQ", "")</f>
      </c>
      <c r="AL526" s="37">
        <f>IF(AND(O526=2, ISBLANK(P526), ISBLANK(Q526), ISBLANK(R526), ISBLANK(S526), ISBLANK(T526)), "CUSM, CHU SJ, CHUS, CHUQ", "")</f>
      </c>
      <c r="AM526" s="37">
        <f>IF(AND(AJ526="no match", AK526="", AL526="", K526&lt;26), "CUSM, CHU SJ, HGJ, CHUQ, CHUS", "")</f>
      </c>
      <c r="AN526" s="37">
        <f>IF(AND(AJ526="no match", AK526="", AL526="", K526&gt;26), "CUSM, CHU SJ, HGJ, CHUQ, CHUS, HMR", "")</f>
      </c>
    </row>
    <row x14ac:dyDescent="0.25" r="527" customHeight="1" ht="17.25">
      <c r="A527" s="41" t="s">
        <v>1127</v>
      </c>
      <c r="B527" s="28">
        <v>2</v>
      </c>
      <c r="C527" s="35">
        <v>820</v>
      </c>
      <c r="D527" s="29" t="s">
        <v>69</v>
      </c>
      <c r="E527" s="30" t="s">
        <v>54</v>
      </c>
      <c r="F527" s="31">
        <v>44844</v>
      </c>
      <c r="G527" s="32">
        <v>4.958333333333334</v>
      </c>
      <c r="H527" s="31">
        <v>44841</v>
      </c>
      <c r="I527" s="32">
        <v>4.986805555555556</v>
      </c>
      <c r="J527" s="33">
        <f>F527-H527</f>
      </c>
      <c r="K527" s="28">
        <v>37</v>
      </c>
      <c r="L527" s="28">
        <v>1</v>
      </c>
      <c r="M527" s="28">
        <v>1</v>
      </c>
      <c r="N527" s="28">
        <v>1</v>
      </c>
      <c r="O527" s="34"/>
      <c r="P527" s="34"/>
      <c r="Q527" s="34"/>
      <c r="R527" s="34"/>
      <c r="S527" s="34"/>
      <c r="T527" s="34"/>
      <c r="U527" s="34"/>
      <c r="V527" s="34"/>
      <c r="W527" s="29"/>
      <c r="X527" s="28">
        <v>28</v>
      </c>
      <c r="Y527" s="28">
        <v>1</v>
      </c>
      <c r="Z527" s="28">
        <v>1</v>
      </c>
      <c r="AA527" s="28">
        <v>2</v>
      </c>
      <c r="AB527" s="28">
        <v>1</v>
      </c>
      <c r="AC527" s="28">
        <v>2</v>
      </c>
      <c r="AD527" s="28">
        <v>2</v>
      </c>
      <c r="AE527" s="28">
        <v>4</v>
      </c>
      <c r="AF527" s="28">
        <v>2</v>
      </c>
      <c r="AG527" s="28">
        <v>2</v>
      </c>
      <c r="AH527" s="29" t="s">
        <v>1128</v>
      </c>
      <c r="AI527" s="36">
        <f>IF(OR(AND(K527&lt;32, J527&lt;2), O527=1, P527=1, Q527=1, R527=1, S527=1, T527=1, U527=1, AND(W527&lt;&gt;"", W527&lt;&gt;"Oxygen", W527&lt;&gt;"LowFlow")), "Intensive", "Intermediate")</f>
      </c>
      <c r="AJ527" s="37">
        <f>IF(OR(LEFT(AH527, 1)="X", LEFT(AH527, 1)="Y", LEFT(AH527, 3)="J11M"), "CUSM", "No Match")</f>
      </c>
      <c r="AK527" s="37">
        <f>IF(AND(OR(O527=3, P527=1, Q527=1, T527=1), AJ527="no Match"), "CUSM, CHU SJ, CHUQ", "")</f>
      </c>
      <c r="AL527" s="37">
        <f>IF(AND(O527=2, ISBLANK(P527), ISBLANK(Q527), ISBLANK(R527), ISBLANK(S527), ISBLANK(T527)), "CUSM, CHU SJ, CHUS, CHUQ", "")</f>
      </c>
      <c r="AM527" s="37">
        <f>IF(AND(AJ527="no match", AK527="", AL527="", K527&lt;26), "CUSM, CHU SJ, HGJ, CHUQ, CHUS", "")</f>
      </c>
      <c r="AN527" s="37">
        <f>IF(AND(AJ527="no match", AK527="", AL527="", K527&gt;26), "CUSM, CHU SJ, HGJ, CHUQ, CHUS, HMR", "")</f>
      </c>
    </row>
    <row x14ac:dyDescent="0.25" r="528" customHeight="1" ht="17.25">
      <c r="A528" s="41" t="s">
        <v>1129</v>
      </c>
      <c r="B528" s="28">
        <v>2</v>
      </c>
      <c r="C528" s="28">
        <v>720</v>
      </c>
      <c r="D528" s="29" t="s">
        <v>626</v>
      </c>
      <c r="E528" s="30" t="s">
        <v>54</v>
      </c>
      <c r="F528" s="31">
        <v>44844</v>
      </c>
      <c r="G528" s="32">
        <v>4.445833333333333</v>
      </c>
      <c r="H528" s="31">
        <v>44844</v>
      </c>
      <c r="I528" s="32">
        <v>4.060416666666667</v>
      </c>
      <c r="J528" s="33">
        <f>F528-H528</f>
      </c>
      <c r="K528" s="28">
        <v>31</v>
      </c>
      <c r="L528" s="28">
        <v>3</v>
      </c>
      <c r="M528" s="28">
        <v>2</v>
      </c>
      <c r="N528" s="34"/>
      <c r="O528" s="34"/>
      <c r="P528" s="34"/>
      <c r="Q528" s="34"/>
      <c r="R528" s="34"/>
      <c r="S528" s="34"/>
      <c r="T528" s="34"/>
      <c r="U528" s="34"/>
      <c r="V528" s="34"/>
      <c r="W528" s="29" t="s">
        <v>74</v>
      </c>
      <c r="X528" s="28">
        <v>39</v>
      </c>
      <c r="Y528" s="28">
        <v>1</v>
      </c>
      <c r="Z528" s="28">
        <v>1</v>
      </c>
      <c r="AA528" s="28">
        <v>1</v>
      </c>
      <c r="AB528" s="28">
        <v>1</v>
      </c>
      <c r="AC528" s="28">
        <v>3</v>
      </c>
      <c r="AD528" s="28">
        <v>3</v>
      </c>
      <c r="AE528" s="28">
        <v>4</v>
      </c>
      <c r="AF528" s="28">
        <v>2</v>
      </c>
      <c r="AG528" s="28">
        <v>2</v>
      </c>
      <c r="AH528" s="29" t="s">
        <v>883</v>
      </c>
      <c r="AI528" s="36">
        <f>IF(OR(AND(K528&lt;32, J528&lt;2), O528=1, P528=1, Q528=1, R528=1, S528=1, T528=1, U528=1, AND(W528&lt;&gt;"", W528&lt;&gt;"Oxygen", W528&lt;&gt;"LowFlow")), "Intensive", "Intermediate")</f>
      </c>
      <c r="AJ528" s="37">
        <f>IF(OR(LEFT(AH528, 1)="X", LEFT(AH528, 1)="Y", LEFT(AH528, 3)="J12M"), "CUSM", "No Match")</f>
      </c>
      <c r="AK528" s="37">
        <f>IF(AND(OR(O528=3, P528=1, Q528=1, T528=1), AJ528="no Match"), "CUSM, CHU SJ, CHUQ", "")</f>
      </c>
      <c r="AL528" s="37">
        <f>IF(AND(O528=2, ISBLANK(P528), ISBLANK(Q528), ISBLANK(R528), ISBLANK(S528), ISBLANK(T528)), "CUSM, CHU SJ, CHUS, CHUQ", "")</f>
      </c>
      <c r="AM528" s="37">
        <f>IF(AND(AJ528="no match", AK528="", AL528="", K528&lt;26), "CUSM, CHU SJ, HGJ, CHUQ, CHUS", "")</f>
      </c>
      <c r="AN528" s="37">
        <f>IF(AND(AJ528="no match", AK528="", AL528="", K528&gt;26), "CUSM, CHU SJ, HGJ, CHUQ, CHUS, HMR", "")</f>
      </c>
    </row>
    <row x14ac:dyDescent="0.25" r="529" customHeight="1" ht="17.25">
      <c r="A529" s="41" t="s">
        <v>1130</v>
      </c>
      <c r="B529" s="28">
        <v>2</v>
      </c>
      <c r="C529" s="35">
        <v>735</v>
      </c>
      <c r="D529" s="29" t="s">
        <v>49</v>
      </c>
      <c r="E529" s="30" t="s">
        <v>50</v>
      </c>
      <c r="F529" s="31">
        <v>44844</v>
      </c>
      <c r="G529" s="32">
        <v>4.51875</v>
      </c>
      <c r="H529" s="31">
        <v>44817</v>
      </c>
      <c r="I529" s="32">
        <v>4.520833333333334</v>
      </c>
      <c r="J529" s="33">
        <f>F529-H529</f>
      </c>
      <c r="K529" s="28">
        <v>39</v>
      </c>
      <c r="L529" s="28">
        <v>4</v>
      </c>
      <c r="M529" s="28">
        <v>1</v>
      </c>
      <c r="N529" s="28">
        <v>1</v>
      </c>
      <c r="O529" s="34"/>
      <c r="P529" s="34"/>
      <c r="Q529" s="34"/>
      <c r="R529" s="34"/>
      <c r="S529" s="34"/>
      <c r="T529" s="34"/>
      <c r="U529" s="34"/>
      <c r="V529" s="34"/>
      <c r="W529" s="29" t="s">
        <v>74</v>
      </c>
      <c r="X529" s="28">
        <v>28</v>
      </c>
      <c r="Y529" s="28">
        <v>1</v>
      </c>
      <c r="Z529" s="28">
        <v>1</v>
      </c>
      <c r="AA529" s="28">
        <v>3</v>
      </c>
      <c r="AB529" s="28">
        <v>2</v>
      </c>
      <c r="AC529" s="28">
        <v>2</v>
      </c>
      <c r="AD529" s="28">
        <v>2</v>
      </c>
      <c r="AE529" s="28">
        <v>4</v>
      </c>
      <c r="AF529" s="28">
        <v>3</v>
      </c>
      <c r="AG529" s="28">
        <v>2</v>
      </c>
      <c r="AH529" s="29" t="s">
        <v>1131</v>
      </c>
      <c r="AI529" s="36">
        <f>IF(OR(AND(K529&lt;32, J529&lt;2), O529=1, P529=1, Q529=1, R529=1, S529=1, T529=1, U529=1, AND(W529&lt;&gt;"", W529&lt;&gt;"Oxygen", W529&lt;&gt;"LowFlow")), "Intensive", "Intermediate")</f>
      </c>
      <c r="AJ529" s="37">
        <f>IF(OR(LEFT(AH529, 1)="X", LEFT(AH529, 1)="Y", LEFT(AH529, 3)="J13M"), "CUSM", "No Match")</f>
      </c>
      <c r="AK529" s="37">
        <f>IF(AND(OR(O529=3, P529=1, Q529=1, T529=1), AJ529="no Match"), "CUSM, CHU SJ, CHUQ", "")</f>
      </c>
      <c r="AL529" s="37">
        <f>IF(AND(O529=2, ISBLANK(P529), ISBLANK(Q529), ISBLANK(R529), ISBLANK(S529), ISBLANK(T529)), "CUSM, CHU SJ, CHUS, CHUQ", "")</f>
      </c>
      <c r="AM529" s="37">
        <f>IF(AND(AJ529="no match", AK529="", AL529="", K529&lt;26), "CUSM, CHU SJ, HGJ, CHUQ, CHUS", "")</f>
      </c>
      <c r="AN529" s="37">
        <f>IF(AND(AJ529="no match", AK529="", AL529="", K529&gt;26), "CUSM, CHU SJ, HGJ, CHUQ, CHUS, HMR", "")</f>
      </c>
    </row>
    <row x14ac:dyDescent="0.25" r="530" customHeight="1" ht="17.25">
      <c r="A530" s="41" t="s">
        <v>1132</v>
      </c>
      <c r="B530" s="28">
        <v>2</v>
      </c>
      <c r="C530" s="35">
        <v>812</v>
      </c>
      <c r="D530" s="29" t="s">
        <v>1133</v>
      </c>
      <c r="E530" s="30" t="s">
        <v>118</v>
      </c>
      <c r="F530" s="31">
        <v>44845</v>
      </c>
      <c r="G530" s="32">
        <v>4.9375</v>
      </c>
      <c r="H530" s="31">
        <v>44845</v>
      </c>
      <c r="I530" s="32">
        <v>4.569444444444445</v>
      </c>
      <c r="J530" s="33">
        <f>F530-H530</f>
      </c>
      <c r="K530" s="28">
        <v>38</v>
      </c>
      <c r="L530" s="28">
        <v>2</v>
      </c>
      <c r="M530" s="28">
        <v>1</v>
      </c>
      <c r="N530" s="38"/>
      <c r="O530" s="35">
        <v>2</v>
      </c>
      <c r="P530" s="38"/>
      <c r="Q530" s="34"/>
      <c r="R530" s="34"/>
      <c r="S530" s="34"/>
      <c r="T530" s="35">
        <v>1</v>
      </c>
      <c r="U530" s="34"/>
      <c r="V530" s="35">
        <v>1</v>
      </c>
      <c r="W530" s="29" t="s">
        <v>58</v>
      </c>
      <c r="X530" s="28">
        <v>24</v>
      </c>
      <c r="Y530" s="28">
        <v>1</v>
      </c>
      <c r="Z530" s="28">
        <v>1</v>
      </c>
      <c r="AA530" s="28">
        <v>1</v>
      </c>
      <c r="AB530" s="28">
        <v>1</v>
      </c>
      <c r="AC530" s="28">
        <v>2</v>
      </c>
      <c r="AD530" s="28">
        <v>1</v>
      </c>
      <c r="AE530" s="28">
        <v>4</v>
      </c>
      <c r="AF530" s="28">
        <v>2</v>
      </c>
      <c r="AG530" s="28">
        <v>2</v>
      </c>
      <c r="AH530" s="29" t="s">
        <v>1134</v>
      </c>
      <c r="AI530" s="36">
        <f>IF(OR(AND(K530&lt;32, J530&lt;2), O530=1, P530=1, Q530=1, R530=1, S530=1, T530=1, U530=1, AND(W530&lt;&gt;"", W530&lt;&gt;"Oxygen", W530&lt;&gt;"LowFlow")), "Intensive", "Intermediate")</f>
      </c>
      <c r="AJ530" s="37">
        <f>IF(OR(LEFT(AH530, 1)="X", LEFT(AH530, 1)="Y", LEFT(AH530, 3)="J14M"), "CUSM", "No Match")</f>
      </c>
      <c r="AK530" s="37">
        <f>IF(AND(OR(O530=3, P530=1, Q530=1, T530=1), AJ530="no Match"), "CUSM, CHU SJ, CHUQ", "")</f>
      </c>
      <c r="AL530" s="37">
        <f>IF(AND(O530=2, ISBLANK(P530), ISBLANK(Q530), ISBLANK(R530), ISBLANK(S530), ISBLANK(T530)), "CUSM, CHU SJ, CHUS, CHUQ", "")</f>
      </c>
      <c r="AM530" s="37">
        <f>IF(AND(AJ530="no match", AK530="", AL530="", K530&lt;26), "CUSM, CHU SJ, HGJ, CHUQ, CHUS", "")</f>
      </c>
      <c r="AN530" s="37">
        <f>IF(AND(AJ530="no match", AK530="", AL530="", K530&gt;26), "CUSM, CHU SJ, HGJ, CHUQ, CHUS, HMR", "")</f>
      </c>
    </row>
    <row x14ac:dyDescent="0.25" r="531" customHeight="1" ht="17.25">
      <c r="A531" s="41" t="s">
        <v>1135</v>
      </c>
      <c r="B531" s="28">
        <v>2</v>
      </c>
      <c r="C531" s="35">
        <v>756</v>
      </c>
      <c r="D531" s="29" t="s">
        <v>66</v>
      </c>
      <c r="E531" s="30" t="s">
        <v>50</v>
      </c>
      <c r="F531" s="31">
        <v>44845</v>
      </c>
      <c r="G531" s="32">
        <v>4.510416666666666</v>
      </c>
      <c r="H531" s="31">
        <v>44838</v>
      </c>
      <c r="I531" s="32">
        <v>4.649305555555555</v>
      </c>
      <c r="J531" s="33">
        <f>F531-H531</f>
      </c>
      <c r="K531" s="28">
        <v>40</v>
      </c>
      <c r="L531" s="28">
        <v>3</v>
      </c>
      <c r="M531" s="28">
        <v>1</v>
      </c>
      <c r="N531" s="34"/>
      <c r="O531" s="34"/>
      <c r="P531" s="34"/>
      <c r="Q531" s="34"/>
      <c r="R531" s="34"/>
      <c r="S531" s="34"/>
      <c r="T531" s="34"/>
      <c r="U531" s="34"/>
      <c r="V531" s="34"/>
      <c r="W531" s="29"/>
      <c r="X531" s="28">
        <v>24</v>
      </c>
      <c r="Y531" s="28">
        <v>1</v>
      </c>
      <c r="Z531" s="28">
        <v>2</v>
      </c>
      <c r="AA531" s="28">
        <v>3</v>
      </c>
      <c r="AB531" s="28">
        <v>1</v>
      </c>
      <c r="AC531" s="28">
        <v>2</v>
      </c>
      <c r="AD531" s="28">
        <v>2</v>
      </c>
      <c r="AE531" s="28">
        <v>4</v>
      </c>
      <c r="AF531" s="35">
        <v>3</v>
      </c>
      <c r="AG531" s="28">
        <v>2</v>
      </c>
      <c r="AH531" s="29" t="s">
        <v>394</v>
      </c>
      <c r="AI531" s="36">
        <f>IF(OR(AND(K531&lt;32, J531&lt;2), O531=1, P531=1, Q531=1, R531=1, S531=1, T531=1, U531=1, AND(W531&lt;&gt;"", W531&lt;&gt;"Oxygen", W531&lt;&gt;"LowFlow")), "Intensive", "Intermediate")</f>
      </c>
      <c r="AJ531" s="37">
        <f>IF(OR(LEFT(AH531, 1)="X", LEFT(AH531, 1)="Y", LEFT(AH531, 3)="J15M"), "CUSM", "No Match")</f>
      </c>
      <c r="AK531" s="37">
        <f>IF(AND(OR(O531=3, P531=1, Q531=1, T531=1), AJ531="no Match"), "CUSM, CHU SJ, CHUQ", "")</f>
      </c>
      <c r="AL531" s="37">
        <f>IF(AND(O531=2, ISBLANK(P531), ISBLANK(Q531), ISBLANK(R531), ISBLANK(S531), ISBLANK(T531)), "CUSM, CHU SJ, CHUS, CHUQ", "")</f>
      </c>
      <c r="AM531" s="37">
        <f>IF(AND(AJ531="no match", AK531="", AL531="", K531&lt;26), "CUSM, CHU SJ, HGJ, CHUQ, CHUS", "")</f>
      </c>
      <c r="AN531" s="37">
        <f>IF(AND(AJ531="no match", AK531="", AL531="", K531&gt;26), "CUSM, CHU SJ, HGJ, CHUQ, CHUS, HMR", "")</f>
      </c>
    </row>
    <row x14ac:dyDescent="0.25" r="532" customHeight="1" ht="17.25">
      <c r="A532" s="41" t="s">
        <v>1136</v>
      </c>
      <c r="B532" s="28">
        <v>2</v>
      </c>
      <c r="C532" s="28">
        <v>2</v>
      </c>
      <c r="D532" s="29" t="s">
        <v>269</v>
      </c>
      <c r="E532" s="30" t="s">
        <v>50</v>
      </c>
      <c r="F532" s="31">
        <v>44845</v>
      </c>
      <c r="G532" s="32">
        <v>4.552083333333334</v>
      </c>
      <c r="H532" s="31">
        <v>44845</v>
      </c>
      <c r="I532" s="32">
        <v>4.290277777777778</v>
      </c>
      <c r="J532" s="33">
        <f>F532-H532</f>
      </c>
      <c r="K532" s="28">
        <v>41</v>
      </c>
      <c r="L532" s="28">
        <v>1</v>
      </c>
      <c r="M532" s="28">
        <v>1</v>
      </c>
      <c r="N532" s="34"/>
      <c r="O532" s="34"/>
      <c r="P532" s="34"/>
      <c r="Q532" s="34"/>
      <c r="R532" s="34"/>
      <c r="S532" s="34"/>
      <c r="T532" s="34"/>
      <c r="U532" s="34"/>
      <c r="V532" s="34"/>
      <c r="W532" s="29" t="s">
        <v>58</v>
      </c>
      <c r="X532" s="28">
        <v>19</v>
      </c>
      <c r="Y532" s="28">
        <v>1</v>
      </c>
      <c r="Z532" s="28">
        <v>1</v>
      </c>
      <c r="AA532" s="28">
        <v>2</v>
      </c>
      <c r="AB532" s="28">
        <v>1</v>
      </c>
      <c r="AC532" s="28">
        <v>2</v>
      </c>
      <c r="AD532" s="28">
        <v>2</v>
      </c>
      <c r="AE532" s="28">
        <v>4</v>
      </c>
      <c r="AF532" s="28">
        <v>2</v>
      </c>
      <c r="AG532" s="28">
        <v>2</v>
      </c>
      <c r="AH532" s="29" t="s">
        <v>1137</v>
      </c>
      <c r="AI532" s="36">
        <f>IF(OR(AND(K532&lt;32, J532&lt;2), O532=1, P532=1, Q532=1, R532=1, S532=1, T532=1, U532=1, AND(W532&lt;&gt;"", W532&lt;&gt;"Oxygen", W532&lt;&gt;"LowFlow")), "Intensive", "Intermediate")</f>
      </c>
      <c r="AJ532" s="37">
        <f>IF(OR(LEFT(AH532, 1)="X", LEFT(AH532, 1)="Y", LEFT(AH532, 3)="J16M"), "CUSM", "No Match")</f>
      </c>
      <c r="AK532" s="37">
        <f>IF(AND(OR(O532=3, P532=1, Q532=1, T532=1), AJ532="no Match"), "CUSM, CHU SJ, CHUQ", "")</f>
      </c>
      <c r="AL532" s="37">
        <f>IF(AND(O532=2, ISBLANK(P532), ISBLANK(Q532), ISBLANK(R532), ISBLANK(S532), ISBLANK(T532)), "CUSM, CHU SJ, CHUS, CHUQ", "")</f>
      </c>
      <c r="AM532" s="37">
        <f>IF(AND(AJ532="no match", AK532="", AL532="", K532&lt;26), "CUSM, CHU SJ, HGJ, CHUQ, CHUS", "")</f>
      </c>
      <c r="AN532" s="37">
        <f>IF(AND(AJ532="no match", AK532="", AL532="", K532&gt;26), "CUSM, CHU SJ, HGJ, CHUQ, CHUS, HMR", "")</f>
      </c>
    </row>
    <row x14ac:dyDescent="0.25" r="533" customHeight="1" ht="17.25">
      <c r="A533" s="41" t="s">
        <v>1138</v>
      </c>
      <c r="B533" s="28">
        <v>2</v>
      </c>
      <c r="C533" s="35">
        <v>817</v>
      </c>
      <c r="D533" s="29" t="s">
        <v>163</v>
      </c>
      <c r="E533" s="30" t="s">
        <v>50</v>
      </c>
      <c r="F533" s="31">
        <v>44846</v>
      </c>
      <c r="G533" s="32">
        <v>4.105555555555556</v>
      </c>
      <c r="H533" s="31">
        <v>44840</v>
      </c>
      <c r="I533" s="32">
        <v>4.853472222222223</v>
      </c>
      <c r="J533" s="33">
        <f>F533-H533</f>
      </c>
      <c r="K533" s="28">
        <v>37</v>
      </c>
      <c r="L533" s="28">
        <v>1</v>
      </c>
      <c r="M533" s="28">
        <v>2</v>
      </c>
      <c r="N533" s="34"/>
      <c r="O533" s="34"/>
      <c r="P533" s="34"/>
      <c r="Q533" s="34"/>
      <c r="R533" s="34"/>
      <c r="S533" s="34"/>
      <c r="T533" s="34"/>
      <c r="U533" s="34"/>
      <c r="V533" s="34"/>
      <c r="W533" s="29"/>
      <c r="X533" s="28">
        <v>25</v>
      </c>
      <c r="Y533" s="28">
        <v>1</v>
      </c>
      <c r="Z533" s="28">
        <v>2</v>
      </c>
      <c r="AA533" s="28">
        <v>1</v>
      </c>
      <c r="AB533" s="28">
        <v>1</v>
      </c>
      <c r="AC533" s="28">
        <v>2</v>
      </c>
      <c r="AD533" s="28">
        <v>2</v>
      </c>
      <c r="AE533" s="28">
        <v>4</v>
      </c>
      <c r="AF533" s="28">
        <v>1</v>
      </c>
      <c r="AG533" s="28">
        <v>2</v>
      </c>
      <c r="AH533" s="29" t="s">
        <v>1139</v>
      </c>
      <c r="AI533" s="36">
        <f>IF(OR(AND(K533&lt;32, J533&lt;2), O533=1, P533=1, Q533=1, R533=1, S533=1, T533=1, U533=1, AND(W533&lt;&gt;"", W533&lt;&gt;"Oxygen", W533&lt;&gt;"LowFlow")), "Intensive", "Intermediate")</f>
      </c>
      <c r="AJ533" s="37">
        <f>IF(OR(LEFT(AH533, 1)="X", LEFT(AH533, 1)="Y", LEFT(AH533, 3)="J17M"), "CUSM", "No Match")</f>
      </c>
      <c r="AK533" s="37">
        <f>IF(AND(OR(O533=3, P533=1, Q533=1, T533=1), AJ533="no Match"), "CUSM, CHU SJ, CHUQ", "")</f>
      </c>
      <c r="AL533" s="37">
        <f>IF(AND(O533=2, ISBLANK(P533), ISBLANK(Q533), ISBLANK(R533), ISBLANK(S533), ISBLANK(T533)), "CUSM, CHU SJ, CHUS, CHUQ", "")</f>
      </c>
      <c r="AM533" s="37">
        <f>IF(AND(AJ533="no match", AK533="", AL533="", K533&lt;26), "CUSM, CHU SJ, HGJ, CHUQ, CHUS", "")</f>
      </c>
      <c r="AN533" s="37">
        <f>IF(AND(AJ533="no match", AK533="", AL533="", K533&gt;26), "CUSM, CHU SJ, HGJ, CHUQ, CHUS, HMR", "")</f>
      </c>
    </row>
    <row x14ac:dyDescent="0.25" r="534" customHeight="1" ht="17.25">
      <c r="A534" s="41" t="s">
        <v>1140</v>
      </c>
      <c r="B534" s="28">
        <v>2</v>
      </c>
      <c r="C534" s="35">
        <v>760</v>
      </c>
      <c r="D534" s="29" t="s">
        <v>557</v>
      </c>
      <c r="E534" s="30" t="s">
        <v>220</v>
      </c>
      <c r="F534" s="31">
        <v>44846</v>
      </c>
      <c r="G534" s="32">
        <v>4.590972222222222</v>
      </c>
      <c r="H534" s="31">
        <v>44845</v>
      </c>
      <c r="I534" s="32">
        <v>4.965972222222222</v>
      </c>
      <c r="J534" s="33">
        <f>F534-H534</f>
      </c>
      <c r="K534" s="28">
        <v>31</v>
      </c>
      <c r="L534" s="28">
        <v>1</v>
      </c>
      <c r="M534" s="28">
        <v>2</v>
      </c>
      <c r="N534" s="38"/>
      <c r="O534" s="34"/>
      <c r="P534" s="38"/>
      <c r="Q534" s="34"/>
      <c r="R534" s="34"/>
      <c r="S534" s="34"/>
      <c r="T534" s="34"/>
      <c r="U534" s="34"/>
      <c r="V534" s="34"/>
      <c r="W534" s="29" t="s">
        <v>164</v>
      </c>
      <c r="X534" s="28">
        <v>25</v>
      </c>
      <c r="Y534" s="28">
        <v>2</v>
      </c>
      <c r="Z534" s="28">
        <v>2</v>
      </c>
      <c r="AA534" s="28">
        <v>1</v>
      </c>
      <c r="AB534" s="28">
        <v>1</v>
      </c>
      <c r="AC534" s="28">
        <v>2</v>
      </c>
      <c r="AD534" s="28">
        <v>2</v>
      </c>
      <c r="AE534" s="28">
        <v>4</v>
      </c>
      <c r="AF534" s="28">
        <v>2</v>
      </c>
      <c r="AG534" s="28">
        <v>2</v>
      </c>
      <c r="AH534" s="29" t="s">
        <v>1141</v>
      </c>
      <c r="AI534" s="36">
        <f>IF(OR(AND(K534&lt;32, J534&lt;2), O534=1, P534=1, Q534=1, R534=1, S534=1, T534=1, U534=1, AND(W534&lt;&gt;"", W534&lt;&gt;"Oxygen", W534&lt;&gt;"LowFlow")), "Intensive", "Intermediate")</f>
      </c>
      <c r="AJ534" s="37">
        <f>IF(OR(LEFT(AH534, 1)="X", LEFT(AH534, 1)="Y", LEFT(AH534, 3)="J18M"), "CUSM", "No Match")</f>
      </c>
      <c r="AK534" s="37">
        <f>IF(AND(OR(O534=3, P534=1, Q534=1, T534=1), AJ534="no Match"), "CUSM, CHU SJ, CHUQ", "")</f>
      </c>
      <c r="AL534" s="37">
        <f>IF(AND(O534=2, ISBLANK(P534), ISBLANK(Q534), ISBLANK(R534), ISBLANK(S534), ISBLANK(T534)), "CUSM, CHU SJ, CHUS, CHUQ", "")</f>
      </c>
      <c r="AM534" s="37">
        <f>IF(AND(AJ534="no match", AK534="", AL534="", K534&lt;26), "CUSM, CHU SJ, HGJ, CHUQ, CHUS", "")</f>
      </c>
      <c r="AN534" s="37">
        <f>IF(AND(AJ534="no match", AK534="", AL534="", K534&gt;26), "CUSM, CHU SJ, HGJ, CHUQ, CHUS, HMR", "")</f>
      </c>
    </row>
    <row x14ac:dyDescent="0.25" r="535" customHeight="1" ht="17.25">
      <c r="A535" s="41" t="s">
        <v>1142</v>
      </c>
      <c r="B535" s="28">
        <v>2</v>
      </c>
      <c r="C535" s="35">
        <v>760</v>
      </c>
      <c r="D535" s="29" t="s">
        <v>557</v>
      </c>
      <c r="E535" s="30" t="s">
        <v>220</v>
      </c>
      <c r="F535" s="31">
        <v>44846</v>
      </c>
      <c r="G535" s="32">
        <v>4.5881944444444445</v>
      </c>
      <c r="H535" s="31">
        <v>44845</v>
      </c>
      <c r="I535" s="32">
        <v>4.966666666666667</v>
      </c>
      <c r="J535" s="33">
        <f>F535-H535</f>
      </c>
      <c r="K535" s="28">
        <v>31</v>
      </c>
      <c r="L535" s="28">
        <v>1</v>
      </c>
      <c r="M535" s="28">
        <v>2</v>
      </c>
      <c r="N535" s="34"/>
      <c r="O535" s="34"/>
      <c r="P535" s="34"/>
      <c r="Q535" s="34"/>
      <c r="R535" s="34"/>
      <c r="S535" s="34"/>
      <c r="T535" s="34"/>
      <c r="U535" s="34"/>
      <c r="V535" s="34"/>
      <c r="W535" s="29" t="s">
        <v>58</v>
      </c>
      <c r="X535" s="28">
        <v>25</v>
      </c>
      <c r="Y535" s="28">
        <v>2</v>
      </c>
      <c r="Z535" s="28">
        <v>2</v>
      </c>
      <c r="AA535" s="28">
        <v>1</v>
      </c>
      <c r="AB535" s="28">
        <v>1</v>
      </c>
      <c r="AC535" s="28">
        <v>2</v>
      </c>
      <c r="AD535" s="28">
        <v>2</v>
      </c>
      <c r="AE535" s="28">
        <v>4</v>
      </c>
      <c r="AF535" s="28">
        <v>3</v>
      </c>
      <c r="AG535" s="28">
        <v>2</v>
      </c>
      <c r="AH535" s="29" t="s">
        <v>1141</v>
      </c>
      <c r="AI535" s="36">
        <f>IF(OR(AND(K535&lt;32, J535&lt;2), O535=1, P535=1, Q535=1, R535=1, S535=1, T535=1, U535=1, AND(W535&lt;&gt;"", W535&lt;&gt;"Oxygen", W535&lt;&gt;"LowFlow")), "Intensive", "Intermediate")</f>
      </c>
      <c r="AJ535" s="37">
        <f>IF(OR(LEFT(AH535, 1)="X", LEFT(AH535, 1)="Y", LEFT(AH535, 3)="J19M"), "CUSM", "No Match")</f>
      </c>
      <c r="AK535" s="37">
        <f>IF(AND(OR(O535=3, P535=1, Q535=1, T535=1), AJ535="no Match"), "CUSM, CHU SJ, CHUQ", "")</f>
      </c>
      <c r="AL535" s="37">
        <f>IF(AND(O535=2, ISBLANK(P535), ISBLANK(Q535), ISBLANK(R535), ISBLANK(S535), ISBLANK(T535)), "CUSM, CHU SJ, CHUS, CHUQ", "")</f>
      </c>
      <c r="AM535" s="37">
        <f>IF(AND(AJ535="no match", AK535="", AL535="", K535&lt;26), "CUSM, CHU SJ, HGJ, CHUQ, CHUS", "")</f>
      </c>
      <c r="AN535" s="37">
        <f>IF(AND(AJ535="no match", AK535="", AL535="", K535&gt;26), "CUSM, CHU SJ, HGJ, CHUQ, CHUS, HMR", "")</f>
      </c>
    </row>
    <row x14ac:dyDescent="0.25" r="536" customHeight="1" ht="17.25">
      <c r="A536" s="41" t="s">
        <v>1143</v>
      </c>
      <c r="B536" s="28">
        <v>2</v>
      </c>
      <c r="C536" s="35">
        <v>831</v>
      </c>
      <c r="D536" s="29" t="s">
        <v>313</v>
      </c>
      <c r="E536" s="30" t="s">
        <v>54</v>
      </c>
      <c r="F536" s="31">
        <v>44848</v>
      </c>
      <c r="G536" s="32">
        <v>4.555555555555555</v>
      </c>
      <c r="H536" s="31">
        <v>44847</v>
      </c>
      <c r="I536" s="32">
        <v>4.351388888888889</v>
      </c>
      <c r="J536" s="33">
        <f>F536-H536</f>
      </c>
      <c r="K536" s="28">
        <v>38</v>
      </c>
      <c r="L536" s="28">
        <v>2</v>
      </c>
      <c r="M536" s="28">
        <v>1</v>
      </c>
      <c r="N536" s="35">
        <v>1</v>
      </c>
      <c r="O536" s="34"/>
      <c r="P536" s="34"/>
      <c r="Q536" s="34"/>
      <c r="R536" s="34"/>
      <c r="S536" s="34"/>
      <c r="T536" s="34"/>
      <c r="U536" s="34"/>
      <c r="V536" s="34"/>
      <c r="W536" s="29" t="s">
        <v>164</v>
      </c>
      <c r="X536" s="28">
        <v>25</v>
      </c>
      <c r="Y536" s="28">
        <v>1</v>
      </c>
      <c r="Z536" s="28">
        <v>1</v>
      </c>
      <c r="AA536" s="28">
        <v>2</v>
      </c>
      <c r="AB536" s="28">
        <v>1</v>
      </c>
      <c r="AC536" s="28">
        <v>3</v>
      </c>
      <c r="AD536" s="28">
        <v>3</v>
      </c>
      <c r="AE536" s="28">
        <v>4</v>
      </c>
      <c r="AF536" s="28">
        <v>2</v>
      </c>
      <c r="AG536" s="28">
        <v>2</v>
      </c>
      <c r="AH536" s="29" t="s">
        <v>1144</v>
      </c>
      <c r="AI536" s="36">
        <f>IF(OR(AND(K536&lt;32, J536&lt;2), O536=1, P536=1, Q536=1, R536=1, S536=1, T536=1, U536=1, AND(W536&lt;&gt;"", W536&lt;&gt;"Oxygen", W536&lt;&gt;"LowFlow")), "Intensive", "Intermediate")</f>
      </c>
      <c r="AJ536" s="37">
        <f>IF(OR(LEFT(AH536, 1)="X", LEFT(AH536, 1)="Y", LEFT(AH536, 3)="J20M"), "CUSM", "No Match")</f>
      </c>
      <c r="AK536" s="37">
        <f>IF(AND(OR(O536=3, P536=1, Q536=1, T536=1), AJ536="no Match"), "CUSM, CHU SJ, CHUQ", "")</f>
      </c>
      <c r="AL536" s="37">
        <f>IF(AND(O536=2, ISBLANK(P536), ISBLANK(Q536), ISBLANK(R536), ISBLANK(S536), ISBLANK(T536)), "CUSM, CHU SJ, CHUS, CHUQ", "")</f>
      </c>
      <c r="AM536" s="37">
        <f>IF(AND(AJ536="no match", AK536="", AL536="", K536&lt;26), "CUSM, CHU SJ, HGJ, CHUQ, CHUS", "")</f>
      </c>
      <c r="AN536" s="37">
        <f>IF(AND(AJ536="no match", AK536="", AL536="", K536&gt;26), "CUSM, CHU SJ, HGJ, CHUQ, CHUS, HMR", "")</f>
      </c>
    </row>
    <row x14ac:dyDescent="0.25" r="537" customHeight="1" ht="17.25">
      <c r="A537" s="41" t="s">
        <v>1145</v>
      </c>
      <c r="B537" s="28">
        <v>2</v>
      </c>
      <c r="C537" s="35">
        <v>820</v>
      </c>
      <c r="D537" s="29" t="s">
        <v>69</v>
      </c>
      <c r="E537" s="30" t="s">
        <v>54</v>
      </c>
      <c r="F537" s="31">
        <v>44848</v>
      </c>
      <c r="G537" s="32">
        <v>4.819444444444445</v>
      </c>
      <c r="H537" s="31">
        <v>44848</v>
      </c>
      <c r="I537" s="32">
        <v>4.547916666666667</v>
      </c>
      <c r="J537" s="33">
        <f>F537-H537</f>
      </c>
      <c r="K537" s="28">
        <v>40</v>
      </c>
      <c r="L537" s="28">
        <v>0</v>
      </c>
      <c r="M537" s="28">
        <v>2</v>
      </c>
      <c r="N537" s="35">
        <v>1</v>
      </c>
      <c r="O537" s="34"/>
      <c r="P537" s="35">
        <v>1</v>
      </c>
      <c r="Q537" s="34"/>
      <c r="R537" s="34"/>
      <c r="S537" s="34"/>
      <c r="T537" s="34"/>
      <c r="U537" s="34"/>
      <c r="V537" s="34"/>
      <c r="W537" s="29"/>
      <c r="X537" s="28">
        <v>20</v>
      </c>
      <c r="Y537" s="28">
        <v>1</v>
      </c>
      <c r="Z537" s="28">
        <v>1</v>
      </c>
      <c r="AA537" s="28">
        <v>2</v>
      </c>
      <c r="AB537" s="28">
        <v>1</v>
      </c>
      <c r="AC537" s="28">
        <v>2</v>
      </c>
      <c r="AD537" s="28">
        <v>2</v>
      </c>
      <c r="AE537" s="28">
        <v>4</v>
      </c>
      <c r="AF537" s="28">
        <v>2</v>
      </c>
      <c r="AG537" s="28">
        <v>2</v>
      </c>
      <c r="AH537" s="29" t="s">
        <v>1146</v>
      </c>
      <c r="AI537" s="36">
        <f>IF(OR(AND(K537&lt;32, J537&lt;2), O537=1, P537=1, Q537=1, R537=1, S537=1, T537=1, U537=1, AND(W537&lt;&gt;"", W537&lt;&gt;"Oxygen", W537&lt;&gt;"LowFlow")), "Intensive", "Intermediate")</f>
      </c>
      <c r="AJ537" s="37">
        <f>IF(OR(LEFT(AH537, 1)="X", LEFT(AH537, 1)="Y", LEFT(AH537, 3)="J21M"), "CUSM", "No Match")</f>
      </c>
      <c r="AK537" s="37">
        <f>IF(AND(OR(O537=3, P537=1, Q537=1, T537=1), AJ537="no Match"), "CUSM, CHU SJ, CHUQ", "")</f>
      </c>
      <c r="AL537" s="37">
        <f>IF(AND(O537=2, ISBLANK(P537), ISBLANK(Q537), ISBLANK(R537), ISBLANK(S537), ISBLANK(T537)), "CUSM, CHU SJ, CHUS, CHUQ", "")</f>
      </c>
      <c r="AM537" s="37">
        <f>IF(AND(AJ537="no match", AK537="", AL537="", K537&lt;26), "CUSM, CHU SJ, HGJ, CHUQ, CHUS", "")</f>
      </c>
      <c r="AN537" s="37">
        <f>IF(AND(AJ537="no match", AK537="", AL537="", K537&gt;26), "CUSM, CHU SJ, HGJ, CHUQ, CHUS, HMR", "")</f>
      </c>
    </row>
    <row x14ac:dyDescent="0.25" r="538" customHeight="1" ht="17.25">
      <c r="A538" s="41" t="s">
        <v>1147</v>
      </c>
      <c r="B538" s="28">
        <v>2</v>
      </c>
      <c r="C538" s="35">
        <v>824</v>
      </c>
      <c r="D538" s="29" t="s">
        <v>57</v>
      </c>
      <c r="E538" s="30" t="s">
        <v>54</v>
      </c>
      <c r="F538" s="31">
        <v>44849</v>
      </c>
      <c r="G538" s="40">
        <v>4.625</v>
      </c>
      <c r="H538" s="31">
        <v>44848</v>
      </c>
      <c r="I538" s="40">
        <v>4.254861111111111</v>
      </c>
      <c r="J538" s="33">
        <f>F538-H538</f>
      </c>
      <c r="K538" s="28">
        <v>36</v>
      </c>
      <c r="L538" s="28">
        <v>6</v>
      </c>
      <c r="M538" s="28">
        <v>1</v>
      </c>
      <c r="N538" s="35">
        <v>1</v>
      </c>
      <c r="O538" s="34"/>
      <c r="P538" s="34"/>
      <c r="Q538" s="34"/>
      <c r="R538" s="34"/>
      <c r="S538" s="34"/>
      <c r="T538" s="34"/>
      <c r="U538" s="34"/>
      <c r="V538" s="34"/>
      <c r="W538" s="29"/>
      <c r="X538" s="35">
        <v>41</v>
      </c>
      <c r="Y538" s="28">
        <v>1</v>
      </c>
      <c r="Z538" s="35">
        <v>1</v>
      </c>
      <c r="AA538" s="35">
        <v>1</v>
      </c>
      <c r="AB538" s="35">
        <v>2</v>
      </c>
      <c r="AC538" s="35">
        <v>2</v>
      </c>
      <c r="AD538" s="35">
        <v>2</v>
      </c>
      <c r="AE538" s="35">
        <v>4</v>
      </c>
      <c r="AF538" s="35">
        <v>2</v>
      </c>
      <c r="AG538" s="35">
        <v>2</v>
      </c>
      <c r="AH538" s="29" t="s">
        <v>1148</v>
      </c>
      <c r="AI538" s="36">
        <f>IF(OR(AND(K538&lt;32, J538&lt;2), O538=1, P538=1, Q538=1, R538=1, S538=1, T538=1, U538=1, AND(W538&lt;&gt;"", W538&lt;&gt;"Oxygen", W538&lt;&gt;"LowFlow")), "Intensive", "Intermediate")</f>
      </c>
      <c r="AJ538" s="37">
        <f>IF(OR(LEFT(AH538, 1)="X", LEFT(AH538, 1)="Y", LEFT(AH538, 3)="J22M"), "CUSM", "No Match")</f>
      </c>
      <c r="AK538" s="37">
        <f>IF(AND(OR(O538=3, P538=1, Q538=1, T538=1), AJ538="no Match"), "CUSM, CHU SJ, CHUQ", "")</f>
      </c>
      <c r="AL538" s="37">
        <f>IF(AND(O538=2, ISBLANK(P538), ISBLANK(Q538), ISBLANK(R538), ISBLANK(S538), ISBLANK(T538)), "CUSM, CHU SJ, CHUS, CHUQ", "")</f>
      </c>
      <c r="AM538" s="37">
        <f>IF(AND(AJ538="no match", AK538="", AL538="", K538&lt;26), "CUSM, CHU SJ, HGJ, CHUQ, CHUS", "")</f>
      </c>
      <c r="AN538" s="37">
        <f>IF(AND(AJ538="no match", AK538="", AL538="", K538&gt;26), "CUSM, CHU SJ, HGJ, CHUQ, CHUS, HMR", "")</f>
      </c>
    </row>
    <row x14ac:dyDescent="0.25" r="539" customHeight="1" ht="17.25">
      <c r="A539" s="41" t="s">
        <v>1149</v>
      </c>
      <c r="B539" s="28">
        <v>2</v>
      </c>
      <c r="C539" s="35">
        <v>737</v>
      </c>
      <c r="D539" s="29" t="s">
        <v>202</v>
      </c>
      <c r="E539" s="30" t="s">
        <v>54</v>
      </c>
      <c r="F539" s="31">
        <v>44849</v>
      </c>
      <c r="G539" s="32">
        <v>4.583333333333334</v>
      </c>
      <c r="H539" s="31">
        <v>44845</v>
      </c>
      <c r="I539" s="32">
        <v>4.030555555555555</v>
      </c>
      <c r="J539" s="33">
        <f>F539-H539</f>
      </c>
      <c r="K539" s="28">
        <v>37</v>
      </c>
      <c r="L539" s="28">
        <v>6</v>
      </c>
      <c r="M539" s="28">
        <v>1</v>
      </c>
      <c r="N539" s="38"/>
      <c r="O539" s="38"/>
      <c r="P539" s="38"/>
      <c r="Q539" s="34"/>
      <c r="R539" s="34"/>
      <c r="S539" s="34"/>
      <c r="T539" s="34"/>
      <c r="U539" s="34"/>
      <c r="V539" s="34"/>
      <c r="W539" s="29"/>
      <c r="X539" s="28">
        <v>29</v>
      </c>
      <c r="Y539" s="28">
        <v>1</v>
      </c>
      <c r="Z539" s="28">
        <v>1</v>
      </c>
      <c r="AA539" s="28">
        <v>3</v>
      </c>
      <c r="AB539" s="28">
        <v>1</v>
      </c>
      <c r="AC539" s="28">
        <v>3</v>
      </c>
      <c r="AD539" s="28">
        <v>3</v>
      </c>
      <c r="AE539" s="28">
        <v>4</v>
      </c>
      <c r="AF539" s="28">
        <v>3</v>
      </c>
      <c r="AG539" s="28">
        <v>3</v>
      </c>
      <c r="AH539" s="29" t="s">
        <v>1150</v>
      </c>
      <c r="AI539" s="36">
        <f>IF(OR(AND(K539&lt;32, J539&lt;2), O539=1, P539=1, Q539=1, R539=1, S539=1, T539=1, U539=1, AND(W539&lt;&gt;"", W539&lt;&gt;"Oxygen", W539&lt;&gt;"LowFlow")), "Intensive", "Intermediate")</f>
      </c>
      <c r="AJ539" s="37">
        <f>IF(OR(LEFT(AH539, 1)="X", LEFT(AH539, 1)="Y", LEFT(AH539, 3)="J23M"), "CUSM", "No Match")</f>
      </c>
      <c r="AK539" s="37">
        <f>IF(AND(OR(O539=3, P539=1, Q539=1, T539=1), AJ539="no Match"), "CUSM, CHU SJ, CHUQ", "")</f>
      </c>
      <c r="AL539" s="37">
        <f>IF(AND(O539=2, ISBLANK(P539), ISBLANK(Q539), ISBLANK(R539), ISBLANK(S539), ISBLANK(T539)), "CUSM, CHU SJ, CHUS, CHUQ", "")</f>
      </c>
      <c r="AM539" s="37">
        <f>IF(AND(AJ539="no match", AK539="", AL539="", K539&lt;26), "CUSM, CHU SJ, HGJ, CHUQ, CHUS", "")</f>
      </c>
      <c r="AN539" s="37">
        <f>IF(AND(AJ539="no match", AK539="", AL539="", K539&gt;26), "CUSM, CHU SJ, HGJ, CHUQ, CHUS, HMR", "")</f>
      </c>
    </row>
    <row x14ac:dyDescent="0.25" r="540" customHeight="1" ht="17.25">
      <c r="A540" s="41" t="s">
        <v>1151</v>
      </c>
      <c r="B540" s="28">
        <v>2</v>
      </c>
      <c r="C540" s="35">
        <v>833</v>
      </c>
      <c r="D540" s="29" t="s">
        <v>376</v>
      </c>
      <c r="E540" s="30" t="s">
        <v>54</v>
      </c>
      <c r="F540" s="31">
        <v>44850</v>
      </c>
      <c r="G540" s="32">
        <v>4.958333333333334</v>
      </c>
      <c r="H540" s="31">
        <v>44847</v>
      </c>
      <c r="I540" s="32">
        <v>4.364583333333334</v>
      </c>
      <c r="J540" s="33">
        <f>F540-H540</f>
      </c>
      <c r="K540" s="28">
        <v>39</v>
      </c>
      <c r="L540" s="28">
        <v>6</v>
      </c>
      <c r="M540" s="28">
        <v>2</v>
      </c>
      <c r="N540" s="34"/>
      <c r="O540" s="34"/>
      <c r="P540" s="34"/>
      <c r="Q540" s="34"/>
      <c r="R540" s="34"/>
      <c r="S540" s="34"/>
      <c r="T540" s="34"/>
      <c r="U540" s="34"/>
      <c r="V540" s="34"/>
      <c r="W540" s="29"/>
      <c r="X540" s="28">
        <v>29</v>
      </c>
      <c r="Y540" s="28">
        <v>1</v>
      </c>
      <c r="Z540" s="28">
        <v>1</v>
      </c>
      <c r="AA540" s="28">
        <v>2</v>
      </c>
      <c r="AB540" s="28">
        <v>4</v>
      </c>
      <c r="AC540" s="28">
        <v>2</v>
      </c>
      <c r="AD540" s="28">
        <v>2</v>
      </c>
      <c r="AE540" s="28">
        <v>4</v>
      </c>
      <c r="AF540" s="28">
        <v>2</v>
      </c>
      <c r="AG540" s="28">
        <v>2</v>
      </c>
      <c r="AH540" s="29" t="s">
        <v>1152</v>
      </c>
      <c r="AI540" s="36">
        <f>IF(OR(AND(K540&lt;32, J540&lt;2), O540=1, P540=1, Q540=1, R540=1, S540=1, T540=1, U540=1, AND(W540&lt;&gt;"", W540&lt;&gt;"Oxygen", W540&lt;&gt;"LowFlow")), "Intensive", "Intermediate")</f>
      </c>
      <c r="AJ540" s="37">
        <f>IF(OR(LEFT(AH540, 1)="X", LEFT(AH540, 1)="Y", LEFT(AH540, 3)="J24M"), "CUSM", "No Match")</f>
      </c>
      <c r="AK540" s="37">
        <f>IF(AND(OR(O540=3, P540=1, Q540=1, T540=1), AJ540="no Match"), "CUSM, CHU SJ, CHUQ", "")</f>
      </c>
      <c r="AL540" s="37">
        <f>IF(AND(O540=2, ISBLANK(P540), ISBLANK(Q540), ISBLANK(R540), ISBLANK(S540), ISBLANK(T540)), "CUSM, CHU SJ, CHUS, CHUQ", "")</f>
      </c>
      <c r="AM540" s="37">
        <f>IF(AND(AJ540="no match", AK540="", AL540="", K540&lt;26), "CUSM, CHU SJ, HGJ, CHUQ, CHUS", "")</f>
      </c>
      <c r="AN540" s="37">
        <f>IF(AND(AJ540="no match", AK540="", AL540="", K540&gt;26), "CUSM, CHU SJ, HGJ, CHUQ, CHUS, HMR", "")</f>
      </c>
    </row>
    <row x14ac:dyDescent="0.25" r="541" customHeight="1" ht="17.25">
      <c r="A541" s="41" t="s">
        <v>1153</v>
      </c>
      <c r="B541" s="28">
        <v>2</v>
      </c>
      <c r="C541" s="35">
        <v>824</v>
      </c>
      <c r="D541" s="29" t="s">
        <v>57</v>
      </c>
      <c r="E541" s="30" t="s">
        <v>50</v>
      </c>
      <c r="F541" s="31">
        <v>44850</v>
      </c>
      <c r="G541" s="32">
        <v>4.548611111111111</v>
      </c>
      <c r="H541" s="31">
        <v>44848</v>
      </c>
      <c r="I541" s="32">
        <v>4.331944444444444</v>
      </c>
      <c r="J541" s="33">
        <f>F541-H541</f>
      </c>
      <c r="K541" s="28">
        <v>41</v>
      </c>
      <c r="L541" s="28">
        <v>4</v>
      </c>
      <c r="M541" s="28">
        <v>2</v>
      </c>
      <c r="N541" s="35">
        <v>1</v>
      </c>
      <c r="O541" s="34"/>
      <c r="P541" s="34"/>
      <c r="Q541" s="34"/>
      <c r="R541" s="34"/>
      <c r="S541" s="34"/>
      <c r="T541" s="34"/>
      <c r="U541" s="34"/>
      <c r="V541" s="34"/>
      <c r="W541" s="29"/>
      <c r="X541" s="28">
        <v>30</v>
      </c>
      <c r="Y541" s="28">
        <v>1</v>
      </c>
      <c r="Z541" s="28">
        <v>2</v>
      </c>
      <c r="AA541" s="28">
        <v>1</v>
      </c>
      <c r="AB541" s="28">
        <v>1</v>
      </c>
      <c r="AC541" s="28">
        <v>2</v>
      </c>
      <c r="AD541" s="28">
        <v>2</v>
      </c>
      <c r="AE541" s="28">
        <v>1</v>
      </c>
      <c r="AF541" s="28">
        <v>1</v>
      </c>
      <c r="AG541" s="28">
        <v>2</v>
      </c>
      <c r="AH541" s="29" t="s">
        <v>1154</v>
      </c>
      <c r="AI541" s="36">
        <f>IF(OR(AND(K541&lt;32, J541&lt;2), O541=1, P541=1, Q541=1, R541=1, S541=1, T541=1, U541=1, AND(W541&lt;&gt;"", W541&lt;&gt;"Oxygen", W541&lt;&gt;"LowFlow")), "Intensive", "Intermediate")</f>
      </c>
      <c r="AJ541" s="37">
        <f>IF(OR(LEFT(AH541, 1)="X", LEFT(AH541, 1)="Y", LEFT(AH541, 3)="J25M"), "CUSM", "No Match")</f>
      </c>
      <c r="AK541" s="37">
        <f>IF(AND(OR(O541=3, P541=1, Q541=1, T541=1), AJ541="no Match"), "CUSM, CHU SJ, CHUQ", "")</f>
      </c>
      <c r="AL541" s="37">
        <f>IF(AND(O541=2, ISBLANK(P541), ISBLANK(Q541), ISBLANK(R541), ISBLANK(S541), ISBLANK(T541)), "CUSM, CHU SJ, CHUS, CHUQ", "")</f>
      </c>
      <c r="AM541" s="37">
        <f>IF(AND(AJ541="no match", AK541="", AL541="", K541&lt;26), "CUSM, CHU SJ, HGJ, CHUQ, CHUS", "")</f>
      </c>
      <c r="AN541" s="37">
        <f>IF(AND(AJ541="no match", AK541="", AL541="", K541&gt;26), "CUSM, CHU SJ, HGJ, CHUQ, CHUS, HMR", "")</f>
      </c>
    </row>
    <row x14ac:dyDescent="0.25" r="542" customHeight="1" ht="17.25">
      <c r="A542" s="41" t="s">
        <v>1155</v>
      </c>
      <c r="B542" s="28">
        <v>2</v>
      </c>
      <c r="C542" s="35">
        <v>796</v>
      </c>
      <c r="D542" s="29" t="s">
        <v>63</v>
      </c>
      <c r="E542" s="30" t="s">
        <v>50</v>
      </c>
      <c r="F542" s="31">
        <v>44850</v>
      </c>
      <c r="G542" s="32">
        <v>4.895833333333334</v>
      </c>
      <c r="H542" s="31">
        <v>44850</v>
      </c>
      <c r="I542" s="32">
        <v>4.654166666666667</v>
      </c>
      <c r="J542" s="33">
        <f>F542-H542</f>
      </c>
      <c r="K542" s="28">
        <v>37</v>
      </c>
      <c r="L542" s="28">
        <v>0</v>
      </c>
      <c r="M542" s="28">
        <v>2</v>
      </c>
      <c r="N542" s="34"/>
      <c r="O542" s="34"/>
      <c r="P542" s="34"/>
      <c r="Q542" s="34"/>
      <c r="R542" s="34"/>
      <c r="S542" s="34"/>
      <c r="T542" s="34"/>
      <c r="U542" s="34"/>
      <c r="V542" s="34"/>
      <c r="W542" s="29"/>
      <c r="X542" s="28">
        <v>21</v>
      </c>
      <c r="Y542" s="28">
        <v>1</v>
      </c>
      <c r="Z542" s="28">
        <v>1</v>
      </c>
      <c r="AA542" s="28">
        <v>1</v>
      </c>
      <c r="AB542" s="28">
        <v>1</v>
      </c>
      <c r="AC542" s="28">
        <v>2</v>
      </c>
      <c r="AD542" s="28">
        <v>2</v>
      </c>
      <c r="AE542" s="28">
        <v>2</v>
      </c>
      <c r="AF542" s="35">
        <v>2</v>
      </c>
      <c r="AG542" s="28">
        <v>2</v>
      </c>
      <c r="AH542" s="29" t="s">
        <v>1156</v>
      </c>
      <c r="AI542" s="36">
        <f>IF(OR(AND(K542&lt;32, J542&lt;2), O542=1, P542=1, Q542=1, R542=1, S542=1, T542=1, U542=1, AND(W542&lt;&gt;"", W542&lt;&gt;"Oxygen", W542&lt;&gt;"LowFlow")), "Intensive", "Intermediate")</f>
      </c>
      <c r="AJ542" s="37">
        <f>IF(OR(LEFT(AH542, 1)="X", LEFT(AH542, 1)="Y", LEFT(AH542, 3)="J26M"), "CUSM", "No Match")</f>
      </c>
      <c r="AK542" s="37">
        <f>IF(AND(OR(O542=3, P542=1, Q542=1, T542=1), AJ542="no Match"), "CUSM, CHU SJ, CHUQ", "")</f>
      </c>
      <c r="AL542" s="37">
        <f>IF(AND(O542=2, ISBLANK(P542), ISBLANK(Q542), ISBLANK(R542), ISBLANK(S542), ISBLANK(T542)), "CUSM, CHU SJ, CHUS, CHUQ", "")</f>
      </c>
      <c r="AM542" s="37">
        <f>IF(AND(AJ542="no match", AK542="", AL542="", K542&lt;26), "CUSM, CHU SJ, HGJ, CHUQ, CHUS", "")</f>
      </c>
      <c r="AN542" s="37">
        <f>IF(AND(AJ542="no match", AK542="", AL542="", K542&gt;26), "CUSM, CHU SJ, HGJ, CHUQ, CHUS, HMR", "")</f>
      </c>
    </row>
    <row x14ac:dyDescent="0.25" r="543" customHeight="1" ht="17.25">
      <c r="A543" s="41" t="s">
        <v>1157</v>
      </c>
      <c r="B543" s="28">
        <v>2</v>
      </c>
      <c r="C543" s="35">
        <v>825</v>
      </c>
      <c r="D543" s="29" t="s">
        <v>77</v>
      </c>
      <c r="E543" s="30" t="s">
        <v>50</v>
      </c>
      <c r="F543" s="31">
        <v>44850</v>
      </c>
      <c r="G543" s="32">
        <v>4.981944444444444</v>
      </c>
      <c r="H543" s="31">
        <v>44850</v>
      </c>
      <c r="I543" s="32">
        <v>4.760416666666666</v>
      </c>
      <c r="J543" s="33">
        <f>F543-H543</f>
      </c>
      <c r="K543" s="28">
        <v>37</v>
      </c>
      <c r="L543" s="28">
        <v>2</v>
      </c>
      <c r="M543" s="28">
        <v>1</v>
      </c>
      <c r="N543" s="35">
        <v>1</v>
      </c>
      <c r="O543" s="34"/>
      <c r="P543" s="34"/>
      <c r="Q543" s="34"/>
      <c r="R543" s="34"/>
      <c r="S543" s="34"/>
      <c r="T543" s="35">
        <v>1</v>
      </c>
      <c r="U543" s="34"/>
      <c r="V543" s="34"/>
      <c r="W543" s="29" t="s">
        <v>58</v>
      </c>
      <c r="X543" s="28">
        <v>32</v>
      </c>
      <c r="Y543" s="28">
        <v>1</v>
      </c>
      <c r="Z543" s="28">
        <v>1</v>
      </c>
      <c r="AA543" s="28">
        <v>2</v>
      </c>
      <c r="AB543" s="28">
        <v>1</v>
      </c>
      <c r="AC543" s="28">
        <v>1</v>
      </c>
      <c r="AD543" s="28">
        <v>1</v>
      </c>
      <c r="AE543" s="28">
        <v>4</v>
      </c>
      <c r="AF543" s="28">
        <v>3</v>
      </c>
      <c r="AG543" s="28">
        <v>2</v>
      </c>
      <c r="AH543" s="29" t="s">
        <v>1158</v>
      </c>
      <c r="AI543" s="36">
        <f>IF(OR(AND(K543&lt;32, J543&lt;2), O543=1, P543=1, Q543=1, R543=1, S543=1, T543=1, U543=1, AND(W543&lt;&gt;"", W543&lt;&gt;"Oxygen", W543&lt;&gt;"LowFlow")), "Intensive", "Intermediate")</f>
      </c>
      <c r="AJ543" s="37">
        <f>IF(OR(LEFT(AH543, 1)="X", LEFT(AH543, 1)="Y", LEFT(AH543, 3)="J27M"), "CUSM", "No Match")</f>
      </c>
      <c r="AK543" s="37">
        <f>IF(AND(OR(O543=3, P543=1, Q543=1, T543=1), AJ543="no Match"), "CUSM, CHU SJ, CHUQ", "")</f>
      </c>
      <c r="AL543" s="37">
        <f>IF(AND(O543=2, ISBLANK(P543), ISBLANK(Q543), ISBLANK(R543), ISBLANK(S543), ISBLANK(T543)), "CUSM, CHU SJ, CHUS, CHUQ", "")</f>
      </c>
      <c r="AM543" s="37">
        <f>IF(AND(AJ543="no match", AK543="", AL543="", K543&lt;26), "CUSM, CHU SJ, HGJ, CHUQ, CHUS", "")</f>
      </c>
      <c r="AN543" s="37">
        <f>IF(AND(AJ543="no match", AK543="", AL543="", K543&gt;26), "CUSM, CHU SJ, HGJ, CHUQ, CHUS, HMR", "")</f>
      </c>
    </row>
    <row x14ac:dyDescent="0.25" r="544" customHeight="1" ht="17.25">
      <c r="A544" s="41" t="s">
        <v>1159</v>
      </c>
      <c r="B544" s="28">
        <v>2</v>
      </c>
      <c r="C544" s="35">
        <v>779</v>
      </c>
      <c r="D544" s="29" t="s">
        <v>136</v>
      </c>
      <c r="E544" s="30" t="s">
        <v>54</v>
      </c>
      <c r="F544" s="31">
        <v>44851</v>
      </c>
      <c r="G544" s="32">
        <v>4.055555555555555</v>
      </c>
      <c r="H544" s="31">
        <v>44850</v>
      </c>
      <c r="I544" s="32">
        <v>4.816666666666666</v>
      </c>
      <c r="J544" s="33">
        <f>F544-H544</f>
      </c>
      <c r="K544" s="28">
        <v>35</v>
      </c>
      <c r="L544" s="28">
        <v>4</v>
      </c>
      <c r="M544" s="28">
        <v>2</v>
      </c>
      <c r="N544" s="34"/>
      <c r="O544" s="38"/>
      <c r="P544" s="34"/>
      <c r="Q544" s="34"/>
      <c r="R544" s="34"/>
      <c r="S544" s="38"/>
      <c r="T544" s="34"/>
      <c r="U544" s="34"/>
      <c r="V544" s="34"/>
      <c r="W544" s="29" t="s">
        <v>58</v>
      </c>
      <c r="X544" s="28">
        <v>36</v>
      </c>
      <c r="Y544" s="28">
        <v>1</v>
      </c>
      <c r="Z544" s="28">
        <v>1</v>
      </c>
      <c r="AA544" s="28">
        <v>1</v>
      </c>
      <c r="AB544" s="28">
        <v>1</v>
      </c>
      <c r="AC544" s="28">
        <v>2</v>
      </c>
      <c r="AD544" s="28">
        <v>2</v>
      </c>
      <c r="AE544" s="28">
        <v>4</v>
      </c>
      <c r="AF544" s="28">
        <v>1</v>
      </c>
      <c r="AG544" s="28">
        <v>2</v>
      </c>
      <c r="AH544" s="29" t="s">
        <v>1160</v>
      </c>
      <c r="AI544" s="36">
        <f>IF(OR(AND(K544&lt;32, J544&lt;2), O544=1, P544=1, Q544=1, R544=1, S544=1, T544=1, U544=1, AND(W544&lt;&gt;"", W544&lt;&gt;"Oxygen", W544&lt;&gt;"LowFlow")), "Intensive", "Intermediate")</f>
      </c>
      <c r="AJ544" s="37">
        <f>IF(OR(LEFT(AH544, 1)="X", LEFT(AH544, 1)="Y", LEFT(AH544, 3)="J28M"), "CUSM", "No Match")</f>
      </c>
      <c r="AK544" s="37">
        <f>IF(AND(OR(O544=3, P544=1, Q544=1, T544=1), AJ544="no Match"), "CUSM, CHU SJ, CHUQ", "")</f>
      </c>
      <c r="AL544" s="37">
        <f>IF(AND(O544=2, ISBLANK(P544), ISBLANK(Q544), ISBLANK(R544), ISBLANK(S544), ISBLANK(T544)), "CUSM, CHU SJ, CHUS, CHUQ", "")</f>
      </c>
      <c r="AM544" s="37">
        <f>IF(AND(AJ544="no match", AK544="", AL544="", K544&lt;26), "CUSM, CHU SJ, HGJ, CHUQ, CHUS", "")</f>
      </c>
      <c r="AN544" s="37">
        <f>IF(AND(AJ544="no match", AK544="", AL544="", K544&gt;26), "CUSM, CHU SJ, HGJ, CHUQ, CHUS, HMR", "")</f>
      </c>
    </row>
    <row x14ac:dyDescent="0.25" r="545" customHeight="1" ht="17.25">
      <c r="A545" s="41" t="s">
        <v>1161</v>
      </c>
      <c r="B545" s="28">
        <v>2</v>
      </c>
      <c r="C545" s="35">
        <v>756</v>
      </c>
      <c r="D545" s="29" t="s">
        <v>66</v>
      </c>
      <c r="E545" s="30" t="s">
        <v>50</v>
      </c>
      <c r="F545" s="31">
        <v>44851</v>
      </c>
      <c r="G545" s="32">
        <v>4.520833333333334</v>
      </c>
      <c r="H545" s="31">
        <v>44851</v>
      </c>
      <c r="I545" s="32">
        <v>4.222916666666666</v>
      </c>
      <c r="J545" s="33">
        <f>F545-H545</f>
      </c>
      <c r="K545" s="28">
        <v>41</v>
      </c>
      <c r="L545" s="28">
        <v>0</v>
      </c>
      <c r="M545" s="28">
        <v>2</v>
      </c>
      <c r="N545" s="35">
        <v>1</v>
      </c>
      <c r="O545" s="34"/>
      <c r="P545" s="34"/>
      <c r="Q545" s="34"/>
      <c r="R545" s="34"/>
      <c r="S545" s="34"/>
      <c r="T545" s="34"/>
      <c r="U545" s="34"/>
      <c r="V545" s="34"/>
      <c r="W545" s="29"/>
      <c r="X545" s="28">
        <v>27</v>
      </c>
      <c r="Y545" s="28">
        <v>1</v>
      </c>
      <c r="Z545" s="28">
        <v>1</v>
      </c>
      <c r="AA545" s="28">
        <v>3</v>
      </c>
      <c r="AB545" s="28">
        <v>1</v>
      </c>
      <c r="AC545" s="28">
        <v>2</v>
      </c>
      <c r="AD545" s="28">
        <v>2</v>
      </c>
      <c r="AE545" s="28">
        <v>2</v>
      </c>
      <c r="AF545" s="28">
        <v>2</v>
      </c>
      <c r="AG545" s="28">
        <v>2</v>
      </c>
      <c r="AH545" s="29" t="s">
        <v>1162</v>
      </c>
      <c r="AI545" s="36">
        <f>IF(OR(AND(K545&lt;32, J545&lt;2), O545=1, P545=1, Q545=1, R545=1, S545=1, T545=1, U545=1, AND(W545&lt;&gt;"", W545&lt;&gt;"Oxygen", W545&lt;&gt;"LowFlow")), "Intensive", "Intermediate")</f>
      </c>
      <c r="AJ545" s="37">
        <f>IF(OR(LEFT(AH545, 1)="X", LEFT(AH545, 1)="Y", LEFT(AH545, 3)="J29M"), "CUSM", "No Match")</f>
      </c>
      <c r="AK545" s="37">
        <f>IF(AND(OR(O545=3, P545=1, Q545=1, T545=1), AJ545="no Match"), "CUSM, CHU SJ, CHUQ", "")</f>
      </c>
      <c r="AL545" s="37">
        <f>IF(AND(O545=2, ISBLANK(P545), ISBLANK(Q545), ISBLANK(R545), ISBLANK(S545), ISBLANK(T545)), "CUSM, CHU SJ, CHUS, CHUQ", "")</f>
      </c>
      <c r="AM545" s="37">
        <f>IF(AND(AJ545="no match", AK545="", AL545="", K545&lt;26), "CUSM, CHU SJ, HGJ, CHUQ, CHUS", "")</f>
      </c>
      <c r="AN545" s="37">
        <f>IF(AND(AJ545="no match", AK545="", AL545="", K545&gt;26), "CUSM, CHU SJ, HGJ, CHUQ, CHUS, HMR", "")</f>
      </c>
    </row>
    <row x14ac:dyDescent="0.25" r="546" customHeight="1" ht="17.25">
      <c r="A546" s="41" t="s">
        <v>1163</v>
      </c>
      <c r="B546" s="28">
        <v>2</v>
      </c>
      <c r="C546" s="35">
        <v>839</v>
      </c>
      <c r="D546" s="29" t="s">
        <v>53</v>
      </c>
      <c r="E546" s="30" t="s">
        <v>50</v>
      </c>
      <c r="F546" s="31">
        <v>44851</v>
      </c>
      <c r="G546" s="32">
        <v>4.784722222222222</v>
      </c>
      <c r="H546" s="31">
        <v>44849</v>
      </c>
      <c r="I546" s="32">
        <v>4.580555555555556</v>
      </c>
      <c r="J546" s="33">
        <f>F546-H546</f>
      </c>
      <c r="K546" s="28">
        <v>35</v>
      </c>
      <c r="L546" s="28">
        <v>6</v>
      </c>
      <c r="M546" s="28">
        <v>1</v>
      </c>
      <c r="N546" s="35">
        <v>1</v>
      </c>
      <c r="O546" s="35">
        <v>2</v>
      </c>
      <c r="P546" s="35">
        <v>1</v>
      </c>
      <c r="Q546" s="34"/>
      <c r="R546" s="34"/>
      <c r="S546" s="34"/>
      <c r="T546" s="34"/>
      <c r="U546" s="34"/>
      <c r="V546" s="34"/>
      <c r="W546" s="29"/>
      <c r="X546" s="28">
        <v>31</v>
      </c>
      <c r="Y546" s="28">
        <v>1</v>
      </c>
      <c r="Z546" s="28">
        <v>2</v>
      </c>
      <c r="AA546" s="28">
        <v>1</v>
      </c>
      <c r="AB546" s="28">
        <v>1</v>
      </c>
      <c r="AC546" s="28">
        <v>2</v>
      </c>
      <c r="AD546" s="28">
        <v>2</v>
      </c>
      <c r="AE546" s="28">
        <v>4</v>
      </c>
      <c r="AF546" s="28">
        <v>3</v>
      </c>
      <c r="AG546" s="28">
        <v>2</v>
      </c>
      <c r="AH546" s="29" t="s">
        <v>1164</v>
      </c>
      <c r="AI546" s="36">
        <f>IF(OR(AND(K546&lt;32, J546&lt;2), O546=1, P546=1, Q546=1, R546=1, S546=1, T546=1, U546=1, AND(W546&lt;&gt;"", W546&lt;&gt;"Oxygen", W546&lt;&gt;"LowFlow")), "Intensive", "Intermediate")</f>
      </c>
      <c r="AJ546" s="37">
        <f>IF(OR(LEFT(AH546, 1)="X", LEFT(AH546, 1)="Y", LEFT(AH546, 3)="J30M"), "CUSM", "No Match")</f>
      </c>
      <c r="AK546" s="37">
        <f>IF(AND(OR(O546=3, P546=1, Q546=1, T546=1), AJ546="no Match"), "CUSM, CHU SJ, CHUQ", "")</f>
      </c>
      <c r="AL546" s="37">
        <f>IF(AND(O546=2, ISBLANK(P546), ISBLANK(Q546), ISBLANK(R546), ISBLANK(S546), ISBLANK(T546)), "CUSM, CHU SJ, CHUS, CHUQ", "")</f>
      </c>
      <c r="AM546" s="37">
        <f>IF(AND(AJ546="no match", AK546="", AL546="", K546&lt;26), "CUSM, CHU SJ, HGJ, CHUQ, CHUS", "")</f>
      </c>
      <c r="AN546" s="37">
        <f>IF(AND(AJ546="no match", AK546="", AL546="", K546&gt;26), "CUSM, CHU SJ, HGJ, CHUQ, CHUS, HMR", "")</f>
      </c>
    </row>
    <row x14ac:dyDescent="0.25" r="547" customHeight="1" ht="17.25">
      <c r="A547" s="41" t="s">
        <v>1165</v>
      </c>
      <c r="B547" s="28">
        <v>2</v>
      </c>
      <c r="C547" s="28">
        <v>831</v>
      </c>
      <c r="D547" s="29" t="s">
        <v>313</v>
      </c>
      <c r="E547" s="30" t="s">
        <v>50</v>
      </c>
      <c r="F547" s="31">
        <v>44852</v>
      </c>
      <c r="G547" s="32">
        <v>4.089583333333334</v>
      </c>
      <c r="H547" s="31">
        <v>44851</v>
      </c>
      <c r="I547" s="32">
        <v>4.954861111111111</v>
      </c>
      <c r="J547" s="33">
        <f>F547-H547</f>
      </c>
      <c r="K547" s="28">
        <v>32</v>
      </c>
      <c r="L547" s="28">
        <v>0</v>
      </c>
      <c r="M547" s="28">
        <v>1</v>
      </c>
      <c r="N547" s="38"/>
      <c r="O547" s="35">
        <v>2</v>
      </c>
      <c r="P547" s="38"/>
      <c r="Q547" s="34"/>
      <c r="R547" s="34"/>
      <c r="S547" s="34"/>
      <c r="T547" s="34"/>
      <c r="U547" s="38"/>
      <c r="V547" s="38"/>
      <c r="W547" s="29" t="s">
        <v>74</v>
      </c>
      <c r="X547" s="28">
        <v>30</v>
      </c>
      <c r="Y547" s="28">
        <v>1</v>
      </c>
      <c r="Z547" s="28">
        <v>1</v>
      </c>
      <c r="AA547" s="28">
        <v>1</v>
      </c>
      <c r="AB547" s="28">
        <v>1</v>
      </c>
      <c r="AC547" s="28">
        <v>2</v>
      </c>
      <c r="AD547" s="28">
        <v>2</v>
      </c>
      <c r="AE547" s="28">
        <v>4</v>
      </c>
      <c r="AF547" s="28">
        <v>2</v>
      </c>
      <c r="AG547" s="28">
        <v>2</v>
      </c>
      <c r="AH547" s="29" t="s">
        <v>1166</v>
      </c>
      <c r="AI547" s="36">
        <f>IF(OR(AND(K547&lt;32, J547&lt;2), O547=1, P547=1, Q547=1, R547=1, S547=1, T547=1, U547=1, AND(W547&lt;&gt;"", W547&lt;&gt;"Oxygen", W547&lt;&gt;"LowFlow")), "Intensive", "Intermediate")</f>
      </c>
      <c r="AJ547" s="37">
        <f>IF(OR(LEFT(AH547, 1)="X", LEFT(AH547, 1)="Y", LEFT(AH547, 3)="J31M"), "CUSM", "No Match")</f>
      </c>
      <c r="AK547" s="37">
        <f>IF(AND(OR(O547=3, P547=1, Q547=1, T547=1), AJ547="no Match"), "CUSM, CHU SJ, CHUQ", "")</f>
      </c>
      <c r="AL547" s="37">
        <f>IF(AND(O547=2, ISBLANK(P547), ISBLANK(Q547), ISBLANK(R547), ISBLANK(S547), ISBLANK(T547)), "CUSM, CHU SJ, CHUS, CHUQ", "")</f>
      </c>
      <c r="AM547" s="37">
        <f>IF(AND(AJ547="no match", AK547="", AL547="", K547&lt;26), "CUSM, CHU SJ, HGJ, CHUQ, CHUS", "")</f>
      </c>
      <c r="AN547" s="37">
        <f>IF(AND(AJ547="no match", AK547="", AL547="", K547&gt;26), "CUSM, CHU SJ, HGJ, CHUQ, CHUS, HMR", "")</f>
      </c>
    </row>
    <row x14ac:dyDescent="0.25" r="548" customHeight="1" ht="17.25">
      <c r="A548" s="41" t="s">
        <v>1167</v>
      </c>
      <c r="B548" s="28">
        <v>2</v>
      </c>
      <c r="C548" s="28">
        <v>774</v>
      </c>
      <c r="D548" s="29" t="s">
        <v>1168</v>
      </c>
      <c r="E548" s="30" t="s">
        <v>50</v>
      </c>
      <c r="F548" s="31">
        <v>44853</v>
      </c>
      <c r="G548" s="32">
        <v>4.125</v>
      </c>
      <c r="H548" s="31">
        <v>44852</v>
      </c>
      <c r="I548" s="32">
        <v>4.804861111111111</v>
      </c>
      <c r="J548" s="33">
        <f>F548-H548</f>
      </c>
      <c r="K548" s="28">
        <v>28</v>
      </c>
      <c r="L548" s="28">
        <v>3</v>
      </c>
      <c r="M548" s="28">
        <v>1</v>
      </c>
      <c r="N548" s="38"/>
      <c r="O548" s="34"/>
      <c r="P548" s="38"/>
      <c r="Q548" s="34"/>
      <c r="R548" s="34"/>
      <c r="S548" s="34"/>
      <c r="T548" s="38"/>
      <c r="U548" s="38"/>
      <c r="V548" s="38"/>
      <c r="W548" s="29" t="s">
        <v>164</v>
      </c>
      <c r="X548" s="28">
        <v>33</v>
      </c>
      <c r="Y548" s="28">
        <v>1</v>
      </c>
      <c r="Z548" s="28">
        <v>1</v>
      </c>
      <c r="AA548" s="28">
        <v>1</v>
      </c>
      <c r="AB548" s="28">
        <v>1</v>
      </c>
      <c r="AC548" s="28">
        <v>2</v>
      </c>
      <c r="AD548" s="28">
        <v>2</v>
      </c>
      <c r="AE548" s="28">
        <v>4</v>
      </c>
      <c r="AF548" s="28">
        <v>2</v>
      </c>
      <c r="AG548" s="28">
        <v>2</v>
      </c>
      <c r="AH548" s="29" t="s">
        <v>1169</v>
      </c>
      <c r="AI548" s="36">
        <f>IF(OR(AND(K548&lt;32, J548&lt;2), O548=1, P548=1, Q548=1, R548=1, S548=1, T548=1, U548=1, AND(W548&lt;&gt;"", W548&lt;&gt;"Oxygen", W548&lt;&gt;"LowFlow")), "Intensive", "Intermediate")</f>
      </c>
      <c r="AJ548" s="37">
        <f>IF(OR(LEFT(AH548, 1)="X", LEFT(AH548, 1)="Y", LEFT(AH548, 3)="J32M"), "CUSM", "No Match")</f>
      </c>
      <c r="AK548" s="37">
        <f>IF(AND(OR(O548=3, P548=1, Q548=1, T548=1), AJ548="no Match"), "CUSM, CHU SJ, CHUQ", "")</f>
      </c>
      <c r="AL548" s="37">
        <f>IF(AND(O548=2, ISBLANK(P548), ISBLANK(Q548), ISBLANK(R548), ISBLANK(S548), ISBLANK(T548)), "CUSM, CHU SJ, CHUS, CHUQ", "")</f>
      </c>
      <c r="AM548" s="37">
        <f>IF(AND(AJ548="no match", AK548="", AL548="", K548&lt;26), "CUSM, CHU SJ, HGJ, CHUQ, CHUS", "")</f>
      </c>
      <c r="AN548" s="37">
        <f>IF(AND(AJ548="no match", AK548="", AL548="", K548&gt;26), "CUSM, CHU SJ, HGJ, CHUQ, CHUS, HMR", "")</f>
      </c>
    </row>
    <row x14ac:dyDescent="0.25" r="549" customHeight="1" ht="17.25">
      <c r="A549" s="41" t="s">
        <v>1170</v>
      </c>
      <c r="B549" s="28">
        <v>2</v>
      </c>
      <c r="C549" s="35">
        <v>756</v>
      </c>
      <c r="D549" s="29" t="s">
        <v>66</v>
      </c>
      <c r="E549" s="30" t="s">
        <v>50</v>
      </c>
      <c r="F549" s="31">
        <v>44854</v>
      </c>
      <c r="G549" s="32">
        <v>4.086805555555555</v>
      </c>
      <c r="H549" s="31">
        <v>44853</v>
      </c>
      <c r="I549" s="32">
        <v>4.9319444444444445</v>
      </c>
      <c r="J549" s="33">
        <f>F549-H549</f>
      </c>
      <c r="K549" s="28">
        <v>37</v>
      </c>
      <c r="L549" s="28">
        <v>4</v>
      </c>
      <c r="M549" s="28">
        <v>2</v>
      </c>
      <c r="N549" s="28">
        <v>1</v>
      </c>
      <c r="O549" s="34"/>
      <c r="P549" s="28">
        <v>1</v>
      </c>
      <c r="Q549" s="34"/>
      <c r="R549" s="34"/>
      <c r="S549" s="34"/>
      <c r="T549" s="34"/>
      <c r="U549" s="28">
        <v>1</v>
      </c>
      <c r="V549" s="28">
        <v>1</v>
      </c>
      <c r="W549" s="29" t="s">
        <v>74</v>
      </c>
      <c r="X549" s="28">
        <v>28</v>
      </c>
      <c r="Y549" s="28">
        <v>1</v>
      </c>
      <c r="Z549" s="28">
        <v>2</v>
      </c>
      <c r="AA549" s="28">
        <v>3</v>
      </c>
      <c r="AB549" s="28">
        <v>1</v>
      </c>
      <c r="AC549" s="28">
        <v>2</v>
      </c>
      <c r="AD549" s="28">
        <v>2</v>
      </c>
      <c r="AE549" s="28">
        <v>1</v>
      </c>
      <c r="AF549" s="34"/>
      <c r="AG549" s="28">
        <v>2</v>
      </c>
      <c r="AH549" s="29" t="s">
        <v>548</v>
      </c>
      <c r="AI549" s="36">
        <f>IF(OR(AND(K549&lt;32, J549&lt;2), O549=1, P549=1, Q549=1, R549=1, S549=1, T549=1, U549=1, AND(W549&lt;&gt;"", W549&lt;&gt;"Oxygen", W549&lt;&gt;"LowFlow")), "Intensive", "Intermediate")</f>
      </c>
      <c r="AJ549" s="37">
        <f>IF(OR(LEFT(AH549, 1)="X", LEFT(AH549, 1)="Y", LEFT(AH549, 3)="J33M"), "CUSM", "No Match")</f>
      </c>
      <c r="AK549" s="37">
        <f>IF(AND(OR(O549=3, P549=1, Q549=1, T549=1), AJ549="no Match"), "CUSM, CHU SJ, CHUQ", "")</f>
      </c>
      <c r="AL549" s="37">
        <f>IF(AND(O549=2, ISBLANK(P549), ISBLANK(Q549), ISBLANK(R549), ISBLANK(S549), ISBLANK(T549)), "CUSM, CHU SJ, CHUS, CHUQ", "")</f>
      </c>
      <c r="AM549" s="37">
        <f>IF(AND(AJ549="no match", AK549="", AL549="", K549&lt;26), "CUSM, CHU SJ, HGJ, CHUQ, CHUS", "")</f>
      </c>
      <c r="AN549" s="37">
        <f>IF(AND(AJ549="no match", AK549="", AL549="", K549&gt;26), "CUSM, CHU SJ, HGJ, CHUQ, CHUS, HMR", "")</f>
      </c>
    </row>
    <row x14ac:dyDescent="0.25" r="550" customHeight="1" ht="17.25">
      <c r="A550" s="41" t="s">
        <v>1171</v>
      </c>
      <c r="B550" s="28">
        <v>2</v>
      </c>
      <c r="C550" s="28">
        <v>731</v>
      </c>
      <c r="D550" s="29" t="s">
        <v>103</v>
      </c>
      <c r="E550" s="30" t="s">
        <v>54</v>
      </c>
      <c r="F550" s="31">
        <v>44856</v>
      </c>
      <c r="G550" s="32">
        <v>4.322222222222223</v>
      </c>
      <c r="H550" s="31">
        <v>44855</v>
      </c>
      <c r="I550" s="32">
        <v>4.885416666666666</v>
      </c>
      <c r="J550" s="33">
        <f>F550-H550</f>
      </c>
      <c r="K550" s="28">
        <v>36</v>
      </c>
      <c r="L550" s="28">
        <v>0</v>
      </c>
      <c r="M550" s="28">
        <v>1</v>
      </c>
      <c r="N550" s="34"/>
      <c r="O550" s="34"/>
      <c r="P550" s="34"/>
      <c r="Q550" s="34"/>
      <c r="R550" s="34"/>
      <c r="S550" s="34"/>
      <c r="T550" s="34"/>
      <c r="U550" s="34"/>
      <c r="V550" s="34"/>
      <c r="W550" s="29"/>
      <c r="X550" s="28">
        <v>20</v>
      </c>
      <c r="Y550" s="28">
        <v>2</v>
      </c>
      <c r="Z550" s="28">
        <v>1</v>
      </c>
      <c r="AA550" s="28">
        <v>3</v>
      </c>
      <c r="AB550" s="28">
        <v>4</v>
      </c>
      <c r="AC550" s="28">
        <v>2</v>
      </c>
      <c r="AD550" s="28">
        <v>2</v>
      </c>
      <c r="AE550" s="28">
        <v>4</v>
      </c>
      <c r="AF550" s="28">
        <v>3</v>
      </c>
      <c r="AG550" s="28">
        <v>2</v>
      </c>
      <c r="AH550" s="29" t="s">
        <v>1172</v>
      </c>
      <c r="AI550" s="36">
        <f>IF(OR(AND(K550&lt;32, J550&lt;2), O550=1, P550=1, Q550=1, R550=1, S550=1, T550=1, U550=1, AND(W550&lt;&gt;"", W550&lt;&gt;"Oxygen", W550&lt;&gt;"LowFlow")), "Intensive", "Intermediate")</f>
      </c>
      <c r="AJ550" s="37">
        <f>IF(OR(LEFT(AH550, 1)="X", LEFT(AH550, 1)="Y", LEFT(AH550, 3)="J34M"), "CUSM", "No Match")</f>
      </c>
      <c r="AK550" s="37">
        <f>IF(AND(OR(O550=3, P550=1, Q550=1, T550=1), AJ550="no Match"), "CUSM, CHU SJ, CHUQ", "")</f>
      </c>
      <c r="AL550" s="37">
        <f>IF(AND(O550=2, ISBLANK(P550), ISBLANK(Q550), ISBLANK(R550), ISBLANK(S550), ISBLANK(T550)), "CUSM, CHU SJ, CHUS, CHUQ", "")</f>
      </c>
      <c r="AM550" s="37">
        <f>IF(AND(AJ550="no match", AK550="", AL550="", K550&lt;26), "CUSM, CHU SJ, HGJ, CHUQ, CHUS", "")</f>
      </c>
      <c r="AN550" s="37">
        <f>IF(AND(AJ550="no match", AK550="", AL550="", K550&gt;26), "CUSM, CHU SJ, HGJ, CHUQ, CHUS, HMR", "")</f>
      </c>
    </row>
    <row x14ac:dyDescent="0.25" r="551" customHeight="1" ht="17.25">
      <c r="A551" s="41" t="s">
        <v>1173</v>
      </c>
      <c r="B551" s="28">
        <v>2</v>
      </c>
      <c r="C551" s="28">
        <v>820</v>
      </c>
      <c r="D551" s="29" t="s">
        <v>69</v>
      </c>
      <c r="E551" s="30" t="s">
        <v>54</v>
      </c>
      <c r="F551" s="31">
        <v>44856</v>
      </c>
      <c r="G551" s="32">
        <v>4.631944444444445</v>
      </c>
      <c r="H551" s="31">
        <v>44856</v>
      </c>
      <c r="I551" s="32">
        <v>4.41875</v>
      </c>
      <c r="J551" s="33">
        <f>F551-H551</f>
      </c>
      <c r="K551" s="28">
        <v>38</v>
      </c>
      <c r="L551" s="28">
        <v>2</v>
      </c>
      <c r="M551" s="28">
        <v>2</v>
      </c>
      <c r="N551" s="38"/>
      <c r="O551" s="34"/>
      <c r="P551" s="38"/>
      <c r="Q551" s="34"/>
      <c r="R551" s="34"/>
      <c r="S551" s="34"/>
      <c r="T551" s="34"/>
      <c r="U551" s="34"/>
      <c r="V551" s="34"/>
      <c r="W551" s="29"/>
      <c r="X551" s="28">
        <v>29</v>
      </c>
      <c r="Y551" s="28">
        <v>1</v>
      </c>
      <c r="Z551" s="28">
        <v>2</v>
      </c>
      <c r="AA551" s="28">
        <v>1</v>
      </c>
      <c r="AB551" s="28">
        <v>1</v>
      </c>
      <c r="AC551" s="28">
        <v>1</v>
      </c>
      <c r="AD551" s="28">
        <v>1</v>
      </c>
      <c r="AE551" s="28">
        <v>4</v>
      </c>
      <c r="AF551" s="28">
        <v>1</v>
      </c>
      <c r="AG551" s="28">
        <v>2</v>
      </c>
      <c r="AH551" s="29" t="s">
        <v>1174</v>
      </c>
      <c r="AI551" s="36">
        <f>IF(OR(AND(K551&lt;32, J551&lt;2), O551=1, P551=1, Q551=1, R551=1, S551=1, T551=1, U551=1, AND(W551&lt;&gt;"", W551&lt;&gt;"Oxygen", W551&lt;&gt;"LowFlow")), "Intensive", "Intermediate")</f>
      </c>
      <c r="AJ551" s="37">
        <f>IF(OR(LEFT(AH551, 1)="X", LEFT(AH551, 1)="Y", LEFT(AH551, 3)="J35M"), "CUSM", "No Match")</f>
      </c>
      <c r="AK551" s="37">
        <f>IF(AND(OR(O551=3, P551=1, Q551=1, T551=1), AJ551="no Match"), "CUSM, CHU SJ, CHUQ", "")</f>
      </c>
      <c r="AL551" s="37">
        <f>IF(AND(O551=2, ISBLANK(P551), ISBLANK(Q551), ISBLANK(R551), ISBLANK(S551), ISBLANK(T551)), "CUSM, CHU SJ, CHUS, CHUQ", "")</f>
      </c>
      <c r="AM551" s="37">
        <f>IF(AND(AJ551="no match", AK551="", AL551="", K551&lt;26), "CUSM, CHU SJ, HGJ, CHUQ, CHUS", "")</f>
      </c>
      <c r="AN551" s="37">
        <f>IF(AND(AJ551="no match", AK551="", AL551="", K551&gt;26), "CUSM, CHU SJ, HGJ, CHUQ, CHUS, HMR", "")</f>
      </c>
    </row>
    <row x14ac:dyDescent="0.25" r="552" customHeight="1" ht="17.25">
      <c r="A552" s="41" t="s">
        <v>1175</v>
      </c>
      <c r="B552" s="28">
        <v>2</v>
      </c>
      <c r="C552" s="35">
        <v>822</v>
      </c>
      <c r="D552" s="29" t="s">
        <v>167</v>
      </c>
      <c r="E552" s="30" t="s">
        <v>54</v>
      </c>
      <c r="F552" s="31">
        <v>44856</v>
      </c>
      <c r="G552" s="32">
        <v>4.125</v>
      </c>
      <c r="H552" s="31">
        <v>44855</v>
      </c>
      <c r="I552" s="32">
        <v>4.8625</v>
      </c>
      <c r="J552" s="33">
        <f>F552-H552</f>
      </c>
      <c r="K552" s="28">
        <v>37</v>
      </c>
      <c r="L552" s="28">
        <v>6</v>
      </c>
      <c r="M552" s="28">
        <v>1</v>
      </c>
      <c r="N552" s="34"/>
      <c r="O552" s="34"/>
      <c r="P552" s="34"/>
      <c r="Q552" s="34"/>
      <c r="R552" s="34"/>
      <c r="S552" s="34"/>
      <c r="T552" s="35">
        <v>1</v>
      </c>
      <c r="U552" s="34"/>
      <c r="V552" s="34"/>
      <c r="W552" s="29" t="s">
        <v>74</v>
      </c>
      <c r="X552" s="28">
        <v>31</v>
      </c>
      <c r="Y552" s="28">
        <v>1</v>
      </c>
      <c r="Z552" s="28">
        <v>1</v>
      </c>
      <c r="AA552" s="28">
        <v>2</v>
      </c>
      <c r="AB552" s="28">
        <v>1</v>
      </c>
      <c r="AC552" s="28">
        <v>2</v>
      </c>
      <c r="AD552" s="28">
        <v>2</v>
      </c>
      <c r="AE552" s="28">
        <v>4</v>
      </c>
      <c r="AF552" s="28">
        <v>2</v>
      </c>
      <c r="AG552" s="28">
        <v>2</v>
      </c>
      <c r="AH552" s="29" t="s">
        <v>1176</v>
      </c>
      <c r="AI552" s="36">
        <f>IF(OR(AND(K552&lt;32, J552&lt;2), O552=1, P552=1, Q552=1, R552=1, S552=1, T552=1, U552=1, AND(W552&lt;&gt;"", W552&lt;&gt;"Oxygen", W552&lt;&gt;"LowFlow")), "Intensive", "Intermediate")</f>
      </c>
      <c r="AJ552" s="37">
        <f>IF(OR(LEFT(AH552, 1)="X", LEFT(AH552, 1)="Y", LEFT(AH552, 3)="J36M"), "CUSM", "No Match")</f>
      </c>
      <c r="AK552" s="37">
        <f>IF(AND(OR(O552=3, P552=1, Q552=1, T552=1), AJ552="no Match"), "CUSM, CHU SJ, CHUQ", "")</f>
      </c>
      <c r="AL552" s="37">
        <f>IF(AND(O552=2, ISBLANK(P552), ISBLANK(Q552), ISBLANK(R552), ISBLANK(S552), ISBLANK(T552)), "CUSM, CHU SJ, CHUS, CHUQ", "")</f>
      </c>
      <c r="AM552" s="37">
        <f>IF(AND(AJ552="no match", AK552="", AL552="", K552&lt;26), "CUSM, CHU SJ, HGJ, CHUQ, CHUS", "")</f>
      </c>
      <c r="AN552" s="37">
        <f>IF(AND(AJ552="no match", AK552="", AL552="", K552&gt;26), "CUSM, CHU SJ, HGJ, CHUQ, CHUS, HMR", "")</f>
      </c>
    </row>
    <row x14ac:dyDescent="0.25" r="553" customHeight="1" ht="17.25">
      <c r="A553" s="41" t="s">
        <v>1177</v>
      </c>
      <c r="B553" s="28">
        <v>2</v>
      </c>
      <c r="C553" s="35">
        <v>839</v>
      </c>
      <c r="D553" s="29" t="s">
        <v>53</v>
      </c>
      <c r="E553" s="30" t="s">
        <v>50</v>
      </c>
      <c r="F553" s="31">
        <v>44856</v>
      </c>
      <c r="G553" s="32">
        <v>4.333333333333334</v>
      </c>
      <c r="H553" s="31">
        <v>44856</v>
      </c>
      <c r="I553" s="32">
        <v>4.216666666666667</v>
      </c>
      <c r="J553" s="33">
        <f>F553-H553</f>
      </c>
      <c r="K553" s="28">
        <v>38</v>
      </c>
      <c r="L553" s="28">
        <v>4</v>
      </c>
      <c r="M553" s="28">
        <v>2</v>
      </c>
      <c r="N553" s="34"/>
      <c r="O553" s="34"/>
      <c r="P553" s="34"/>
      <c r="Q553" s="34"/>
      <c r="R553" s="34"/>
      <c r="S553" s="34"/>
      <c r="T553" s="28">
        <v>1</v>
      </c>
      <c r="U553" s="34"/>
      <c r="V553" s="34"/>
      <c r="W553" s="29" t="s">
        <v>58</v>
      </c>
      <c r="X553" s="28">
        <v>36</v>
      </c>
      <c r="Y553" s="28">
        <v>1</v>
      </c>
      <c r="Z553" s="28">
        <v>2</v>
      </c>
      <c r="AA553" s="28">
        <v>3</v>
      </c>
      <c r="AB553" s="28">
        <v>1</v>
      </c>
      <c r="AC553" s="28">
        <v>2</v>
      </c>
      <c r="AD553" s="28">
        <v>2</v>
      </c>
      <c r="AE553" s="28">
        <v>2</v>
      </c>
      <c r="AF553" s="28">
        <v>2</v>
      </c>
      <c r="AG553" s="28">
        <v>2</v>
      </c>
      <c r="AH553" s="29" t="s">
        <v>1178</v>
      </c>
      <c r="AI553" s="36">
        <f>IF(OR(AND(K553&lt;32, J553&lt;2), O553=1, P553=1, Q553=1, R553=1, S553=1, T553=1, U553=1, AND(W553&lt;&gt;"", W553&lt;&gt;"Oxygen", W553&lt;&gt;"LowFlow")), "Intensive", "Intermediate")</f>
      </c>
      <c r="AJ553" s="37">
        <f>IF(OR(LEFT(AH553, 1)="X", LEFT(AH553, 1)="Y", LEFT(AH553, 3)="J37M"), "CUSM", "No Match")</f>
      </c>
      <c r="AK553" s="37">
        <f>IF(AND(OR(O553=3, P553=1, Q553=1, T553=1), AJ553="no Match"), "CUSM, CHU SJ, CHUQ", "")</f>
      </c>
      <c r="AL553" s="37">
        <f>IF(AND(O553=2, ISBLANK(P553), ISBLANK(Q553), ISBLANK(R553), ISBLANK(S553), ISBLANK(T553)), "CUSM, CHU SJ, CHUS, CHUQ", "")</f>
      </c>
      <c r="AM553" s="37">
        <f>IF(AND(AJ553="no match", AK553="", AL553="", K553&lt;26), "CUSM, CHU SJ, HGJ, CHUQ, CHUS", "")</f>
      </c>
      <c r="AN553" s="37">
        <f>IF(AND(AJ553="no match", AK553="", AL553="", K553&gt;26), "CUSM, CHU SJ, HGJ, CHUQ, CHUS, HMR", "")</f>
      </c>
    </row>
    <row x14ac:dyDescent="0.25" r="554" customHeight="1" ht="17.25">
      <c r="A554" s="41" t="s">
        <v>1179</v>
      </c>
      <c r="B554" s="28">
        <v>2</v>
      </c>
      <c r="C554" s="35">
        <v>782</v>
      </c>
      <c r="D554" s="29" t="s">
        <v>95</v>
      </c>
      <c r="E554" s="30" t="s">
        <v>50</v>
      </c>
      <c r="F554" s="31">
        <v>44856</v>
      </c>
      <c r="G554" s="32">
        <v>4.378472222222222</v>
      </c>
      <c r="H554" s="31">
        <v>44856</v>
      </c>
      <c r="I554" s="32">
        <v>4.158333333333333</v>
      </c>
      <c r="J554" s="33">
        <f>F554-H554</f>
      </c>
      <c r="K554" s="28">
        <v>40</v>
      </c>
      <c r="L554" s="28">
        <v>1</v>
      </c>
      <c r="M554" s="28">
        <v>1</v>
      </c>
      <c r="N554" s="34"/>
      <c r="O554" s="34"/>
      <c r="P554" s="34"/>
      <c r="Q554" s="34"/>
      <c r="R554" s="34"/>
      <c r="S554" s="34"/>
      <c r="T554" s="35">
        <v>1</v>
      </c>
      <c r="U554" s="34"/>
      <c r="V554" s="34"/>
      <c r="W554" s="29"/>
      <c r="X554" s="28">
        <v>31</v>
      </c>
      <c r="Y554" s="28">
        <v>1</v>
      </c>
      <c r="Z554" s="28">
        <v>2</v>
      </c>
      <c r="AA554" s="28">
        <v>2</v>
      </c>
      <c r="AB554" s="28">
        <v>1</v>
      </c>
      <c r="AC554" s="28">
        <v>2</v>
      </c>
      <c r="AD554" s="28">
        <v>2</v>
      </c>
      <c r="AE554" s="28">
        <v>4</v>
      </c>
      <c r="AF554" s="28">
        <v>2</v>
      </c>
      <c r="AG554" s="28">
        <v>2</v>
      </c>
      <c r="AH554" s="29" t="s">
        <v>1180</v>
      </c>
      <c r="AI554" s="36">
        <f>IF(OR(AND(K554&lt;32, J554&lt;2), O554=1, P554=1, Q554=1, R554=1, S554=1, T554=1, U554=1, AND(W554&lt;&gt;"", W554&lt;&gt;"Oxygen", W554&lt;&gt;"LowFlow")), "Intensive", "Intermediate")</f>
      </c>
      <c r="AJ554" s="37">
        <f>IF(OR(LEFT(AH554, 1)="X", LEFT(AH554, 1)="Y", LEFT(AH554, 3)="J38M"), "CUSM", "No Match")</f>
      </c>
      <c r="AK554" s="37">
        <f>IF(AND(OR(O554=3, P554=1, Q554=1, T554=1), AJ554="no Match"), "CUSM, CHU SJ, CHUQ", "")</f>
      </c>
      <c r="AL554" s="37">
        <f>IF(AND(O554=2, ISBLANK(P554), ISBLANK(Q554), ISBLANK(R554), ISBLANK(S554), ISBLANK(T554)), "CUSM, CHU SJ, CHUS, CHUQ", "")</f>
      </c>
      <c r="AM554" s="37">
        <f>IF(AND(AJ554="no match", AK554="", AL554="", K554&lt;26), "CUSM, CHU SJ, HGJ, CHUQ, CHUS", "")</f>
      </c>
      <c r="AN554" s="37">
        <f>IF(AND(AJ554="no match", AK554="", AL554="", K554&gt;26), "CUSM, CHU SJ, HGJ, CHUQ, CHUS, HMR", "")</f>
      </c>
    </row>
    <row x14ac:dyDescent="0.25" r="555" customHeight="1" ht="17.25">
      <c r="A555" s="41" t="s">
        <v>1181</v>
      </c>
      <c r="B555" s="28">
        <v>2</v>
      </c>
      <c r="C555" s="35">
        <v>782</v>
      </c>
      <c r="D555" s="29" t="s">
        <v>95</v>
      </c>
      <c r="E555" s="30" t="s">
        <v>50</v>
      </c>
      <c r="F555" s="31">
        <v>44856</v>
      </c>
      <c r="G555" s="32">
        <v>4.989583333333334</v>
      </c>
      <c r="H555" s="31">
        <v>44856</v>
      </c>
      <c r="I555" s="32">
        <v>4.7972222222222225</v>
      </c>
      <c r="J555" s="33">
        <f>F555-H555</f>
      </c>
      <c r="K555" s="28">
        <v>40</v>
      </c>
      <c r="L555" s="28">
        <v>2</v>
      </c>
      <c r="M555" s="28">
        <v>1</v>
      </c>
      <c r="N555" s="34"/>
      <c r="O555" s="34"/>
      <c r="P555" s="34"/>
      <c r="Q555" s="34"/>
      <c r="R555" s="34"/>
      <c r="S555" s="34"/>
      <c r="T555" s="35">
        <v>1</v>
      </c>
      <c r="U555" s="34"/>
      <c r="V555" s="34"/>
      <c r="W555" s="29" t="s">
        <v>58</v>
      </c>
      <c r="X555" s="28">
        <v>31</v>
      </c>
      <c r="Y555" s="28">
        <v>1</v>
      </c>
      <c r="Z555" s="28">
        <v>2</v>
      </c>
      <c r="AA555" s="28">
        <v>3</v>
      </c>
      <c r="AB555" s="28">
        <v>1</v>
      </c>
      <c r="AC555" s="28">
        <v>2</v>
      </c>
      <c r="AD555" s="28">
        <v>2</v>
      </c>
      <c r="AE555" s="28">
        <v>4</v>
      </c>
      <c r="AF555" s="28">
        <v>2</v>
      </c>
      <c r="AG555" s="28">
        <v>2</v>
      </c>
      <c r="AH555" s="29" t="s">
        <v>1182</v>
      </c>
      <c r="AI555" s="36">
        <f>IF(OR(AND(K555&lt;32, J555&lt;2), O555=1, P555=1, Q555=1, R555=1, S555=1, T555=1, U555=1, AND(W555&lt;&gt;"", W555&lt;&gt;"Oxygen", W555&lt;&gt;"LowFlow")), "Intensive", "Intermediate")</f>
      </c>
      <c r="AJ555" s="37">
        <f>IF(OR(LEFT(AH555, 1)="X", LEFT(AH555, 1)="Y", LEFT(AH555, 3)="J39M"), "CUSM", "No Match")</f>
      </c>
      <c r="AK555" s="37">
        <f>IF(AND(OR(O555=3, P555=1, Q555=1, T555=1), AJ555="no Match"), "CUSM, CHU SJ, CHUQ", "")</f>
      </c>
      <c r="AL555" s="37">
        <f>IF(AND(O555=2, ISBLANK(P555), ISBLANK(Q555), ISBLANK(R555), ISBLANK(S555), ISBLANK(T555)), "CUSM, CHU SJ, CHUS, CHUQ", "")</f>
      </c>
      <c r="AM555" s="37">
        <f>IF(AND(AJ555="no match", AK555="", AL555="", K555&lt;26), "CUSM, CHU SJ, HGJ, CHUQ, CHUS", "")</f>
      </c>
      <c r="AN555" s="37">
        <f>IF(AND(AJ555="no match", AK555="", AL555="", K555&gt;26), "CUSM, CHU SJ, HGJ, CHUQ, CHUS, HMR", "")</f>
      </c>
    </row>
    <row x14ac:dyDescent="0.25" r="556" customHeight="1" ht="17.25">
      <c r="A556" s="41" t="s">
        <v>1183</v>
      </c>
      <c r="B556" s="28">
        <v>2</v>
      </c>
      <c r="C556" s="35">
        <v>779</v>
      </c>
      <c r="D556" s="29" t="s">
        <v>136</v>
      </c>
      <c r="E556" s="30" t="s">
        <v>54</v>
      </c>
      <c r="F556" s="31">
        <v>44857</v>
      </c>
      <c r="G556" s="32">
        <v>4.948611111111111</v>
      </c>
      <c r="H556" s="31">
        <v>44857</v>
      </c>
      <c r="I556" s="32">
        <v>4.732638888888889</v>
      </c>
      <c r="J556" s="33">
        <f>F556-H556</f>
      </c>
      <c r="K556" s="28">
        <v>36</v>
      </c>
      <c r="L556" s="28">
        <v>6</v>
      </c>
      <c r="M556" s="28">
        <v>1</v>
      </c>
      <c r="N556" s="35">
        <v>1</v>
      </c>
      <c r="O556" s="35">
        <v>2</v>
      </c>
      <c r="P556" s="34"/>
      <c r="Q556" s="34"/>
      <c r="R556" s="34"/>
      <c r="S556" s="34"/>
      <c r="T556" s="34"/>
      <c r="U556" s="34"/>
      <c r="V556" s="34"/>
      <c r="W556" s="29"/>
      <c r="X556" s="28">
        <v>28</v>
      </c>
      <c r="Y556" s="28">
        <v>1</v>
      </c>
      <c r="Z556" s="28">
        <v>1</v>
      </c>
      <c r="AA556" s="28">
        <v>3</v>
      </c>
      <c r="AB556" s="28">
        <v>4</v>
      </c>
      <c r="AC556" s="28">
        <v>2</v>
      </c>
      <c r="AD556" s="28">
        <v>2</v>
      </c>
      <c r="AE556" s="28">
        <v>4</v>
      </c>
      <c r="AF556" s="28">
        <v>2</v>
      </c>
      <c r="AG556" s="28">
        <v>2</v>
      </c>
      <c r="AH556" s="29" t="s">
        <v>1184</v>
      </c>
      <c r="AI556" s="36">
        <f>IF(OR(AND(K556&lt;32, J556&lt;2), O556=1, P556=1, Q556=1, R556=1, S556=1, T556=1, U556=1, AND(W556&lt;&gt;"", W556&lt;&gt;"Oxygen", W556&lt;&gt;"LowFlow")), "Intensive", "Intermediate")</f>
      </c>
      <c r="AJ556" s="37">
        <f>IF(OR(LEFT(AH556, 1)="X", LEFT(AH556, 1)="Y", LEFT(AH556, 3)="J40M"), "CUSM", "No Match")</f>
      </c>
      <c r="AK556" s="37">
        <f>IF(AND(OR(O556=3, P556=1, Q556=1, T556=1), AJ556="no Match"), "CUSM, CHU SJ, CHUQ", "")</f>
      </c>
      <c r="AL556" s="37">
        <f>IF(AND(O556=2, ISBLANK(P556), ISBLANK(Q556), ISBLANK(R556), ISBLANK(S556), ISBLANK(T556)), "CUSM, CHU SJ, CHUS, CHUQ", "")</f>
      </c>
      <c r="AM556" s="37">
        <f>IF(AND(AJ556="no match", AK556="", AL556="", K556&lt;26), "CUSM, CHU SJ, HGJ, CHUQ, CHUS", "")</f>
      </c>
      <c r="AN556" s="37">
        <f>IF(AND(AJ556="no match", AK556="", AL556="", K556&gt;26), "CUSM, CHU SJ, HGJ, CHUQ, CHUS, HMR", "")</f>
      </c>
    </row>
    <row x14ac:dyDescent="0.25" r="557" customHeight="1" ht="17.25">
      <c r="A557" s="41" t="s">
        <v>1185</v>
      </c>
      <c r="B557" s="28">
        <v>2</v>
      </c>
      <c r="C557" s="35">
        <v>756</v>
      </c>
      <c r="D557" s="29" t="s">
        <v>66</v>
      </c>
      <c r="E557" s="30" t="s">
        <v>220</v>
      </c>
      <c r="F557" s="31">
        <v>44857</v>
      </c>
      <c r="G557" s="32">
        <v>4.200694444444444</v>
      </c>
      <c r="H557" s="31">
        <v>44857</v>
      </c>
      <c r="I557" s="32">
        <v>4.086805555555555</v>
      </c>
      <c r="J557" s="33">
        <f>F557-H557</f>
      </c>
      <c r="K557" s="28">
        <v>29</v>
      </c>
      <c r="L557" s="28">
        <v>3</v>
      </c>
      <c r="M557" s="28">
        <v>2</v>
      </c>
      <c r="N557" s="34"/>
      <c r="O557" s="34"/>
      <c r="P557" s="34"/>
      <c r="Q557" s="34"/>
      <c r="R557" s="34"/>
      <c r="S557" s="34"/>
      <c r="T557" s="34"/>
      <c r="U557" s="34"/>
      <c r="V557" s="34"/>
      <c r="W557" s="29" t="s">
        <v>58</v>
      </c>
      <c r="X557" s="28">
        <v>25</v>
      </c>
      <c r="Y557" s="28">
        <v>1</v>
      </c>
      <c r="Z557" s="28">
        <v>1</v>
      </c>
      <c r="AA557" s="28">
        <v>2</v>
      </c>
      <c r="AB557" s="28">
        <v>1</v>
      </c>
      <c r="AC557" s="28">
        <v>2</v>
      </c>
      <c r="AD557" s="28">
        <v>1</v>
      </c>
      <c r="AE557" s="28">
        <v>2</v>
      </c>
      <c r="AF557" s="28">
        <v>2</v>
      </c>
      <c r="AG557" s="28">
        <v>2</v>
      </c>
      <c r="AH557" s="29" t="s">
        <v>1186</v>
      </c>
      <c r="AI557" s="36">
        <f>IF(OR(AND(K557&lt;32, J557&lt;2), O557=1, P557=1, Q557=1, R557=1, S557=1, T557=1, U557=1, AND(W557&lt;&gt;"", W557&lt;&gt;"Oxygen", W557&lt;&gt;"LowFlow")), "Intensive", "Intermediate")</f>
      </c>
      <c r="AJ557" s="37">
        <f>IF(OR(LEFT(AH557, 1)="X", LEFT(AH557, 1)="Y", LEFT(AH557, 3)="J41M"), "CUSM", "No Match")</f>
      </c>
      <c r="AK557" s="37">
        <f>IF(AND(OR(O557=3, P557=1, Q557=1, T557=1), AJ557="no Match"), "CUSM, CHU SJ, CHUQ", "")</f>
      </c>
      <c r="AL557" s="37">
        <f>IF(AND(O557=2, ISBLANK(P557), ISBLANK(Q557), ISBLANK(R557), ISBLANK(S557), ISBLANK(T557)), "CUSM, CHU SJ, CHUS, CHUQ", "")</f>
      </c>
      <c r="AM557" s="37">
        <f>IF(AND(AJ557="no match", AK557="", AL557="", K557&lt;26), "CUSM, CHU SJ, HGJ, CHUQ, CHUS", "")</f>
      </c>
      <c r="AN557" s="37">
        <f>IF(AND(AJ557="no match", AK557="", AL557="", K557&gt;26), "CUSM, CHU SJ, HGJ, CHUQ, CHUS, HMR", "")</f>
      </c>
    </row>
    <row x14ac:dyDescent="0.25" r="558" customHeight="1" ht="17.25">
      <c r="A558" s="41" t="s">
        <v>1187</v>
      </c>
      <c r="B558" s="28">
        <v>2</v>
      </c>
      <c r="C558" s="35">
        <v>831</v>
      </c>
      <c r="D558" s="29" t="s">
        <v>313</v>
      </c>
      <c r="E558" s="30" t="s">
        <v>54</v>
      </c>
      <c r="F558" s="31">
        <v>44858</v>
      </c>
      <c r="G558" s="32">
        <v>4.75</v>
      </c>
      <c r="H558" s="31">
        <v>44841</v>
      </c>
      <c r="I558" s="32">
        <v>4.127083333333333</v>
      </c>
      <c r="J558" s="33">
        <f>F558-H558</f>
      </c>
      <c r="K558" s="28">
        <v>33</v>
      </c>
      <c r="L558" s="28">
        <v>2</v>
      </c>
      <c r="M558" s="28">
        <v>2</v>
      </c>
      <c r="N558" s="34"/>
      <c r="O558" s="34"/>
      <c r="P558" s="34"/>
      <c r="Q558" s="34"/>
      <c r="R558" s="34"/>
      <c r="S558" s="34"/>
      <c r="T558" s="34"/>
      <c r="U558" s="34"/>
      <c r="V558" s="34"/>
      <c r="W558" s="29" t="s">
        <v>74</v>
      </c>
      <c r="X558" s="28">
        <v>34</v>
      </c>
      <c r="Y558" s="28">
        <v>2</v>
      </c>
      <c r="Z558" s="28">
        <v>2</v>
      </c>
      <c r="AA558" s="28">
        <v>3</v>
      </c>
      <c r="AB558" s="28">
        <v>4</v>
      </c>
      <c r="AC558" s="28">
        <v>1</v>
      </c>
      <c r="AD558" s="28">
        <v>2</v>
      </c>
      <c r="AE558" s="28">
        <v>4</v>
      </c>
      <c r="AF558" s="28">
        <v>3</v>
      </c>
      <c r="AG558" s="28">
        <v>2</v>
      </c>
      <c r="AH558" s="29" t="s">
        <v>1188</v>
      </c>
      <c r="AI558" s="36">
        <f>IF(OR(AND(K558&lt;32, J558&lt;2), O558=1, P558=1, Q558=1, R558=1, S558=1, T558=1, U558=1, AND(W558&lt;&gt;"", W558&lt;&gt;"Oxygen", W558&lt;&gt;"LowFlow")), "Intensive", "Intermediate")</f>
      </c>
      <c r="AJ558" s="37">
        <f>IF(OR(LEFT(AH558, 1)="X", LEFT(AH558, 1)="Y", LEFT(AH558, 3)="J42M"), "CUSM", "No Match")</f>
      </c>
      <c r="AK558" s="37">
        <f>IF(AND(OR(O558=3, P558=1, Q558=1, T558=1), AJ558="no Match"), "CUSM, CHU SJ, CHUQ", "")</f>
      </c>
      <c r="AL558" s="37">
        <f>IF(AND(O558=2, ISBLANK(P558), ISBLANK(Q558), ISBLANK(R558), ISBLANK(S558), ISBLANK(T558)), "CUSM, CHU SJ, CHUS, CHUQ", "")</f>
      </c>
      <c r="AM558" s="37">
        <f>IF(AND(AJ558="no match", AK558="", AL558="", K558&lt;26), "CUSM, CHU SJ, HGJ, CHUQ, CHUS", "")</f>
      </c>
      <c r="AN558" s="37">
        <f>IF(AND(AJ558="no match", AK558="", AL558="", K558&gt;26), "CUSM, CHU SJ, HGJ, CHUQ, CHUS, HMR", "")</f>
      </c>
    </row>
    <row x14ac:dyDescent="0.25" r="559" customHeight="1" ht="17.25">
      <c r="A559" s="41" t="s">
        <v>1189</v>
      </c>
      <c r="B559" s="28">
        <v>2</v>
      </c>
      <c r="C559" s="35">
        <v>782</v>
      </c>
      <c r="D559" s="29" t="s">
        <v>95</v>
      </c>
      <c r="E559" s="30" t="s">
        <v>50</v>
      </c>
      <c r="F559" s="31">
        <v>44858</v>
      </c>
      <c r="G559" s="32">
        <v>4.75</v>
      </c>
      <c r="H559" s="31">
        <v>44858</v>
      </c>
      <c r="I559" s="32">
        <v>4.579166666666667</v>
      </c>
      <c r="J559" s="33">
        <f>F559-H559</f>
      </c>
      <c r="K559" s="28">
        <v>33</v>
      </c>
      <c r="L559" s="28">
        <v>4</v>
      </c>
      <c r="M559" s="28">
        <v>1</v>
      </c>
      <c r="N559" s="34"/>
      <c r="O559" s="34"/>
      <c r="P559" s="34"/>
      <c r="Q559" s="34"/>
      <c r="R559" s="34"/>
      <c r="S559" s="34"/>
      <c r="T559" s="34"/>
      <c r="U559" s="34"/>
      <c r="V559" s="34"/>
      <c r="W559" s="29" t="s">
        <v>74</v>
      </c>
      <c r="X559" s="28">
        <v>30</v>
      </c>
      <c r="Y559" s="28">
        <v>1</v>
      </c>
      <c r="Z559" s="28">
        <v>2</v>
      </c>
      <c r="AA559" s="28">
        <v>3</v>
      </c>
      <c r="AB559" s="28">
        <v>1</v>
      </c>
      <c r="AC559" s="28">
        <v>2</v>
      </c>
      <c r="AD559" s="28">
        <v>2</v>
      </c>
      <c r="AE559" s="28">
        <v>2</v>
      </c>
      <c r="AF559" s="35">
        <v>2</v>
      </c>
      <c r="AG559" s="28">
        <v>2</v>
      </c>
      <c r="AH559" s="29" t="s">
        <v>1190</v>
      </c>
      <c r="AI559" s="36">
        <f>IF(OR(AND(K559&lt;32, J559&lt;2), O559=1, P559=1, Q559=1, R559=1, S559=1, T559=1, U559=1, AND(W559&lt;&gt;"", W559&lt;&gt;"Oxygen", W559&lt;&gt;"LowFlow")), "Intensive", "Intermediate")</f>
      </c>
      <c r="AJ559" s="37">
        <f>IF(OR(LEFT(AH559, 1)="X", LEFT(AH559, 1)="Y", LEFT(AH559, 3)="J43M"), "CUSM", "No Match")</f>
      </c>
      <c r="AK559" s="37">
        <f>IF(AND(OR(O559=3, P559=1, Q559=1, T559=1), AJ559="no Match"), "CUSM, CHU SJ, CHUQ", "")</f>
      </c>
      <c r="AL559" s="37">
        <f>IF(AND(O559=2, ISBLANK(P559), ISBLANK(Q559), ISBLANK(R559), ISBLANK(S559), ISBLANK(T559)), "CUSM, CHU SJ, CHUS, CHUQ", "")</f>
      </c>
      <c r="AM559" s="37">
        <f>IF(AND(AJ559="no match", AK559="", AL559="", K559&lt;26), "CUSM, CHU SJ, HGJ, CHUQ, CHUS", "")</f>
      </c>
      <c r="AN559" s="37">
        <f>IF(AND(AJ559="no match", AK559="", AL559="", K559&gt;26), "CUSM, CHU SJ, HGJ, CHUQ, CHUS, HMR", "")</f>
      </c>
    </row>
    <row x14ac:dyDescent="0.25" r="560" customHeight="1" ht="17.25">
      <c r="A560" s="41" t="s">
        <v>1191</v>
      </c>
      <c r="B560" s="28">
        <v>2</v>
      </c>
      <c r="C560" s="28">
        <v>827</v>
      </c>
      <c r="D560" s="29" t="s">
        <v>525</v>
      </c>
      <c r="E560" s="30" t="s">
        <v>118</v>
      </c>
      <c r="F560" s="31">
        <v>44859</v>
      </c>
      <c r="G560" s="32">
        <v>4.0055555555555555</v>
      </c>
      <c r="H560" s="31">
        <v>44858</v>
      </c>
      <c r="I560" s="32">
        <v>4.793055555555556</v>
      </c>
      <c r="J560" s="33">
        <f>F560-H560</f>
      </c>
      <c r="K560" s="28">
        <v>37</v>
      </c>
      <c r="L560" s="28">
        <v>1</v>
      </c>
      <c r="M560" s="28">
        <v>2</v>
      </c>
      <c r="N560" s="34"/>
      <c r="O560" s="34"/>
      <c r="P560" s="34"/>
      <c r="Q560" s="34"/>
      <c r="R560" s="34"/>
      <c r="S560" s="34"/>
      <c r="T560" s="35">
        <v>1</v>
      </c>
      <c r="U560" s="34"/>
      <c r="V560" s="34"/>
      <c r="W560" s="29"/>
      <c r="X560" s="28">
        <v>24</v>
      </c>
      <c r="Y560" s="28">
        <v>2</v>
      </c>
      <c r="Z560" s="28">
        <v>1</v>
      </c>
      <c r="AA560" s="28">
        <v>2</v>
      </c>
      <c r="AB560" s="28">
        <v>1</v>
      </c>
      <c r="AC560" s="28">
        <v>2</v>
      </c>
      <c r="AD560" s="28">
        <v>2</v>
      </c>
      <c r="AE560" s="28">
        <v>4</v>
      </c>
      <c r="AF560" s="28">
        <v>2</v>
      </c>
      <c r="AG560" s="28">
        <v>2</v>
      </c>
      <c r="AH560" s="29" t="s">
        <v>1192</v>
      </c>
      <c r="AI560" s="36">
        <f>IF(OR(AND(K560&lt;32, J560&lt;2), O560=1, P560=1, Q560=1, R560=1, S560=1, T560=1, U560=1, AND(W560&lt;&gt;"", W560&lt;&gt;"Oxygen", W560&lt;&gt;"LowFlow")), "Intensive", "Intermediate")</f>
      </c>
      <c r="AJ560" s="37">
        <f>IF(OR(LEFT(AH560, 1)="X", LEFT(AH560, 1)="Y", LEFT(AH560, 3)="J44M"), "CUSM", "No Match")</f>
      </c>
      <c r="AK560" s="37">
        <f>IF(AND(OR(O560=3, P560=1, Q560=1, T560=1), AJ560="no Match"), "CUSM, CHU SJ, CHUQ", "")</f>
      </c>
      <c r="AL560" s="37">
        <f>IF(AND(O560=2, ISBLANK(P560), ISBLANK(Q560), ISBLANK(R560), ISBLANK(S560), ISBLANK(T560)), "CUSM, CHU SJ, CHUS, CHUQ", "")</f>
      </c>
      <c r="AM560" s="37">
        <f>IF(AND(AJ560="no match", AK560="", AL560="", K560&lt;26), "CUSM, CHU SJ, HGJ, CHUQ, CHUS", "")</f>
      </c>
      <c r="AN560" s="37">
        <f>IF(AND(AJ560="no match", AK560="", AL560="", K560&gt;26), "CUSM, CHU SJ, HGJ, CHUQ, CHUS, HMR", "")</f>
      </c>
    </row>
    <row x14ac:dyDescent="0.25" r="561" customHeight="1" ht="17.25">
      <c r="A561" s="41" t="s">
        <v>1193</v>
      </c>
      <c r="B561" s="28">
        <v>2</v>
      </c>
      <c r="C561" s="35">
        <v>831</v>
      </c>
      <c r="D561" s="29" t="s">
        <v>313</v>
      </c>
      <c r="E561" s="30" t="s">
        <v>54</v>
      </c>
      <c r="F561" s="31">
        <v>44859</v>
      </c>
      <c r="G561" s="32">
        <v>4.6875</v>
      </c>
      <c r="H561" s="31">
        <v>44841</v>
      </c>
      <c r="I561" s="32">
        <v>4.128472222222222</v>
      </c>
      <c r="J561" s="33">
        <f>F561-H561</f>
      </c>
      <c r="K561" s="28">
        <v>33</v>
      </c>
      <c r="L561" s="28">
        <v>2</v>
      </c>
      <c r="M561" s="28">
        <v>2</v>
      </c>
      <c r="N561" s="34"/>
      <c r="O561" s="34"/>
      <c r="P561" s="34"/>
      <c r="Q561" s="34"/>
      <c r="R561" s="34"/>
      <c r="S561" s="34"/>
      <c r="T561" s="34"/>
      <c r="U561" s="34"/>
      <c r="V561" s="34"/>
      <c r="W561" s="29" t="s">
        <v>58</v>
      </c>
      <c r="X561" s="28">
        <v>34</v>
      </c>
      <c r="Y561" s="28">
        <v>2</v>
      </c>
      <c r="Z561" s="28">
        <v>2</v>
      </c>
      <c r="AA561" s="28">
        <v>3</v>
      </c>
      <c r="AB561" s="28">
        <v>4</v>
      </c>
      <c r="AC561" s="28">
        <v>1</v>
      </c>
      <c r="AD561" s="28">
        <v>2</v>
      </c>
      <c r="AE561" s="28">
        <v>4</v>
      </c>
      <c r="AF561" s="28">
        <v>2</v>
      </c>
      <c r="AG561" s="28">
        <v>2</v>
      </c>
      <c r="AH561" s="29" t="s">
        <v>1188</v>
      </c>
      <c r="AI561" s="36">
        <f>IF(OR(AND(K561&lt;32, J561&lt;2), O561=1, P561=1, Q561=1, R561=1, S561=1, T561=1, U561=1, AND(W561&lt;&gt;"", W561&lt;&gt;"Oxygen", W561&lt;&gt;"LowFlow")), "Intensive", "Intermediate")</f>
      </c>
      <c r="AJ561" s="37">
        <f>IF(OR(LEFT(AH561, 1)="X", LEFT(AH561, 1)="Y", LEFT(AH561, 3)="J45M"), "CUSM", "No Match")</f>
      </c>
      <c r="AK561" s="37">
        <f>IF(AND(OR(O561=3, P561=1, Q561=1, T561=1), AJ561="no Match"), "CUSM, CHU SJ, CHUQ", "")</f>
      </c>
      <c r="AL561" s="37">
        <f>IF(AND(O561=2, ISBLANK(P561), ISBLANK(Q561), ISBLANK(R561), ISBLANK(S561), ISBLANK(T561)), "CUSM, CHU SJ, CHUS, CHUQ", "")</f>
      </c>
      <c r="AM561" s="37">
        <f>IF(AND(AJ561="no match", AK561="", AL561="", K561&lt;26), "CUSM, CHU SJ, HGJ, CHUQ, CHUS", "")</f>
      </c>
      <c r="AN561" s="37">
        <f>IF(AND(AJ561="no match", AK561="", AL561="", K561&gt;26), "CUSM, CHU SJ, HGJ, CHUQ, CHUS, HMR", "")</f>
      </c>
    </row>
    <row x14ac:dyDescent="0.25" r="562" customHeight="1" ht="17.25">
      <c r="A562" s="41" t="s">
        <v>1194</v>
      </c>
      <c r="B562" s="28">
        <v>2</v>
      </c>
      <c r="C562" s="28">
        <v>6</v>
      </c>
      <c r="D562" s="29" t="s">
        <v>131</v>
      </c>
      <c r="E562" s="30" t="s">
        <v>50</v>
      </c>
      <c r="F562" s="31">
        <v>44859</v>
      </c>
      <c r="G562" s="32">
        <v>4.065972222222222</v>
      </c>
      <c r="H562" s="31">
        <v>44854</v>
      </c>
      <c r="I562" s="32">
        <v>4.375</v>
      </c>
      <c r="J562" s="33">
        <f>F562-H562</f>
      </c>
      <c r="K562" s="28">
        <v>37</v>
      </c>
      <c r="L562" s="28">
        <v>0</v>
      </c>
      <c r="M562" s="28">
        <v>2</v>
      </c>
      <c r="N562" s="34"/>
      <c r="O562" s="38"/>
      <c r="P562" s="38"/>
      <c r="Q562" s="34"/>
      <c r="R562" s="34"/>
      <c r="S562" s="34"/>
      <c r="T562" s="34"/>
      <c r="U562" s="34"/>
      <c r="V562" s="34"/>
      <c r="W562" s="29"/>
      <c r="X562" s="28">
        <v>35</v>
      </c>
      <c r="Y562" s="28">
        <v>2</v>
      </c>
      <c r="Z562" s="28">
        <v>2</v>
      </c>
      <c r="AA562" s="28">
        <v>3</v>
      </c>
      <c r="AB562" s="28">
        <v>1</v>
      </c>
      <c r="AC562" s="28">
        <v>2</v>
      </c>
      <c r="AD562" s="28">
        <v>2</v>
      </c>
      <c r="AE562" s="28">
        <v>4</v>
      </c>
      <c r="AF562" s="28">
        <v>2</v>
      </c>
      <c r="AG562" s="28">
        <v>2</v>
      </c>
      <c r="AH562" s="29" t="s">
        <v>1195</v>
      </c>
      <c r="AI562" s="36">
        <f>IF(OR(AND(K562&lt;32, J562&lt;2), O562=1, P562=1, Q562=1, R562=1, S562=1, T562=1, U562=1, AND(W562&lt;&gt;"", W562&lt;&gt;"Oxygen", W562&lt;&gt;"LowFlow")), "Intensive", "Intermediate")</f>
      </c>
      <c r="AJ562" s="37">
        <f>IF(OR(LEFT(AH562, 1)="X", LEFT(AH562, 1)="Y", LEFT(AH562, 3)="J46M"), "CUSM", "No Match")</f>
      </c>
      <c r="AK562" s="37">
        <f>IF(AND(OR(O562=3, P562=1, Q562=1, T562=1), AJ562="no Match"), "CUSM, CHU SJ, CHUQ", "")</f>
      </c>
      <c r="AL562" s="37">
        <f>IF(AND(O562=2, ISBLANK(P562), ISBLANK(Q562), ISBLANK(R562), ISBLANK(S562), ISBLANK(T562)), "CUSM, CHU SJ, CHUS, CHUQ", "")</f>
      </c>
      <c r="AM562" s="37">
        <f>IF(AND(AJ562="no match", AK562="", AL562="", K562&lt;26), "CUSM, CHU SJ, HGJ, CHUQ, CHUS", "")</f>
      </c>
      <c r="AN562" s="37">
        <f>IF(AND(AJ562="no match", AK562="", AL562="", K562&gt;26), "CUSM, CHU SJ, HGJ, CHUQ, CHUS, HMR", "")</f>
      </c>
    </row>
    <row x14ac:dyDescent="0.25" r="563" customHeight="1" ht="17.25">
      <c r="A563" s="41" t="s">
        <v>1196</v>
      </c>
      <c r="B563" s="28">
        <v>2</v>
      </c>
      <c r="C563" s="35">
        <v>779</v>
      </c>
      <c r="D563" s="29" t="s">
        <v>136</v>
      </c>
      <c r="E563" s="30" t="s">
        <v>50</v>
      </c>
      <c r="F563" s="31">
        <v>44859</v>
      </c>
      <c r="G563" s="32">
        <v>4.798611111111111</v>
      </c>
      <c r="H563" s="31">
        <v>44852</v>
      </c>
      <c r="I563" s="32">
        <v>4.096527777777778</v>
      </c>
      <c r="J563" s="33">
        <f>F563-H563</f>
      </c>
      <c r="K563" s="28">
        <v>39</v>
      </c>
      <c r="L563" s="28">
        <v>6</v>
      </c>
      <c r="M563" s="28">
        <v>1</v>
      </c>
      <c r="N563" s="38"/>
      <c r="O563" s="34"/>
      <c r="P563" s="34"/>
      <c r="Q563" s="34"/>
      <c r="R563" s="34"/>
      <c r="S563" s="34"/>
      <c r="T563" s="34"/>
      <c r="U563" s="34"/>
      <c r="V563" s="34"/>
      <c r="W563" s="29"/>
      <c r="X563" s="28">
        <v>32</v>
      </c>
      <c r="Y563" s="28">
        <v>1</v>
      </c>
      <c r="Z563" s="28">
        <v>1</v>
      </c>
      <c r="AA563" s="28">
        <v>3</v>
      </c>
      <c r="AB563" s="28">
        <v>4</v>
      </c>
      <c r="AC563" s="28">
        <v>2</v>
      </c>
      <c r="AD563" s="28">
        <v>2</v>
      </c>
      <c r="AE563" s="28">
        <v>4</v>
      </c>
      <c r="AF563" s="28">
        <v>3</v>
      </c>
      <c r="AG563" s="28">
        <v>2</v>
      </c>
      <c r="AH563" s="29" t="s">
        <v>1197</v>
      </c>
      <c r="AI563" s="36">
        <f>IF(OR(AND(K563&lt;32, J563&lt;2), O563=1, P563=1, Q563=1, R563=1, S563=1, T563=1, U563=1, AND(W563&lt;&gt;"", W563&lt;&gt;"Oxygen", W563&lt;&gt;"LowFlow")), "Intensive", "Intermediate")</f>
      </c>
      <c r="AJ563" s="37">
        <f>IF(OR(LEFT(AH563, 1)="X", LEFT(AH563, 1)="Y", LEFT(AH563, 3)="J47M"), "CUSM", "No Match")</f>
      </c>
      <c r="AK563" s="37">
        <f>IF(AND(OR(O563=3, P563=1, Q563=1, T563=1), AJ563="no Match"), "CUSM, CHU SJ, CHUQ", "")</f>
      </c>
      <c r="AL563" s="37">
        <f>IF(AND(O563=2, ISBLANK(P563), ISBLANK(Q563), ISBLANK(R563), ISBLANK(S563), ISBLANK(T563)), "CUSM, CHU SJ, CHUS, CHUQ", "")</f>
      </c>
      <c r="AM563" s="37">
        <f>IF(AND(AJ563="no match", AK563="", AL563="", K563&lt;26), "CUSM, CHU SJ, HGJ, CHUQ, CHUS", "")</f>
      </c>
      <c r="AN563" s="37">
        <f>IF(AND(AJ563="no match", AK563="", AL563="", K563&gt;26), "CUSM, CHU SJ, HGJ, CHUQ, CHUS, HMR", "")</f>
      </c>
    </row>
    <row x14ac:dyDescent="0.25" r="564" customHeight="1" ht="17.25">
      <c r="A564" s="41" t="s">
        <v>1198</v>
      </c>
      <c r="B564" s="28">
        <v>2</v>
      </c>
      <c r="C564" s="28">
        <v>756</v>
      </c>
      <c r="D564" s="29" t="s">
        <v>66</v>
      </c>
      <c r="E564" s="30" t="s">
        <v>50</v>
      </c>
      <c r="F564" s="31">
        <v>44859</v>
      </c>
      <c r="G564" s="32">
        <v>4.8125</v>
      </c>
      <c r="H564" s="31">
        <v>44857</v>
      </c>
      <c r="I564" s="32">
        <v>4.638194444444444</v>
      </c>
      <c r="J564" s="33">
        <f>F564-H564</f>
      </c>
      <c r="K564" s="28">
        <v>32</v>
      </c>
      <c r="L564" s="28">
        <v>1</v>
      </c>
      <c r="M564" s="28">
        <v>2</v>
      </c>
      <c r="N564" s="38"/>
      <c r="O564" s="34"/>
      <c r="P564" s="34"/>
      <c r="Q564" s="34"/>
      <c r="R564" s="34"/>
      <c r="S564" s="34"/>
      <c r="T564" s="34"/>
      <c r="U564" s="34"/>
      <c r="V564" s="34"/>
      <c r="W564" s="29" t="s">
        <v>58</v>
      </c>
      <c r="X564" s="28">
        <v>28</v>
      </c>
      <c r="Y564" s="28">
        <v>1</v>
      </c>
      <c r="Z564" s="28">
        <v>1</v>
      </c>
      <c r="AA564" s="28">
        <v>1</v>
      </c>
      <c r="AB564" s="28">
        <v>2</v>
      </c>
      <c r="AC564" s="28">
        <v>2</v>
      </c>
      <c r="AD564" s="28">
        <v>1</v>
      </c>
      <c r="AE564" s="28">
        <v>4</v>
      </c>
      <c r="AF564" s="28">
        <v>2</v>
      </c>
      <c r="AG564" s="28">
        <v>2</v>
      </c>
      <c r="AH564" s="29" t="s">
        <v>1199</v>
      </c>
      <c r="AI564" s="36">
        <f>IF(OR(AND(K564&lt;32, J564&lt;2), O564=1, P564=1, Q564=1, R564=1, S564=1, T564=1, U564=1, AND(W564&lt;&gt;"", W564&lt;&gt;"Oxygen", W564&lt;&gt;"LowFlow")), "Intensive", "Intermediate")</f>
      </c>
      <c r="AJ564" s="37">
        <f>IF(OR(LEFT(AH564, 1)="X", LEFT(AH564, 1)="Y", LEFT(AH564, 3)="J48M"), "CUSM", "No Match")</f>
      </c>
      <c r="AK564" s="37">
        <f>IF(AND(OR(O564=3, P564=1, Q564=1, T564=1), AJ564="no Match"), "CUSM, CHU SJ, CHUQ", "")</f>
      </c>
      <c r="AL564" s="37">
        <f>IF(AND(O564=2, ISBLANK(P564), ISBLANK(Q564), ISBLANK(R564), ISBLANK(S564), ISBLANK(T564)), "CUSM, CHU SJ, CHUS, CHUQ", "")</f>
      </c>
      <c r="AM564" s="37">
        <f>IF(AND(AJ564="no match", AK564="", AL564="", K564&lt;26), "CUSM, CHU SJ, HGJ, CHUQ, CHUS", "")</f>
      </c>
      <c r="AN564" s="37">
        <f>IF(AND(AJ564="no match", AK564="", AL564="", K564&gt;26), "CUSM, CHU SJ, HGJ, CHUQ, CHUS, HMR", "")</f>
      </c>
    </row>
    <row x14ac:dyDescent="0.25" r="565" customHeight="1" ht="17.25">
      <c r="A565" s="41" t="s">
        <v>1200</v>
      </c>
      <c r="B565" s="28">
        <v>2</v>
      </c>
      <c r="C565" s="28">
        <v>735</v>
      </c>
      <c r="D565" s="29" t="s">
        <v>49</v>
      </c>
      <c r="E565" s="30" t="s">
        <v>50</v>
      </c>
      <c r="F565" s="31">
        <v>44860</v>
      </c>
      <c r="G565" s="32">
        <v>4.541666666666666</v>
      </c>
      <c r="H565" s="31">
        <v>44857</v>
      </c>
      <c r="I565" s="32">
        <v>4.496527777777778</v>
      </c>
      <c r="J565" s="33">
        <f>F565-H565</f>
      </c>
      <c r="K565" s="28">
        <v>35</v>
      </c>
      <c r="L565" s="28">
        <v>2</v>
      </c>
      <c r="M565" s="28">
        <v>1</v>
      </c>
      <c r="N565" s="35">
        <v>1</v>
      </c>
      <c r="O565" s="34"/>
      <c r="P565" s="34"/>
      <c r="Q565" s="34"/>
      <c r="R565" s="34"/>
      <c r="S565" s="34"/>
      <c r="T565" s="34"/>
      <c r="U565" s="34"/>
      <c r="V565" s="34"/>
      <c r="W565" s="29"/>
      <c r="X565" s="28">
        <v>34</v>
      </c>
      <c r="Y565" s="28">
        <v>1</v>
      </c>
      <c r="Z565" s="28">
        <v>2</v>
      </c>
      <c r="AA565" s="28">
        <v>2</v>
      </c>
      <c r="AB565" s="28">
        <v>1</v>
      </c>
      <c r="AC565" s="28">
        <v>2</v>
      </c>
      <c r="AD565" s="28">
        <v>2</v>
      </c>
      <c r="AE565" s="28">
        <v>4</v>
      </c>
      <c r="AF565" s="28">
        <v>2</v>
      </c>
      <c r="AG565" s="28">
        <v>2</v>
      </c>
      <c r="AH565" s="29" t="s">
        <v>1201</v>
      </c>
      <c r="AI565" s="36">
        <f>IF(OR(AND(K565&lt;32, J565&lt;2), O565=1, P565=1, Q565=1, R565=1, S565=1, T565=1, U565=1, AND(W565&lt;&gt;"", W565&lt;&gt;"Oxygen", W565&lt;&gt;"LowFlow")), "Intensive", "Intermediate")</f>
      </c>
      <c r="AJ565" s="37">
        <f>IF(OR(LEFT(AH565, 1)="X", LEFT(AH565, 1)="Y", LEFT(AH565, 3)="J49M"), "CUSM", "No Match")</f>
      </c>
      <c r="AK565" s="37">
        <f>IF(AND(OR(O565=3, P565=1, Q565=1, T565=1), AJ565="no Match"), "CUSM, CHU SJ, CHUQ", "")</f>
      </c>
      <c r="AL565" s="37">
        <f>IF(AND(O565=2, ISBLANK(P565), ISBLANK(Q565), ISBLANK(R565), ISBLANK(S565), ISBLANK(T565)), "CUSM, CHU SJ, CHUS, CHUQ", "")</f>
      </c>
      <c r="AM565" s="37">
        <f>IF(AND(AJ565="no match", AK565="", AL565="", K565&lt;26), "CUSM, CHU SJ, HGJ, CHUQ, CHUS", "")</f>
      </c>
      <c r="AN565" s="37">
        <f>IF(AND(AJ565="no match", AK565="", AL565="", K565&gt;26), "CUSM, CHU SJ, HGJ, CHUQ, CHUS, HMR", "")</f>
      </c>
    </row>
    <row x14ac:dyDescent="0.25" r="566" customHeight="1" ht="17.25">
      <c r="A566" s="41" t="s">
        <v>1202</v>
      </c>
      <c r="B566" s="28">
        <v>2</v>
      </c>
      <c r="C566" s="35">
        <v>735</v>
      </c>
      <c r="D566" s="29" t="s">
        <v>49</v>
      </c>
      <c r="E566" s="30" t="s">
        <v>149</v>
      </c>
      <c r="F566" s="31">
        <v>44862</v>
      </c>
      <c r="G566" s="32">
        <v>4.490277777777777</v>
      </c>
      <c r="H566" s="31">
        <v>44831</v>
      </c>
      <c r="I566" s="32">
        <v>4.407638888888889</v>
      </c>
      <c r="J566" s="33">
        <f>F566-H566</f>
      </c>
      <c r="K566" s="28">
        <v>31</v>
      </c>
      <c r="L566" s="28">
        <v>4</v>
      </c>
      <c r="M566" s="28">
        <v>1</v>
      </c>
      <c r="N566" s="34"/>
      <c r="O566" s="34"/>
      <c r="P566" s="34"/>
      <c r="Q566" s="34"/>
      <c r="R566" s="34"/>
      <c r="S566" s="34"/>
      <c r="T566" s="34"/>
      <c r="U566" s="34"/>
      <c r="V566" s="34"/>
      <c r="W566" s="29"/>
      <c r="X566" s="28">
        <v>22</v>
      </c>
      <c r="Y566" s="28">
        <v>1</v>
      </c>
      <c r="Z566" s="28">
        <v>1</v>
      </c>
      <c r="AA566" s="28">
        <v>3</v>
      </c>
      <c r="AB566" s="28">
        <v>1</v>
      </c>
      <c r="AC566" s="28">
        <v>1</v>
      </c>
      <c r="AD566" s="28">
        <v>3</v>
      </c>
      <c r="AE566" s="28">
        <v>4</v>
      </c>
      <c r="AF566" s="28">
        <v>3</v>
      </c>
      <c r="AG566" s="28">
        <v>2</v>
      </c>
      <c r="AH566" s="29" t="s">
        <v>1203</v>
      </c>
      <c r="AI566" s="36">
        <f>IF(OR(AND(K566&lt;32, J566&lt;2), O566=1, P566=1, Q566=1, R566=1, S566=1, T566=1, U566=1, AND(W566&lt;&gt;"", W566&lt;&gt;"Oxygen", W566&lt;&gt;"LowFlow")), "Intensive", "Intermediate")</f>
      </c>
      <c r="AJ566" s="37">
        <f>IF(OR(LEFT(AH566, 1)="X", LEFT(AH566, 1)="Y", LEFT(AH566, 3)="J50M"), "CUSM", "No Match")</f>
      </c>
      <c r="AK566" s="37">
        <f>IF(AND(OR(O566=3, P566=1, Q566=1, T566=1), AJ566="no Match"), "CUSM, CHU SJ, CHUQ", "")</f>
      </c>
      <c r="AL566" s="37">
        <f>IF(AND(O566=2, ISBLANK(P566), ISBLANK(Q566), ISBLANK(R566), ISBLANK(S566), ISBLANK(T566)), "CUSM, CHU SJ, CHUS, CHUQ", "")</f>
      </c>
      <c r="AM566" s="37">
        <f>IF(AND(AJ566="no match", AK566="", AL566="", K566&lt;26), "CUSM, CHU SJ, HGJ, CHUQ, CHUS", "")</f>
      </c>
      <c r="AN566" s="37">
        <f>IF(AND(AJ566="no match", AK566="", AL566="", K566&gt;26), "CUSM, CHU SJ, HGJ, CHUQ, CHUS, HMR", "")</f>
      </c>
    </row>
    <row x14ac:dyDescent="0.25" r="567" customHeight="1" ht="17.25">
      <c r="A567" s="41" t="s">
        <v>1204</v>
      </c>
      <c r="B567" s="28">
        <v>2</v>
      </c>
      <c r="C567" s="28">
        <v>1019</v>
      </c>
      <c r="D567" s="29" t="s">
        <v>354</v>
      </c>
      <c r="E567" s="30" t="s">
        <v>54</v>
      </c>
      <c r="F567" s="31">
        <v>44862</v>
      </c>
      <c r="G567" s="32">
        <v>4.958333333333334</v>
      </c>
      <c r="H567" s="31">
        <v>44859</v>
      </c>
      <c r="I567" s="32">
        <v>4.509027777777778</v>
      </c>
      <c r="J567" s="33">
        <f>F567-H567</f>
      </c>
      <c r="K567" s="28">
        <v>37</v>
      </c>
      <c r="L567" s="28">
        <v>3</v>
      </c>
      <c r="M567" s="28">
        <v>1</v>
      </c>
      <c r="N567" s="34"/>
      <c r="O567" s="34"/>
      <c r="P567" s="34"/>
      <c r="Q567" s="34"/>
      <c r="R567" s="34"/>
      <c r="S567" s="34"/>
      <c r="T567" s="34"/>
      <c r="U567" s="34"/>
      <c r="V567" s="34"/>
      <c r="W567" s="29"/>
      <c r="X567" s="28">
        <v>34</v>
      </c>
      <c r="Y567" s="28">
        <v>1</v>
      </c>
      <c r="Z567" s="28">
        <v>2</v>
      </c>
      <c r="AA567" s="28">
        <v>2</v>
      </c>
      <c r="AB567" s="28">
        <v>1</v>
      </c>
      <c r="AC567" s="28">
        <v>2</v>
      </c>
      <c r="AD567" s="28">
        <v>1</v>
      </c>
      <c r="AE567" s="28">
        <v>4</v>
      </c>
      <c r="AF567" s="28">
        <v>2</v>
      </c>
      <c r="AG567" s="28">
        <v>2</v>
      </c>
      <c r="AH567" s="29" t="s">
        <v>1205</v>
      </c>
      <c r="AI567" s="36">
        <f>IF(OR(AND(K567&lt;32, J567&lt;2), O567=1, P567=1, Q567=1, R567=1, S567=1, T567=1, U567=1, AND(W567&lt;&gt;"", W567&lt;&gt;"Oxygen", W567&lt;&gt;"LowFlow")), "Intensive", "Intermediate")</f>
      </c>
      <c r="AJ567" s="37">
        <f>IF(OR(LEFT(AH567, 1)="X", LEFT(AH567, 1)="Y", LEFT(AH567, 3)="J51M"), "CUSM", "No Match")</f>
      </c>
      <c r="AK567" s="37">
        <f>IF(AND(OR(O567=3, P567=1, Q567=1, T567=1), AJ567="no Match"), "CUSM, CHU SJ, CHUQ", "")</f>
      </c>
      <c r="AL567" s="37">
        <f>IF(AND(O567=2, ISBLANK(P567), ISBLANK(Q567), ISBLANK(R567), ISBLANK(S567), ISBLANK(T567)), "CUSM, CHU SJ, CHUS, CHUQ", "")</f>
      </c>
      <c r="AM567" s="37">
        <f>IF(AND(AJ567="no match", AK567="", AL567="", K567&lt;26), "CUSM, CHU SJ, HGJ, CHUQ, CHUS", "")</f>
      </c>
      <c r="AN567" s="37">
        <f>IF(AND(AJ567="no match", AK567="", AL567="", K567&gt;26), "CUSM, CHU SJ, HGJ, CHUQ, CHUS, HMR", "")</f>
      </c>
    </row>
    <row x14ac:dyDescent="0.25" r="568" customHeight="1" ht="17.25">
      <c r="A568" s="41" t="s">
        <v>1206</v>
      </c>
      <c r="B568" s="28">
        <v>2</v>
      </c>
      <c r="C568" s="35">
        <v>839</v>
      </c>
      <c r="D568" s="29" t="s">
        <v>53</v>
      </c>
      <c r="E568" s="30" t="s">
        <v>50</v>
      </c>
      <c r="F568" s="31">
        <v>44862</v>
      </c>
      <c r="G568" s="32">
        <v>4.341666666666667</v>
      </c>
      <c r="H568" s="31">
        <v>44862</v>
      </c>
      <c r="I568" s="32">
        <v>4.183333333333334</v>
      </c>
      <c r="J568" s="33">
        <f>F568-H568</f>
      </c>
      <c r="K568" s="28">
        <v>40</v>
      </c>
      <c r="L568" s="28">
        <v>1</v>
      </c>
      <c r="M568" s="28">
        <v>1</v>
      </c>
      <c r="N568" s="34"/>
      <c r="O568" s="34"/>
      <c r="P568" s="34"/>
      <c r="Q568" s="34"/>
      <c r="R568" s="34"/>
      <c r="S568" s="34"/>
      <c r="T568" s="34"/>
      <c r="U568" s="34"/>
      <c r="V568" s="34"/>
      <c r="W568" s="29"/>
      <c r="X568" s="28">
        <v>37</v>
      </c>
      <c r="Y568" s="28">
        <v>1</v>
      </c>
      <c r="Z568" s="28">
        <v>1</v>
      </c>
      <c r="AA568" s="28">
        <v>2</v>
      </c>
      <c r="AB568" s="28">
        <v>1</v>
      </c>
      <c r="AC568" s="28">
        <v>2</v>
      </c>
      <c r="AD568" s="28">
        <v>2</v>
      </c>
      <c r="AE568" s="28">
        <v>2</v>
      </c>
      <c r="AF568" s="28">
        <v>2</v>
      </c>
      <c r="AG568" s="28">
        <v>2</v>
      </c>
      <c r="AH568" s="29" t="s">
        <v>1207</v>
      </c>
      <c r="AI568" s="36">
        <f>IF(OR(AND(K568&lt;32, J568&lt;2), O568=1, P568=1, Q568=1, R568=1, S568=1, T568=1, U568=1, AND(W568&lt;&gt;"", W568&lt;&gt;"Oxygen", W568&lt;&gt;"LowFlow")), "Intensive", "Intermediate")</f>
      </c>
      <c r="AJ568" s="37">
        <f>IF(OR(LEFT(AH568, 1)="X", LEFT(AH568, 1)="Y", LEFT(AH568, 3)="J52M"), "CUSM", "No Match")</f>
      </c>
      <c r="AK568" s="37">
        <f>IF(AND(OR(O568=3, P568=1, Q568=1, T568=1), AJ568="no Match"), "CUSM, CHU SJ, CHUQ", "")</f>
      </c>
      <c r="AL568" s="37">
        <f>IF(AND(O568=2, ISBLANK(P568), ISBLANK(Q568), ISBLANK(R568), ISBLANK(S568), ISBLANK(T568)), "CUSM, CHU SJ, CHUS, CHUQ", "")</f>
      </c>
      <c r="AM568" s="37">
        <f>IF(AND(AJ568="no match", AK568="", AL568="", K568&lt;26), "CUSM, CHU SJ, HGJ, CHUQ, CHUS", "")</f>
      </c>
      <c r="AN568" s="37">
        <f>IF(AND(AJ568="no match", AK568="", AL568="", K568&gt;26), "CUSM, CHU SJ, HGJ, CHUQ, CHUS, HMR", "")</f>
      </c>
    </row>
    <row x14ac:dyDescent="0.25" r="569" customHeight="1" ht="17.25">
      <c r="A569" s="41" t="s">
        <v>1208</v>
      </c>
      <c r="B569" s="28">
        <v>2</v>
      </c>
      <c r="C569" s="28">
        <v>6</v>
      </c>
      <c r="D569" s="29" t="s">
        <v>131</v>
      </c>
      <c r="E569" s="30" t="s">
        <v>50</v>
      </c>
      <c r="F569" s="31">
        <v>44862</v>
      </c>
      <c r="G569" s="32">
        <v>4.03125</v>
      </c>
      <c r="H569" s="31">
        <v>44851</v>
      </c>
      <c r="I569" s="32">
        <v>4</v>
      </c>
      <c r="J569" s="33">
        <f>F569-H569</f>
      </c>
      <c r="K569" s="28">
        <v>39</v>
      </c>
      <c r="L569" s="28">
        <v>5</v>
      </c>
      <c r="M569" s="28">
        <v>1</v>
      </c>
      <c r="N569" s="28">
        <v>1</v>
      </c>
      <c r="O569" s="34"/>
      <c r="P569" s="34"/>
      <c r="Q569" s="38"/>
      <c r="R569" s="34"/>
      <c r="S569" s="34"/>
      <c r="T569" s="34"/>
      <c r="U569" s="34"/>
      <c r="V569" s="34"/>
      <c r="W569" s="29" t="s">
        <v>106</v>
      </c>
      <c r="X569" s="28">
        <v>30</v>
      </c>
      <c r="Y569" s="28">
        <v>1</v>
      </c>
      <c r="Z569" s="28">
        <v>3</v>
      </c>
      <c r="AA569" s="28">
        <v>3</v>
      </c>
      <c r="AB569" s="28">
        <v>4</v>
      </c>
      <c r="AC569" s="28">
        <v>2</v>
      </c>
      <c r="AD569" s="28">
        <v>2</v>
      </c>
      <c r="AE569" s="28">
        <v>4</v>
      </c>
      <c r="AF569" s="28">
        <v>3</v>
      </c>
      <c r="AG569" s="28">
        <v>2</v>
      </c>
      <c r="AH569" s="29" t="s">
        <v>1209</v>
      </c>
      <c r="AI569" s="36">
        <f>IF(OR(AND(K569&lt;32, J569&lt;2), O569=1, P569=1, Q569=1, R569=1, S569=1, T569=1, U569=1, AND(W569&lt;&gt;"", W569&lt;&gt;"Oxygen", W569&lt;&gt;"LowFlow")), "Intensive", "Intermediate")</f>
      </c>
      <c r="AJ569" s="37">
        <f>IF(OR(LEFT(AH569, 1)="X", LEFT(AH569, 1)="Y", LEFT(AH569, 3)="J53M"), "CUSM", "No Match")</f>
      </c>
      <c r="AK569" s="37">
        <f>IF(AND(OR(O569=3, P569=1, Q569=1, T569=1), AJ569="no Match"), "CUSM, CHU SJ, CHUQ", "")</f>
      </c>
      <c r="AL569" s="37">
        <f>IF(AND(O569=2, ISBLANK(P569), ISBLANK(Q569), ISBLANK(R569), ISBLANK(S569), ISBLANK(T569)), "CUSM, CHU SJ, CHUS, CHUQ", "")</f>
      </c>
      <c r="AM569" s="37">
        <f>IF(AND(AJ569="no match", AK569="", AL569="", K569&lt;26), "CUSM, CHU SJ, HGJ, CHUQ, CHUS", "")</f>
      </c>
      <c r="AN569" s="37">
        <f>IF(AND(AJ569="no match", AK569="", AL569="", K569&gt;26), "CUSM, CHU SJ, HGJ, CHUQ, CHUS, HMR", "")</f>
      </c>
    </row>
    <row x14ac:dyDescent="0.25" r="570" customHeight="1" ht="17.25">
      <c r="A570" s="41" t="s">
        <v>1210</v>
      </c>
      <c r="B570" s="28">
        <v>2</v>
      </c>
      <c r="C570" s="35">
        <v>839</v>
      </c>
      <c r="D570" s="29" t="s">
        <v>53</v>
      </c>
      <c r="E570" s="30" t="s">
        <v>50</v>
      </c>
      <c r="F570" s="31">
        <v>44862</v>
      </c>
      <c r="G570" s="32">
        <v>4.833333333333334</v>
      </c>
      <c r="H570" s="31">
        <v>44861</v>
      </c>
      <c r="I570" s="32">
        <v>4.528472222222222</v>
      </c>
      <c r="J570" s="33">
        <f>F570-H570</f>
      </c>
      <c r="K570" s="28">
        <v>37</v>
      </c>
      <c r="L570" s="28">
        <v>2</v>
      </c>
      <c r="M570" s="28">
        <v>1</v>
      </c>
      <c r="N570" s="35">
        <v>1</v>
      </c>
      <c r="O570" s="34"/>
      <c r="P570" s="34"/>
      <c r="Q570" s="34"/>
      <c r="R570" s="34"/>
      <c r="S570" s="34"/>
      <c r="T570" s="34"/>
      <c r="U570" s="34"/>
      <c r="V570" s="34"/>
      <c r="W570" s="29"/>
      <c r="X570" s="28">
        <v>43</v>
      </c>
      <c r="Y570" s="28">
        <v>1</v>
      </c>
      <c r="Z570" s="28">
        <v>1</v>
      </c>
      <c r="AA570" s="28">
        <v>2</v>
      </c>
      <c r="AB570" s="28">
        <v>1</v>
      </c>
      <c r="AC570" s="28">
        <v>1</v>
      </c>
      <c r="AD570" s="28">
        <v>1</v>
      </c>
      <c r="AE570" s="28">
        <v>4</v>
      </c>
      <c r="AF570" s="28">
        <v>2</v>
      </c>
      <c r="AG570" s="28">
        <v>2</v>
      </c>
      <c r="AH570" s="29" t="s">
        <v>1211</v>
      </c>
      <c r="AI570" s="36">
        <f>IF(OR(AND(K570&lt;32, J570&lt;2), O570=1, P570=1, Q570=1, R570=1, S570=1, T570=1, U570=1, AND(W570&lt;&gt;"", W570&lt;&gt;"Oxygen", W570&lt;&gt;"LowFlow")), "Intensive", "Intermediate")</f>
      </c>
      <c r="AJ570" s="37">
        <f>IF(OR(LEFT(AH570, 1)="X", LEFT(AH570, 1)="Y", LEFT(AH570, 3)="J54M"), "CUSM", "No Match")</f>
      </c>
      <c r="AK570" s="37">
        <f>IF(AND(OR(O570=3, P570=1, Q570=1, T570=1), AJ570="no Match"), "CUSM, CHU SJ, CHUQ", "")</f>
      </c>
      <c r="AL570" s="37">
        <f>IF(AND(O570=2, ISBLANK(P570), ISBLANK(Q570), ISBLANK(R570), ISBLANK(S570), ISBLANK(T570)), "CUSM, CHU SJ, CHUS, CHUQ", "")</f>
      </c>
      <c r="AM570" s="37">
        <f>IF(AND(AJ570="no match", AK570="", AL570="", K570&lt;26), "CUSM, CHU SJ, HGJ, CHUQ, CHUS", "")</f>
      </c>
      <c r="AN570" s="37">
        <f>IF(AND(AJ570="no match", AK570="", AL570="", K570&gt;26), "CUSM, CHU SJ, HGJ, CHUQ, CHUS, HMR", "")</f>
      </c>
    </row>
    <row x14ac:dyDescent="0.25" r="571" customHeight="1" ht="17.25">
      <c r="A571" s="41" t="s">
        <v>1212</v>
      </c>
      <c r="B571" s="28">
        <v>2</v>
      </c>
      <c r="C571" s="28">
        <v>839</v>
      </c>
      <c r="D571" s="29" t="s">
        <v>53</v>
      </c>
      <c r="E571" s="30" t="s">
        <v>50</v>
      </c>
      <c r="F571" s="31">
        <v>44862</v>
      </c>
      <c r="G571" s="32">
        <v>4.982638888888889</v>
      </c>
      <c r="H571" s="31">
        <v>44862</v>
      </c>
      <c r="I571" s="32">
        <v>4.7</v>
      </c>
      <c r="J571" s="33">
        <f>F571-H571</f>
      </c>
      <c r="K571" s="28">
        <v>37</v>
      </c>
      <c r="L571" s="28">
        <v>3</v>
      </c>
      <c r="M571" s="28">
        <v>1</v>
      </c>
      <c r="N571" s="35">
        <v>1</v>
      </c>
      <c r="O571" s="35">
        <v>2</v>
      </c>
      <c r="P571" s="34"/>
      <c r="Q571" s="34"/>
      <c r="R571" s="34"/>
      <c r="S571" s="34"/>
      <c r="T571" s="34"/>
      <c r="U571" s="34"/>
      <c r="V571" s="34"/>
      <c r="W571" s="29" t="s">
        <v>58</v>
      </c>
      <c r="X571" s="28">
        <v>33</v>
      </c>
      <c r="Y571" s="28">
        <v>1</v>
      </c>
      <c r="Z571" s="28">
        <v>1</v>
      </c>
      <c r="AA571" s="28">
        <v>2</v>
      </c>
      <c r="AB571" s="28">
        <v>1</v>
      </c>
      <c r="AC571" s="28">
        <v>2</v>
      </c>
      <c r="AD571" s="28">
        <v>2</v>
      </c>
      <c r="AE571" s="28">
        <v>4</v>
      </c>
      <c r="AF571" s="28">
        <v>2</v>
      </c>
      <c r="AG571" s="28">
        <v>2</v>
      </c>
      <c r="AH571" s="29" t="s">
        <v>1213</v>
      </c>
      <c r="AI571" s="36">
        <f>IF(OR(AND(K571&lt;32, J571&lt;2), O571=1, P571=1, Q571=1, R571=1, S571=1, T571=1, U571=1, AND(W571&lt;&gt;"", W571&lt;&gt;"Oxygen", W571&lt;&gt;"LowFlow")), "Intensive", "Intermediate")</f>
      </c>
      <c r="AJ571" s="37">
        <f>IF(OR(LEFT(AH571, 1)="X", LEFT(AH571, 1)="Y", LEFT(AH571, 3)="J55M"), "CUSM", "No Match")</f>
      </c>
      <c r="AK571" s="37">
        <f>IF(AND(OR(O571=3, P571=1, Q571=1, T571=1), AJ571="no Match"), "CUSM, CHU SJ, CHUQ", "")</f>
      </c>
      <c r="AL571" s="37">
        <f>IF(AND(O571=2, ISBLANK(P571), ISBLANK(Q571), ISBLANK(R571), ISBLANK(S571), ISBLANK(T571)), "CUSM, CHU SJ, CHUS, CHUQ", "")</f>
      </c>
      <c r="AM571" s="37">
        <f>IF(AND(AJ571="no match", AK571="", AL571="", K571&lt;26), "CUSM, CHU SJ, HGJ, CHUQ, CHUS", "")</f>
      </c>
      <c r="AN571" s="37">
        <f>IF(AND(AJ571="no match", AK571="", AL571="", K571&gt;26), "CUSM, CHU SJ, HGJ, CHUQ, CHUS, HMR", "")</f>
      </c>
    </row>
    <row x14ac:dyDescent="0.25" r="572" customHeight="1" ht="17.25">
      <c r="A572" s="41" t="s">
        <v>1214</v>
      </c>
      <c r="B572" s="28">
        <v>2</v>
      </c>
      <c r="C572" s="35">
        <v>730</v>
      </c>
      <c r="D572" s="29" t="s">
        <v>81</v>
      </c>
      <c r="E572" s="30" t="s">
        <v>50</v>
      </c>
      <c r="F572" s="31">
        <v>44863</v>
      </c>
      <c r="G572" s="32">
        <v>4.357638888888889</v>
      </c>
      <c r="H572" s="31">
        <v>44863</v>
      </c>
      <c r="I572" s="32">
        <v>4.211805555555555</v>
      </c>
      <c r="J572" s="33">
        <f>F572-H572</f>
      </c>
      <c r="K572" s="28">
        <v>36</v>
      </c>
      <c r="L572" s="28">
        <v>4</v>
      </c>
      <c r="M572" s="28">
        <v>2</v>
      </c>
      <c r="N572" s="34"/>
      <c r="O572" s="34"/>
      <c r="P572" s="34"/>
      <c r="Q572" s="34"/>
      <c r="R572" s="34"/>
      <c r="S572" s="34"/>
      <c r="T572" s="35">
        <v>1</v>
      </c>
      <c r="U572" s="34"/>
      <c r="V572" s="34"/>
      <c r="W572" s="29" t="s">
        <v>74</v>
      </c>
      <c r="X572" s="28">
        <v>32</v>
      </c>
      <c r="Y572" s="28">
        <v>1</v>
      </c>
      <c r="Z572" s="28">
        <v>3</v>
      </c>
      <c r="AA572" s="28">
        <v>2</v>
      </c>
      <c r="AB572" s="28">
        <v>1</v>
      </c>
      <c r="AC572" s="28">
        <v>2</v>
      </c>
      <c r="AD572" s="28">
        <v>2</v>
      </c>
      <c r="AE572" s="28">
        <v>4</v>
      </c>
      <c r="AF572" s="28">
        <v>2</v>
      </c>
      <c r="AG572" s="28">
        <v>2</v>
      </c>
      <c r="AH572" s="29" t="s">
        <v>1215</v>
      </c>
      <c r="AI572" s="36">
        <f>IF(OR(AND(K572&lt;32, J572&lt;2), O572=1, P572=1, Q572=1, R572=1, S572=1, T572=1, U572=1, AND(W572&lt;&gt;"", W572&lt;&gt;"Oxygen", W572&lt;&gt;"LowFlow")), "Intensive", "Intermediate")</f>
      </c>
      <c r="AJ572" s="37">
        <f>IF(OR(LEFT(AH572, 1)="X", LEFT(AH572, 1)="Y", LEFT(AH572, 3)="J56M"), "CUSM", "No Match")</f>
      </c>
      <c r="AK572" s="37">
        <f>IF(AND(OR(O572=3, P572=1, Q572=1, T572=1), AJ572="no Match"), "CUSM, CHU SJ, CHUQ", "")</f>
      </c>
      <c r="AL572" s="37">
        <f>IF(AND(O572=2, ISBLANK(P572), ISBLANK(Q572), ISBLANK(R572), ISBLANK(S572), ISBLANK(T572)), "CUSM, CHU SJ, CHUS, CHUQ", "")</f>
      </c>
      <c r="AM572" s="37">
        <f>IF(AND(AJ572="no match", AK572="", AL572="", K572&lt;26), "CUSM, CHU SJ, HGJ, CHUQ, CHUS", "")</f>
      </c>
      <c r="AN572" s="37">
        <f>IF(AND(AJ572="no match", AK572="", AL572="", K572&gt;26), "CUSM, CHU SJ, HGJ, CHUQ, CHUS, HMR", "")</f>
      </c>
    </row>
    <row x14ac:dyDescent="0.25" r="573" customHeight="1" ht="17.25">
      <c r="A573" s="41" t="s">
        <v>1216</v>
      </c>
      <c r="B573" s="28">
        <v>2</v>
      </c>
      <c r="C573" s="28">
        <v>815</v>
      </c>
      <c r="D573" s="29" t="s">
        <v>100</v>
      </c>
      <c r="E573" s="30" t="s">
        <v>220</v>
      </c>
      <c r="F573" s="31">
        <v>44863</v>
      </c>
      <c r="G573" s="32">
        <v>4.990972222222222</v>
      </c>
      <c r="H573" s="31">
        <v>44863</v>
      </c>
      <c r="I573" s="32">
        <v>4.894444444444444</v>
      </c>
      <c r="J573" s="33">
        <f>F573-H573</f>
      </c>
      <c r="K573" s="28">
        <v>26</v>
      </c>
      <c r="L573" s="28">
        <v>3</v>
      </c>
      <c r="M573" s="28">
        <v>2</v>
      </c>
      <c r="N573" s="38"/>
      <c r="O573" s="34"/>
      <c r="P573" s="34"/>
      <c r="Q573" s="34"/>
      <c r="R573" s="34"/>
      <c r="S573" s="34"/>
      <c r="T573" s="34"/>
      <c r="U573" s="34"/>
      <c r="V573" s="34"/>
      <c r="W573" s="29" t="s">
        <v>74</v>
      </c>
      <c r="X573" s="28">
        <v>32</v>
      </c>
      <c r="Y573" s="28">
        <v>1</v>
      </c>
      <c r="Z573" s="28">
        <v>2</v>
      </c>
      <c r="AA573" s="28">
        <v>2</v>
      </c>
      <c r="AB573" s="28">
        <v>1</v>
      </c>
      <c r="AC573" s="28">
        <v>1</v>
      </c>
      <c r="AD573" s="28">
        <v>1</v>
      </c>
      <c r="AE573" s="28">
        <v>4</v>
      </c>
      <c r="AF573" s="28">
        <v>2</v>
      </c>
      <c r="AG573" s="28">
        <v>2</v>
      </c>
      <c r="AH573" s="29"/>
      <c r="AI573" s="36">
        <f>IF(OR(AND(K573&lt;32, J573&lt;2), O573=1, P573=1, Q573=1, R573=1, S573=1, T573=1, U573=1, AND(W573&lt;&gt;"", W573&lt;&gt;"Oxygen", W573&lt;&gt;"LowFlow")), "Intensive", "Intermediate")</f>
      </c>
      <c r="AJ573" s="37">
        <f>IF(OR(LEFT(AH573, 1)="X", LEFT(AH573, 1)="Y", LEFT(AH573, 3)="J57M"), "CUSM", "No Match")</f>
      </c>
      <c r="AK573" s="37">
        <f>IF(AND(OR(O573=3, P573=1, Q573=1, T573=1), AJ573="no Match"), "CUSM, CHU SJ, CHUQ", "")</f>
      </c>
      <c r="AL573" s="37">
        <f>IF(AND(O573=2, ISBLANK(P573), ISBLANK(Q573), ISBLANK(R573), ISBLANK(S573), ISBLANK(T573)), "CUSM, CHU SJ, CHUS, CHUQ", "")</f>
      </c>
      <c r="AM573" s="37">
        <f>IF(AND(AJ573="no match", AK573="", AL573="", K573&lt;26), "CUSM, CHU SJ, HGJ, CHUQ, CHUS", "")</f>
      </c>
      <c r="AN573" s="37">
        <f>IF(AND(AJ573="no match", AK573="", AL573="", K573&gt;26), "CUSM, CHU SJ, HGJ, CHUQ, CHUS, HMR", "")</f>
      </c>
    </row>
    <row x14ac:dyDescent="0.25" r="574" customHeight="1" ht="17.25">
      <c r="A574" s="41" t="s">
        <v>1217</v>
      </c>
      <c r="B574" s="28">
        <v>2</v>
      </c>
      <c r="C574" s="28">
        <v>779</v>
      </c>
      <c r="D574" s="29" t="s">
        <v>136</v>
      </c>
      <c r="E574" s="30" t="s">
        <v>50</v>
      </c>
      <c r="F574" s="31">
        <v>44864</v>
      </c>
      <c r="G574" s="32">
        <v>4.739583333333334</v>
      </c>
      <c r="H574" s="31">
        <v>44862</v>
      </c>
      <c r="I574" s="32">
        <v>4.477083333333333</v>
      </c>
      <c r="J574" s="33">
        <f>F574-H574</f>
      </c>
      <c r="K574" s="28">
        <v>37</v>
      </c>
      <c r="L574" s="28">
        <v>6</v>
      </c>
      <c r="M574" s="28">
        <v>1</v>
      </c>
      <c r="N574" s="34"/>
      <c r="O574" s="34"/>
      <c r="P574" s="34"/>
      <c r="Q574" s="34"/>
      <c r="R574" s="34"/>
      <c r="S574" s="34"/>
      <c r="T574" s="34"/>
      <c r="U574" s="34"/>
      <c r="V574" s="34"/>
      <c r="W574" s="29" t="s">
        <v>58</v>
      </c>
      <c r="X574" s="28">
        <v>25</v>
      </c>
      <c r="Y574" s="28">
        <v>1</v>
      </c>
      <c r="Z574" s="28">
        <v>2</v>
      </c>
      <c r="AA574" s="28">
        <v>3</v>
      </c>
      <c r="AB574" s="28">
        <v>1</v>
      </c>
      <c r="AC574" s="28">
        <v>2</v>
      </c>
      <c r="AD574" s="28">
        <v>2</v>
      </c>
      <c r="AE574" s="28">
        <v>4</v>
      </c>
      <c r="AF574" s="28">
        <v>2</v>
      </c>
      <c r="AG574" s="28">
        <v>3</v>
      </c>
      <c r="AH574" s="29" t="s">
        <v>1218</v>
      </c>
      <c r="AI574" s="36">
        <f>IF(OR(AND(K574&lt;32, J574&lt;2), O574=1, P574=1, Q574=1, R574=1, S574=1, T574=1, U574=1, AND(W574&lt;&gt;"", W574&lt;&gt;"Oxygen", W574&lt;&gt;"LowFlow")), "Intensive", "Intermediate")</f>
      </c>
      <c r="AJ574" s="37">
        <f>IF(OR(LEFT(AH574, 1)="X", LEFT(AH574, 1)="Y", LEFT(AH574, 3)="J58M"), "CUSM", "No Match")</f>
      </c>
      <c r="AK574" s="37">
        <f>IF(AND(OR(O574=3, P574=1, Q574=1, T574=1), AJ574="no Match"), "CUSM, CHU SJ, CHUQ", "")</f>
      </c>
      <c r="AL574" s="37">
        <f>IF(AND(O574=2, ISBLANK(P574), ISBLANK(Q574), ISBLANK(R574), ISBLANK(S574), ISBLANK(T574)), "CUSM, CHU SJ, CHUS, CHUQ", "")</f>
      </c>
      <c r="AM574" s="37">
        <f>IF(AND(AJ574="no match", AK574="", AL574="", K574&lt;26), "CUSM, CHU SJ, HGJ, CHUQ, CHUS", "")</f>
      </c>
      <c r="AN574" s="37">
        <f>IF(AND(AJ574="no match", AK574="", AL574="", K574&gt;26), "CUSM, CHU SJ, HGJ, CHUQ, CHUS, HMR", "")</f>
      </c>
    </row>
    <row x14ac:dyDescent="0.25" r="575" customHeight="1" ht="17.25">
      <c r="A575" s="41" t="s">
        <v>1219</v>
      </c>
      <c r="B575" s="28">
        <v>2</v>
      </c>
      <c r="C575" s="28">
        <v>782</v>
      </c>
      <c r="D575" s="29" t="s">
        <v>95</v>
      </c>
      <c r="E575" s="30" t="s">
        <v>50</v>
      </c>
      <c r="F575" s="31">
        <v>44864</v>
      </c>
      <c r="G575" s="32">
        <v>4.017361111111111</v>
      </c>
      <c r="H575" s="31">
        <v>44863</v>
      </c>
      <c r="I575" s="32">
        <v>4.8125</v>
      </c>
      <c r="J575" s="33">
        <f>F575-H575</f>
      </c>
      <c r="K575" s="28">
        <v>39</v>
      </c>
      <c r="L575" s="28">
        <v>2</v>
      </c>
      <c r="M575" s="28">
        <v>2</v>
      </c>
      <c r="N575" s="38"/>
      <c r="O575" s="34"/>
      <c r="P575" s="34"/>
      <c r="Q575" s="34"/>
      <c r="R575" s="34"/>
      <c r="S575" s="34"/>
      <c r="T575" s="35">
        <v>1</v>
      </c>
      <c r="U575" s="34"/>
      <c r="V575" s="34"/>
      <c r="W575" s="29"/>
      <c r="X575" s="28">
        <v>35</v>
      </c>
      <c r="Y575" s="28">
        <v>1</v>
      </c>
      <c r="Z575" s="28">
        <v>2</v>
      </c>
      <c r="AA575" s="28">
        <v>2</v>
      </c>
      <c r="AB575" s="28">
        <v>1</v>
      </c>
      <c r="AC575" s="28">
        <v>2</v>
      </c>
      <c r="AD575" s="28">
        <v>1</v>
      </c>
      <c r="AE575" s="28">
        <v>4</v>
      </c>
      <c r="AF575" s="28">
        <v>2</v>
      </c>
      <c r="AG575" s="28">
        <v>2</v>
      </c>
      <c r="AH575" s="29" t="s">
        <v>1220</v>
      </c>
      <c r="AI575" s="36">
        <f>IF(OR(AND(K575&lt;32, J575&lt;2), O575=1, P575=1, Q575=1, R575=1, S575=1, T575=1, U575=1, AND(W575&lt;&gt;"", W575&lt;&gt;"Oxygen", W575&lt;&gt;"LowFlow")), "Intensive", "Intermediate")</f>
      </c>
      <c r="AJ575" s="37">
        <f>IF(OR(LEFT(AH575, 1)="X", LEFT(AH575, 1)="Y", LEFT(AH575, 3)="J59M"), "CUSM", "No Match")</f>
      </c>
      <c r="AK575" s="37">
        <f>IF(AND(OR(O575=3, P575=1, Q575=1, T575=1), AJ575="no Match"), "CUSM, CHU SJ, CHUQ", "")</f>
      </c>
      <c r="AL575" s="37">
        <f>IF(AND(O575=2, ISBLANK(P575), ISBLANK(Q575), ISBLANK(R575), ISBLANK(S575), ISBLANK(T575)), "CUSM, CHU SJ, CHUS, CHUQ", "")</f>
      </c>
      <c r="AM575" s="37">
        <f>IF(AND(AJ575="no match", AK575="", AL575="", K575&lt;26), "CUSM, CHU SJ, HGJ, CHUQ, CHUS", "")</f>
      </c>
      <c r="AN575" s="37">
        <f>IF(AND(AJ575="no match", AK575="", AL575="", K575&gt;26), "CUSM, CHU SJ, HGJ, CHUQ, CHUS, HMR", "")</f>
      </c>
    </row>
    <row x14ac:dyDescent="0.25" r="576" customHeight="1" ht="17.25">
      <c r="A576" s="41" t="s">
        <v>1221</v>
      </c>
      <c r="B576" s="28">
        <v>2</v>
      </c>
      <c r="C576" s="35">
        <v>757</v>
      </c>
      <c r="D576" s="29" t="s">
        <v>124</v>
      </c>
      <c r="E576" s="30" t="s">
        <v>50</v>
      </c>
      <c r="F576" s="31">
        <v>44865</v>
      </c>
      <c r="G576" s="32">
        <v>4.113194444444444</v>
      </c>
      <c r="H576" s="31">
        <v>44861</v>
      </c>
      <c r="I576" s="32">
        <v>4.842361111111111</v>
      </c>
      <c r="J576" s="33">
        <f>F576-H576</f>
      </c>
      <c r="K576" s="28">
        <v>38</v>
      </c>
      <c r="L576" s="28">
        <v>4</v>
      </c>
      <c r="M576" s="28">
        <v>1</v>
      </c>
      <c r="N576" s="28">
        <v>1</v>
      </c>
      <c r="O576" s="34"/>
      <c r="P576" s="28">
        <v>1</v>
      </c>
      <c r="Q576" s="35">
        <v>1</v>
      </c>
      <c r="R576" s="34"/>
      <c r="S576" s="34"/>
      <c r="T576" s="38"/>
      <c r="U576" s="38"/>
      <c r="V576" s="38"/>
      <c r="W576" s="29" t="s">
        <v>58</v>
      </c>
      <c r="X576" s="28">
        <v>34</v>
      </c>
      <c r="Y576" s="28">
        <v>1</v>
      </c>
      <c r="Z576" s="28">
        <v>1</v>
      </c>
      <c r="AA576" s="28">
        <v>3</v>
      </c>
      <c r="AB576" s="28">
        <v>1</v>
      </c>
      <c r="AC576" s="28">
        <v>2</v>
      </c>
      <c r="AD576" s="28">
        <v>2</v>
      </c>
      <c r="AE576" s="28">
        <v>4</v>
      </c>
      <c r="AF576" s="28">
        <v>3</v>
      </c>
      <c r="AG576" s="28">
        <v>2</v>
      </c>
      <c r="AH576" s="29" t="s">
        <v>1222</v>
      </c>
      <c r="AI576" s="36">
        <f>IF(OR(AND(K576&lt;32, J576&lt;2), O576=1, P576=1, Q576=1, R576=1, S576=1, T576=1, U576=1, AND(W576&lt;&gt;"", W576&lt;&gt;"Oxygen", W576&lt;&gt;"LowFlow")), "Intensive", "Intermediate")</f>
      </c>
      <c r="AJ576" s="37">
        <f>IF(OR(LEFT(AH576, 1)="X", LEFT(AH576, 1)="Y", LEFT(AH576, 3)="J60M"), "CUSM", "No Match")</f>
      </c>
      <c r="AK576" s="37">
        <f>IF(AND(OR(O576=3, P576=1, Q576=1, T576=1), AJ576="no Match"), "CUSM, CHU SJ, CHUQ", "")</f>
      </c>
      <c r="AL576" s="37">
        <f>IF(AND(O576=2, ISBLANK(P576), ISBLANK(Q576), ISBLANK(R576), ISBLANK(S576), ISBLANK(T576)), "CUSM, CHU SJ, CHUS, CHUQ", "")</f>
      </c>
      <c r="AM576" s="37">
        <f>IF(AND(AJ576="no match", AK576="", AL576="", K576&lt;26), "CUSM, CHU SJ, HGJ, CHUQ, CHUS", "")</f>
      </c>
      <c r="AN576" s="37">
        <f>IF(AND(AJ576="no match", AK576="", AL576="", K576&gt;26), "CUSM, CHU SJ, HGJ, CHUQ, CHUS, HMR", "")</f>
      </c>
    </row>
    <row x14ac:dyDescent="0.25" r="577" customHeight="1" ht="17.25">
      <c r="A577" s="41" t="s">
        <v>1223</v>
      </c>
      <c r="B577" s="28">
        <v>2</v>
      </c>
      <c r="C577" s="35">
        <v>835</v>
      </c>
      <c r="D577" s="29" t="s">
        <v>170</v>
      </c>
      <c r="E577" s="30" t="s">
        <v>50</v>
      </c>
      <c r="F577" s="31">
        <v>44865</v>
      </c>
      <c r="G577" s="32">
        <v>4.989583333333334</v>
      </c>
      <c r="H577" s="31">
        <v>44865</v>
      </c>
      <c r="I577" s="32">
        <v>4.800694444444444</v>
      </c>
      <c r="J577" s="33">
        <f>F577-H577</f>
      </c>
      <c r="K577" s="28">
        <v>40</v>
      </c>
      <c r="L577" s="28">
        <v>0</v>
      </c>
      <c r="M577" s="28">
        <v>1</v>
      </c>
      <c r="N577" s="38"/>
      <c r="O577" s="34"/>
      <c r="P577" s="34"/>
      <c r="Q577" s="34"/>
      <c r="R577" s="34"/>
      <c r="S577" s="34"/>
      <c r="T577" s="34"/>
      <c r="U577" s="34"/>
      <c r="V577" s="34"/>
      <c r="W577" s="29"/>
      <c r="X577" s="28">
        <v>39</v>
      </c>
      <c r="Y577" s="28">
        <v>1</v>
      </c>
      <c r="Z577" s="28">
        <v>1</v>
      </c>
      <c r="AA577" s="28">
        <v>2</v>
      </c>
      <c r="AB577" s="28">
        <v>1</v>
      </c>
      <c r="AC577" s="28">
        <v>2</v>
      </c>
      <c r="AD577" s="28">
        <v>2</v>
      </c>
      <c r="AE577" s="28">
        <v>4</v>
      </c>
      <c r="AF577" s="35">
        <v>2</v>
      </c>
      <c r="AG577" s="28">
        <v>2</v>
      </c>
      <c r="AH577" s="29" t="s">
        <v>1224</v>
      </c>
      <c r="AI577" s="36">
        <f>IF(OR(AND(K577&lt;32, J577&lt;2), O577=1, P577=1, Q577=1, R577=1, S577=1, T577=1, U577=1, AND(W577&lt;&gt;"", W577&lt;&gt;"Oxygen", W577&lt;&gt;"LowFlow")), "Intensive", "Intermediate")</f>
      </c>
      <c r="AJ577" s="37">
        <f>IF(OR(LEFT(AH577, 1)="X", LEFT(AH577, 1)="Y", LEFT(AH577, 3)="J61M"), "CUSM", "No Match")</f>
      </c>
      <c r="AK577" s="37">
        <f>IF(AND(OR(O577=3, P577=1, Q577=1, T577=1), AJ577="no Match"), "CUSM, CHU SJ, CHUQ", "")</f>
      </c>
      <c r="AL577" s="37">
        <f>IF(AND(O577=2, ISBLANK(P577), ISBLANK(Q577), ISBLANK(R577), ISBLANK(S577), ISBLANK(T577)), "CUSM, CHU SJ, CHUS, CHUQ", "")</f>
      </c>
      <c r="AM577" s="37">
        <f>IF(AND(AJ577="no match", AK577="", AL577="", K577&lt;26), "CUSM, CHU SJ, HGJ, CHUQ, CHUS", "")</f>
      </c>
      <c r="AN577" s="37">
        <f>IF(AND(AJ577="no match", AK577="", AL577="", K577&gt;26), "CUSM, CHU SJ, HGJ, CHUQ, CHUS, HMR", "")</f>
      </c>
    </row>
    <row x14ac:dyDescent="0.25" r="578" customHeight="1" ht="17.25">
      <c r="A578" s="41" t="s">
        <v>1225</v>
      </c>
      <c r="B578" s="28">
        <v>2</v>
      </c>
      <c r="C578" s="28">
        <v>827</v>
      </c>
      <c r="D578" s="29" t="s">
        <v>525</v>
      </c>
      <c r="E578" s="30" t="s">
        <v>54</v>
      </c>
      <c r="F578" s="31">
        <v>44866</v>
      </c>
      <c r="G578" s="32">
        <v>4.666666666666666</v>
      </c>
      <c r="H578" s="31">
        <v>44865</v>
      </c>
      <c r="I578" s="32">
        <v>4.925694444444444</v>
      </c>
      <c r="J578" s="33">
        <f>F578-H578</f>
      </c>
      <c r="K578" s="28">
        <v>38</v>
      </c>
      <c r="L578" s="28">
        <v>3</v>
      </c>
      <c r="M578" s="28">
        <v>1</v>
      </c>
      <c r="N578" s="34"/>
      <c r="O578" s="38"/>
      <c r="P578" s="34"/>
      <c r="Q578" s="34"/>
      <c r="R578" s="34"/>
      <c r="S578" s="34"/>
      <c r="T578" s="38"/>
      <c r="U578" s="34"/>
      <c r="V578" s="38"/>
      <c r="W578" s="29"/>
      <c r="X578" s="28">
        <v>39</v>
      </c>
      <c r="Y578" s="28">
        <v>1</v>
      </c>
      <c r="Z578" s="28">
        <v>1</v>
      </c>
      <c r="AA578" s="28">
        <v>2</v>
      </c>
      <c r="AB578" s="28">
        <v>1</v>
      </c>
      <c r="AC578" s="28">
        <v>2</v>
      </c>
      <c r="AD578" s="28">
        <v>2</v>
      </c>
      <c r="AE578" s="28">
        <v>4</v>
      </c>
      <c r="AF578" s="28">
        <v>2</v>
      </c>
      <c r="AG578" s="28">
        <v>2</v>
      </c>
      <c r="AH578" s="29" t="s">
        <v>1226</v>
      </c>
      <c r="AI578" s="36">
        <f>IF(OR(AND(K578&lt;32, J578&lt;2), O578=1, P578=1, Q578=1, R578=1, S578=1, T578=1, U578=1, AND(W578&lt;&gt;"", W578&lt;&gt;"Oxygen", W578&lt;&gt;"LowFlow")), "Intensive", "Intermediate")</f>
      </c>
      <c r="AJ578" s="37">
        <f>IF(OR(LEFT(AH578, 1)="X", LEFT(AH578, 1)="Y", LEFT(AH578, 3)="J62M"), "CUSM", "No Match")</f>
      </c>
      <c r="AK578" s="37">
        <f>IF(AND(OR(O578=3, P578=1, Q578=1, T578=1), AJ578="no Match"), "CUSM, CHU SJ, CHUQ", "")</f>
      </c>
      <c r="AL578" s="37">
        <f>IF(AND(O578=2, ISBLANK(P578), ISBLANK(Q578), ISBLANK(R578), ISBLANK(S578), ISBLANK(T578)), "CUSM, CHU SJ, CHUS, CHUQ", "")</f>
      </c>
      <c r="AM578" s="37">
        <f>IF(AND(AJ578="no match", AK578="", AL578="", K578&lt;26), "CUSM, CHU SJ, HGJ, CHUQ, CHUS", "")</f>
      </c>
      <c r="AN578" s="37">
        <f>IF(AND(AJ578="no match", AK578="", AL578="", K578&gt;26), "CUSM, CHU SJ, HGJ, CHUQ, CHUS, HMR", "")</f>
      </c>
    </row>
    <row x14ac:dyDescent="0.25" r="579" customHeight="1" ht="17.25">
      <c r="A579" s="41" t="s">
        <v>1227</v>
      </c>
      <c r="B579" s="28">
        <v>2</v>
      </c>
      <c r="C579" s="35">
        <v>831</v>
      </c>
      <c r="D579" s="29" t="s">
        <v>313</v>
      </c>
      <c r="E579" s="30" t="s">
        <v>50</v>
      </c>
      <c r="F579" s="31">
        <v>44867</v>
      </c>
      <c r="G579" s="32">
        <v>4.8590277777777775</v>
      </c>
      <c r="H579" s="31">
        <v>44867</v>
      </c>
      <c r="I579" s="32">
        <v>4.7034722222222225</v>
      </c>
      <c r="J579" s="33">
        <f>F579-H579</f>
      </c>
      <c r="K579" s="28">
        <v>39</v>
      </c>
      <c r="L579" s="28">
        <v>2</v>
      </c>
      <c r="M579" s="28">
        <v>1</v>
      </c>
      <c r="N579" s="34"/>
      <c r="O579" s="34"/>
      <c r="P579" s="34"/>
      <c r="Q579" s="34"/>
      <c r="R579" s="34"/>
      <c r="S579" s="34"/>
      <c r="T579" s="35">
        <v>1</v>
      </c>
      <c r="U579" s="34"/>
      <c r="V579" s="34"/>
      <c r="W579" s="29" t="s">
        <v>74</v>
      </c>
      <c r="X579" s="28">
        <v>29</v>
      </c>
      <c r="Y579" s="28">
        <v>1</v>
      </c>
      <c r="Z579" s="28">
        <v>2</v>
      </c>
      <c r="AA579" s="28">
        <v>1</v>
      </c>
      <c r="AB579" s="28">
        <v>1</v>
      </c>
      <c r="AC579" s="28">
        <v>2</v>
      </c>
      <c r="AD579" s="28">
        <v>2</v>
      </c>
      <c r="AE579" s="28">
        <v>4</v>
      </c>
      <c r="AF579" s="35">
        <v>2</v>
      </c>
      <c r="AG579" s="28">
        <v>2</v>
      </c>
      <c r="AH579" s="29" t="s">
        <v>1228</v>
      </c>
      <c r="AI579" s="36">
        <f>IF(OR(AND(K579&lt;32, J579&lt;2), O579=1, P579=1, Q579=1, R579=1, S579=1, T579=1, U579=1, AND(W579&lt;&gt;"", W579&lt;&gt;"Oxygen", W579&lt;&gt;"LowFlow")), "Intensive", "Intermediate")</f>
      </c>
      <c r="AJ579" s="37">
        <f>IF(OR(LEFT(AH579, 1)="X", LEFT(AH579, 1)="Y", LEFT(AH579, 3)="J63M"), "CUSM", "No Match")</f>
      </c>
      <c r="AK579" s="37">
        <f>IF(AND(OR(O579=3, P579=1, Q579=1, T579=1), AJ579="no Match"), "CUSM, CHU SJ, CHUQ", "")</f>
      </c>
      <c r="AL579" s="37">
        <f>IF(AND(O579=2, ISBLANK(P579), ISBLANK(Q579), ISBLANK(R579), ISBLANK(S579), ISBLANK(T579)), "CUSM, CHU SJ, CHUS, CHUQ", "")</f>
      </c>
      <c r="AM579" s="37">
        <f>IF(AND(AJ579="no match", AK579="", AL579="", K579&lt;26), "CUSM, CHU SJ, HGJ, CHUQ, CHUS", "")</f>
      </c>
      <c r="AN579" s="37">
        <f>IF(AND(AJ579="no match", AK579="", AL579="", K579&gt;26), "CUSM, CHU SJ, HGJ, CHUQ, CHUS, HMR", "")</f>
      </c>
    </row>
    <row x14ac:dyDescent="0.25" r="580" customHeight="1" ht="17.25">
      <c r="A580" s="41" t="s">
        <v>1229</v>
      </c>
      <c r="B580" s="28">
        <v>2</v>
      </c>
      <c r="C580" s="35">
        <v>748</v>
      </c>
      <c r="D580" s="29" t="s">
        <v>145</v>
      </c>
      <c r="E580" s="30" t="s">
        <v>118</v>
      </c>
      <c r="F580" s="31">
        <v>44868</v>
      </c>
      <c r="G580" s="32">
        <v>4.798611111111111</v>
      </c>
      <c r="H580" s="31">
        <v>44868</v>
      </c>
      <c r="I580" s="32">
        <v>4.198611111111111</v>
      </c>
      <c r="J580" s="33">
        <f>F580-H580</f>
      </c>
      <c r="K580" s="28">
        <v>39</v>
      </c>
      <c r="L580" s="28">
        <v>0</v>
      </c>
      <c r="M580" s="28">
        <v>1</v>
      </c>
      <c r="N580" s="34"/>
      <c r="O580" s="34"/>
      <c r="P580" s="34"/>
      <c r="Q580" s="34"/>
      <c r="R580" s="34"/>
      <c r="S580" s="34"/>
      <c r="T580" s="35">
        <v>1</v>
      </c>
      <c r="U580" s="34"/>
      <c r="V580" s="34"/>
      <c r="W580" s="29"/>
      <c r="X580" s="28">
        <v>20</v>
      </c>
      <c r="Y580" s="28">
        <v>1</v>
      </c>
      <c r="Z580" s="28">
        <v>1</v>
      </c>
      <c r="AA580" s="28">
        <v>2</v>
      </c>
      <c r="AB580" s="28">
        <v>1</v>
      </c>
      <c r="AC580" s="28">
        <v>2</v>
      </c>
      <c r="AD580" s="28">
        <v>2</v>
      </c>
      <c r="AE580" s="28">
        <v>4</v>
      </c>
      <c r="AF580" s="28">
        <v>2</v>
      </c>
      <c r="AG580" s="28">
        <v>2</v>
      </c>
      <c r="AH580" s="29" t="s">
        <v>1230</v>
      </c>
      <c r="AI580" s="36">
        <f>IF(OR(AND(K580&lt;32, J580&lt;2), O580=1, P580=1, Q580=1, R580=1, S580=1, T580=1, U580=1, AND(W580&lt;&gt;"", W580&lt;&gt;"Oxygen", W580&lt;&gt;"LowFlow")), "Intensive", "Intermediate")</f>
      </c>
      <c r="AJ580" s="37">
        <f>IF(OR(LEFT(AH580, 1)="X", LEFT(AH580, 1)="Y", LEFT(AH580, 3)="J0M"), "CUSM", "No Match")</f>
      </c>
      <c r="AK580" s="37">
        <f>IF(AND(OR(O580=3, P580=1, Q580=1, T580=1), AJ580="no Match"), "CUSM, CHU SJ, CHUQ", "")</f>
      </c>
      <c r="AL580" s="37">
        <f>IF(AND(O580=2, ISBLANK(P580), ISBLANK(Q580), ISBLANK(R580), ISBLANK(S580), ISBLANK(T580)), "CUSM, CHU SJ, CHUS, CHUQ", "")</f>
      </c>
      <c r="AM580" s="37">
        <f>IF(AND(AJ580="no match", AK580="", AL580="", K580&lt;26), "CUSM, CHU SJ, HGJ, CHUQ, CHUS", "")</f>
      </c>
      <c r="AN580" s="37">
        <f>IF(AND(AJ580="no match", AK580="", AL580="", K580&gt;26), "CUSM, CHU SJ, HGJ, CHUQ, CHUS, HMR", "")</f>
      </c>
    </row>
    <row x14ac:dyDescent="0.25" r="581" customHeight="1" ht="17.25">
      <c r="A581" s="41" t="s">
        <v>1231</v>
      </c>
      <c r="B581" s="28">
        <v>2</v>
      </c>
      <c r="C581" s="28">
        <v>734</v>
      </c>
      <c r="D581" s="29" t="s">
        <v>264</v>
      </c>
      <c r="E581" s="30" t="s">
        <v>54</v>
      </c>
      <c r="F581" s="31">
        <v>44868</v>
      </c>
      <c r="G581" s="32">
        <v>4.083333333333334</v>
      </c>
      <c r="H581" s="31">
        <v>44863</v>
      </c>
      <c r="I581" s="32">
        <v>4.933333333333334</v>
      </c>
      <c r="J581" s="33">
        <f>F581-H581</f>
      </c>
      <c r="K581" s="28">
        <v>41</v>
      </c>
      <c r="L581" s="28">
        <v>1</v>
      </c>
      <c r="M581" s="28">
        <v>2</v>
      </c>
      <c r="N581" s="34"/>
      <c r="O581" s="35">
        <v>2</v>
      </c>
      <c r="P581" s="34"/>
      <c r="Q581" s="34"/>
      <c r="R581" s="34"/>
      <c r="S581" s="34"/>
      <c r="T581" s="34"/>
      <c r="U581" s="34"/>
      <c r="V581" s="34"/>
      <c r="W581" s="29"/>
      <c r="X581" s="28">
        <v>26</v>
      </c>
      <c r="Y581" s="28">
        <v>1</v>
      </c>
      <c r="Z581" s="28">
        <v>2</v>
      </c>
      <c r="AA581" s="28">
        <v>2</v>
      </c>
      <c r="AB581" s="28">
        <v>1</v>
      </c>
      <c r="AC581" s="28">
        <v>2</v>
      </c>
      <c r="AD581" s="28">
        <v>2</v>
      </c>
      <c r="AE581" s="28">
        <v>4</v>
      </c>
      <c r="AF581" s="28">
        <v>1</v>
      </c>
      <c r="AG581" s="28">
        <v>2</v>
      </c>
      <c r="AH581" s="29" t="s">
        <v>1232</v>
      </c>
      <c r="AI581" s="36">
        <f>IF(OR(AND(K581&lt;32, J581&lt;2), O581=1, P581=1, Q581=1, R581=1, S581=1, T581=1, U581=1, AND(W581&lt;&gt;"", W581&lt;&gt;"Oxygen", W581&lt;&gt;"LowFlow")), "Intensive", "Intermediate")</f>
      </c>
      <c r="AJ581" s="37">
        <f>IF(OR(LEFT(AH581, 1)="X", LEFT(AH581, 1)="Y", LEFT(AH581, 3)="J1M"), "CUSM", "No Match")</f>
      </c>
      <c r="AK581" s="37">
        <f>IF(AND(OR(O581=3, P581=1, Q581=1, T581=1), AJ581="no Match"), "CUSM, CHU SJ, CHUQ", "")</f>
      </c>
      <c r="AL581" s="37">
        <f>IF(AND(O581=2, ISBLANK(P581), ISBLANK(Q581), ISBLANK(R581), ISBLANK(S581), ISBLANK(T581)), "CUSM, CHU SJ, CHUS, CHUQ", "")</f>
      </c>
      <c r="AM581" s="37">
        <f>IF(AND(AJ581="no match", AK581="", AL581="", K581&lt;26), "CUSM, CHU SJ, HGJ, CHUQ, CHUS", "")</f>
      </c>
      <c r="AN581" s="37">
        <f>IF(AND(AJ581="no match", AK581="", AL581="", K581&gt;26), "CUSM, CHU SJ, HGJ, CHUQ, CHUS, HMR", "")</f>
      </c>
    </row>
    <row x14ac:dyDescent="0.25" r="582" customHeight="1" ht="17.25">
      <c r="A582" s="41" t="s">
        <v>1233</v>
      </c>
      <c r="B582" s="28">
        <v>2</v>
      </c>
      <c r="C582" s="28">
        <v>730</v>
      </c>
      <c r="D582" s="29" t="s">
        <v>81</v>
      </c>
      <c r="E582" s="30" t="s">
        <v>78</v>
      </c>
      <c r="F582" s="31">
        <v>44868</v>
      </c>
      <c r="G582" s="32">
        <v>4.555555555555555</v>
      </c>
      <c r="H582" s="31">
        <v>44867</v>
      </c>
      <c r="I582" s="32">
        <v>4.373611111111111</v>
      </c>
      <c r="J582" s="33">
        <f>F582-H582</f>
      </c>
      <c r="K582" s="28">
        <v>37</v>
      </c>
      <c r="L582" s="28">
        <v>0</v>
      </c>
      <c r="M582" s="28">
        <v>1</v>
      </c>
      <c r="N582" s="34"/>
      <c r="O582" s="34"/>
      <c r="P582" s="34"/>
      <c r="Q582" s="34"/>
      <c r="R582" s="34"/>
      <c r="S582" s="34"/>
      <c r="T582" s="34"/>
      <c r="U582" s="34"/>
      <c r="V582" s="34"/>
      <c r="W582" s="29" t="s">
        <v>74</v>
      </c>
      <c r="X582" s="28">
        <v>28</v>
      </c>
      <c r="Y582" s="28">
        <v>2</v>
      </c>
      <c r="Z582" s="28">
        <v>2</v>
      </c>
      <c r="AA582" s="28">
        <v>1</v>
      </c>
      <c r="AB582" s="28">
        <v>1</v>
      </c>
      <c r="AC582" s="28">
        <v>1</v>
      </c>
      <c r="AD582" s="28">
        <v>2</v>
      </c>
      <c r="AE582" s="28">
        <v>2</v>
      </c>
      <c r="AF582" s="28">
        <v>2</v>
      </c>
      <c r="AG582" s="28">
        <v>2</v>
      </c>
      <c r="AH582" s="29" t="s">
        <v>1234</v>
      </c>
      <c r="AI582" s="36">
        <f>IF(OR(AND(K582&lt;32, J582&lt;2), O582=1, P582=1, Q582=1, R582=1, S582=1, T582=1, U582=1, AND(W582&lt;&gt;"", W582&lt;&gt;"Oxygen", W582&lt;&gt;"LowFlow")), "Intensive", "Intermediate")</f>
      </c>
      <c r="AJ582" s="37">
        <f>IF(OR(LEFT(AH582, 1)="X", LEFT(AH582, 1)="Y", LEFT(AH582, 3)="J2M"), "CUSM", "No Match")</f>
      </c>
      <c r="AK582" s="37">
        <f>IF(AND(OR(O582=3, P582=1, Q582=1, T582=1), AJ582="no Match"), "CUSM, CHU SJ, CHUQ", "")</f>
      </c>
      <c r="AL582" s="37">
        <f>IF(AND(O582=2, ISBLANK(P582), ISBLANK(Q582), ISBLANK(R582), ISBLANK(S582), ISBLANK(T582)), "CUSM, CHU SJ, CHUS, CHUQ", "")</f>
      </c>
      <c r="AM582" s="37">
        <f>IF(AND(AJ582="no match", AK582="", AL582="", K582&lt;26), "CUSM, CHU SJ, HGJ, CHUQ, CHUS", "")</f>
      </c>
      <c r="AN582" s="37">
        <f>IF(AND(AJ582="no match", AK582="", AL582="", K582&gt;26), "CUSM, CHU SJ, HGJ, CHUQ, CHUS, HMR", "")</f>
      </c>
    </row>
    <row x14ac:dyDescent="0.25" r="583" customHeight="1" ht="17.25">
      <c r="A583" s="41" t="s">
        <v>1235</v>
      </c>
      <c r="B583" s="28">
        <v>2</v>
      </c>
      <c r="C583" s="35">
        <v>779</v>
      </c>
      <c r="D583" s="29" t="s">
        <v>136</v>
      </c>
      <c r="E583" s="30" t="s">
        <v>78</v>
      </c>
      <c r="F583" s="31">
        <v>44868</v>
      </c>
      <c r="G583" s="32">
        <v>4.680555555555555</v>
      </c>
      <c r="H583" s="31">
        <v>44868</v>
      </c>
      <c r="I583" s="32">
        <v>4.570833333333333</v>
      </c>
      <c r="J583" s="33">
        <f>F583-H583</f>
      </c>
      <c r="K583" s="28">
        <v>28</v>
      </c>
      <c r="L583" s="28">
        <v>0</v>
      </c>
      <c r="M583" s="28">
        <v>2</v>
      </c>
      <c r="N583" s="38"/>
      <c r="O583" s="34"/>
      <c r="P583" s="38"/>
      <c r="Q583" s="34"/>
      <c r="R583" s="34"/>
      <c r="S583" s="34"/>
      <c r="T583" s="34"/>
      <c r="U583" s="34"/>
      <c r="V583" s="34"/>
      <c r="W583" s="29" t="s">
        <v>74</v>
      </c>
      <c r="X583" s="28">
        <v>38</v>
      </c>
      <c r="Y583" s="28">
        <v>2</v>
      </c>
      <c r="Z583" s="28">
        <v>2</v>
      </c>
      <c r="AA583" s="28">
        <v>1</v>
      </c>
      <c r="AB583" s="28">
        <v>1</v>
      </c>
      <c r="AC583" s="28">
        <v>2</v>
      </c>
      <c r="AD583" s="28">
        <v>2</v>
      </c>
      <c r="AE583" s="28">
        <v>4</v>
      </c>
      <c r="AF583" s="28">
        <v>2</v>
      </c>
      <c r="AG583" s="28">
        <v>2</v>
      </c>
      <c r="AH583" s="29" t="s">
        <v>1236</v>
      </c>
      <c r="AI583" s="36">
        <f>IF(OR(AND(K583&lt;32, J583&lt;2), O583=1, P583=1, Q583=1, R583=1, S583=1, T583=1, U583=1, AND(W583&lt;&gt;"", W583&lt;&gt;"Oxygen", W583&lt;&gt;"LowFlow")), "Intensive", "Intermediate")</f>
      </c>
      <c r="AJ583" s="37">
        <f>IF(OR(LEFT(AH583, 1)="X", LEFT(AH583, 1)="Y", LEFT(AH583, 3)="J3M"), "CUSM", "No Match")</f>
      </c>
      <c r="AK583" s="37">
        <f>IF(AND(OR(O583=3, P583=1, Q583=1, T583=1), AJ583="no Match"), "CUSM, CHU SJ, CHUQ", "")</f>
      </c>
      <c r="AL583" s="37">
        <f>IF(AND(O583=2, ISBLANK(P583), ISBLANK(Q583), ISBLANK(R583), ISBLANK(S583), ISBLANK(T583)), "CUSM, CHU SJ, CHUS, CHUQ", "")</f>
      </c>
      <c r="AM583" s="37">
        <f>IF(AND(AJ583="no match", AK583="", AL583="", K583&lt;26), "CUSM, CHU SJ, HGJ, CHUQ, CHUS", "")</f>
      </c>
      <c r="AN583" s="37">
        <f>IF(AND(AJ583="no match", AK583="", AL583="", K583&gt;26), "CUSM, CHU SJ, HGJ, CHUQ, CHUS, HMR", "")</f>
      </c>
    </row>
    <row x14ac:dyDescent="0.25" r="584" customHeight="1" ht="17.25">
      <c r="A584" s="41" t="s">
        <v>1237</v>
      </c>
      <c r="B584" s="28">
        <v>2</v>
      </c>
      <c r="C584" s="35">
        <v>779</v>
      </c>
      <c r="D584" s="29" t="s">
        <v>136</v>
      </c>
      <c r="E584" s="30" t="s">
        <v>78</v>
      </c>
      <c r="F584" s="31">
        <v>44868</v>
      </c>
      <c r="G584" s="32">
        <v>4.6875</v>
      </c>
      <c r="H584" s="31">
        <v>44868</v>
      </c>
      <c r="I584" s="32">
        <v>4.575694444444444</v>
      </c>
      <c r="J584" s="33">
        <f>F584-H584</f>
      </c>
      <c r="K584" s="28">
        <v>28</v>
      </c>
      <c r="L584" s="28">
        <v>0</v>
      </c>
      <c r="M584" s="28">
        <v>2</v>
      </c>
      <c r="N584" s="34"/>
      <c r="O584" s="34"/>
      <c r="P584" s="34"/>
      <c r="Q584" s="34"/>
      <c r="R584" s="34"/>
      <c r="S584" s="34"/>
      <c r="T584" s="34"/>
      <c r="U584" s="34"/>
      <c r="V584" s="34"/>
      <c r="W584" s="29" t="s">
        <v>74</v>
      </c>
      <c r="X584" s="28">
        <v>38</v>
      </c>
      <c r="Y584" s="28">
        <v>2</v>
      </c>
      <c r="Z584" s="28">
        <v>2</v>
      </c>
      <c r="AA584" s="28">
        <v>1</v>
      </c>
      <c r="AB584" s="28">
        <v>1</v>
      </c>
      <c r="AC584" s="28">
        <v>2</v>
      </c>
      <c r="AD584" s="28">
        <v>2</v>
      </c>
      <c r="AE584" s="28">
        <v>4</v>
      </c>
      <c r="AF584" s="28">
        <v>2</v>
      </c>
      <c r="AG584" s="28">
        <v>2</v>
      </c>
      <c r="AH584" s="29" t="s">
        <v>1236</v>
      </c>
      <c r="AI584" s="36">
        <f>IF(OR(AND(K584&lt;32, J584&lt;2), O584=1, P584=1, Q584=1, R584=1, S584=1, T584=1, U584=1, AND(W584&lt;&gt;"", W584&lt;&gt;"Oxygen", W584&lt;&gt;"LowFlow")), "Intensive", "Intermediate")</f>
      </c>
      <c r="AJ584" s="37">
        <f>IF(OR(LEFT(AH584, 1)="X", LEFT(AH584, 1)="Y", LEFT(AH584, 3)="J4M"), "CUSM", "No Match")</f>
      </c>
      <c r="AK584" s="37">
        <f>IF(AND(OR(O584=3, P584=1, Q584=1, T584=1), AJ584="no Match"), "CUSM, CHU SJ, CHUQ", "")</f>
      </c>
      <c r="AL584" s="37">
        <f>IF(AND(O584=2, ISBLANK(P584), ISBLANK(Q584), ISBLANK(R584), ISBLANK(S584), ISBLANK(T584)), "CUSM, CHU SJ, CHUS, CHUQ", "")</f>
      </c>
      <c r="AM584" s="37">
        <f>IF(AND(AJ584="no match", AK584="", AL584="", K584&lt;26), "CUSM, CHU SJ, HGJ, CHUQ, CHUS", "")</f>
      </c>
      <c r="AN584" s="37">
        <f>IF(AND(AJ584="no match", AK584="", AL584="", K584&gt;26), "CUSM, CHU SJ, HGJ, CHUQ, CHUS, HMR", "")</f>
      </c>
    </row>
    <row x14ac:dyDescent="0.25" r="585" customHeight="1" ht="17.25">
      <c r="A585" s="41" t="s">
        <v>1238</v>
      </c>
      <c r="B585" s="28">
        <v>2</v>
      </c>
      <c r="C585" s="35">
        <v>817</v>
      </c>
      <c r="D585" s="29" t="s">
        <v>163</v>
      </c>
      <c r="E585" s="30" t="s">
        <v>220</v>
      </c>
      <c r="F585" s="31">
        <v>44868</v>
      </c>
      <c r="G585" s="32">
        <v>4.5881944444444445</v>
      </c>
      <c r="H585" s="31">
        <v>44868</v>
      </c>
      <c r="I585" s="32">
        <v>4.478472222222223</v>
      </c>
      <c r="J585" s="33">
        <f>F585-H585</f>
      </c>
      <c r="K585" s="28">
        <v>31</v>
      </c>
      <c r="L585" s="28">
        <v>3</v>
      </c>
      <c r="M585" s="28">
        <v>2</v>
      </c>
      <c r="N585" s="34"/>
      <c r="O585" s="34"/>
      <c r="P585" s="34"/>
      <c r="Q585" s="34"/>
      <c r="R585" s="34"/>
      <c r="S585" s="34"/>
      <c r="T585" s="34"/>
      <c r="U585" s="34"/>
      <c r="V585" s="34"/>
      <c r="W585" s="29" t="s">
        <v>74</v>
      </c>
      <c r="X585" s="28">
        <v>26</v>
      </c>
      <c r="Y585" s="28">
        <v>1</v>
      </c>
      <c r="Z585" s="28">
        <v>1</v>
      </c>
      <c r="AA585" s="28">
        <v>1</v>
      </c>
      <c r="AB585" s="28">
        <v>1</v>
      </c>
      <c r="AC585" s="28">
        <v>2</v>
      </c>
      <c r="AD585" s="28">
        <v>2</v>
      </c>
      <c r="AE585" s="28">
        <v>4</v>
      </c>
      <c r="AF585" s="28">
        <v>2</v>
      </c>
      <c r="AG585" s="28">
        <v>2</v>
      </c>
      <c r="AH585" s="29"/>
      <c r="AI585" s="36">
        <f>IF(OR(AND(K585&lt;32, J585&lt;2), O585=1, P585=1, Q585=1, R585=1, S585=1, T585=1, U585=1, AND(W585&lt;&gt;"", W585&lt;&gt;"Oxygen", W585&lt;&gt;"LowFlow")), "Intensive", "Intermediate")</f>
      </c>
      <c r="AJ585" s="37">
        <f>IF(OR(LEFT(AH585, 1)="X", LEFT(AH585, 1)="Y", LEFT(AH585, 3)="J5M"), "CUSM", "No Match")</f>
      </c>
      <c r="AK585" s="37">
        <f>IF(AND(OR(O585=3, P585=1, Q585=1, T585=1), AJ585="no Match"), "CUSM, CHU SJ, CHUQ", "")</f>
      </c>
      <c r="AL585" s="37">
        <f>IF(AND(O585=2, ISBLANK(P585), ISBLANK(Q585), ISBLANK(R585), ISBLANK(S585), ISBLANK(T585)), "CUSM, CHU SJ, CHUS, CHUQ", "")</f>
      </c>
      <c r="AM585" s="37">
        <f>IF(AND(AJ585="no match", AK585="", AL585="", K585&lt;26), "CUSM, CHU SJ, HGJ, CHUQ, CHUS", "")</f>
      </c>
      <c r="AN585" s="37">
        <f>IF(AND(AJ585="no match", AK585="", AL585="", K585&gt;26), "CUSM, CHU SJ, HGJ, CHUQ, CHUS, HMR", "")</f>
      </c>
    </row>
    <row x14ac:dyDescent="0.25" r="586" customHeight="1" ht="17.25">
      <c r="A586" s="41" t="s">
        <v>1239</v>
      </c>
      <c r="B586" s="28">
        <v>2</v>
      </c>
      <c r="C586" s="35">
        <v>796</v>
      </c>
      <c r="D586" s="29" t="s">
        <v>63</v>
      </c>
      <c r="E586" s="30" t="s">
        <v>54</v>
      </c>
      <c r="F586" s="31">
        <v>44869</v>
      </c>
      <c r="G586" s="32">
        <v>4.65625</v>
      </c>
      <c r="H586" s="31">
        <v>44869</v>
      </c>
      <c r="I586" s="32">
        <v>4.2659722222222225</v>
      </c>
      <c r="J586" s="33">
        <f>F586-H586</f>
      </c>
      <c r="K586" s="28">
        <v>39</v>
      </c>
      <c r="L586" s="28">
        <v>5</v>
      </c>
      <c r="M586" s="28">
        <v>2</v>
      </c>
      <c r="N586" s="38"/>
      <c r="O586" s="38"/>
      <c r="P586" s="38"/>
      <c r="Q586" s="34"/>
      <c r="R586" s="34"/>
      <c r="S586" s="34"/>
      <c r="T586" s="34"/>
      <c r="U586" s="34"/>
      <c r="V586" s="34"/>
      <c r="W586" s="29"/>
      <c r="X586" s="28">
        <v>31</v>
      </c>
      <c r="Y586" s="28">
        <v>1</v>
      </c>
      <c r="Z586" s="28">
        <v>1</v>
      </c>
      <c r="AA586" s="28">
        <v>1</v>
      </c>
      <c r="AB586" s="28">
        <v>1</v>
      </c>
      <c r="AC586" s="28">
        <v>2</v>
      </c>
      <c r="AD586" s="28">
        <v>2</v>
      </c>
      <c r="AE586" s="28">
        <v>4</v>
      </c>
      <c r="AF586" s="28">
        <v>2</v>
      </c>
      <c r="AG586" s="28">
        <v>2</v>
      </c>
      <c r="AH586" s="29" t="s">
        <v>1240</v>
      </c>
      <c r="AI586" s="36">
        <f>IF(OR(AND(K586&lt;32, J586&lt;2), O586=1, P586=1, Q586=1, R586=1, S586=1, T586=1, U586=1, AND(W586&lt;&gt;"", W586&lt;&gt;"Oxygen", W586&lt;&gt;"LowFlow")), "Intensive", "Intermediate")</f>
      </c>
      <c r="AJ586" s="37">
        <f>IF(OR(LEFT(AH586, 1)="X", LEFT(AH586, 1)="Y", LEFT(AH586, 3)="J6M"), "CUSM", "No Match")</f>
      </c>
      <c r="AK586" s="37">
        <f>IF(AND(OR(O586=3, P586=1, Q586=1, T586=1), AJ586="no Match"), "CUSM, CHU SJ, CHUQ", "")</f>
      </c>
      <c r="AL586" s="37">
        <f>IF(AND(O586=2, ISBLANK(P586), ISBLANK(Q586), ISBLANK(R586), ISBLANK(S586), ISBLANK(T586)), "CUSM, CHU SJ, CHUS, CHUQ", "")</f>
      </c>
      <c r="AM586" s="37">
        <f>IF(AND(AJ586="no match", AK586="", AL586="", K586&lt;26), "CUSM, CHU SJ, HGJ, CHUQ, CHUS", "")</f>
      </c>
      <c r="AN586" s="37">
        <f>IF(AND(AJ586="no match", AK586="", AL586="", K586&gt;26), "CUSM, CHU SJ, HGJ, CHUQ, CHUS, HMR", "")</f>
      </c>
    </row>
    <row x14ac:dyDescent="0.25" r="587" customHeight="1" ht="17.25">
      <c r="A587" s="41" t="s">
        <v>1241</v>
      </c>
      <c r="B587" s="28">
        <v>2</v>
      </c>
      <c r="C587" s="35">
        <v>806</v>
      </c>
      <c r="D587" s="29" t="s">
        <v>438</v>
      </c>
      <c r="E587" s="30" t="s">
        <v>50</v>
      </c>
      <c r="F587" s="31">
        <v>44869</v>
      </c>
      <c r="G587" s="32">
        <v>4.6875</v>
      </c>
      <c r="H587" s="31">
        <v>44867</v>
      </c>
      <c r="I587" s="32">
        <v>4.613194444444444</v>
      </c>
      <c r="J587" s="33">
        <f>F587-H587</f>
      </c>
      <c r="K587" s="28">
        <v>41</v>
      </c>
      <c r="L587" s="28">
        <v>2</v>
      </c>
      <c r="M587" s="28">
        <v>2</v>
      </c>
      <c r="N587" s="28">
        <v>1</v>
      </c>
      <c r="O587" s="34"/>
      <c r="P587" s="28">
        <v>1</v>
      </c>
      <c r="Q587" s="34"/>
      <c r="R587" s="34"/>
      <c r="S587" s="34"/>
      <c r="T587" s="34"/>
      <c r="U587" s="34"/>
      <c r="V587" s="34"/>
      <c r="W587" s="29" t="s">
        <v>142</v>
      </c>
      <c r="X587" s="28">
        <v>28</v>
      </c>
      <c r="Y587" s="28">
        <v>1</v>
      </c>
      <c r="Z587" s="28">
        <v>1</v>
      </c>
      <c r="AA587" s="28">
        <v>2</v>
      </c>
      <c r="AB587" s="28">
        <v>1</v>
      </c>
      <c r="AC587" s="28">
        <v>2</v>
      </c>
      <c r="AD587" s="28">
        <v>2</v>
      </c>
      <c r="AE587" s="28">
        <v>4</v>
      </c>
      <c r="AF587" s="35">
        <v>2</v>
      </c>
      <c r="AG587" s="28">
        <v>2</v>
      </c>
      <c r="AH587" s="29" t="s">
        <v>1242</v>
      </c>
      <c r="AI587" s="36">
        <f>IF(OR(AND(K587&lt;32, J587&lt;2), O587=1, P587=1, Q587=1, R587=1, S587=1, T587=1, U587=1, AND(W587&lt;&gt;"", W587&lt;&gt;"Oxygen", W587&lt;&gt;"LowFlow")), "Intensive", "Intermediate")</f>
      </c>
      <c r="AJ587" s="37">
        <f>IF(OR(LEFT(AH587, 1)="X", LEFT(AH587, 1)="Y", LEFT(AH587, 3)="J7M"), "CUSM", "No Match")</f>
      </c>
      <c r="AK587" s="37">
        <f>IF(AND(OR(O587=3, P587=1, Q587=1, T587=1), AJ587="no Match"), "CUSM, CHU SJ, CHUQ", "")</f>
      </c>
      <c r="AL587" s="37">
        <f>IF(AND(O587=2, ISBLANK(P587), ISBLANK(Q587), ISBLANK(R587), ISBLANK(S587), ISBLANK(T587)), "CUSM, CHU SJ, CHUS, CHUQ", "")</f>
      </c>
      <c r="AM587" s="37">
        <f>IF(AND(AJ587="no match", AK587="", AL587="", K587&lt;26), "CUSM, CHU SJ, HGJ, CHUQ, CHUS", "")</f>
      </c>
      <c r="AN587" s="37">
        <f>IF(AND(AJ587="no match", AK587="", AL587="", K587&gt;26), "CUSM, CHU SJ, HGJ, CHUQ, CHUS, HMR", "")</f>
      </c>
    </row>
    <row x14ac:dyDescent="0.25" r="588" customHeight="1" ht="17.25">
      <c r="A588" s="41" t="s">
        <v>1243</v>
      </c>
      <c r="B588" s="28">
        <v>2</v>
      </c>
      <c r="C588" s="35">
        <v>831</v>
      </c>
      <c r="D588" s="29" t="s">
        <v>313</v>
      </c>
      <c r="E588" s="30" t="s">
        <v>118</v>
      </c>
      <c r="F588" s="31">
        <v>44870</v>
      </c>
      <c r="G588" s="32">
        <v>4.965277777777778</v>
      </c>
      <c r="H588" s="31">
        <v>44870</v>
      </c>
      <c r="I588" s="32">
        <v>4.50625</v>
      </c>
      <c r="J588" s="33">
        <f>F588-H588</f>
      </c>
      <c r="K588" s="28">
        <v>38</v>
      </c>
      <c r="L588" s="28">
        <v>2</v>
      </c>
      <c r="M588" s="28">
        <v>1</v>
      </c>
      <c r="N588" s="34"/>
      <c r="O588" s="34"/>
      <c r="P588" s="34"/>
      <c r="Q588" s="34"/>
      <c r="R588" s="34"/>
      <c r="S588" s="34"/>
      <c r="T588" s="35">
        <v>1</v>
      </c>
      <c r="U588" s="34"/>
      <c r="V588" s="34"/>
      <c r="W588" s="29" t="s">
        <v>74</v>
      </c>
      <c r="X588" s="28">
        <v>26</v>
      </c>
      <c r="Y588" s="28">
        <v>1</v>
      </c>
      <c r="Z588" s="28">
        <v>1</v>
      </c>
      <c r="AA588" s="28">
        <v>1</v>
      </c>
      <c r="AB588" s="28">
        <v>1</v>
      </c>
      <c r="AC588" s="28">
        <v>2</v>
      </c>
      <c r="AD588" s="28">
        <v>2</v>
      </c>
      <c r="AE588" s="28">
        <v>4</v>
      </c>
      <c r="AF588" s="28">
        <v>1</v>
      </c>
      <c r="AG588" s="28">
        <v>2</v>
      </c>
      <c r="AH588" s="29" t="s">
        <v>760</v>
      </c>
      <c r="AI588" s="36">
        <f>IF(OR(AND(K588&lt;32, J588&lt;2), O588=1, P588=1, Q588=1, R588=1, S588=1, T588=1, U588=1, AND(W588&lt;&gt;"", W588&lt;&gt;"Oxygen", W588&lt;&gt;"LowFlow")), "Intensive", "Intermediate")</f>
      </c>
      <c r="AJ588" s="37">
        <f>IF(OR(LEFT(AH588, 1)="X", LEFT(AH588, 1)="Y", LEFT(AH588, 3)="J8M"), "CUSM", "No Match")</f>
      </c>
      <c r="AK588" s="37">
        <f>IF(AND(OR(O588=3, P588=1, Q588=1, T588=1), AJ588="no Match"), "CUSM, CHU SJ, CHUQ", "")</f>
      </c>
      <c r="AL588" s="37">
        <f>IF(AND(O588=2, ISBLANK(P588), ISBLANK(Q588), ISBLANK(R588), ISBLANK(S588), ISBLANK(T588)), "CUSM, CHU SJ, CHUS, CHUQ", "")</f>
      </c>
      <c r="AM588" s="37">
        <f>IF(AND(AJ588="no match", AK588="", AL588="", K588&lt;26), "CUSM, CHU SJ, HGJ, CHUQ, CHUS", "")</f>
      </c>
      <c r="AN588" s="37">
        <f>IF(AND(AJ588="no match", AK588="", AL588="", K588&gt;26), "CUSM, CHU SJ, HGJ, CHUQ, CHUS, HMR", "")</f>
      </c>
    </row>
    <row x14ac:dyDescent="0.25" r="589" customHeight="1" ht="17.25">
      <c r="A589" s="41" t="s">
        <v>1244</v>
      </c>
      <c r="B589" s="28">
        <v>2</v>
      </c>
      <c r="C589" s="35">
        <v>820</v>
      </c>
      <c r="D589" s="29" t="s">
        <v>69</v>
      </c>
      <c r="E589" s="30" t="s">
        <v>50</v>
      </c>
      <c r="F589" s="31">
        <v>44870</v>
      </c>
      <c r="G589" s="32">
        <v>4.826388888888889</v>
      </c>
      <c r="H589" s="31">
        <v>44869</v>
      </c>
      <c r="I589" s="32">
        <v>4.882638888888889</v>
      </c>
      <c r="J589" s="33">
        <f>F589-H589</f>
      </c>
      <c r="K589" s="28">
        <v>39</v>
      </c>
      <c r="L589" s="28">
        <v>0</v>
      </c>
      <c r="M589" s="28">
        <v>1</v>
      </c>
      <c r="N589" s="34"/>
      <c r="O589" s="34"/>
      <c r="P589" s="34"/>
      <c r="Q589" s="34"/>
      <c r="R589" s="34"/>
      <c r="S589" s="34"/>
      <c r="T589" s="34"/>
      <c r="U589" s="34"/>
      <c r="V589" s="34"/>
      <c r="W589" s="29"/>
      <c r="X589" s="28">
        <v>33</v>
      </c>
      <c r="Y589" s="28">
        <v>1</v>
      </c>
      <c r="Z589" s="28">
        <v>1</v>
      </c>
      <c r="AA589" s="28">
        <v>1</v>
      </c>
      <c r="AB589" s="28">
        <v>1</v>
      </c>
      <c r="AC589" s="28">
        <v>2</v>
      </c>
      <c r="AD589" s="28">
        <v>1</v>
      </c>
      <c r="AE589" s="28">
        <v>4</v>
      </c>
      <c r="AF589" s="28">
        <v>3</v>
      </c>
      <c r="AG589" s="28">
        <v>2</v>
      </c>
      <c r="AH589" s="29" t="s">
        <v>1245</v>
      </c>
      <c r="AI589" s="36">
        <f>IF(OR(AND(K589&lt;32, J589&lt;2), O589=1, P589=1, Q589=1, R589=1, S589=1, T589=1, U589=1, AND(W589&lt;&gt;"", W589&lt;&gt;"Oxygen", W589&lt;&gt;"LowFlow")), "Intensive", "Intermediate")</f>
      </c>
      <c r="AJ589" s="37">
        <f>IF(OR(LEFT(AH589, 1)="X", LEFT(AH589, 1)="Y", LEFT(AH589, 3)="J9M"), "CUSM", "No Match")</f>
      </c>
      <c r="AK589" s="37">
        <f>IF(AND(OR(O589=3, P589=1, Q589=1, T589=1), AJ589="no Match"), "CUSM, CHU SJ, CHUQ", "")</f>
      </c>
      <c r="AL589" s="37">
        <f>IF(AND(O589=2, ISBLANK(P589), ISBLANK(Q589), ISBLANK(R589), ISBLANK(S589), ISBLANK(T589)), "CUSM, CHU SJ, CHUS, CHUQ", "")</f>
      </c>
      <c r="AM589" s="37">
        <f>IF(AND(AJ589="no match", AK589="", AL589="", K589&lt;26), "CUSM, CHU SJ, HGJ, CHUQ, CHUS", "")</f>
      </c>
      <c r="AN589" s="37">
        <f>IF(AND(AJ589="no match", AK589="", AL589="", K589&gt;26), "CUSM, CHU SJ, HGJ, CHUQ, CHUS, HMR", "")</f>
      </c>
    </row>
    <row x14ac:dyDescent="0.25" r="590" customHeight="1" ht="17.25">
      <c r="A590" s="41" t="s">
        <v>1246</v>
      </c>
      <c r="B590" s="28">
        <v>2</v>
      </c>
      <c r="C590" s="35">
        <v>845</v>
      </c>
      <c r="D590" s="29" t="s">
        <v>381</v>
      </c>
      <c r="E590" s="30" t="s">
        <v>54</v>
      </c>
      <c r="F590" s="31">
        <v>44871</v>
      </c>
      <c r="G590" s="32">
        <v>4.5</v>
      </c>
      <c r="H590" s="31">
        <v>44764</v>
      </c>
      <c r="I590" s="32">
        <v>4.919444444444444</v>
      </c>
      <c r="J590" s="33">
        <f>F590-H590</f>
      </c>
      <c r="K590" s="28">
        <v>27</v>
      </c>
      <c r="L590" s="28">
        <v>6</v>
      </c>
      <c r="M590" s="28">
        <v>2</v>
      </c>
      <c r="N590" s="34"/>
      <c r="O590" s="34"/>
      <c r="P590" s="34"/>
      <c r="Q590" s="34"/>
      <c r="R590" s="34"/>
      <c r="S590" s="34"/>
      <c r="T590" s="34"/>
      <c r="U590" s="34"/>
      <c r="V590" s="34"/>
      <c r="W590" s="29"/>
      <c r="X590" s="28">
        <v>35</v>
      </c>
      <c r="Y590" s="28">
        <v>1</v>
      </c>
      <c r="Z590" s="28">
        <v>1</v>
      </c>
      <c r="AA590" s="28">
        <v>2</v>
      </c>
      <c r="AB590" s="28">
        <v>3</v>
      </c>
      <c r="AC590" s="28">
        <v>2</v>
      </c>
      <c r="AD590" s="28">
        <v>1</v>
      </c>
      <c r="AE590" s="28">
        <v>4</v>
      </c>
      <c r="AF590" s="28">
        <v>2</v>
      </c>
      <c r="AG590" s="28">
        <v>2</v>
      </c>
      <c r="AH590" s="29" t="s">
        <v>1247</v>
      </c>
      <c r="AI590" s="36">
        <f>IF(OR(AND(K590&lt;32, J590&lt;2), O590=1, P590=1, Q590=1, R590=1, S590=1, T590=1, U590=1, AND(W590&lt;&gt;"", W590&lt;&gt;"Oxygen", W590&lt;&gt;"LowFlow")), "Intensive", "Intermediate")</f>
      </c>
      <c r="AJ590" s="37">
        <f>IF(OR(LEFT(AH590, 1)="X", LEFT(AH590, 1)="Y", LEFT(AH590, 3)="J10M"), "CUSM", "No Match")</f>
      </c>
      <c r="AK590" s="37">
        <f>IF(AND(OR(O590=3, P590=1, Q590=1, T590=1), AJ590="no Match"), "CUSM, CHU SJ, CHUQ", "")</f>
      </c>
      <c r="AL590" s="37">
        <f>IF(AND(O590=2, ISBLANK(P590), ISBLANK(Q590), ISBLANK(R590), ISBLANK(S590), ISBLANK(T590)), "CUSM, CHU SJ, CHUS, CHUQ", "")</f>
      </c>
      <c r="AM590" s="37">
        <f>IF(AND(AJ590="no match", AK590="", AL590="", K590&lt;26), "CUSM, CHU SJ, HGJ, CHUQ, CHUS", "")</f>
      </c>
      <c r="AN590" s="37">
        <f>IF(AND(AJ590="no match", AK590="", AL590="", K590&gt;26), "CUSM, CHU SJ, HGJ, CHUQ, CHUS, HMR", "")</f>
      </c>
    </row>
    <row x14ac:dyDescent="0.25" r="591" customHeight="1" ht="17.25">
      <c r="A591" s="41" t="s">
        <v>1248</v>
      </c>
      <c r="B591" s="28">
        <v>2</v>
      </c>
      <c r="C591" s="35">
        <v>817</v>
      </c>
      <c r="D591" s="29" t="s">
        <v>163</v>
      </c>
      <c r="E591" s="30" t="s">
        <v>54</v>
      </c>
      <c r="F591" s="31">
        <v>44871</v>
      </c>
      <c r="G591" s="32">
        <v>4.538194444444445</v>
      </c>
      <c r="H591" s="31">
        <v>44871</v>
      </c>
      <c r="I591" s="32">
        <v>4.363194444444444</v>
      </c>
      <c r="J591" s="33">
        <f>F591-H591</f>
      </c>
      <c r="K591" s="28">
        <v>24</v>
      </c>
      <c r="L591" s="28">
        <v>3</v>
      </c>
      <c r="M591" s="28">
        <v>1</v>
      </c>
      <c r="N591" s="35">
        <v>1</v>
      </c>
      <c r="O591" s="34"/>
      <c r="P591" s="35">
        <v>1</v>
      </c>
      <c r="Q591" s="34"/>
      <c r="R591" s="34"/>
      <c r="S591" s="34"/>
      <c r="T591" s="34"/>
      <c r="U591" s="34"/>
      <c r="V591" s="34"/>
      <c r="W591" s="29" t="s">
        <v>70</v>
      </c>
      <c r="X591" s="28">
        <v>30</v>
      </c>
      <c r="Y591" s="28">
        <v>1</v>
      </c>
      <c r="Z591" s="28">
        <v>2</v>
      </c>
      <c r="AA591" s="28">
        <v>1</v>
      </c>
      <c r="AB591" s="28">
        <v>4</v>
      </c>
      <c r="AC591" s="28">
        <v>2</v>
      </c>
      <c r="AD591" s="28">
        <v>3</v>
      </c>
      <c r="AE591" s="28">
        <v>2</v>
      </c>
      <c r="AF591" s="28">
        <v>2</v>
      </c>
      <c r="AG591" s="28">
        <v>2</v>
      </c>
      <c r="AH591" s="29" t="s">
        <v>1249</v>
      </c>
      <c r="AI591" s="36">
        <f>IF(OR(AND(K591&lt;32, J591&lt;2), O591=1, P591=1, Q591=1, R591=1, S591=1, T591=1, U591=1, AND(W591&lt;&gt;"", W591&lt;&gt;"Oxygen", W591&lt;&gt;"LowFlow")), "Intensive", "Intermediate")</f>
      </c>
      <c r="AJ591" s="37">
        <f>IF(OR(LEFT(AH591, 1)="X", LEFT(AH591, 1)="Y", LEFT(AH591, 3)="J11M"), "CUSM", "No Match")</f>
      </c>
      <c r="AK591" s="37">
        <f>IF(AND(OR(O591=3, P591=1, Q591=1, T591=1), AJ591="no Match"), "CUSM, CHU SJ, CHUQ", "")</f>
      </c>
      <c r="AL591" s="37">
        <f>IF(AND(O591=2, ISBLANK(P591), ISBLANK(Q591), ISBLANK(R591), ISBLANK(S591), ISBLANK(T591)), "CUSM, CHU SJ, CHUS, CHUQ", "")</f>
      </c>
      <c r="AM591" s="37">
        <f>IF(AND(AJ591="no match", AK591="", AL591="", K591&lt;26), "CUSM, CHU SJ, HGJ, CHUQ, CHUS", "")</f>
      </c>
      <c r="AN591" s="37">
        <f>IF(AND(AJ591="no match", AK591="", AL591="", K591&gt;26), "CUSM, CHU SJ, HGJ, CHUQ, CHUS, HMR", "")</f>
      </c>
    </row>
    <row x14ac:dyDescent="0.25" r="592" customHeight="1" ht="17.25">
      <c r="A592" s="41" t="s">
        <v>1250</v>
      </c>
      <c r="B592" s="28">
        <v>2</v>
      </c>
      <c r="C592" s="28">
        <v>737</v>
      </c>
      <c r="D592" s="29" t="s">
        <v>202</v>
      </c>
      <c r="E592" s="30" t="s">
        <v>54</v>
      </c>
      <c r="F592" s="31">
        <v>44871</v>
      </c>
      <c r="G592" s="32">
        <v>4.895833333333334</v>
      </c>
      <c r="H592" s="31">
        <v>44856</v>
      </c>
      <c r="I592" s="32">
        <v>4.028472222222222</v>
      </c>
      <c r="J592" s="33">
        <f>F592-H592</f>
      </c>
      <c r="K592" s="28">
        <v>38</v>
      </c>
      <c r="L592" s="28">
        <v>0</v>
      </c>
      <c r="M592" s="28">
        <v>2</v>
      </c>
      <c r="N592" s="34"/>
      <c r="O592" s="34"/>
      <c r="P592" s="34"/>
      <c r="Q592" s="34"/>
      <c r="R592" s="34"/>
      <c r="S592" s="34"/>
      <c r="T592" s="34"/>
      <c r="U592" s="34"/>
      <c r="V592" s="34"/>
      <c r="W592" s="29"/>
      <c r="X592" s="28">
        <v>35</v>
      </c>
      <c r="Y592" s="28">
        <v>1</v>
      </c>
      <c r="Z592" s="28">
        <v>1</v>
      </c>
      <c r="AA592" s="28">
        <v>3</v>
      </c>
      <c r="AB592" s="28">
        <v>4</v>
      </c>
      <c r="AC592" s="28">
        <v>2</v>
      </c>
      <c r="AD592" s="28">
        <v>2</v>
      </c>
      <c r="AE592" s="28">
        <v>4</v>
      </c>
      <c r="AF592" s="28">
        <v>2</v>
      </c>
      <c r="AG592" s="28">
        <v>2</v>
      </c>
      <c r="AH592" s="29" t="s">
        <v>1251</v>
      </c>
      <c r="AI592" s="36">
        <f>IF(OR(AND(K592&lt;32, J592&lt;2), O592=1, P592=1, Q592=1, R592=1, S592=1, T592=1, U592=1, AND(W592&lt;&gt;"", W592&lt;&gt;"Oxygen", W592&lt;&gt;"LowFlow")), "Intensive", "Intermediate")</f>
      </c>
      <c r="AJ592" s="37">
        <f>IF(OR(LEFT(AH592, 1)="X", LEFT(AH592, 1)="Y", LEFT(AH592, 3)="J12M"), "CUSM", "No Match")</f>
      </c>
      <c r="AK592" s="37">
        <f>IF(AND(OR(O592=3, P592=1, Q592=1, T592=1), AJ592="no Match"), "CUSM, CHU SJ, CHUQ", "")</f>
      </c>
      <c r="AL592" s="37">
        <f>IF(AND(O592=2, ISBLANK(P592), ISBLANK(Q592), ISBLANK(R592), ISBLANK(S592), ISBLANK(T592)), "CUSM, CHU SJ, CHUS, CHUQ", "")</f>
      </c>
      <c r="AM592" s="37">
        <f>IF(AND(AJ592="no match", AK592="", AL592="", K592&lt;26), "CUSM, CHU SJ, HGJ, CHUQ, CHUS", "")</f>
      </c>
      <c r="AN592" s="37">
        <f>IF(AND(AJ592="no match", AK592="", AL592="", K592&gt;26), "CUSM, CHU SJ, HGJ, CHUQ, CHUS, HMR", "")</f>
      </c>
    </row>
    <row x14ac:dyDescent="0.25" r="593" customHeight="1" ht="17.25">
      <c r="A593" s="41" t="s">
        <v>1252</v>
      </c>
      <c r="B593" s="28">
        <v>2</v>
      </c>
      <c r="C593" s="35">
        <v>825</v>
      </c>
      <c r="D593" s="29" t="s">
        <v>77</v>
      </c>
      <c r="E593" s="30" t="s">
        <v>220</v>
      </c>
      <c r="F593" s="31">
        <v>44871</v>
      </c>
      <c r="G593" s="32">
        <v>4.604166666666666</v>
      </c>
      <c r="H593" s="31">
        <v>44871</v>
      </c>
      <c r="I593" s="32">
        <v>4.475</v>
      </c>
      <c r="J593" s="33">
        <f>F593-H593</f>
      </c>
      <c r="K593" s="28">
        <v>32</v>
      </c>
      <c r="L593" s="28">
        <v>0</v>
      </c>
      <c r="M593" s="28">
        <v>1</v>
      </c>
      <c r="N593" s="34"/>
      <c r="O593" s="34"/>
      <c r="P593" s="34"/>
      <c r="Q593" s="34"/>
      <c r="R593" s="34"/>
      <c r="S593" s="34"/>
      <c r="T593" s="34"/>
      <c r="U593" s="34"/>
      <c r="V593" s="34"/>
      <c r="W593" s="29" t="s">
        <v>58</v>
      </c>
      <c r="X593" s="28">
        <v>26</v>
      </c>
      <c r="Y593" s="28">
        <v>1</v>
      </c>
      <c r="Z593" s="28">
        <v>1</v>
      </c>
      <c r="AA593" s="28">
        <v>2</v>
      </c>
      <c r="AB593" s="28">
        <v>1</v>
      </c>
      <c r="AC593" s="28">
        <v>1</v>
      </c>
      <c r="AD593" s="28">
        <v>1</v>
      </c>
      <c r="AE593" s="28">
        <v>4</v>
      </c>
      <c r="AF593" s="28">
        <v>2</v>
      </c>
      <c r="AG593" s="28">
        <v>2</v>
      </c>
      <c r="AH593" s="29" t="s">
        <v>576</v>
      </c>
      <c r="AI593" s="36">
        <f>IF(OR(AND(K593&lt;32, J593&lt;2), O593=1, P593=1, Q593=1, R593=1, S593=1, T593=1, U593=1, AND(W593&lt;&gt;"", W593&lt;&gt;"Oxygen", W593&lt;&gt;"LowFlow")), "Intensive", "Intermediate")</f>
      </c>
      <c r="AJ593" s="37">
        <f>IF(OR(LEFT(AH593, 1)="X", LEFT(AH593, 1)="Y", LEFT(AH593, 3)="J13M"), "CUSM", "No Match")</f>
      </c>
      <c r="AK593" s="37">
        <f>IF(AND(OR(O593=3, P593=1, Q593=1, T593=1), AJ593="no Match"), "CUSM, CHU SJ, CHUQ", "")</f>
      </c>
      <c r="AL593" s="37">
        <f>IF(AND(O593=2, ISBLANK(P593), ISBLANK(Q593), ISBLANK(R593), ISBLANK(S593), ISBLANK(T593)), "CUSM, CHU SJ, CHUS, CHUQ", "")</f>
      </c>
      <c r="AM593" s="37">
        <f>IF(AND(AJ593="no match", AK593="", AL593="", K593&lt;26), "CUSM, CHU SJ, HGJ, CHUQ, CHUS", "")</f>
      </c>
      <c r="AN593" s="37">
        <f>IF(AND(AJ593="no match", AK593="", AL593="", K593&gt;26), "CUSM, CHU SJ, HGJ, CHUQ, CHUS, HMR", "")</f>
      </c>
    </row>
    <row x14ac:dyDescent="0.25" r="594" customHeight="1" ht="17.25">
      <c r="A594" s="41" t="s">
        <v>1253</v>
      </c>
      <c r="B594" s="28">
        <v>2</v>
      </c>
      <c r="C594" s="35">
        <v>734</v>
      </c>
      <c r="D594" s="29" t="s">
        <v>264</v>
      </c>
      <c r="E594" s="30" t="s">
        <v>54</v>
      </c>
      <c r="F594" s="31">
        <v>44872</v>
      </c>
      <c r="G594" s="32">
        <v>4.902777777777778</v>
      </c>
      <c r="H594" s="31">
        <v>44864</v>
      </c>
      <c r="I594" s="32">
        <v>4.420138888888889</v>
      </c>
      <c r="J594" s="33">
        <f>F594-H594</f>
      </c>
      <c r="K594" s="28">
        <v>40</v>
      </c>
      <c r="L594" s="28">
        <v>2</v>
      </c>
      <c r="M594" s="28">
        <v>2</v>
      </c>
      <c r="N594" s="34"/>
      <c r="O594" s="34"/>
      <c r="P594" s="34"/>
      <c r="Q594" s="34"/>
      <c r="R594" s="34"/>
      <c r="S594" s="34"/>
      <c r="T594" s="34"/>
      <c r="U594" s="34"/>
      <c r="V594" s="34"/>
      <c r="W594" s="29"/>
      <c r="X594" s="28">
        <v>27</v>
      </c>
      <c r="Y594" s="28">
        <v>1</v>
      </c>
      <c r="Z594" s="28">
        <v>1</v>
      </c>
      <c r="AA594" s="28">
        <v>2</v>
      </c>
      <c r="AB594" s="28">
        <v>4</v>
      </c>
      <c r="AC594" s="28">
        <v>2</v>
      </c>
      <c r="AD594" s="28">
        <v>2</v>
      </c>
      <c r="AE594" s="28">
        <v>3</v>
      </c>
      <c r="AF594" s="28">
        <v>2</v>
      </c>
      <c r="AG594" s="28">
        <v>3</v>
      </c>
      <c r="AH594" s="29" t="s">
        <v>1254</v>
      </c>
      <c r="AI594" s="36">
        <f>IF(OR(AND(K594&lt;32, J594&lt;2), O594=1, P594=1, Q594=1, R594=1, S594=1, T594=1, U594=1, AND(W594&lt;&gt;"", W594&lt;&gt;"Oxygen", W594&lt;&gt;"LowFlow")), "Intensive", "Intermediate")</f>
      </c>
      <c r="AJ594" s="37">
        <f>IF(OR(LEFT(AH594, 1)="X", LEFT(AH594, 1)="Y", LEFT(AH594, 3)="J14M"), "CUSM", "No Match")</f>
      </c>
      <c r="AK594" s="37">
        <f>IF(AND(OR(O594=3, P594=1, Q594=1, T594=1), AJ594="no Match"), "CUSM, CHU SJ, CHUQ", "")</f>
      </c>
      <c r="AL594" s="37">
        <f>IF(AND(O594=2, ISBLANK(P594), ISBLANK(Q594), ISBLANK(R594), ISBLANK(S594), ISBLANK(T594)), "CUSM, CHU SJ, CHUS, CHUQ", "")</f>
      </c>
      <c r="AM594" s="37">
        <f>IF(AND(AJ594="no match", AK594="", AL594="", K594&lt;26), "CUSM, CHU SJ, HGJ, CHUQ, CHUS", "")</f>
      </c>
      <c r="AN594" s="37">
        <f>IF(AND(AJ594="no match", AK594="", AL594="", K594&gt;26), "CUSM, CHU SJ, HGJ, CHUQ, CHUS, HMR", "")</f>
      </c>
    </row>
    <row x14ac:dyDescent="0.25" r="595" customHeight="1" ht="17.25">
      <c r="A595" s="41" t="s">
        <v>1255</v>
      </c>
      <c r="B595" s="28">
        <v>2</v>
      </c>
      <c r="C595" s="28">
        <v>756</v>
      </c>
      <c r="D595" s="29" t="s">
        <v>66</v>
      </c>
      <c r="E595" s="30" t="s">
        <v>50</v>
      </c>
      <c r="F595" s="31">
        <v>44872</v>
      </c>
      <c r="G595" s="32">
        <v>4.0625</v>
      </c>
      <c r="H595" s="31">
        <v>44870</v>
      </c>
      <c r="I595" s="32">
        <v>4.557638888888889</v>
      </c>
      <c r="J595" s="33">
        <f>F595-H595</f>
      </c>
      <c r="K595" s="28">
        <v>39</v>
      </c>
      <c r="L595" s="28">
        <v>5</v>
      </c>
      <c r="M595" s="28">
        <v>2</v>
      </c>
      <c r="N595" s="34"/>
      <c r="O595" s="34"/>
      <c r="P595" s="34"/>
      <c r="Q595" s="34"/>
      <c r="R595" s="34"/>
      <c r="S595" s="34"/>
      <c r="T595" s="34"/>
      <c r="U595" s="34"/>
      <c r="V595" s="34"/>
      <c r="W595" s="29"/>
      <c r="X595" s="28">
        <v>32</v>
      </c>
      <c r="Y595" s="28">
        <v>1</v>
      </c>
      <c r="Z595" s="28">
        <v>1</v>
      </c>
      <c r="AA595" s="28">
        <v>2</v>
      </c>
      <c r="AB595" s="28">
        <v>1</v>
      </c>
      <c r="AC595" s="28">
        <v>2</v>
      </c>
      <c r="AD595" s="28">
        <v>2</v>
      </c>
      <c r="AE595" s="28">
        <v>3</v>
      </c>
      <c r="AF595" s="28">
        <v>3</v>
      </c>
      <c r="AG595" s="28">
        <v>2</v>
      </c>
      <c r="AH595" s="29" t="s">
        <v>1256</v>
      </c>
      <c r="AI595" s="36">
        <f>IF(OR(AND(K595&lt;32, J595&lt;2), O595=1, P595=1, Q595=1, R595=1, S595=1, T595=1, U595=1, AND(W595&lt;&gt;"", W595&lt;&gt;"Oxygen", W595&lt;&gt;"LowFlow")), "Intensive", "Intermediate")</f>
      </c>
      <c r="AJ595" s="37">
        <f>IF(OR(LEFT(AH595, 1)="X", LEFT(AH595, 1)="Y", LEFT(AH595, 3)="J15M"), "CUSM", "No Match")</f>
      </c>
      <c r="AK595" s="37">
        <f>IF(AND(OR(O595=3, P595=1, Q595=1, T595=1), AJ595="no Match"), "CUSM, CHU SJ, CHUQ", "")</f>
      </c>
      <c r="AL595" s="37">
        <f>IF(AND(O595=2, ISBLANK(P595), ISBLANK(Q595), ISBLANK(R595), ISBLANK(S595), ISBLANK(T595)), "CUSM, CHU SJ, CHUS, CHUQ", "")</f>
      </c>
      <c r="AM595" s="37">
        <f>IF(AND(AJ595="no match", AK595="", AL595="", K595&lt;26), "CUSM, CHU SJ, HGJ, CHUQ, CHUS", "")</f>
      </c>
      <c r="AN595" s="37">
        <f>IF(AND(AJ595="no match", AK595="", AL595="", K595&gt;26), "CUSM, CHU SJ, HGJ, CHUQ, CHUS, HMR", "")</f>
      </c>
    </row>
    <row x14ac:dyDescent="0.25" r="596" customHeight="1" ht="17.25">
      <c r="A596" s="41" t="s">
        <v>1257</v>
      </c>
      <c r="B596" s="28">
        <v>2</v>
      </c>
      <c r="C596" s="28">
        <v>796</v>
      </c>
      <c r="D596" s="29" t="s">
        <v>63</v>
      </c>
      <c r="E596" s="30" t="s">
        <v>50</v>
      </c>
      <c r="F596" s="31">
        <v>44873</v>
      </c>
      <c r="G596" s="32">
        <v>4.951388888888889</v>
      </c>
      <c r="H596" s="31">
        <v>44873</v>
      </c>
      <c r="I596" s="32">
        <v>4.498611111111111</v>
      </c>
      <c r="J596" s="33">
        <f>F596-H596</f>
      </c>
      <c r="K596" s="28">
        <v>41</v>
      </c>
      <c r="L596" s="28">
        <v>4</v>
      </c>
      <c r="M596" s="28">
        <v>2</v>
      </c>
      <c r="N596" s="34"/>
      <c r="O596" s="34"/>
      <c r="P596" s="34"/>
      <c r="Q596" s="34"/>
      <c r="R596" s="34"/>
      <c r="S596" s="34"/>
      <c r="T596" s="34"/>
      <c r="U596" s="34"/>
      <c r="V596" s="34"/>
      <c r="W596" s="29"/>
      <c r="X596" s="28">
        <v>32</v>
      </c>
      <c r="Y596" s="28">
        <v>1</v>
      </c>
      <c r="Z596" s="28">
        <v>1</v>
      </c>
      <c r="AA596" s="28">
        <v>2</v>
      </c>
      <c r="AB596" s="28">
        <v>2</v>
      </c>
      <c r="AC596" s="28">
        <v>2</v>
      </c>
      <c r="AD596" s="28">
        <v>2</v>
      </c>
      <c r="AE596" s="28">
        <v>4</v>
      </c>
      <c r="AF596" s="28">
        <v>2</v>
      </c>
      <c r="AG596" s="28">
        <v>2</v>
      </c>
      <c r="AH596" s="29" t="s">
        <v>1258</v>
      </c>
      <c r="AI596" s="36">
        <f>IF(OR(AND(K596&lt;32, J596&lt;2), O596=1, P596=1, Q596=1, R596=1, S596=1, T596=1, U596=1, AND(W596&lt;&gt;"", W596&lt;&gt;"Oxygen", W596&lt;&gt;"LowFlow")), "Intensive", "Intermediate")</f>
      </c>
      <c r="AJ596" s="37">
        <f>IF(OR(LEFT(AH596, 1)="X", LEFT(AH596, 1)="Y", LEFT(AH596, 3)="J16M"), "CUSM", "No Match")</f>
      </c>
      <c r="AK596" s="37">
        <f>IF(AND(OR(O596=3, P596=1, Q596=1, T596=1), AJ596="no Match"), "CUSM, CHU SJ, CHUQ", "")</f>
      </c>
      <c r="AL596" s="37">
        <f>IF(AND(O596=2, ISBLANK(P596), ISBLANK(Q596), ISBLANK(R596), ISBLANK(S596), ISBLANK(T596)), "CUSM, CHU SJ, CHUS, CHUQ", "")</f>
      </c>
      <c r="AM596" s="37">
        <f>IF(AND(AJ596="no match", AK596="", AL596="", K596&lt;26), "CUSM, CHU SJ, HGJ, CHUQ, CHUS", "")</f>
      </c>
      <c r="AN596" s="37">
        <f>IF(AND(AJ596="no match", AK596="", AL596="", K596&gt;26), "CUSM, CHU SJ, HGJ, CHUQ, CHUS, HMR", "")</f>
      </c>
    </row>
    <row x14ac:dyDescent="0.25" r="597" customHeight="1" ht="17.25">
      <c r="A597" s="41" t="s">
        <v>1259</v>
      </c>
      <c r="B597" s="28">
        <v>2</v>
      </c>
      <c r="C597" s="28">
        <v>822</v>
      </c>
      <c r="D597" s="29" t="s">
        <v>167</v>
      </c>
      <c r="E597" s="30" t="s">
        <v>54</v>
      </c>
      <c r="F597" s="31">
        <v>44874</v>
      </c>
      <c r="G597" s="32">
        <v>4.144444444444444</v>
      </c>
      <c r="H597" s="31">
        <v>44873</v>
      </c>
      <c r="I597" s="32">
        <v>4.875</v>
      </c>
      <c r="J597" s="33">
        <f>F597-H597</f>
      </c>
      <c r="K597" s="28">
        <v>39</v>
      </c>
      <c r="L597" s="28">
        <v>0</v>
      </c>
      <c r="M597" s="28">
        <v>1</v>
      </c>
      <c r="N597" s="38"/>
      <c r="O597" s="38"/>
      <c r="P597" s="38"/>
      <c r="Q597" s="34"/>
      <c r="R597" s="34"/>
      <c r="S597" s="34"/>
      <c r="T597" s="28">
        <v>1</v>
      </c>
      <c r="U597" s="34"/>
      <c r="V597" s="34"/>
      <c r="W597" s="29"/>
      <c r="X597" s="28">
        <v>29</v>
      </c>
      <c r="Y597" s="28">
        <v>1</v>
      </c>
      <c r="Z597" s="28">
        <v>1</v>
      </c>
      <c r="AA597" s="28">
        <v>2</v>
      </c>
      <c r="AB597" s="28">
        <v>1</v>
      </c>
      <c r="AC597" s="28">
        <v>2</v>
      </c>
      <c r="AD597" s="28">
        <v>2</v>
      </c>
      <c r="AE597" s="28">
        <v>4</v>
      </c>
      <c r="AF597" s="28">
        <v>2</v>
      </c>
      <c r="AG597" s="28">
        <v>2</v>
      </c>
      <c r="AH597" s="29" t="s">
        <v>1260</v>
      </c>
      <c r="AI597" s="36">
        <f>IF(OR(AND(K597&lt;32, J597&lt;2), O597=1, P597=1, Q597=1, R597=1, S597=1, T597=1, U597=1, AND(W597&lt;&gt;"", W597&lt;&gt;"Oxygen", W597&lt;&gt;"LowFlow")), "Intensive", "Intermediate")</f>
      </c>
      <c r="AJ597" s="37">
        <f>IF(OR(LEFT(AH597, 1)="X", LEFT(AH597, 1)="Y", LEFT(AH597, 3)="J17M"), "CUSM", "No Match")</f>
      </c>
      <c r="AK597" s="37">
        <f>IF(AND(OR(O597=3, P597=1, Q597=1, T597=1), AJ597="no Match"), "CUSM, CHU SJ, CHUQ", "")</f>
      </c>
      <c r="AL597" s="37">
        <f>IF(AND(O597=2, ISBLANK(P597), ISBLANK(Q597), ISBLANK(R597), ISBLANK(S597), ISBLANK(T597)), "CUSM, CHU SJ, CHUS, CHUQ", "")</f>
      </c>
      <c r="AM597" s="37">
        <f>IF(AND(AJ597="no match", AK597="", AL597="", K597&lt;26), "CUSM, CHU SJ, HGJ, CHUQ, CHUS", "")</f>
      </c>
      <c r="AN597" s="37">
        <f>IF(AND(AJ597="no match", AK597="", AL597="", K597&gt;26), "CUSM, CHU SJ, HGJ, CHUQ, CHUS, HMR", "")</f>
      </c>
    </row>
    <row x14ac:dyDescent="0.25" r="598" customHeight="1" ht="17.25">
      <c r="A598" s="41" t="s">
        <v>1261</v>
      </c>
      <c r="B598" s="28">
        <v>2</v>
      </c>
      <c r="C598" s="35">
        <v>734</v>
      </c>
      <c r="D598" s="29" t="s">
        <v>264</v>
      </c>
      <c r="E598" s="30" t="s">
        <v>220</v>
      </c>
      <c r="F598" s="31">
        <v>44874</v>
      </c>
      <c r="G598" s="32">
        <v>4.677083333333334</v>
      </c>
      <c r="H598" s="31">
        <v>44869</v>
      </c>
      <c r="I598" s="32">
        <v>4.561805555555555</v>
      </c>
      <c r="J598" s="33">
        <f>F598-H598</f>
      </c>
      <c r="K598" s="28">
        <v>32</v>
      </c>
      <c r="L598" s="28">
        <v>4</v>
      </c>
      <c r="M598" s="28">
        <v>2</v>
      </c>
      <c r="N598" s="38"/>
      <c r="O598" s="34"/>
      <c r="P598" s="38"/>
      <c r="Q598" s="34"/>
      <c r="R598" s="34"/>
      <c r="S598" s="34"/>
      <c r="T598" s="34"/>
      <c r="U598" s="34"/>
      <c r="V598" s="34"/>
      <c r="W598" s="29"/>
      <c r="X598" s="28">
        <v>44</v>
      </c>
      <c r="Y598" s="28">
        <v>1</v>
      </c>
      <c r="Z598" s="28">
        <v>2</v>
      </c>
      <c r="AA598" s="28">
        <v>2</v>
      </c>
      <c r="AB598" s="28">
        <v>1</v>
      </c>
      <c r="AC598" s="28">
        <v>1</v>
      </c>
      <c r="AD598" s="28">
        <v>2</v>
      </c>
      <c r="AE598" s="28">
        <v>4</v>
      </c>
      <c r="AF598" s="28">
        <v>2</v>
      </c>
      <c r="AG598" s="28">
        <v>2</v>
      </c>
      <c r="AH598" s="29" t="s">
        <v>1262</v>
      </c>
      <c r="AI598" s="36">
        <f>IF(OR(AND(K598&lt;32, J598&lt;2), O598=1, P598=1, Q598=1, R598=1, S598=1, T598=1, U598=1, AND(W598&lt;&gt;"", W598&lt;&gt;"Oxygen", W598&lt;&gt;"LowFlow")), "Intensive", "Intermediate")</f>
      </c>
      <c r="AJ598" s="37">
        <f>IF(OR(LEFT(AH598, 1)="X", LEFT(AH598, 1)="Y", LEFT(AH598, 3)="J18M"), "CUSM", "No Match")</f>
      </c>
      <c r="AK598" s="37">
        <f>IF(AND(OR(O598=3, P598=1, Q598=1, T598=1), AJ598="no Match"), "CUSM, CHU SJ, CHUQ", "")</f>
      </c>
      <c r="AL598" s="37">
        <f>IF(AND(O598=2, ISBLANK(P598), ISBLANK(Q598), ISBLANK(R598), ISBLANK(S598), ISBLANK(T598)), "CUSM, CHU SJ, CHUS, CHUQ", "")</f>
      </c>
      <c r="AM598" s="37">
        <f>IF(AND(AJ598="no match", AK598="", AL598="", K598&lt;26), "CUSM, CHU SJ, HGJ, CHUQ, CHUS", "")</f>
      </c>
      <c r="AN598" s="37">
        <f>IF(AND(AJ598="no match", AK598="", AL598="", K598&gt;26), "CUSM, CHU SJ, HGJ, CHUQ, CHUS, HMR", "")</f>
      </c>
    </row>
    <row x14ac:dyDescent="0.25" r="599" customHeight="1" ht="17.25">
      <c r="A599" s="41" t="s">
        <v>1263</v>
      </c>
      <c r="B599" s="28">
        <v>2</v>
      </c>
      <c r="C599" s="35">
        <v>779</v>
      </c>
      <c r="D599" s="29" t="s">
        <v>136</v>
      </c>
      <c r="E599" s="30" t="s">
        <v>54</v>
      </c>
      <c r="F599" s="31">
        <v>44875</v>
      </c>
      <c r="G599" s="32">
        <v>4.9375</v>
      </c>
      <c r="H599" s="31">
        <v>44875</v>
      </c>
      <c r="I599" s="32">
        <v>4.775</v>
      </c>
      <c r="J599" s="33">
        <f>F599-H599</f>
      </c>
      <c r="K599" s="28">
        <v>34</v>
      </c>
      <c r="L599" s="28">
        <v>5</v>
      </c>
      <c r="M599" s="28">
        <v>1</v>
      </c>
      <c r="N599" s="34"/>
      <c r="O599" s="34"/>
      <c r="P599" s="34"/>
      <c r="Q599" s="34"/>
      <c r="R599" s="34"/>
      <c r="S599" s="34"/>
      <c r="T599" s="34"/>
      <c r="U599" s="35">
        <v>1</v>
      </c>
      <c r="V599" s="35">
        <v>1</v>
      </c>
      <c r="W599" s="29" t="s">
        <v>74</v>
      </c>
      <c r="X599" s="28">
        <v>26</v>
      </c>
      <c r="Y599" s="28">
        <v>1</v>
      </c>
      <c r="Z599" s="28">
        <v>1</v>
      </c>
      <c r="AA599" s="28">
        <v>1</v>
      </c>
      <c r="AB599" s="28">
        <v>1</v>
      </c>
      <c r="AC599" s="28">
        <v>2</v>
      </c>
      <c r="AD599" s="28">
        <v>1</v>
      </c>
      <c r="AE599" s="28">
        <v>4</v>
      </c>
      <c r="AF599" s="28">
        <v>2</v>
      </c>
      <c r="AG599" s="28">
        <v>2</v>
      </c>
      <c r="AH599" s="29" t="s">
        <v>1264</v>
      </c>
      <c r="AI599" s="36">
        <f>IF(OR(AND(K599&lt;32, J599&lt;2), O599=1, P599=1, Q599=1, R599=1, S599=1, T599=1, U599=1, AND(W599&lt;&gt;"", W599&lt;&gt;"Oxygen", W599&lt;&gt;"LowFlow")), "Intensive", "Intermediate")</f>
      </c>
      <c r="AJ599" s="37">
        <f>IF(OR(LEFT(AH599, 1)="X", LEFT(AH599, 1)="Y", LEFT(AH599, 3)="J19M"), "CUSM", "No Match")</f>
      </c>
      <c r="AK599" s="37">
        <f>IF(AND(OR(O599=3, P599=1, Q599=1, T599=1), AJ599="no Match"), "CUSM, CHU SJ, CHUQ", "")</f>
      </c>
      <c r="AL599" s="37">
        <f>IF(AND(O599=2, ISBLANK(P599), ISBLANK(Q599), ISBLANK(R599), ISBLANK(S599), ISBLANK(T599)), "CUSM, CHU SJ, CHUS, CHUQ", "")</f>
      </c>
      <c r="AM599" s="37">
        <f>IF(AND(AJ599="no match", AK599="", AL599="", K599&lt;26), "CUSM, CHU SJ, HGJ, CHUQ, CHUS", "")</f>
      </c>
      <c r="AN599" s="37">
        <f>IF(AND(AJ599="no match", AK599="", AL599="", K599&gt;26), "CUSM, CHU SJ, HGJ, CHUQ, CHUS, HMR", "")</f>
      </c>
    </row>
    <row x14ac:dyDescent="0.25" r="600" customHeight="1" ht="17.25">
      <c r="A600" s="41" t="s">
        <v>1265</v>
      </c>
      <c r="B600" s="28">
        <v>2</v>
      </c>
      <c r="C600" s="35">
        <v>2</v>
      </c>
      <c r="D600" s="29" t="s">
        <v>269</v>
      </c>
      <c r="E600" s="30" t="s">
        <v>50</v>
      </c>
      <c r="F600" s="31">
        <v>44875</v>
      </c>
      <c r="G600" s="32">
        <v>4.261805555555556</v>
      </c>
      <c r="H600" s="31">
        <v>44875</v>
      </c>
      <c r="I600" s="32">
        <v>4.131944444444445</v>
      </c>
      <c r="J600" s="33">
        <f>F600-H600</f>
      </c>
      <c r="K600" s="28">
        <v>41</v>
      </c>
      <c r="L600" s="28">
        <v>4</v>
      </c>
      <c r="M600" s="28">
        <v>2</v>
      </c>
      <c r="N600" s="38"/>
      <c r="O600" s="34"/>
      <c r="P600" s="34"/>
      <c r="Q600" s="34"/>
      <c r="R600" s="34"/>
      <c r="S600" s="34"/>
      <c r="T600" s="34"/>
      <c r="U600" s="34"/>
      <c r="V600" s="34"/>
      <c r="W600" s="29" t="s">
        <v>58</v>
      </c>
      <c r="X600" s="28">
        <v>37</v>
      </c>
      <c r="Y600" s="28">
        <v>1</v>
      </c>
      <c r="Z600" s="28">
        <v>1</v>
      </c>
      <c r="AA600" s="28">
        <v>2</v>
      </c>
      <c r="AB600" s="28">
        <v>1</v>
      </c>
      <c r="AC600" s="28">
        <v>2</v>
      </c>
      <c r="AD600" s="28">
        <v>2</v>
      </c>
      <c r="AE600" s="28">
        <v>4</v>
      </c>
      <c r="AF600" s="28">
        <v>2</v>
      </c>
      <c r="AG600" s="28">
        <v>2</v>
      </c>
      <c r="AH600" s="29" t="s">
        <v>1266</v>
      </c>
      <c r="AI600" s="36">
        <f>IF(OR(AND(K600&lt;32, J600&lt;2), O600=1, P600=1, Q600=1, R600=1, S600=1, T600=1, U600=1, AND(W600&lt;&gt;"", W600&lt;&gt;"Oxygen", W600&lt;&gt;"LowFlow")), "Intensive", "Intermediate")</f>
      </c>
      <c r="AJ600" s="37">
        <f>IF(OR(LEFT(AH600, 1)="X", LEFT(AH600, 1)="Y", LEFT(AH600, 3)="J20M"), "CUSM", "No Match")</f>
      </c>
      <c r="AK600" s="37">
        <f>IF(AND(OR(O600=3, P600=1, Q600=1, T600=1), AJ600="no Match"), "CUSM, CHU SJ, CHUQ", "")</f>
      </c>
      <c r="AL600" s="37">
        <f>IF(AND(O600=2, ISBLANK(P600), ISBLANK(Q600), ISBLANK(R600), ISBLANK(S600), ISBLANK(T600)), "CUSM, CHU SJ, CHUS, CHUQ", "")</f>
      </c>
      <c r="AM600" s="37">
        <f>IF(AND(AJ600="no match", AK600="", AL600="", K600&lt;26), "CUSM, CHU SJ, HGJ, CHUQ, CHUS", "")</f>
      </c>
      <c r="AN600" s="37">
        <f>IF(AND(AJ600="no match", AK600="", AL600="", K600&gt;26), "CUSM, CHU SJ, HGJ, CHUQ, CHUS, HMR", "")</f>
      </c>
    </row>
    <row x14ac:dyDescent="0.25" r="601" customHeight="1" ht="17.25">
      <c r="A601" s="41" t="s">
        <v>1267</v>
      </c>
      <c r="B601" s="28">
        <v>2</v>
      </c>
      <c r="C601" s="35">
        <v>831</v>
      </c>
      <c r="D601" s="29" t="s">
        <v>313</v>
      </c>
      <c r="E601" s="30" t="s">
        <v>54</v>
      </c>
      <c r="F601" s="31">
        <v>44876</v>
      </c>
      <c r="G601" s="32">
        <v>4.131944444444445</v>
      </c>
      <c r="H601" s="31">
        <v>44875</v>
      </c>
      <c r="I601" s="32">
        <v>4.986111111111111</v>
      </c>
      <c r="J601" s="33">
        <f>F601-H601</f>
      </c>
      <c r="K601" s="28">
        <v>28</v>
      </c>
      <c r="L601" s="28">
        <v>5</v>
      </c>
      <c r="M601" s="28">
        <v>2</v>
      </c>
      <c r="N601" s="38"/>
      <c r="O601" s="34"/>
      <c r="P601" s="38"/>
      <c r="Q601" s="34"/>
      <c r="R601" s="34"/>
      <c r="S601" s="34"/>
      <c r="T601" s="34"/>
      <c r="U601" s="34"/>
      <c r="V601" s="34"/>
      <c r="W601" s="29" t="s">
        <v>58</v>
      </c>
      <c r="X601" s="28">
        <v>30</v>
      </c>
      <c r="Y601" s="28">
        <v>2</v>
      </c>
      <c r="Z601" s="28">
        <v>1</v>
      </c>
      <c r="AA601" s="28">
        <v>3</v>
      </c>
      <c r="AB601" s="28">
        <v>1</v>
      </c>
      <c r="AC601" s="28">
        <v>2</v>
      </c>
      <c r="AD601" s="28">
        <v>2</v>
      </c>
      <c r="AE601" s="28">
        <v>4</v>
      </c>
      <c r="AF601" s="28">
        <v>2</v>
      </c>
      <c r="AG601" s="28">
        <v>2</v>
      </c>
      <c r="AH601" s="29" t="s">
        <v>1268</v>
      </c>
      <c r="AI601" s="36">
        <f>IF(OR(AND(K601&lt;32, J601&lt;2), O601=1, P601=1, Q601=1, R601=1, S601=1, T601=1, U601=1, AND(W601&lt;&gt;"", W601&lt;&gt;"Oxygen", W601&lt;&gt;"LowFlow")), "Intensive", "Intermediate")</f>
      </c>
      <c r="AJ601" s="37">
        <f>IF(OR(LEFT(AH601, 1)="X", LEFT(AH601, 1)="Y", LEFT(AH601, 3)="J21M"), "CUSM", "No Match")</f>
      </c>
      <c r="AK601" s="37">
        <f>IF(AND(OR(O601=3, P601=1, Q601=1, T601=1), AJ601="no Match"), "CUSM, CHU SJ, CHUQ", "")</f>
      </c>
      <c r="AL601" s="37">
        <f>IF(AND(O601=2, ISBLANK(P601), ISBLANK(Q601), ISBLANK(R601), ISBLANK(S601), ISBLANK(T601)), "CUSM, CHU SJ, CHUS, CHUQ", "")</f>
      </c>
      <c r="AM601" s="37">
        <f>IF(AND(AJ601="no match", AK601="", AL601="", K601&lt;26), "CUSM, CHU SJ, HGJ, CHUQ, CHUS", "")</f>
      </c>
      <c r="AN601" s="37">
        <f>IF(AND(AJ601="no match", AK601="", AL601="", K601&gt;26), "CUSM, CHU SJ, HGJ, CHUQ, CHUS, HMR", "")</f>
      </c>
    </row>
    <row x14ac:dyDescent="0.25" r="602" customHeight="1" ht="17.25">
      <c r="A602" s="41" t="s">
        <v>1269</v>
      </c>
      <c r="B602" s="28">
        <v>2</v>
      </c>
      <c r="C602" s="35">
        <v>831</v>
      </c>
      <c r="D602" s="29" t="s">
        <v>313</v>
      </c>
      <c r="E602" s="30" t="s">
        <v>54</v>
      </c>
      <c r="F602" s="31">
        <v>44876</v>
      </c>
      <c r="G602" s="32">
        <v>4.135416666666666</v>
      </c>
      <c r="H602" s="31">
        <v>44876</v>
      </c>
      <c r="I602" s="32">
        <v>4.004861111111111</v>
      </c>
      <c r="J602" s="33">
        <f>F602-H602</f>
      </c>
      <c r="K602" s="28">
        <v>28</v>
      </c>
      <c r="L602" s="28">
        <v>6</v>
      </c>
      <c r="M602" s="28">
        <v>2</v>
      </c>
      <c r="N602" s="38"/>
      <c r="O602" s="28">
        <v>2</v>
      </c>
      <c r="P602" s="28">
        <v>1</v>
      </c>
      <c r="Q602" s="34"/>
      <c r="R602" s="38"/>
      <c r="S602" s="34"/>
      <c r="T602" s="34"/>
      <c r="U602" s="34"/>
      <c r="V602" s="34"/>
      <c r="W602" s="29" t="s">
        <v>74</v>
      </c>
      <c r="X602" s="28">
        <v>30</v>
      </c>
      <c r="Y602" s="28">
        <v>2</v>
      </c>
      <c r="Z602" s="28">
        <v>1</v>
      </c>
      <c r="AA602" s="28">
        <v>3</v>
      </c>
      <c r="AB602" s="28">
        <v>1</v>
      </c>
      <c r="AC602" s="28">
        <v>2</v>
      </c>
      <c r="AD602" s="28">
        <v>2</v>
      </c>
      <c r="AE602" s="28">
        <v>4</v>
      </c>
      <c r="AF602" s="28">
        <v>2</v>
      </c>
      <c r="AG602" s="28">
        <v>2</v>
      </c>
      <c r="AH602" s="29" t="s">
        <v>1268</v>
      </c>
      <c r="AI602" s="36">
        <f>IF(OR(AND(K602&lt;32, J602&lt;2), O602=1, P602=1, Q602=1, R602=1, S602=1, T602=1, U602=1, AND(W602&lt;&gt;"", W602&lt;&gt;"Oxygen", W602&lt;&gt;"LowFlow")), "Intensive", "Intermediate")</f>
      </c>
      <c r="AJ602" s="37">
        <f>IF(OR(LEFT(AH602, 1)="X", LEFT(AH602, 1)="Y", LEFT(AH602, 3)="J22M"), "CUSM", "No Match")</f>
      </c>
      <c r="AK602" s="37">
        <f>IF(AND(OR(O602=3, P602=1, Q602=1, T602=1), AJ602="no Match"), "CUSM, CHU SJ, CHUQ", "")</f>
      </c>
      <c r="AL602" s="37">
        <f>IF(AND(O602=2, ISBLANK(P602), ISBLANK(Q602), ISBLANK(R602), ISBLANK(S602), ISBLANK(T602)), "CUSM, CHU SJ, CHUS, CHUQ", "")</f>
      </c>
      <c r="AM602" s="37">
        <f>IF(AND(AJ602="no match", AK602="", AL602="", K602&lt;26), "CUSM, CHU SJ, HGJ, CHUQ, CHUS", "")</f>
      </c>
      <c r="AN602" s="37">
        <f>IF(AND(AJ602="no match", AK602="", AL602="", K602&gt;26), "CUSM, CHU SJ, HGJ, CHUQ, CHUS, HMR", "")</f>
      </c>
    </row>
    <row x14ac:dyDescent="0.25" r="603" customHeight="1" ht="17.25">
      <c r="A603" s="41" t="s">
        <v>1270</v>
      </c>
      <c r="B603" s="28">
        <v>2</v>
      </c>
      <c r="C603" s="35">
        <v>835</v>
      </c>
      <c r="D603" s="29" t="s">
        <v>170</v>
      </c>
      <c r="E603" s="30" t="s">
        <v>50</v>
      </c>
      <c r="F603" s="31">
        <v>44876</v>
      </c>
      <c r="G603" s="32">
        <v>4.668055555555556</v>
      </c>
      <c r="H603" s="31">
        <v>44872</v>
      </c>
      <c r="I603" s="32">
        <v>4.825694444444444</v>
      </c>
      <c r="J603" s="33">
        <f>F603-H603</f>
      </c>
      <c r="K603" s="28">
        <v>38</v>
      </c>
      <c r="L603" s="28">
        <v>6</v>
      </c>
      <c r="M603" s="28">
        <v>1</v>
      </c>
      <c r="N603" s="28">
        <v>1</v>
      </c>
      <c r="O603" s="34"/>
      <c r="P603" s="35">
        <v>1</v>
      </c>
      <c r="Q603" s="34"/>
      <c r="R603" s="34"/>
      <c r="S603" s="34"/>
      <c r="T603" s="34"/>
      <c r="U603" s="34"/>
      <c r="V603" s="34"/>
      <c r="W603" s="29" t="s">
        <v>58</v>
      </c>
      <c r="X603" s="28">
        <v>27</v>
      </c>
      <c r="Y603" s="28">
        <v>1</v>
      </c>
      <c r="Z603" s="28">
        <v>1</v>
      </c>
      <c r="AA603" s="28">
        <v>2</v>
      </c>
      <c r="AB603" s="28">
        <v>4</v>
      </c>
      <c r="AC603" s="28">
        <v>2</v>
      </c>
      <c r="AD603" s="28">
        <v>2</v>
      </c>
      <c r="AE603" s="28">
        <v>4</v>
      </c>
      <c r="AF603" s="28">
        <v>2</v>
      </c>
      <c r="AG603" s="28">
        <v>2</v>
      </c>
      <c r="AH603" s="29" t="s">
        <v>1271</v>
      </c>
      <c r="AI603" s="36">
        <f>IF(OR(AND(K603&lt;32, J603&lt;2), O603=1, P603=1, Q603=1, R603=1, S603=1, T603=1, U603=1, AND(W603&lt;&gt;"", W603&lt;&gt;"Oxygen", W603&lt;&gt;"LowFlow")), "Intensive", "Intermediate")</f>
      </c>
      <c r="AJ603" s="37">
        <f>IF(OR(LEFT(AH603, 1)="X", LEFT(AH603, 1)="Y", LEFT(AH603, 3)="J23M"), "CUSM", "No Match")</f>
      </c>
      <c r="AK603" s="37">
        <f>IF(AND(OR(O603=3, P603=1, Q603=1, T603=1), AJ603="no Match"), "CUSM, CHU SJ, CHUQ", "")</f>
      </c>
      <c r="AL603" s="37">
        <f>IF(AND(O603=2, ISBLANK(P603), ISBLANK(Q603), ISBLANK(R603), ISBLANK(S603), ISBLANK(T603)), "CUSM, CHU SJ, CHUS, CHUQ", "")</f>
      </c>
      <c r="AM603" s="37">
        <f>IF(AND(AJ603="no match", AK603="", AL603="", K603&lt;26), "CUSM, CHU SJ, HGJ, CHUQ, CHUS", "")</f>
      </c>
      <c r="AN603" s="37">
        <f>IF(AND(AJ603="no match", AK603="", AL603="", K603&gt;26), "CUSM, CHU SJ, HGJ, CHUQ, CHUS, HMR", "")</f>
      </c>
    </row>
    <row x14ac:dyDescent="0.25" r="604" customHeight="1" ht="17.25">
      <c r="A604" s="41" t="s">
        <v>1272</v>
      </c>
      <c r="B604" s="28">
        <v>2</v>
      </c>
      <c r="C604" s="35">
        <v>734</v>
      </c>
      <c r="D604" s="29" t="s">
        <v>264</v>
      </c>
      <c r="E604" s="30" t="s">
        <v>54</v>
      </c>
      <c r="F604" s="31">
        <v>44879</v>
      </c>
      <c r="G604" s="32">
        <v>4.725694444444445</v>
      </c>
      <c r="H604" s="31">
        <v>44878</v>
      </c>
      <c r="I604" s="32">
        <v>4.863888888888889</v>
      </c>
      <c r="J604" s="33">
        <f>F604-H604</f>
      </c>
      <c r="K604" s="28">
        <v>38</v>
      </c>
      <c r="L604" s="28">
        <v>4</v>
      </c>
      <c r="M604" s="28">
        <v>1</v>
      </c>
      <c r="N604" s="35">
        <v>1</v>
      </c>
      <c r="O604" s="35">
        <v>2</v>
      </c>
      <c r="P604" s="35">
        <v>1</v>
      </c>
      <c r="Q604" s="34"/>
      <c r="R604" s="34"/>
      <c r="S604" s="34"/>
      <c r="T604" s="34"/>
      <c r="U604" s="34"/>
      <c r="V604" s="34"/>
      <c r="W604" s="29"/>
      <c r="X604" s="28">
        <v>31</v>
      </c>
      <c r="Y604" s="28">
        <v>1</v>
      </c>
      <c r="Z604" s="28">
        <v>1</v>
      </c>
      <c r="AA604" s="28">
        <v>2</v>
      </c>
      <c r="AB604" s="28">
        <v>1</v>
      </c>
      <c r="AC604" s="28">
        <v>2</v>
      </c>
      <c r="AD604" s="28">
        <v>2</v>
      </c>
      <c r="AE604" s="28">
        <v>2</v>
      </c>
      <c r="AF604" s="35">
        <v>2</v>
      </c>
      <c r="AG604" s="28">
        <v>2</v>
      </c>
      <c r="AH604" s="29" t="s">
        <v>1273</v>
      </c>
      <c r="AI604" s="36">
        <f>IF(OR(AND(K604&lt;32, J604&lt;2), O604=1, P604=1, Q604=1, R604=1, S604=1, T604=1, U604=1, AND(W604&lt;&gt;"", W604&lt;&gt;"Oxygen", W604&lt;&gt;"LowFlow")), "Intensive", "Intermediate")</f>
      </c>
      <c r="AJ604" s="37">
        <f>IF(OR(LEFT(AH604, 1)="X", LEFT(AH604, 1)="Y", LEFT(AH604, 3)="J24M"), "CUSM", "No Match")</f>
      </c>
      <c r="AK604" s="37">
        <f>IF(AND(OR(O604=3, P604=1, Q604=1, T604=1), AJ604="no Match"), "CUSM, CHU SJ, CHUQ", "")</f>
      </c>
      <c r="AL604" s="37">
        <f>IF(AND(O604=2, ISBLANK(P604), ISBLANK(Q604), ISBLANK(R604), ISBLANK(S604), ISBLANK(T604)), "CUSM, CHU SJ, CHUS, CHUQ", "")</f>
      </c>
      <c r="AM604" s="37">
        <f>IF(AND(AJ604="no match", AK604="", AL604="", K604&lt;26), "CUSM, CHU SJ, HGJ, CHUQ, CHUS", "")</f>
      </c>
      <c r="AN604" s="37">
        <f>IF(AND(AJ604="no match", AK604="", AL604="", K604&gt;26), "CUSM, CHU SJ, HGJ, CHUQ, CHUS, HMR", "")</f>
      </c>
    </row>
    <row x14ac:dyDescent="0.25" r="605" customHeight="1" ht="17.25">
      <c r="A605" s="41" t="s">
        <v>1274</v>
      </c>
      <c r="B605" s="28">
        <v>2</v>
      </c>
      <c r="C605" s="28">
        <v>815</v>
      </c>
      <c r="D605" s="29" t="s">
        <v>100</v>
      </c>
      <c r="E605" s="30" t="s">
        <v>54</v>
      </c>
      <c r="F605" s="31">
        <v>44880</v>
      </c>
      <c r="G605" s="32">
        <v>4.923611111111111</v>
      </c>
      <c r="H605" s="31">
        <v>44880</v>
      </c>
      <c r="I605" s="32">
        <v>4.113194444444444</v>
      </c>
      <c r="J605" s="33">
        <f>F605-H605</f>
      </c>
      <c r="K605" s="28">
        <v>37</v>
      </c>
      <c r="L605" s="28">
        <v>5</v>
      </c>
      <c r="M605" s="28">
        <v>1</v>
      </c>
      <c r="N605" s="38"/>
      <c r="O605" s="34"/>
      <c r="P605" s="34"/>
      <c r="Q605" s="34"/>
      <c r="R605" s="34"/>
      <c r="S605" s="34"/>
      <c r="T605" s="34"/>
      <c r="U605" s="34"/>
      <c r="V605" s="34"/>
      <c r="W605" s="29"/>
      <c r="X605" s="28">
        <v>25</v>
      </c>
      <c r="Y605" s="28">
        <v>1</v>
      </c>
      <c r="Z605" s="28">
        <v>1</v>
      </c>
      <c r="AA605" s="28">
        <v>2</v>
      </c>
      <c r="AB605" s="28">
        <v>1</v>
      </c>
      <c r="AC605" s="28">
        <v>2</v>
      </c>
      <c r="AD605" s="28">
        <v>1</v>
      </c>
      <c r="AE605" s="28">
        <v>4</v>
      </c>
      <c r="AF605" s="28">
        <v>2</v>
      </c>
      <c r="AG605" s="28">
        <v>2</v>
      </c>
      <c r="AH605" s="29" t="s">
        <v>1275</v>
      </c>
      <c r="AI605" s="36">
        <f>IF(OR(AND(K605&lt;32, J605&lt;2), O605=1, P605=1, Q605=1, R605=1, S605=1, T605=1, U605=1, AND(W605&lt;&gt;"", W605&lt;&gt;"Oxygen", W605&lt;&gt;"LowFlow")), "Intensive", "Intermediate")</f>
      </c>
      <c r="AJ605" s="37">
        <f>IF(OR(LEFT(AH605, 1)="X", LEFT(AH605, 1)="Y", LEFT(AH605, 3)="J25M"), "CUSM", "No Match")</f>
      </c>
      <c r="AK605" s="37">
        <f>IF(AND(OR(O605=3, P605=1, Q605=1, T605=1), AJ605="no Match"), "CUSM, CHU SJ, CHUQ", "")</f>
      </c>
      <c r="AL605" s="37">
        <f>IF(AND(O605=2, ISBLANK(P605), ISBLANK(Q605), ISBLANK(R605), ISBLANK(S605), ISBLANK(T605)), "CUSM, CHU SJ, CHUS, CHUQ", "")</f>
      </c>
      <c r="AM605" s="37">
        <f>IF(AND(AJ605="no match", AK605="", AL605="", K605&lt;26), "CUSM, CHU SJ, HGJ, CHUQ, CHUS", "")</f>
      </c>
      <c r="AN605" s="37">
        <f>IF(AND(AJ605="no match", AK605="", AL605="", K605&gt;26), "CUSM, CHU SJ, HGJ, CHUQ, CHUS, HMR", "")</f>
      </c>
    </row>
    <row x14ac:dyDescent="0.25" r="606" customHeight="1" ht="17.25">
      <c r="A606" s="41" t="s">
        <v>1276</v>
      </c>
      <c r="B606" s="28">
        <v>2</v>
      </c>
      <c r="C606" s="28">
        <v>1019</v>
      </c>
      <c r="D606" s="29" t="s">
        <v>354</v>
      </c>
      <c r="E606" s="30" t="s">
        <v>54</v>
      </c>
      <c r="F606" s="31">
        <v>44880</v>
      </c>
      <c r="G606" s="32">
        <v>4.479166666666666</v>
      </c>
      <c r="H606" s="31">
        <v>44864</v>
      </c>
      <c r="I606" s="32">
        <v>4.00625</v>
      </c>
      <c r="J606" s="33">
        <f>F606-H606</f>
      </c>
      <c r="K606" s="28">
        <v>38</v>
      </c>
      <c r="L606" s="28">
        <v>2</v>
      </c>
      <c r="M606" s="28">
        <v>1</v>
      </c>
      <c r="N606" s="38"/>
      <c r="O606" s="34"/>
      <c r="P606" s="38"/>
      <c r="Q606" s="34"/>
      <c r="R606" s="34"/>
      <c r="S606" s="34"/>
      <c r="T606" s="34"/>
      <c r="U606" s="34"/>
      <c r="V606" s="34"/>
      <c r="W606" s="29" t="s">
        <v>58</v>
      </c>
      <c r="X606" s="28">
        <v>27</v>
      </c>
      <c r="Y606" s="28">
        <v>1</v>
      </c>
      <c r="Z606" s="28">
        <v>1</v>
      </c>
      <c r="AA606" s="28">
        <v>2</v>
      </c>
      <c r="AB606" s="28">
        <v>1</v>
      </c>
      <c r="AC606" s="28">
        <v>2</v>
      </c>
      <c r="AD606" s="28">
        <v>2</v>
      </c>
      <c r="AE606" s="28">
        <v>2</v>
      </c>
      <c r="AF606" s="28">
        <v>2</v>
      </c>
      <c r="AG606" s="28">
        <v>2</v>
      </c>
      <c r="AH606" s="29" t="s">
        <v>1277</v>
      </c>
      <c r="AI606" s="36">
        <f>IF(OR(AND(K606&lt;32, J606&lt;2), O606=1, P606=1, Q606=1, R606=1, S606=1, T606=1, U606=1, AND(W606&lt;&gt;"", W606&lt;&gt;"Oxygen", W606&lt;&gt;"LowFlow")), "Intensive", "Intermediate")</f>
      </c>
      <c r="AJ606" s="37">
        <f>IF(OR(LEFT(AH606, 1)="X", LEFT(AH606, 1)="Y", LEFT(AH606, 3)="J26M"), "CUSM", "No Match")</f>
      </c>
      <c r="AK606" s="37">
        <f>IF(AND(OR(O606=3, P606=1, Q606=1, T606=1), AJ606="no Match"), "CUSM, CHU SJ, CHUQ", "")</f>
      </c>
      <c r="AL606" s="37">
        <f>IF(AND(O606=2, ISBLANK(P606), ISBLANK(Q606), ISBLANK(R606), ISBLANK(S606), ISBLANK(T606)), "CUSM, CHU SJ, CHUS, CHUQ", "")</f>
      </c>
      <c r="AM606" s="37">
        <f>IF(AND(AJ606="no match", AK606="", AL606="", K606&lt;26), "CUSM, CHU SJ, HGJ, CHUQ, CHUS", "")</f>
      </c>
      <c r="AN606" s="37">
        <f>IF(AND(AJ606="no match", AK606="", AL606="", K606&gt;26), "CUSM, CHU SJ, HGJ, CHUQ, CHUS, HMR", "")</f>
      </c>
    </row>
    <row x14ac:dyDescent="0.25" r="607" customHeight="1" ht="17.25">
      <c r="A607" s="41" t="s">
        <v>1278</v>
      </c>
      <c r="B607" s="28">
        <v>2</v>
      </c>
      <c r="C607" s="35">
        <v>730</v>
      </c>
      <c r="D607" s="29" t="s">
        <v>81</v>
      </c>
      <c r="E607" s="30" t="s">
        <v>50</v>
      </c>
      <c r="F607" s="31">
        <v>44880</v>
      </c>
      <c r="G607" s="32">
        <v>4.747222222222222</v>
      </c>
      <c r="H607" s="31">
        <v>44876</v>
      </c>
      <c r="I607" s="32">
        <v>4.864583333333334</v>
      </c>
      <c r="J607" s="33">
        <f>F607-H607</f>
      </c>
      <c r="K607" s="28">
        <v>37</v>
      </c>
      <c r="L607" s="28">
        <v>5</v>
      </c>
      <c r="M607" s="28">
        <v>2</v>
      </c>
      <c r="N607" s="34"/>
      <c r="O607" s="34"/>
      <c r="P607" s="34"/>
      <c r="Q607" s="34"/>
      <c r="R607" s="34"/>
      <c r="S607" s="34"/>
      <c r="T607" s="35">
        <v>1</v>
      </c>
      <c r="U607" s="34"/>
      <c r="V607" s="34"/>
      <c r="W607" s="29"/>
      <c r="X607" s="28">
        <v>32</v>
      </c>
      <c r="Y607" s="28">
        <v>1</v>
      </c>
      <c r="Z607" s="28">
        <v>1</v>
      </c>
      <c r="AA607" s="28">
        <v>1</v>
      </c>
      <c r="AB607" s="28">
        <v>1</v>
      </c>
      <c r="AC607" s="28">
        <v>2</v>
      </c>
      <c r="AD607" s="28">
        <v>2</v>
      </c>
      <c r="AE607" s="28">
        <v>4</v>
      </c>
      <c r="AF607" s="28">
        <v>3</v>
      </c>
      <c r="AG607" s="28">
        <v>3</v>
      </c>
      <c r="AH607" s="29" t="s">
        <v>1279</v>
      </c>
      <c r="AI607" s="36">
        <f>IF(OR(AND(K607&lt;32, J607&lt;2), O607=1, P607=1, Q607=1, R607=1, S607=1, T607=1, U607=1, AND(W607&lt;&gt;"", W607&lt;&gt;"Oxygen", W607&lt;&gt;"LowFlow")), "Intensive", "Intermediate")</f>
      </c>
      <c r="AJ607" s="37">
        <f>IF(OR(LEFT(AH607, 1)="X", LEFT(AH607, 1)="Y", LEFT(AH607, 3)="J27M"), "CUSM", "No Match")</f>
      </c>
      <c r="AK607" s="37">
        <f>IF(AND(OR(O607=3, P607=1, Q607=1, T607=1), AJ607="no Match"), "CUSM, CHU SJ, CHUQ", "")</f>
      </c>
      <c r="AL607" s="37">
        <f>IF(AND(O607=2, ISBLANK(P607), ISBLANK(Q607), ISBLANK(R607), ISBLANK(S607), ISBLANK(T607)), "CUSM, CHU SJ, CHUS, CHUQ", "")</f>
      </c>
      <c r="AM607" s="37">
        <f>IF(AND(AJ607="no match", AK607="", AL607="", K607&lt;26), "CUSM, CHU SJ, HGJ, CHUQ, CHUS", "")</f>
      </c>
      <c r="AN607" s="37">
        <f>IF(AND(AJ607="no match", AK607="", AL607="", K607&gt;26), "CUSM, CHU SJ, HGJ, CHUQ, CHUS, HMR", "")</f>
      </c>
    </row>
    <row x14ac:dyDescent="0.25" r="608" customHeight="1" ht="17.25">
      <c r="A608" s="41" t="s">
        <v>1280</v>
      </c>
      <c r="B608" s="28">
        <v>2</v>
      </c>
      <c r="C608" s="35">
        <v>817</v>
      </c>
      <c r="D608" s="29" t="s">
        <v>163</v>
      </c>
      <c r="E608" s="30" t="s">
        <v>54</v>
      </c>
      <c r="F608" s="31">
        <v>44881</v>
      </c>
      <c r="G608" s="32">
        <v>4.708333333333334</v>
      </c>
      <c r="H608" s="31">
        <v>44877</v>
      </c>
      <c r="I608" s="32">
        <v>4.05625</v>
      </c>
      <c r="J608" s="33">
        <f>F608-H608</f>
      </c>
      <c r="K608" s="28">
        <v>36</v>
      </c>
      <c r="L608" s="28">
        <v>5</v>
      </c>
      <c r="M608" s="28">
        <v>2</v>
      </c>
      <c r="N608" s="34"/>
      <c r="O608" s="34"/>
      <c r="P608" s="34"/>
      <c r="Q608" s="34"/>
      <c r="R608" s="34"/>
      <c r="S608" s="34"/>
      <c r="T608" s="34"/>
      <c r="U608" s="34"/>
      <c r="V608" s="34"/>
      <c r="W608" s="29"/>
      <c r="X608" s="28">
        <v>29</v>
      </c>
      <c r="Y608" s="28">
        <v>1</v>
      </c>
      <c r="Z608" s="28">
        <v>2</v>
      </c>
      <c r="AA608" s="28">
        <v>1</v>
      </c>
      <c r="AB608" s="28">
        <v>4</v>
      </c>
      <c r="AC608" s="28">
        <v>3</v>
      </c>
      <c r="AD608" s="28">
        <v>3</v>
      </c>
      <c r="AE608" s="28">
        <v>4</v>
      </c>
      <c r="AF608" s="28">
        <v>3</v>
      </c>
      <c r="AG608" s="28">
        <v>3</v>
      </c>
      <c r="AH608" s="29" t="s">
        <v>1112</v>
      </c>
      <c r="AI608" s="36">
        <f>IF(OR(AND(K608&lt;32, J608&lt;2), O608=1, P608=1, Q608=1, R608=1, S608=1, T608=1, U608=1, AND(W608&lt;&gt;"", W608&lt;&gt;"Oxygen", W608&lt;&gt;"LowFlow")), "Intensive", "Intermediate")</f>
      </c>
      <c r="AJ608" s="37">
        <f>IF(OR(LEFT(AH608, 1)="X", LEFT(AH608, 1)="Y", LEFT(AH608, 3)="J28M"), "CUSM", "No Match")</f>
      </c>
      <c r="AK608" s="37">
        <f>IF(AND(OR(O608=3, P608=1, Q608=1, T608=1), AJ608="no Match"), "CUSM, CHU SJ, CHUQ", "")</f>
      </c>
      <c r="AL608" s="37">
        <f>IF(AND(O608=2, ISBLANK(P608), ISBLANK(Q608), ISBLANK(R608), ISBLANK(S608), ISBLANK(T608)), "CUSM, CHU SJ, CHUS, CHUQ", "")</f>
      </c>
      <c r="AM608" s="37">
        <f>IF(AND(AJ608="no match", AK608="", AL608="", K608&lt;26), "CUSM, CHU SJ, HGJ, CHUQ, CHUS", "")</f>
      </c>
      <c r="AN608" s="37">
        <f>IF(AND(AJ608="no match", AK608="", AL608="", K608&gt;26), "CUSM, CHU SJ, HGJ, CHUQ, CHUS, HMR", "")</f>
      </c>
    </row>
    <row x14ac:dyDescent="0.25" r="609" customHeight="1" ht="17.25">
      <c r="A609" s="41" t="s">
        <v>1281</v>
      </c>
      <c r="B609" s="28">
        <v>2</v>
      </c>
      <c r="C609" s="35">
        <v>839</v>
      </c>
      <c r="D609" s="29" t="s">
        <v>53</v>
      </c>
      <c r="E609" s="30" t="s">
        <v>54</v>
      </c>
      <c r="F609" s="31">
        <v>44881</v>
      </c>
      <c r="G609" s="40">
        <v>4.3875</v>
      </c>
      <c r="H609" s="31">
        <v>44881</v>
      </c>
      <c r="I609" s="32">
        <v>4.266666666666667</v>
      </c>
      <c r="J609" s="33">
        <f>F609-H609</f>
      </c>
      <c r="K609" s="28">
        <v>41</v>
      </c>
      <c r="L609" s="28">
        <v>4</v>
      </c>
      <c r="M609" s="28">
        <v>1</v>
      </c>
      <c r="N609" s="34"/>
      <c r="O609" s="34"/>
      <c r="P609" s="34"/>
      <c r="Q609" s="34"/>
      <c r="R609" s="34"/>
      <c r="S609" s="34"/>
      <c r="T609" s="35">
        <v>1</v>
      </c>
      <c r="U609" s="34"/>
      <c r="V609" s="34"/>
      <c r="W609" s="29" t="s">
        <v>74</v>
      </c>
      <c r="X609" s="28">
        <v>31</v>
      </c>
      <c r="Y609" s="28">
        <v>1</v>
      </c>
      <c r="Z609" s="28">
        <v>1</v>
      </c>
      <c r="AA609" s="28">
        <v>3</v>
      </c>
      <c r="AB609" s="28">
        <v>1</v>
      </c>
      <c r="AC609" s="28">
        <v>2</v>
      </c>
      <c r="AD609" s="28">
        <v>2</v>
      </c>
      <c r="AE609" s="35">
        <v>4</v>
      </c>
      <c r="AF609" s="35">
        <v>2</v>
      </c>
      <c r="AG609" s="28">
        <v>2</v>
      </c>
      <c r="AH609" s="29" t="s">
        <v>1282</v>
      </c>
      <c r="AI609" s="36">
        <f>IF(OR(AND(K609&lt;32, J609&lt;2), O609=1, P609=1, Q609=1, R609=1, S609=1, T609=1, U609=1, AND(W609&lt;&gt;"", W609&lt;&gt;"Oxygen", W609&lt;&gt;"LowFlow")), "Intensive", "Intermediate")</f>
      </c>
      <c r="AJ609" s="37">
        <f>IF(OR(LEFT(AH609, 1)="X", LEFT(AH609, 1)="Y", LEFT(AH609, 3)="J29M"), "CUSM", "No Match")</f>
      </c>
      <c r="AK609" s="37">
        <f>IF(AND(OR(O609=3, P609=1, Q609=1, T609=1), AJ609="no Match"), "CUSM, CHU SJ, CHUQ", "")</f>
      </c>
      <c r="AL609" s="37">
        <f>IF(AND(O609=2, ISBLANK(P609), ISBLANK(Q609), ISBLANK(R609), ISBLANK(S609), ISBLANK(T609)), "CUSM, CHU SJ, CHUS, CHUQ", "")</f>
      </c>
      <c r="AM609" s="37">
        <f>IF(AND(AJ609="no match", AK609="", AL609="", K609&lt;26), "CUSM, CHU SJ, HGJ, CHUQ, CHUS", "")</f>
      </c>
      <c r="AN609" s="37">
        <f>IF(AND(AJ609="no match", AK609="", AL609="", K609&gt;26), "CUSM, CHU SJ, HGJ, CHUQ, CHUS, HMR", "")</f>
      </c>
    </row>
    <row x14ac:dyDescent="0.25" r="610" customHeight="1" ht="17.25">
      <c r="A610" s="41" t="s">
        <v>1283</v>
      </c>
      <c r="B610" s="28">
        <v>2</v>
      </c>
      <c r="C610" s="28">
        <v>730</v>
      </c>
      <c r="D610" s="29" t="s">
        <v>81</v>
      </c>
      <c r="E610" s="30" t="s">
        <v>78</v>
      </c>
      <c r="F610" s="31">
        <v>44882</v>
      </c>
      <c r="G610" s="32">
        <v>4.677083333333334</v>
      </c>
      <c r="H610" s="31">
        <v>44882</v>
      </c>
      <c r="I610" s="32">
        <v>4.606944444444444</v>
      </c>
      <c r="J610" s="33">
        <f>F610-H610</f>
      </c>
      <c r="K610" s="28">
        <v>32</v>
      </c>
      <c r="L610" s="28">
        <v>0</v>
      </c>
      <c r="M610" s="28">
        <v>1</v>
      </c>
      <c r="N610" s="38"/>
      <c r="O610" s="34"/>
      <c r="P610" s="34"/>
      <c r="Q610" s="34"/>
      <c r="R610" s="34"/>
      <c r="S610" s="34"/>
      <c r="T610" s="34"/>
      <c r="U610" s="34"/>
      <c r="V610" s="34"/>
      <c r="W610" s="29" t="s">
        <v>74</v>
      </c>
      <c r="X610" s="28">
        <v>26</v>
      </c>
      <c r="Y610" s="28">
        <v>1</v>
      </c>
      <c r="Z610" s="28">
        <v>2</v>
      </c>
      <c r="AA610" s="28">
        <v>3</v>
      </c>
      <c r="AB610" s="28">
        <v>4</v>
      </c>
      <c r="AC610" s="28">
        <v>2</v>
      </c>
      <c r="AD610" s="28">
        <v>2</v>
      </c>
      <c r="AE610" s="28">
        <v>4</v>
      </c>
      <c r="AF610" s="28">
        <v>3</v>
      </c>
      <c r="AG610" s="28">
        <v>1</v>
      </c>
      <c r="AH610" s="29" t="s">
        <v>1284</v>
      </c>
      <c r="AI610" s="36">
        <f>IF(OR(AND(K610&lt;32, J610&lt;2), O610=1, P610=1, Q610=1, R610=1, S610=1, T610=1, U610=1, AND(W610&lt;&gt;"", W610&lt;&gt;"Oxygen", W610&lt;&gt;"LowFlow")), "Intensive", "Intermediate")</f>
      </c>
      <c r="AJ610" s="37">
        <f>IF(OR(LEFT(AH610, 1)="X", LEFT(AH610, 1)="Y", LEFT(AH610, 3)="J30M"), "CUSM", "No Match")</f>
      </c>
      <c r="AK610" s="37">
        <f>IF(AND(OR(O610=3, P610=1, Q610=1, T610=1), AJ610="no Match"), "CUSM, CHU SJ, CHUQ", "")</f>
      </c>
      <c r="AL610" s="37">
        <f>IF(AND(O610=2, ISBLANK(P610), ISBLANK(Q610), ISBLANK(R610), ISBLANK(S610), ISBLANK(T610)), "CUSM, CHU SJ, CHUS, CHUQ", "")</f>
      </c>
      <c r="AM610" s="37">
        <f>IF(AND(AJ610="no match", AK610="", AL610="", K610&lt;26), "CUSM, CHU SJ, HGJ, CHUQ, CHUS", "")</f>
      </c>
      <c r="AN610" s="37">
        <f>IF(AND(AJ610="no match", AK610="", AL610="", K610&gt;26), "CUSM, CHU SJ, HGJ, CHUQ, CHUS, HMR", "")</f>
      </c>
    </row>
    <row x14ac:dyDescent="0.25" r="611" customHeight="1" ht="17.25">
      <c r="A611" s="41" t="s">
        <v>1285</v>
      </c>
      <c r="B611" s="28">
        <v>2</v>
      </c>
      <c r="C611" s="35">
        <v>822</v>
      </c>
      <c r="D611" s="29" t="s">
        <v>167</v>
      </c>
      <c r="E611" s="30" t="s">
        <v>78</v>
      </c>
      <c r="F611" s="31">
        <v>44883</v>
      </c>
      <c r="G611" s="32">
        <v>4.25</v>
      </c>
      <c r="H611" s="31">
        <v>44883</v>
      </c>
      <c r="I611" s="32">
        <v>4.054166666666667</v>
      </c>
      <c r="J611" s="33">
        <f>F611-H611</f>
      </c>
      <c r="K611" s="28">
        <v>34</v>
      </c>
      <c r="L611" s="28">
        <v>5</v>
      </c>
      <c r="M611" s="28">
        <v>1</v>
      </c>
      <c r="N611" s="34"/>
      <c r="O611" s="34"/>
      <c r="P611" s="34"/>
      <c r="Q611" s="34"/>
      <c r="R611" s="34"/>
      <c r="S611" s="34"/>
      <c r="T611" s="34"/>
      <c r="U611" s="34"/>
      <c r="V611" s="34"/>
      <c r="W611" s="29" t="s">
        <v>74</v>
      </c>
      <c r="X611" s="28">
        <v>32</v>
      </c>
      <c r="Y611" s="28">
        <v>1</v>
      </c>
      <c r="Z611" s="28">
        <v>2</v>
      </c>
      <c r="AA611" s="28">
        <v>1</v>
      </c>
      <c r="AB611" s="28">
        <v>3</v>
      </c>
      <c r="AC611" s="28">
        <v>2</v>
      </c>
      <c r="AD611" s="28">
        <v>2</v>
      </c>
      <c r="AE611" s="28">
        <v>2</v>
      </c>
      <c r="AF611" s="28">
        <v>2</v>
      </c>
      <c r="AG611" s="28">
        <v>2</v>
      </c>
      <c r="AH611" s="29" t="s">
        <v>1286</v>
      </c>
      <c r="AI611" s="36">
        <f>IF(OR(AND(K611&lt;32, J611&lt;2), O611=1, P611=1, Q611=1, R611=1, S611=1, T611=1, U611=1, AND(W611&lt;&gt;"", W611&lt;&gt;"Oxygen", W611&lt;&gt;"LowFlow")), "Intensive", "Intermediate")</f>
      </c>
      <c r="AJ611" s="37">
        <f>IF(OR(LEFT(AH611, 1)="X", LEFT(AH611, 1)="Y", LEFT(AH611, 3)="J31M"), "CUSM", "No Match")</f>
      </c>
      <c r="AK611" s="37">
        <f>IF(AND(OR(O611=3, P611=1, Q611=1, T611=1), AJ611="no Match"), "CUSM, CHU SJ, CHUQ", "")</f>
      </c>
      <c r="AL611" s="37">
        <f>IF(AND(O611=2, ISBLANK(P611), ISBLANK(Q611), ISBLANK(R611), ISBLANK(S611), ISBLANK(T611)), "CUSM, CHU SJ, CHUS, CHUQ", "")</f>
      </c>
      <c r="AM611" s="37">
        <f>IF(AND(AJ611="no match", AK611="", AL611="", K611&lt;26), "CUSM, CHU SJ, HGJ, CHUQ, CHUS", "")</f>
      </c>
      <c r="AN611" s="37">
        <f>IF(AND(AJ611="no match", AK611="", AL611="", K611&gt;26), "CUSM, CHU SJ, HGJ, CHUQ, CHUS, HMR", "")</f>
      </c>
    </row>
    <row x14ac:dyDescent="0.25" r="612" customHeight="1" ht="17.25">
      <c r="A612" s="41" t="s">
        <v>1287</v>
      </c>
      <c r="B612" s="28">
        <v>2</v>
      </c>
      <c r="C612" s="28">
        <v>824</v>
      </c>
      <c r="D612" s="29" t="s">
        <v>57</v>
      </c>
      <c r="E612" s="30" t="s">
        <v>54</v>
      </c>
      <c r="F612" s="31">
        <v>44884</v>
      </c>
      <c r="G612" s="32">
        <v>4.572916666666666</v>
      </c>
      <c r="H612" s="31">
        <v>44881</v>
      </c>
      <c r="I612" s="32">
        <v>4.9118055555555555</v>
      </c>
      <c r="J612" s="33">
        <f>F612-H612</f>
      </c>
      <c r="K612" s="28">
        <v>36</v>
      </c>
      <c r="L612" s="28">
        <v>1</v>
      </c>
      <c r="M612" s="28">
        <v>1</v>
      </c>
      <c r="N612" s="34"/>
      <c r="O612" s="34"/>
      <c r="P612" s="34"/>
      <c r="Q612" s="34"/>
      <c r="R612" s="34"/>
      <c r="S612" s="34"/>
      <c r="T612" s="34"/>
      <c r="U612" s="34"/>
      <c r="V612" s="34"/>
      <c r="W612" s="29"/>
      <c r="X612" s="28">
        <v>28</v>
      </c>
      <c r="Y612" s="28">
        <v>1</v>
      </c>
      <c r="Z612" s="28">
        <v>1</v>
      </c>
      <c r="AA612" s="28">
        <v>1</v>
      </c>
      <c r="AB612" s="28">
        <v>2</v>
      </c>
      <c r="AC612" s="28">
        <v>2</v>
      </c>
      <c r="AD612" s="28">
        <v>2</v>
      </c>
      <c r="AE612" s="28">
        <v>2</v>
      </c>
      <c r="AF612" s="28">
        <v>2</v>
      </c>
      <c r="AG612" s="28">
        <v>2</v>
      </c>
      <c r="AH612" s="29" t="s">
        <v>1288</v>
      </c>
      <c r="AI612" s="36">
        <f>IF(OR(AND(K612&lt;32, J612&lt;2), O612=1, P612=1, Q612=1, R612=1, S612=1, T612=1, U612=1, AND(W612&lt;&gt;"", W612&lt;&gt;"Oxygen", W612&lt;&gt;"LowFlow")), "Intensive", "Intermediate")</f>
      </c>
      <c r="AJ612" s="37">
        <f>IF(OR(LEFT(AH612, 1)="X", LEFT(AH612, 1)="Y", LEFT(AH612, 3)="J32M"), "CUSM", "No Match")</f>
      </c>
      <c r="AK612" s="37">
        <f>IF(AND(OR(O612=3, P612=1, Q612=1, T612=1), AJ612="no Match"), "CUSM, CHU SJ, CHUQ", "")</f>
      </c>
      <c r="AL612" s="37">
        <f>IF(AND(O612=2, ISBLANK(P612), ISBLANK(Q612), ISBLANK(R612), ISBLANK(S612), ISBLANK(T612)), "CUSM, CHU SJ, CHUS, CHUQ", "")</f>
      </c>
      <c r="AM612" s="37">
        <f>IF(AND(AJ612="no match", AK612="", AL612="", K612&lt;26), "CUSM, CHU SJ, HGJ, CHUQ, CHUS", "")</f>
      </c>
      <c r="AN612" s="37">
        <f>IF(AND(AJ612="no match", AK612="", AL612="", K612&gt;26), "CUSM, CHU SJ, HGJ, CHUQ, CHUS, HMR", "")</f>
      </c>
    </row>
    <row x14ac:dyDescent="0.25" r="613" customHeight="1" ht="17.25">
      <c r="A613" s="41" t="s">
        <v>1289</v>
      </c>
      <c r="B613" s="28">
        <v>2</v>
      </c>
      <c r="C613" s="35">
        <v>782</v>
      </c>
      <c r="D613" s="29" t="s">
        <v>95</v>
      </c>
      <c r="E613" s="30" t="s">
        <v>78</v>
      </c>
      <c r="F613" s="31">
        <v>44884</v>
      </c>
      <c r="G613" s="32">
        <v>4.420138888888889</v>
      </c>
      <c r="H613" s="31">
        <v>44883</v>
      </c>
      <c r="I613" s="32">
        <v>4.2131944444444445</v>
      </c>
      <c r="J613" s="33">
        <f>F613-H613</f>
      </c>
      <c r="K613" s="28">
        <v>36</v>
      </c>
      <c r="L613" s="28">
        <v>0</v>
      </c>
      <c r="M613" s="28">
        <v>1</v>
      </c>
      <c r="N613" s="34"/>
      <c r="O613" s="34"/>
      <c r="P613" s="34"/>
      <c r="Q613" s="34"/>
      <c r="R613" s="34"/>
      <c r="S613" s="34"/>
      <c r="T613" s="34"/>
      <c r="U613" s="34"/>
      <c r="V613" s="34"/>
      <c r="W613" s="29" t="s">
        <v>58</v>
      </c>
      <c r="X613" s="28">
        <v>25</v>
      </c>
      <c r="Y613" s="28">
        <v>1</v>
      </c>
      <c r="Z613" s="28">
        <v>2</v>
      </c>
      <c r="AA613" s="28">
        <v>1</v>
      </c>
      <c r="AB613" s="28">
        <v>3</v>
      </c>
      <c r="AC613" s="28">
        <v>2</v>
      </c>
      <c r="AD613" s="28">
        <v>2</v>
      </c>
      <c r="AE613" s="28">
        <v>4</v>
      </c>
      <c r="AF613" s="28">
        <v>2</v>
      </c>
      <c r="AG613" s="28">
        <v>2</v>
      </c>
      <c r="AH613" s="29" t="s">
        <v>1290</v>
      </c>
      <c r="AI613" s="36">
        <f>IF(OR(AND(K613&lt;32, J613&lt;2), O613=1, P613=1, Q613=1, R613=1, S613=1, T613=1, U613=1, AND(W613&lt;&gt;"", W613&lt;&gt;"Oxygen", W613&lt;&gt;"LowFlow")), "Intensive", "Intermediate")</f>
      </c>
      <c r="AJ613" s="37">
        <f>IF(OR(LEFT(AH613, 1)="X", LEFT(AH613, 1)="Y", LEFT(AH613, 3)="J33M"), "CUSM", "No Match")</f>
      </c>
      <c r="AK613" s="37">
        <f>IF(AND(OR(O613=3, P613=1, Q613=1, T613=1), AJ613="no Match"), "CUSM, CHU SJ, CHUQ", "")</f>
      </c>
      <c r="AL613" s="37">
        <f>IF(AND(O613=2, ISBLANK(P613), ISBLANK(Q613), ISBLANK(R613), ISBLANK(S613), ISBLANK(T613)), "CUSM, CHU SJ, CHUS, CHUQ", "")</f>
      </c>
      <c r="AM613" s="37">
        <f>IF(AND(AJ613="no match", AK613="", AL613="", K613&lt;26), "CUSM, CHU SJ, HGJ, CHUQ, CHUS", "")</f>
      </c>
      <c r="AN613" s="37">
        <f>IF(AND(AJ613="no match", AK613="", AL613="", K613&gt;26), "CUSM, CHU SJ, HGJ, CHUQ, CHUS, HMR", "")</f>
      </c>
    </row>
    <row x14ac:dyDescent="0.25" r="614" customHeight="1" ht="17.25">
      <c r="A614" s="41" t="s">
        <v>1291</v>
      </c>
      <c r="B614" s="28">
        <v>2</v>
      </c>
      <c r="C614" s="35">
        <v>822</v>
      </c>
      <c r="D614" s="29" t="s">
        <v>167</v>
      </c>
      <c r="E614" s="30" t="s">
        <v>50</v>
      </c>
      <c r="F614" s="31">
        <v>44884</v>
      </c>
      <c r="G614" s="32">
        <v>4.050694444444444</v>
      </c>
      <c r="H614" s="31">
        <v>44883</v>
      </c>
      <c r="I614" s="32">
        <v>4.764583333333333</v>
      </c>
      <c r="J614" s="33">
        <f>F614-H614</f>
      </c>
      <c r="K614" s="28">
        <v>38</v>
      </c>
      <c r="L614" s="28">
        <v>4</v>
      </c>
      <c r="M614" s="28">
        <v>1</v>
      </c>
      <c r="N614" s="28">
        <v>1</v>
      </c>
      <c r="O614" s="34"/>
      <c r="P614" s="38"/>
      <c r="Q614" s="34"/>
      <c r="R614" s="34"/>
      <c r="S614" s="34"/>
      <c r="T614" s="34"/>
      <c r="U614" s="34"/>
      <c r="V614" s="34"/>
      <c r="W614" s="29" t="s">
        <v>58</v>
      </c>
      <c r="X614" s="28">
        <v>31</v>
      </c>
      <c r="Y614" s="28">
        <v>1</v>
      </c>
      <c r="Z614" s="28">
        <v>1</v>
      </c>
      <c r="AA614" s="28">
        <v>2</v>
      </c>
      <c r="AB614" s="28">
        <v>1</v>
      </c>
      <c r="AC614" s="28">
        <v>1</v>
      </c>
      <c r="AD614" s="28">
        <v>2</v>
      </c>
      <c r="AE614" s="28">
        <v>4</v>
      </c>
      <c r="AF614" s="28">
        <v>2</v>
      </c>
      <c r="AG614" s="28">
        <v>2</v>
      </c>
      <c r="AH614" s="29" t="s">
        <v>1292</v>
      </c>
      <c r="AI614" s="36">
        <f>IF(OR(AND(K614&lt;32, J614&lt;2), O614=1, P614=1, Q614=1, R614=1, S614=1, T614=1, U614=1, AND(W614&lt;&gt;"", W614&lt;&gt;"Oxygen", W614&lt;&gt;"LowFlow")), "Intensive", "Intermediate")</f>
      </c>
      <c r="AJ614" s="37">
        <f>IF(OR(LEFT(AH614, 1)="X", LEFT(AH614, 1)="Y", LEFT(AH614, 3)="J34M"), "CUSM", "No Match")</f>
      </c>
      <c r="AK614" s="37">
        <f>IF(AND(OR(O614=3, P614=1, Q614=1, T614=1), AJ614="no Match"), "CUSM, CHU SJ, CHUQ", "")</f>
      </c>
      <c r="AL614" s="37">
        <f>IF(AND(O614=2, ISBLANK(P614), ISBLANK(Q614), ISBLANK(R614), ISBLANK(S614), ISBLANK(T614)), "CUSM, CHU SJ, CHUS, CHUQ", "")</f>
      </c>
      <c r="AM614" s="37">
        <f>IF(AND(AJ614="no match", AK614="", AL614="", K614&lt;26), "CUSM, CHU SJ, HGJ, CHUQ, CHUS", "")</f>
      </c>
      <c r="AN614" s="37">
        <f>IF(AND(AJ614="no match", AK614="", AL614="", K614&gt;26), "CUSM, CHU SJ, HGJ, CHUQ, CHUS, HMR", "")</f>
      </c>
    </row>
    <row x14ac:dyDescent="0.25" r="615" customHeight="1" ht="17.25">
      <c r="A615" s="41" t="s">
        <v>1293</v>
      </c>
      <c r="B615" s="28">
        <v>2</v>
      </c>
      <c r="C615" s="28">
        <v>780</v>
      </c>
      <c r="D615" s="29" t="s">
        <v>190</v>
      </c>
      <c r="E615" s="30" t="s">
        <v>54</v>
      </c>
      <c r="F615" s="31">
        <v>44885</v>
      </c>
      <c r="G615" s="32">
        <v>4.433333333333334</v>
      </c>
      <c r="H615" s="31">
        <v>44885</v>
      </c>
      <c r="I615" s="32">
        <v>4.034722222222222</v>
      </c>
      <c r="J615" s="33">
        <f>F615-H615</f>
      </c>
      <c r="K615" s="28">
        <v>39</v>
      </c>
      <c r="L615" s="28">
        <v>3</v>
      </c>
      <c r="M615" s="28">
        <v>1</v>
      </c>
      <c r="N615" s="35">
        <v>1</v>
      </c>
      <c r="O615" s="34"/>
      <c r="P615" s="35">
        <v>1</v>
      </c>
      <c r="Q615" s="34"/>
      <c r="R615" s="34"/>
      <c r="S615" s="34"/>
      <c r="T615" s="34"/>
      <c r="U615" s="35">
        <v>1</v>
      </c>
      <c r="V615" s="35">
        <v>1</v>
      </c>
      <c r="W615" s="29" t="s">
        <v>74</v>
      </c>
      <c r="X615" s="28">
        <v>33</v>
      </c>
      <c r="Y615" s="28">
        <v>1</v>
      </c>
      <c r="Z615" s="28">
        <v>2</v>
      </c>
      <c r="AA615" s="28">
        <v>1</v>
      </c>
      <c r="AB615" s="28">
        <v>1</v>
      </c>
      <c r="AC615" s="28">
        <v>2</v>
      </c>
      <c r="AD615" s="28">
        <v>1</v>
      </c>
      <c r="AE615" s="28">
        <v>1</v>
      </c>
      <c r="AF615" s="28">
        <v>1</v>
      </c>
      <c r="AG615" s="28">
        <v>2</v>
      </c>
      <c r="AH615" s="29" t="s">
        <v>1294</v>
      </c>
      <c r="AI615" s="36">
        <f>IF(OR(AND(K615&lt;32, J615&lt;2), O615=1, P615=1, Q615=1, R615=1, S615=1, T615=1, U615=1, AND(W615&lt;&gt;"", W615&lt;&gt;"Oxygen", W615&lt;&gt;"LowFlow")), "Intensive", "Intermediate")</f>
      </c>
      <c r="AJ615" s="37">
        <f>IF(OR(LEFT(AH615, 1)="X", LEFT(AH615, 1)="Y", LEFT(AH615, 3)="J35M"), "CUSM", "No Match")</f>
      </c>
      <c r="AK615" s="37">
        <f>IF(AND(OR(O615=3, P615=1, Q615=1, T615=1), AJ615="no Match"), "CUSM, CHU SJ, CHUQ", "")</f>
      </c>
      <c r="AL615" s="37">
        <f>IF(AND(O615=2, ISBLANK(P615), ISBLANK(Q615), ISBLANK(R615), ISBLANK(S615), ISBLANK(T615)), "CUSM, CHU SJ, CHUS, CHUQ", "")</f>
      </c>
      <c r="AM615" s="37">
        <f>IF(AND(AJ615="no match", AK615="", AL615="", K615&lt;26), "CUSM, CHU SJ, HGJ, CHUQ, CHUS", "")</f>
      </c>
      <c r="AN615" s="37">
        <f>IF(AND(AJ615="no match", AK615="", AL615="", K615&gt;26), "CUSM, CHU SJ, HGJ, CHUQ, CHUS, HMR", "")</f>
      </c>
    </row>
    <row x14ac:dyDescent="0.25" r="616" customHeight="1" ht="17.25">
      <c r="A616" s="41" t="s">
        <v>1295</v>
      </c>
      <c r="B616" s="28">
        <v>2</v>
      </c>
      <c r="C616" s="35">
        <v>776</v>
      </c>
      <c r="D616" s="29" t="s">
        <v>84</v>
      </c>
      <c r="E616" s="30" t="s">
        <v>118</v>
      </c>
      <c r="F616" s="31">
        <v>44886</v>
      </c>
      <c r="G616" s="32">
        <v>4.654861111111111</v>
      </c>
      <c r="H616" s="31">
        <v>44886</v>
      </c>
      <c r="I616" s="32">
        <v>4.284722222222222</v>
      </c>
      <c r="J616" s="33">
        <f>F616-H616</f>
      </c>
      <c r="K616" s="28">
        <v>28</v>
      </c>
      <c r="L616" s="28">
        <v>3</v>
      </c>
      <c r="M616" s="28">
        <v>1</v>
      </c>
      <c r="N616" s="35">
        <v>1</v>
      </c>
      <c r="O616" s="34"/>
      <c r="P616" s="34"/>
      <c r="Q616" s="34"/>
      <c r="R616" s="34"/>
      <c r="S616" s="34"/>
      <c r="T616" s="34"/>
      <c r="U616" s="34"/>
      <c r="V616" s="34"/>
      <c r="W616" s="29" t="s">
        <v>74</v>
      </c>
      <c r="X616" s="28">
        <v>33</v>
      </c>
      <c r="Y616" s="28">
        <v>1</v>
      </c>
      <c r="Z616" s="28">
        <v>1</v>
      </c>
      <c r="AA616" s="28">
        <v>1</v>
      </c>
      <c r="AB616" s="28">
        <v>1</v>
      </c>
      <c r="AC616" s="28">
        <v>3</v>
      </c>
      <c r="AD616" s="28">
        <v>3</v>
      </c>
      <c r="AE616" s="28">
        <v>4</v>
      </c>
      <c r="AF616" s="28">
        <v>2</v>
      </c>
      <c r="AG616" s="28">
        <v>2</v>
      </c>
      <c r="AH616" s="29" t="s">
        <v>1296</v>
      </c>
      <c r="AI616" s="36">
        <f>IF(OR(AND(K616&lt;32, J616&lt;2), O616=1, P616=1, Q616=1, R616=1, S616=1, T616=1, U616=1, AND(W616&lt;&gt;"", W616&lt;&gt;"Oxygen", W616&lt;&gt;"LowFlow")), "Intensive", "Intermediate")</f>
      </c>
      <c r="AJ616" s="37">
        <f>IF(OR(LEFT(AH616, 1)="X", LEFT(AH616, 1)="Y", LEFT(AH616, 3)="J36M"), "CUSM", "No Match")</f>
      </c>
      <c r="AK616" s="37">
        <f>IF(AND(OR(O616=3, P616=1, Q616=1, T616=1), AJ616="no Match"), "CUSM, CHU SJ, CHUQ", "")</f>
      </c>
      <c r="AL616" s="37">
        <f>IF(AND(O616=2, ISBLANK(P616), ISBLANK(Q616), ISBLANK(R616), ISBLANK(S616), ISBLANK(T616)), "CUSM, CHU SJ, CHUS, CHUQ", "")</f>
      </c>
      <c r="AM616" s="37">
        <f>IF(AND(AJ616="no match", AK616="", AL616="", K616&lt;26), "CUSM, CHU SJ, HGJ, CHUQ, CHUS", "")</f>
      </c>
      <c r="AN616" s="37">
        <f>IF(AND(AJ616="no match", AK616="", AL616="", K616&gt;26), "CUSM, CHU SJ, HGJ, CHUQ, CHUS, HMR", "")</f>
      </c>
    </row>
    <row x14ac:dyDescent="0.25" r="617" customHeight="1" ht="17.25">
      <c r="A617" s="41" t="s">
        <v>1297</v>
      </c>
      <c r="B617" s="28">
        <v>2</v>
      </c>
      <c r="C617" s="35">
        <v>796</v>
      </c>
      <c r="D617" s="29" t="s">
        <v>63</v>
      </c>
      <c r="E617" s="30" t="s">
        <v>54</v>
      </c>
      <c r="F617" s="31">
        <v>44886</v>
      </c>
      <c r="G617" s="32">
        <v>4.111111111111111</v>
      </c>
      <c r="H617" s="31">
        <v>44885</v>
      </c>
      <c r="I617" s="32">
        <v>4.903472222222222</v>
      </c>
      <c r="J617" s="33">
        <f>F617-H617</f>
      </c>
      <c r="K617" s="28">
        <v>37</v>
      </c>
      <c r="L617" s="28">
        <v>1</v>
      </c>
      <c r="M617" s="28">
        <v>1</v>
      </c>
      <c r="N617" s="34"/>
      <c r="O617" s="34"/>
      <c r="P617" s="34"/>
      <c r="Q617" s="34"/>
      <c r="R617" s="34"/>
      <c r="S617" s="34"/>
      <c r="T617" s="35">
        <v>1</v>
      </c>
      <c r="U617" s="34"/>
      <c r="V617" s="34"/>
      <c r="W617" s="29"/>
      <c r="X617" s="28">
        <v>29</v>
      </c>
      <c r="Y617" s="28">
        <v>1</v>
      </c>
      <c r="Z617" s="28">
        <v>1</v>
      </c>
      <c r="AA617" s="28">
        <v>2</v>
      </c>
      <c r="AB617" s="28">
        <v>1</v>
      </c>
      <c r="AC617" s="28">
        <v>1</v>
      </c>
      <c r="AD617" s="28">
        <v>2</v>
      </c>
      <c r="AE617" s="28">
        <v>4</v>
      </c>
      <c r="AF617" s="28">
        <v>2</v>
      </c>
      <c r="AG617" s="28">
        <v>2</v>
      </c>
      <c r="AH617" s="29" t="s">
        <v>1298</v>
      </c>
      <c r="AI617" s="36">
        <f>IF(OR(AND(K617&lt;32, J617&lt;2), O617=1, P617=1, Q617=1, R617=1, S617=1, T617=1, U617=1, AND(W617&lt;&gt;"", W617&lt;&gt;"Oxygen", W617&lt;&gt;"LowFlow")), "Intensive", "Intermediate")</f>
      </c>
      <c r="AJ617" s="37">
        <f>IF(OR(LEFT(AH617, 1)="X", LEFT(AH617, 1)="Y", LEFT(AH617, 3)="J37M"), "CUSM", "No Match")</f>
      </c>
      <c r="AK617" s="37">
        <f>IF(AND(OR(O617=3, P617=1, Q617=1, T617=1), AJ617="no Match"), "CUSM, CHU SJ, CHUQ", "")</f>
      </c>
      <c r="AL617" s="37">
        <f>IF(AND(O617=2, ISBLANK(P617), ISBLANK(Q617), ISBLANK(R617), ISBLANK(S617), ISBLANK(T617)), "CUSM, CHU SJ, CHUS, CHUQ", "")</f>
      </c>
      <c r="AM617" s="37">
        <f>IF(AND(AJ617="no match", AK617="", AL617="", K617&lt;26), "CUSM, CHU SJ, HGJ, CHUQ, CHUS", "")</f>
      </c>
      <c r="AN617" s="37">
        <f>IF(AND(AJ617="no match", AK617="", AL617="", K617&gt;26), "CUSM, CHU SJ, HGJ, CHUQ, CHUS, HMR", "")</f>
      </c>
    </row>
    <row x14ac:dyDescent="0.25" r="618" customHeight="1" ht="17.25">
      <c r="A618" s="41" t="s">
        <v>1299</v>
      </c>
      <c r="B618" s="28">
        <v>2</v>
      </c>
      <c r="C618" s="28">
        <v>730</v>
      </c>
      <c r="D618" s="29" t="s">
        <v>81</v>
      </c>
      <c r="E618" s="30" t="s">
        <v>50</v>
      </c>
      <c r="F618" s="31">
        <v>44886</v>
      </c>
      <c r="G618" s="32">
        <v>4.552083333333334</v>
      </c>
      <c r="H618" s="31">
        <v>44886</v>
      </c>
      <c r="I618" s="32">
        <v>4.284722222222222</v>
      </c>
      <c r="J618" s="33">
        <f>F618-H618</f>
      </c>
      <c r="K618" s="28">
        <v>40</v>
      </c>
      <c r="L618" s="28">
        <v>6</v>
      </c>
      <c r="M618" s="28">
        <v>2</v>
      </c>
      <c r="N618" s="38"/>
      <c r="O618" s="34"/>
      <c r="P618" s="34"/>
      <c r="Q618" s="34"/>
      <c r="R618" s="34"/>
      <c r="S618" s="34"/>
      <c r="T618" s="34"/>
      <c r="U618" s="34"/>
      <c r="V618" s="34"/>
      <c r="W618" s="29"/>
      <c r="X618" s="28">
        <v>37</v>
      </c>
      <c r="Y618" s="28">
        <v>1</v>
      </c>
      <c r="Z618" s="28">
        <v>2</v>
      </c>
      <c r="AA618" s="28">
        <v>3</v>
      </c>
      <c r="AB618" s="28">
        <v>1</v>
      </c>
      <c r="AC618" s="28">
        <v>2</v>
      </c>
      <c r="AD618" s="28">
        <v>2</v>
      </c>
      <c r="AE618" s="28">
        <v>4</v>
      </c>
      <c r="AF618" s="28">
        <v>3</v>
      </c>
      <c r="AG618" s="28">
        <v>3</v>
      </c>
      <c r="AH618" s="29" t="s">
        <v>1300</v>
      </c>
      <c r="AI618" s="36">
        <f>IF(OR(AND(K618&lt;32, J618&lt;2), O618=1, P618=1, Q618=1, R618=1, S618=1, T618=1, U618=1, AND(W618&lt;&gt;"", W618&lt;&gt;"Oxygen", W618&lt;&gt;"LowFlow")), "Intensive", "Intermediate")</f>
      </c>
      <c r="AJ618" s="37">
        <f>IF(OR(LEFT(AH618, 1)="X", LEFT(AH618, 1)="Y", LEFT(AH618, 3)="J38M"), "CUSM", "No Match")</f>
      </c>
      <c r="AK618" s="37">
        <f>IF(AND(OR(O618=3, P618=1, Q618=1, T618=1), AJ618="no Match"), "CUSM, CHU SJ, CHUQ", "")</f>
      </c>
      <c r="AL618" s="37">
        <f>IF(AND(O618=2, ISBLANK(P618), ISBLANK(Q618), ISBLANK(R618), ISBLANK(S618), ISBLANK(T618)), "CUSM, CHU SJ, CHUS, CHUQ", "")</f>
      </c>
      <c r="AM618" s="37">
        <f>IF(AND(AJ618="no match", AK618="", AL618="", K618&lt;26), "CUSM, CHU SJ, HGJ, CHUQ, CHUS", "")</f>
      </c>
      <c r="AN618" s="37">
        <f>IF(AND(AJ618="no match", AK618="", AL618="", K618&gt;26), "CUSM, CHU SJ, HGJ, CHUQ, CHUS, HMR", "")</f>
      </c>
    </row>
    <row x14ac:dyDescent="0.25" r="619" customHeight="1" ht="17.25">
      <c r="A619" s="41" t="s">
        <v>1301</v>
      </c>
      <c r="B619" s="28">
        <v>2</v>
      </c>
      <c r="C619" s="28">
        <v>820</v>
      </c>
      <c r="D619" s="29" t="s">
        <v>69</v>
      </c>
      <c r="E619" s="30" t="s">
        <v>54</v>
      </c>
      <c r="F619" s="31">
        <v>44889</v>
      </c>
      <c r="G619" s="32">
        <v>4.875</v>
      </c>
      <c r="H619" s="31">
        <v>44888</v>
      </c>
      <c r="I619" s="32">
        <v>4.973611111111111</v>
      </c>
      <c r="J619" s="33">
        <f>F619-H619</f>
      </c>
      <c r="K619" s="28">
        <v>39</v>
      </c>
      <c r="L619" s="28">
        <v>6</v>
      </c>
      <c r="M619" s="28">
        <v>1</v>
      </c>
      <c r="N619" s="35">
        <v>1</v>
      </c>
      <c r="O619" s="34"/>
      <c r="P619" s="34"/>
      <c r="Q619" s="34"/>
      <c r="R619" s="34"/>
      <c r="S619" s="34"/>
      <c r="T619" s="34"/>
      <c r="U619" s="34"/>
      <c r="V619" s="34"/>
      <c r="W619" s="29"/>
      <c r="X619" s="28">
        <v>27</v>
      </c>
      <c r="Y619" s="28">
        <v>1</v>
      </c>
      <c r="Z619" s="28">
        <v>2</v>
      </c>
      <c r="AA619" s="28">
        <v>3</v>
      </c>
      <c r="AB619" s="28">
        <v>1</v>
      </c>
      <c r="AC619" s="28">
        <v>2</v>
      </c>
      <c r="AD619" s="28">
        <v>2</v>
      </c>
      <c r="AE619" s="28">
        <v>4</v>
      </c>
      <c r="AF619" s="28">
        <v>2</v>
      </c>
      <c r="AG619" s="28">
        <v>2</v>
      </c>
      <c r="AH619" s="29" t="s">
        <v>1302</v>
      </c>
      <c r="AI619" s="36">
        <f>IF(OR(AND(K619&lt;32, J619&lt;2), O619=1, P619=1, Q619=1, R619=1, S619=1, T619=1, U619=1, AND(W619&lt;&gt;"", W619&lt;&gt;"Oxygen", W619&lt;&gt;"LowFlow")), "Intensive", "Intermediate")</f>
      </c>
      <c r="AJ619" s="37">
        <f>IF(OR(LEFT(AH619, 1)="X", LEFT(AH619, 1)="Y", LEFT(AH619, 3)="J39M"), "CUSM", "No Match")</f>
      </c>
      <c r="AK619" s="37">
        <f>IF(AND(OR(O619=3, P619=1, Q619=1, T619=1), AJ619="no Match"), "CUSM, CHU SJ, CHUQ", "")</f>
      </c>
      <c r="AL619" s="37">
        <f>IF(AND(O619=2, ISBLANK(P619), ISBLANK(Q619), ISBLANK(R619), ISBLANK(S619), ISBLANK(T619)), "CUSM, CHU SJ, CHUS, CHUQ", "")</f>
      </c>
      <c r="AM619" s="37">
        <f>IF(AND(AJ619="no match", AK619="", AL619="", K619&lt;26), "CUSM, CHU SJ, HGJ, CHUQ, CHUS", "")</f>
      </c>
      <c r="AN619" s="37">
        <f>IF(AND(AJ619="no match", AK619="", AL619="", K619&gt;26), "CUSM, CHU SJ, HGJ, CHUQ, CHUS, HMR", "")</f>
      </c>
    </row>
    <row x14ac:dyDescent="0.25" r="620" customHeight="1" ht="17.25">
      <c r="A620" s="41" t="s">
        <v>1303</v>
      </c>
      <c r="B620" s="28">
        <v>2</v>
      </c>
      <c r="C620" s="28">
        <v>734</v>
      </c>
      <c r="D620" s="29" t="s">
        <v>264</v>
      </c>
      <c r="E620" s="30" t="s">
        <v>50</v>
      </c>
      <c r="F620" s="31">
        <v>44889</v>
      </c>
      <c r="G620" s="32">
        <v>4.795138888888889</v>
      </c>
      <c r="H620" s="31">
        <v>44882</v>
      </c>
      <c r="I620" s="32">
        <v>4.4215277777777775</v>
      </c>
      <c r="J620" s="33">
        <f>F620-H620</f>
      </c>
      <c r="K620" s="28">
        <v>39</v>
      </c>
      <c r="L620" s="28">
        <v>0</v>
      </c>
      <c r="M620" s="28">
        <v>2</v>
      </c>
      <c r="N620" s="38"/>
      <c r="O620" s="34"/>
      <c r="P620" s="34"/>
      <c r="Q620" s="34"/>
      <c r="R620" s="34"/>
      <c r="S620" s="34"/>
      <c r="T620" s="38"/>
      <c r="U620" s="34"/>
      <c r="V620" s="34"/>
      <c r="W620" s="29" t="s">
        <v>74</v>
      </c>
      <c r="X620" s="28">
        <v>37</v>
      </c>
      <c r="Y620" s="28">
        <v>1</v>
      </c>
      <c r="Z620" s="28">
        <v>2</v>
      </c>
      <c r="AA620" s="28">
        <v>2</v>
      </c>
      <c r="AB620" s="28">
        <v>1</v>
      </c>
      <c r="AC620" s="28">
        <v>2</v>
      </c>
      <c r="AD620" s="28">
        <v>2</v>
      </c>
      <c r="AE620" s="28">
        <v>4</v>
      </c>
      <c r="AF620" s="28">
        <v>3</v>
      </c>
      <c r="AG620" s="28">
        <v>3</v>
      </c>
      <c r="AH620" s="29" t="s">
        <v>1304</v>
      </c>
      <c r="AI620" s="36">
        <f>IF(OR(AND(K620&lt;32, J620&lt;2), O620=1, P620=1, Q620=1, R620=1, S620=1, T620=1, U620=1, AND(W620&lt;&gt;"", W620&lt;&gt;"Oxygen", W620&lt;&gt;"LowFlow")), "Intensive", "Intermediate")</f>
      </c>
      <c r="AJ620" s="37">
        <f>IF(OR(LEFT(AH620, 1)="X", LEFT(AH620, 1)="Y", LEFT(AH620, 3)="J40M"), "CUSM", "No Match")</f>
      </c>
      <c r="AK620" s="37">
        <f>IF(AND(OR(O620=3, P620=1, Q620=1, T620=1), AJ620="no Match"), "CUSM, CHU SJ, CHUQ", "")</f>
      </c>
      <c r="AL620" s="37">
        <f>IF(AND(O620=2, ISBLANK(P620), ISBLANK(Q620), ISBLANK(R620), ISBLANK(S620), ISBLANK(T620)), "CUSM, CHU SJ, CHUS, CHUQ", "")</f>
      </c>
      <c r="AM620" s="37">
        <f>IF(AND(AJ620="no match", AK620="", AL620="", K620&lt;26), "CUSM, CHU SJ, HGJ, CHUQ, CHUS", "")</f>
      </c>
      <c r="AN620" s="37">
        <f>IF(AND(AJ620="no match", AK620="", AL620="", K620&gt;26), "CUSM, CHU SJ, HGJ, CHUQ, CHUS, HMR", "")</f>
      </c>
    </row>
    <row x14ac:dyDescent="0.25" r="621" customHeight="1" ht="17.25">
      <c r="A621" s="41" t="s">
        <v>1305</v>
      </c>
      <c r="B621" s="28">
        <v>2</v>
      </c>
      <c r="C621" s="28">
        <v>782</v>
      </c>
      <c r="D621" s="29" t="s">
        <v>95</v>
      </c>
      <c r="E621" s="30" t="s">
        <v>50</v>
      </c>
      <c r="F621" s="31">
        <v>44891</v>
      </c>
      <c r="G621" s="32">
        <v>4.732638888888889</v>
      </c>
      <c r="H621" s="31">
        <v>44886</v>
      </c>
      <c r="I621" s="32">
        <v>4.029861111111111</v>
      </c>
      <c r="J621" s="33">
        <f>F621-H621</f>
      </c>
      <c r="K621" s="28">
        <v>39</v>
      </c>
      <c r="L621" s="28">
        <v>3</v>
      </c>
      <c r="M621" s="28">
        <v>1</v>
      </c>
      <c r="N621" s="34"/>
      <c r="O621" s="34"/>
      <c r="P621" s="34"/>
      <c r="Q621" s="34"/>
      <c r="R621" s="34"/>
      <c r="S621" s="34"/>
      <c r="T621" s="34"/>
      <c r="U621" s="34"/>
      <c r="V621" s="34"/>
      <c r="W621" s="29"/>
      <c r="X621" s="28">
        <v>33</v>
      </c>
      <c r="Y621" s="28">
        <v>1</v>
      </c>
      <c r="Z621" s="28">
        <v>1</v>
      </c>
      <c r="AA621" s="28">
        <v>3</v>
      </c>
      <c r="AB621" s="28">
        <v>4</v>
      </c>
      <c r="AC621" s="28">
        <v>2</v>
      </c>
      <c r="AD621" s="28">
        <v>2</v>
      </c>
      <c r="AE621" s="28">
        <v>4</v>
      </c>
      <c r="AF621" s="28">
        <v>3</v>
      </c>
      <c r="AG621" s="28">
        <v>3</v>
      </c>
      <c r="AH621" s="29" t="s">
        <v>1306</v>
      </c>
      <c r="AI621" s="36">
        <f>IF(OR(AND(K621&lt;32, J621&lt;2), O621=1, P621=1, Q621=1, R621=1, S621=1, T621=1, U621=1, AND(W621&lt;&gt;"", W621&lt;&gt;"Oxygen", W621&lt;&gt;"LowFlow")), "Intensive", "Intermediate")</f>
      </c>
      <c r="AJ621" s="37">
        <f>IF(OR(LEFT(AH621, 1)="X", LEFT(AH621, 1)="Y", LEFT(AH621, 3)="J41M"), "CUSM", "No Match")</f>
      </c>
      <c r="AK621" s="37">
        <f>IF(AND(OR(O621=3, P621=1, Q621=1, T621=1), AJ621="no Match"), "CUSM, CHU SJ, CHUQ", "")</f>
      </c>
      <c r="AL621" s="37">
        <f>IF(AND(O621=2, ISBLANK(P621), ISBLANK(Q621), ISBLANK(R621), ISBLANK(S621), ISBLANK(T621)), "CUSM, CHU SJ, CHUS, CHUQ", "")</f>
      </c>
      <c r="AM621" s="37">
        <f>IF(AND(AJ621="no match", AK621="", AL621="", K621&lt;26), "CUSM, CHU SJ, HGJ, CHUQ, CHUS", "")</f>
      </c>
      <c r="AN621" s="37">
        <f>IF(AND(AJ621="no match", AK621="", AL621="", K621&gt;26), "CUSM, CHU SJ, HGJ, CHUQ, CHUS, HMR", "")</f>
      </c>
    </row>
    <row x14ac:dyDescent="0.25" r="622" customHeight="1" ht="17.25">
      <c r="A622" s="41" t="s">
        <v>1307</v>
      </c>
      <c r="B622" s="28">
        <v>2</v>
      </c>
      <c r="C622" s="35">
        <v>832</v>
      </c>
      <c r="D622" s="29" t="s">
        <v>308</v>
      </c>
      <c r="E622" s="30" t="s">
        <v>50</v>
      </c>
      <c r="F622" s="31">
        <v>44892</v>
      </c>
      <c r="G622" s="32">
        <v>4.659722222222222</v>
      </c>
      <c r="H622" s="31">
        <v>44892</v>
      </c>
      <c r="I622" s="32">
        <v>4.411111111111111</v>
      </c>
      <c r="J622" s="33">
        <f>F622-H622</f>
      </c>
      <c r="K622" s="28">
        <v>38</v>
      </c>
      <c r="L622" s="28">
        <v>0</v>
      </c>
      <c r="M622" s="28">
        <v>1</v>
      </c>
      <c r="N622" s="35">
        <v>1</v>
      </c>
      <c r="O622" s="34"/>
      <c r="P622" s="35">
        <v>1</v>
      </c>
      <c r="Q622" s="34"/>
      <c r="R622" s="34"/>
      <c r="S622" s="34"/>
      <c r="T622" s="34"/>
      <c r="U622" s="35">
        <v>1</v>
      </c>
      <c r="V622" s="35">
        <v>1</v>
      </c>
      <c r="W622" s="29" t="s">
        <v>74</v>
      </c>
      <c r="X622" s="28">
        <v>29</v>
      </c>
      <c r="Y622" s="28">
        <v>1</v>
      </c>
      <c r="Z622" s="28">
        <v>2</v>
      </c>
      <c r="AA622" s="28">
        <v>2</v>
      </c>
      <c r="AB622" s="28">
        <v>1</v>
      </c>
      <c r="AC622" s="28">
        <v>2</v>
      </c>
      <c r="AD622" s="28">
        <v>2</v>
      </c>
      <c r="AE622" s="28">
        <v>2</v>
      </c>
      <c r="AF622" s="28">
        <v>3</v>
      </c>
      <c r="AG622" s="28">
        <v>2</v>
      </c>
      <c r="AH622" s="29" t="s">
        <v>1308</v>
      </c>
      <c r="AI622" s="36">
        <f>IF(OR(AND(K622&lt;32, J622&lt;2), O622=1, P622=1, Q622=1, R622=1, S622=1, T622=1, U622=1, AND(W622&lt;&gt;"", W622&lt;&gt;"Oxygen", W622&lt;&gt;"LowFlow")), "Intensive", "Intermediate")</f>
      </c>
      <c r="AJ622" s="37">
        <f>IF(OR(LEFT(AH622, 1)="X", LEFT(AH622, 1)="Y", LEFT(AH622, 3)="J42M"), "CUSM", "No Match")</f>
      </c>
      <c r="AK622" s="37">
        <f>IF(AND(OR(O622=3, P622=1, Q622=1, T622=1), AJ622="no Match"), "CUSM, CHU SJ, CHUQ", "")</f>
      </c>
      <c r="AL622" s="37">
        <f>IF(AND(O622=2, ISBLANK(P622), ISBLANK(Q622), ISBLANK(R622), ISBLANK(S622), ISBLANK(T622)), "CUSM, CHU SJ, CHUS, CHUQ", "")</f>
      </c>
      <c r="AM622" s="37">
        <f>IF(AND(AJ622="no match", AK622="", AL622="", K622&lt;26), "CUSM, CHU SJ, HGJ, CHUQ, CHUS", "")</f>
      </c>
      <c r="AN622" s="37">
        <f>IF(AND(AJ622="no match", AK622="", AL622="", K622&gt;26), "CUSM, CHU SJ, HGJ, CHUQ, CHUS, HMR", "")</f>
      </c>
    </row>
    <row x14ac:dyDescent="0.25" r="623" customHeight="1" ht="17.25">
      <c r="A623" s="41" t="s">
        <v>1309</v>
      </c>
      <c r="B623" s="28">
        <v>2</v>
      </c>
      <c r="C623" s="35">
        <v>756</v>
      </c>
      <c r="D623" s="29" t="s">
        <v>66</v>
      </c>
      <c r="E623" s="30" t="s">
        <v>50</v>
      </c>
      <c r="F623" s="31">
        <v>44893</v>
      </c>
      <c r="G623" s="32">
        <v>4.517361111111111</v>
      </c>
      <c r="H623" s="31">
        <v>44893</v>
      </c>
      <c r="I623" s="32">
        <v>4.038194444444445</v>
      </c>
      <c r="J623" s="33">
        <f>F623-H623</f>
      </c>
      <c r="K623" s="28">
        <v>35</v>
      </c>
      <c r="L623" s="28">
        <v>0</v>
      </c>
      <c r="M623" s="28">
        <v>2</v>
      </c>
      <c r="N623" s="28">
        <v>1</v>
      </c>
      <c r="O623" s="28">
        <v>2</v>
      </c>
      <c r="P623" s="38"/>
      <c r="Q623" s="35">
        <v>1</v>
      </c>
      <c r="R623" s="34"/>
      <c r="S623" s="34"/>
      <c r="T623" s="34"/>
      <c r="U623" s="34"/>
      <c r="V623" s="34"/>
      <c r="W623" s="29"/>
      <c r="X623" s="28">
        <v>38</v>
      </c>
      <c r="Y623" s="28">
        <v>1</v>
      </c>
      <c r="Z623" s="28">
        <v>1</v>
      </c>
      <c r="AA623" s="28">
        <v>1</v>
      </c>
      <c r="AB623" s="28">
        <v>1</v>
      </c>
      <c r="AC623" s="28">
        <v>1</v>
      </c>
      <c r="AD623" s="28">
        <v>2</v>
      </c>
      <c r="AE623" s="28">
        <v>4</v>
      </c>
      <c r="AF623" s="28">
        <v>3</v>
      </c>
      <c r="AG623" s="28">
        <v>2</v>
      </c>
      <c r="AH623" s="29" t="s">
        <v>1310</v>
      </c>
      <c r="AI623" s="36">
        <f>IF(OR(AND(K623&lt;32, J623&lt;2), O623=1, P623=1, Q623=1, R623=1, S623=1, T623=1, U623=1, AND(W623&lt;&gt;"", W623&lt;&gt;"Oxygen", W623&lt;&gt;"LowFlow")), "Intensive", "Intermediate")</f>
      </c>
      <c r="AJ623" s="37">
        <f>IF(OR(LEFT(AH623, 1)="X", LEFT(AH623, 1)="Y", LEFT(AH623, 3)="J43M"), "CUSM", "No Match")</f>
      </c>
      <c r="AK623" s="37">
        <f>IF(AND(OR(O623=3, P623=1, Q623=1, T623=1), AJ623="no Match"), "CUSM, CHU SJ, CHUQ", "")</f>
      </c>
      <c r="AL623" s="37">
        <f>IF(AND(O623=2, ISBLANK(P623), ISBLANK(Q623), ISBLANK(R623), ISBLANK(S623), ISBLANK(T623)), "CUSM, CHU SJ, CHUS, CHUQ", "")</f>
      </c>
      <c r="AM623" s="37">
        <f>IF(AND(AJ623="no match", AK623="", AL623="", K623&lt;26), "CUSM, CHU SJ, HGJ, CHUQ, CHUS", "")</f>
      </c>
      <c r="AN623" s="37">
        <f>IF(AND(AJ623="no match", AK623="", AL623="", K623&gt;26), "CUSM, CHU SJ, HGJ, CHUQ, CHUS, HMR", "")</f>
      </c>
    </row>
    <row x14ac:dyDescent="0.25" r="624" customHeight="1" ht="17.25">
      <c r="A624" s="41" t="s">
        <v>1311</v>
      </c>
      <c r="B624" s="28">
        <v>2</v>
      </c>
      <c r="C624" s="35">
        <v>831</v>
      </c>
      <c r="D624" s="29" t="s">
        <v>313</v>
      </c>
      <c r="E624" s="30" t="s">
        <v>54</v>
      </c>
      <c r="F624" s="31">
        <v>44894</v>
      </c>
      <c r="G624" s="32">
        <v>4.791666666666666</v>
      </c>
      <c r="H624" s="31">
        <v>44892</v>
      </c>
      <c r="I624" s="32">
        <v>4.10625</v>
      </c>
      <c r="J624" s="33">
        <f>F624-H624</f>
      </c>
      <c r="K624" s="28">
        <v>40</v>
      </c>
      <c r="L624" s="28">
        <v>2</v>
      </c>
      <c r="M624" s="28">
        <v>1</v>
      </c>
      <c r="N624" s="34"/>
      <c r="O624" s="35">
        <v>2</v>
      </c>
      <c r="P624" s="35">
        <v>1</v>
      </c>
      <c r="Q624" s="34"/>
      <c r="R624" s="34"/>
      <c r="S624" s="34"/>
      <c r="T624" s="34"/>
      <c r="U624" s="34"/>
      <c r="V624" s="34"/>
      <c r="W624" s="29"/>
      <c r="X624" s="28">
        <v>38</v>
      </c>
      <c r="Y624" s="28">
        <v>1</v>
      </c>
      <c r="Z624" s="28">
        <v>1</v>
      </c>
      <c r="AA624" s="28">
        <v>2</v>
      </c>
      <c r="AB624" s="28">
        <v>1</v>
      </c>
      <c r="AC624" s="28">
        <v>2</v>
      </c>
      <c r="AD624" s="28">
        <v>2</v>
      </c>
      <c r="AE624" s="28">
        <v>4</v>
      </c>
      <c r="AF624" s="28">
        <v>2</v>
      </c>
      <c r="AG624" s="28">
        <v>2</v>
      </c>
      <c r="AH624" s="29" t="s">
        <v>1312</v>
      </c>
      <c r="AI624" s="36">
        <f>IF(OR(AND(K624&lt;32, J624&lt;2), O624=1, P624=1, Q624=1, R624=1, S624=1, T624=1, U624=1, AND(W624&lt;&gt;"", W624&lt;&gt;"Oxygen", W624&lt;&gt;"LowFlow")), "Intensive", "Intermediate")</f>
      </c>
      <c r="AJ624" s="37">
        <f>IF(OR(LEFT(AH624, 1)="X", LEFT(AH624, 1)="Y", LEFT(AH624, 3)="J44M"), "CUSM", "No Match")</f>
      </c>
      <c r="AK624" s="37">
        <f>IF(AND(OR(O624=3, P624=1, Q624=1, T624=1), AJ624="no Match"), "CUSM, CHU SJ, CHUQ", "")</f>
      </c>
      <c r="AL624" s="37">
        <f>IF(AND(O624=2, ISBLANK(P624), ISBLANK(Q624), ISBLANK(R624), ISBLANK(S624), ISBLANK(T624)), "CUSM, CHU SJ, CHUS, CHUQ", "")</f>
      </c>
      <c r="AM624" s="37">
        <f>IF(AND(AJ624="no match", AK624="", AL624="", K624&lt;26), "CUSM, CHU SJ, HGJ, CHUQ, CHUS", "")</f>
      </c>
      <c r="AN624" s="37">
        <f>IF(AND(AJ624="no match", AK624="", AL624="", K624&gt;26), "CUSM, CHU SJ, HGJ, CHUQ, CHUS, HMR", "")</f>
      </c>
    </row>
    <row x14ac:dyDescent="0.25" r="625" customHeight="1" ht="17.25">
      <c r="A625" s="41" t="s">
        <v>1313</v>
      </c>
      <c r="B625" s="28">
        <v>2</v>
      </c>
      <c r="C625" s="28">
        <v>822</v>
      </c>
      <c r="D625" s="29" t="s">
        <v>167</v>
      </c>
      <c r="E625" s="30" t="s">
        <v>54</v>
      </c>
      <c r="F625" s="31">
        <v>44894</v>
      </c>
      <c r="G625" s="32">
        <v>4.5625</v>
      </c>
      <c r="H625" s="31">
        <v>44894</v>
      </c>
      <c r="I625" s="32">
        <v>4.238194444444444</v>
      </c>
      <c r="J625" s="33">
        <f>F625-H625</f>
      </c>
      <c r="K625" s="28">
        <v>37</v>
      </c>
      <c r="L625" s="28">
        <v>4</v>
      </c>
      <c r="M625" s="28">
        <v>1</v>
      </c>
      <c r="N625" s="28">
        <v>1</v>
      </c>
      <c r="O625" s="34"/>
      <c r="P625" s="35">
        <v>1</v>
      </c>
      <c r="Q625" s="34"/>
      <c r="R625" s="34"/>
      <c r="S625" s="34"/>
      <c r="T625" s="34"/>
      <c r="U625" s="34"/>
      <c r="V625" s="34"/>
      <c r="W625" s="29" t="s">
        <v>70</v>
      </c>
      <c r="X625" s="28">
        <v>26</v>
      </c>
      <c r="Y625" s="28">
        <v>1</v>
      </c>
      <c r="Z625" s="28">
        <v>1</v>
      </c>
      <c r="AA625" s="28">
        <v>2</v>
      </c>
      <c r="AB625" s="28">
        <v>1</v>
      </c>
      <c r="AC625" s="28">
        <v>2</v>
      </c>
      <c r="AD625" s="28">
        <v>1</v>
      </c>
      <c r="AE625" s="28">
        <v>4</v>
      </c>
      <c r="AF625" s="28">
        <v>2</v>
      </c>
      <c r="AG625" s="28">
        <v>2</v>
      </c>
      <c r="AH625" s="29" t="s">
        <v>1314</v>
      </c>
      <c r="AI625" s="36">
        <f>IF(OR(AND(K625&lt;32, J625&lt;2), O625=1, P625=1, Q625=1, R625=1, S625=1, T625=1, U625=1, AND(W625&lt;&gt;"", W625&lt;&gt;"Oxygen", W625&lt;&gt;"LowFlow")), "Intensive", "Intermediate")</f>
      </c>
      <c r="AJ625" s="37">
        <f>IF(OR(LEFT(AH625, 1)="X", LEFT(AH625, 1)="Y", LEFT(AH625, 3)="J45M"), "CUSM", "No Match")</f>
      </c>
      <c r="AK625" s="37">
        <f>IF(AND(OR(O625=3, P625=1, Q625=1, T625=1), AJ625="no Match"), "CUSM, CHU SJ, CHUQ", "")</f>
      </c>
      <c r="AL625" s="37">
        <f>IF(AND(O625=2, ISBLANK(P625), ISBLANK(Q625), ISBLANK(R625), ISBLANK(S625), ISBLANK(T625)), "CUSM, CHU SJ, CHUS, CHUQ", "")</f>
      </c>
      <c r="AM625" s="37">
        <f>IF(AND(AJ625="no match", AK625="", AL625="", K625&lt;26), "CUSM, CHU SJ, HGJ, CHUQ, CHUS", "")</f>
      </c>
      <c r="AN625" s="37">
        <f>IF(AND(AJ625="no match", AK625="", AL625="", K625&gt;26), "CUSM, CHU SJ, HGJ, CHUQ, CHUS, HMR", "")</f>
      </c>
    </row>
    <row x14ac:dyDescent="0.25" r="626" customHeight="1" ht="17.25">
      <c r="A626" s="41" t="s">
        <v>1315</v>
      </c>
      <c r="B626" s="28">
        <v>2</v>
      </c>
      <c r="C626" s="28">
        <v>839</v>
      </c>
      <c r="D626" s="29" t="s">
        <v>53</v>
      </c>
      <c r="E626" s="30" t="s">
        <v>78</v>
      </c>
      <c r="F626" s="31">
        <v>44894</v>
      </c>
      <c r="G626" s="32">
        <v>4.625</v>
      </c>
      <c r="H626" s="31">
        <v>44894</v>
      </c>
      <c r="I626" s="32">
        <v>4.472916666666666</v>
      </c>
      <c r="J626" s="33">
        <f>F626-H626</f>
      </c>
      <c r="K626" s="28">
        <v>30</v>
      </c>
      <c r="L626" s="28">
        <v>0</v>
      </c>
      <c r="M626" s="28">
        <v>2</v>
      </c>
      <c r="N626" s="38"/>
      <c r="O626" s="38"/>
      <c r="P626" s="38"/>
      <c r="Q626" s="34"/>
      <c r="R626" s="34"/>
      <c r="S626" s="34"/>
      <c r="T626" s="34"/>
      <c r="U626" s="34"/>
      <c r="V626" s="34"/>
      <c r="W626" s="29" t="s">
        <v>58</v>
      </c>
      <c r="X626" s="28">
        <v>37</v>
      </c>
      <c r="Y626" s="28">
        <v>1</v>
      </c>
      <c r="Z626" s="28">
        <v>1</v>
      </c>
      <c r="AA626" s="28">
        <v>1</v>
      </c>
      <c r="AB626" s="28">
        <v>1</v>
      </c>
      <c r="AC626" s="28">
        <v>2</v>
      </c>
      <c r="AD626" s="28">
        <v>2</v>
      </c>
      <c r="AE626" s="28">
        <v>4</v>
      </c>
      <c r="AF626" s="28">
        <v>2</v>
      </c>
      <c r="AG626" s="28">
        <v>2</v>
      </c>
      <c r="AH626" s="29" t="s">
        <v>1316</v>
      </c>
      <c r="AI626" s="36">
        <f>IF(OR(AND(K626&lt;32, J626&lt;2), O626=1, P626=1, Q626=1, R626=1, S626=1, T626=1, U626=1, AND(W626&lt;&gt;"", W626&lt;&gt;"Oxygen", W626&lt;&gt;"LowFlow")), "Intensive", "Intermediate")</f>
      </c>
      <c r="AJ626" s="37">
        <f>IF(OR(LEFT(AH626, 1)="X", LEFT(AH626, 1)="Y", LEFT(AH626, 3)="J46M"), "CUSM", "No Match")</f>
      </c>
      <c r="AK626" s="37">
        <f>IF(AND(OR(O626=3, P626=1, Q626=1, T626=1), AJ626="no Match"), "CUSM, CHU SJ, CHUQ", "")</f>
      </c>
      <c r="AL626" s="37">
        <f>IF(AND(O626=2, ISBLANK(P626), ISBLANK(Q626), ISBLANK(R626), ISBLANK(S626), ISBLANK(T626)), "CUSM, CHU SJ, CHUS, CHUQ", "")</f>
      </c>
      <c r="AM626" s="37">
        <f>IF(AND(AJ626="no match", AK626="", AL626="", K626&lt;26), "CUSM, CHU SJ, HGJ, CHUQ, CHUS", "")</f>
      </c>
      <c r="AN626" s="37">
        <f>IF(AND(AJ626="no match", AK626="", AL626="", K626&gt;26), "CUSM, CHU SJ, HGJ, CHUQ, CHUS, HMR", "")</f>
      </c>
    </row>
    <row x14ac:dyDescent="0.25" r="627" customHeight="1" ht="17.25">
      <c r="A627" s="41" t="s">
        <v>1317</v>
      </c>
      <c r="B627" s="28">
        <v>2</v>
      </c>
      <c r="C627" s="35">
        <v>806</v>
      </c>
      <c r="D627" s="29" t="s">
        <v>438</v>
      </c>
      <c r="E627" s="30" t="s">
        <v>50</v>
      </c>
      <c r="F627" s="31">
        <v>44894</v>
      </c>
      <c r="G627" s="32">
        <v>4.815972222222222</v>
      </c>
      <c r="H627" s="31">
        <v>44894</v>
      </c>
      <c r="I627" s="32">
        <v>4.3590277777777775</v>
      </c>
      <c r="J627" s="33">
        <f>F627-H627</f>
      </c>
      <c r="K627" s="28">
        <v>39</v>
      </c>
      <c r="L627" s="28">
        <v>0</v>
      </c>
      <c r="M627" s="28">
        <v>1</v>
      </c>
      <c r="N627" s="34"/>
      <c r="O627" s="34"/>
      <c r="P627" s="34"/>
      <c r="Q627" s="34"/>
      <c r="R627" s="34"/>
      <c r="S627" s="34"/>
      <c r="T627" s="34"/>
      <c r="U627" s="34"/>
      <c r="V627" s="34"/>
      <c r="W627" s="29" t="s">
        <v>58</v>
      </c>
      <c r="X627" s="28">
        <v>36</v>
      </c>
      <c r="Y627" s="28">
        <v>1</v>
      </c>
      <c r="Z627" s="28">
        <v>2</v>
      </c>
      <c r="AA627" s="28">
        <v>2</v>
      </c>
      <c r="AB627" s="28">
        <v>1</v>
      </c>
      <c r="AC627" s="28">
        <v>2</v>
      </c>
      <c r="AD627" s="28">
        <v>2</v>
      </c>
      <c r="AE627" s="28">
        <v>4</v>
      </c>
      <c r="AF627" s="28">
        <v>2</v>
      </c>
      <c r="AG627" s="28">
        <v>2</v>
      </c>
      <c r="AH627" s="29" t="s">
        <v>1318</v>
      </c>
      <c r="AI627" s="36">
        <f>IF(OR(AND(K627&lt;32, J627&lt;2), O627=1, P627=1, Q627=1, R627=1, S627=1, T627=1, U627=1, AND(W627&lt;&gt;"", W627&lt;&gt;"Oxygen", W627&lt;&gt;"LowFlow")), "Intensive", "Intermediate")</f>
      </c>
      <c r="AJ627" s="37">
        <f>IF(OR(LEFT(AH627, 1)="X", LEFT(AH627, 1)="Y", LEFT(AH627, 3)="J47M"), "CUSM", "No Match")</f>
      </c>
      <c r="AK627" s="37">
        <f>IF(AND(OR(O627=3, P627=1, Q627=1, T627=1), AJ627="no Match"), "CUSM, CHU SJ, CHUQ", "")</f>
      </c>
      <c r="AL627" s="37">
        <f>IF(AND(O627=2, ISBLANK(P627), ISBLANK(Q627), ISBLANK(R627), ISBLANK(S627), ISBLANK(T627)), "CUSM, CHU SJ, CHUS, CHUQ", "")</f>
      </c>
      <c r="AM627" s="37">
        <f>IF(AND(AJ627="no match", AK627="", AL627="", K627&lt;26), "CUSM, CHU SJ, HGJ, CHUQ, CHUS", "")</f>
      </c>
      <c r="AN627" s="37">
        <f>IF(AND(AJ627="no match", AK627="", AL627="", K627&gt;26), "CUSM, CHU SJ, HGJ, CHUQ, CHUS, HMR", "")</f>
      </c>
    </row>
    <row x14ac:dyDescent="0.25" r="628" customHeight="1" ht="17.25">
      <c r="A628" s="41" t="s">
        <v>1319</v>
      </c>
      <c r="B628" s="28">
        <v>2</v>
      </c>
      <c r="C628" s="35">
        <v>782</v>
      </c>
      <c r="D628" s="29" t="s">
        <v>95</v>
      </c>
      <c r="E628" s="30" t="s">
        <v>50</v>
      </c>
      <c r="F628" s="31">
        <v>44894</v>
      </c>
      <c r="G628" s="32">
        <v>4.354166666666666</v>
      </c>
      <c r="H628" s="31">
        <v>44894</v>
      </c>
      <c r="I628" s="32">
        <v>4.154166666666667</v>
      </c>
      <c r="J628" s="33">
        <f>F628-H628</f>
      </c>
      <c r="K628" s="28">
        <v>40</v>
      </c>
      <c r="L628" s="28">
        <v>0</v>
      </c>
      <c r="M628" s="28">
        <v>1</v>
      </c>
      <c r="N628" s="34"/>
      <c r="O628" s="34"/>
      <c r="P628" s="34"/>
      <c r="Q628" s="34"/>
      <c r="R628" s="34"/>
      <c r="S628" s="34"/>
      <c r="T628" s="35">
        <v>1</v>
      </c>
      <c r="U628" s="34"/>
      <c r="V628" s="34"/>
      <c r="W628" s="29"/>
      <c r="X628" s="28">
        <v>27</v>
      </c>
      <c r="Y628" s="28">
        <v>1</v>
      </c>
      <c r="Z628" s="28">
        <v>1</v>
      </c>
      <c r="AA628" s="28">
        <v>2</v>
      </c>
      <c r="AB628" s="28">
        <v>1</v>
      </c>
      <c r="AC628" s="28">
        <v>2</v>
      </c>
      <c r="AD628" s="28">
        <v>2</v>
      </c>
      <c r="AE628" s="28">
        <v>4</v>
      </c>
      <c r="AF628" s="28">
        <v>3</v>
      </c>
      <c r="AG628" s="28">
        <v>2</v>
      </c>
      <c r="AH628" s="29" t="s">
        <v>1320</v>
      </c>
      <c r="AI628" s="36">
        <f>IF(OR(AND(K628&lt;32, J628&lt;2), O628=1, P628=1, Q628=1, R628=1, S628=1, T628=1, U628=1, AND(W628&lt;&gt;"", W628&lt;&gt;"Oxygen", W628&lt;&gt;"LowFlow")), "Intensive", "Intermediate")</f>
      </c>
      <c r="AJ628" s="37">
        <f>IF(OR(LEFT(AH628, 1)="X", LEFT(AH628, 1)="Y", LEFT(AH628, 3)="J48M"), "CUSM", "No Match")</f>
      </c>
      <c r="AK628" s="37">
        <f>IF(AND(OR(O628=3, P628=1, Q628=1, T628=1), AJ628="no Match"), "CUSM, CHU SJ, CHUQ", "")</f>
      </c>
      <c r="AL628" s="37">
        <f>IF(AND(O628=2, ISBLANK(P628), ISBLANK(Q628), ISBLANK(R628), ISBLANK(S628), ISBLANK(T628)), "CUSM, CHU SJ, CHUS, CHUQ", "")</f>
      </c>
      <c r="AM628" s="37">
        <f>IF(AND(AJ628="no match", AK628="", AL628="", K628&lt;26), "CUSM, CHU SJ, HGJ, CHUQ, CHUS", "")</f>
      </c>
      <c r="AN628" s="37">
        <f>IF(AND(AJ628="no match", AK628="", AL628="", K628&gt;26), "CUSM, CHU SJ, HGJ, CHUQ, CHUS, HMR", "")</f>
      </c>
    </row>
    <row x14ac:dyDescent="0.25" r="629" customHeight="1" ht="17.25">
      <c r="A629" s="41" t="s">
        <v>1321</v>
      </c>
      <c r="B629" s="28">
        <v>2</v>
      </c>
      <c r="C629" s="35">
        <v>820</v>
      </c>
      <c r="D629" s="29" t="s">
        <v>69</v>
      </c>
      <c r="E629" s="30" t="s">
        <v>54</v>
      </c>
      <c r="F629" s="31">
        <v>44895</v>
      </c>
      <c r="G629" s="32">
        <v>4.749305555555555</v>
      </c>
      <c r="H629" s="31">
        <v>44893</v>
      </c>
      <c r="I629" s="32">
        <v>4.853472222222223</v>
      </c>
      <c r="J629" s="33">
        <f>F629-H629</f>
      </c>
      <c r="K629" s="28">
        <v>40</v>
      </c>
      <c r="L629" s="28">
        <v>0</v>
      </c>
      <c r="M629" s="28">
        <v>2</v>
      </c>
      <c r="N629" s="34"/>
      <c r="O629" s="34"/>
      <c r="P629" s="34"/>
      <c r="Q629" s="34"/>
      <c r="R629" s="34"/>
      <c r="S629" s="34"/>
      <c r="T629" s="34"/>
      <c r="U629" s="34"/>
      <c r="V629" s="34"/>
      <c r="W629" s="29"/>
      <c r="X629" s="28">
        <v>37</v>
      </c>
      <c r="Y629" s="28">
        <v>1</v>
      </c>
      <c r="Z629" s="28">
        <v>2</v>
      </c>
      <c r="AA629" s="28">
        <v>2</v>
      </c>
      <c r="AB629" s="28">
        <v>1</v>
      </c>
      <c r="AC629" s="28">
        <v>1</v>
      </c>
      <c r="AD629" s="28">
        <v>2</v>
      </c>
      <c r="AE629" s="28">
        <v>4</v>
      </c>
      <c r="AF629" s="28">
        <v>2</v>
      </c>
      <c r="AG629" s="28">
        <v>2</v>
      </c>
      <c r="AH629" s="29" t="s">
        <v>1322</v>
      </c>
      <c r="AI629" s="36">
        <f>IF(OR(AND(K629&lt;32, J629&lt;2), O629=1, P629=1, Q629=1, R629=1, S629=1, T629=1, U629=1, AND(W629&lt;&gt;"", W629&lt;&gt;"Oxygen", W629&lt;&gt;"LowFlow")), "Intensive", "Intermediate")</f>
      </c>
      <c r="AJ629" s="37">
        <f>IF(OR(LEFT(AH629, 1)="X", LEFT(AH629, 1)="Y", LEFT(AH629, 3)="J49M"), "CUSM", "No Match")</f>
      </c>
      <c r="AK629" s="37">
        <f>IF(AND(OR(O629=3, P629=1, Q629=1, T629=1), AJ629="no Match"), "CUSM, CHU SJ, CHUQ", "")</f>
      </c>
      <c r="AL629" s="37">
        <f>IF(AND(O629=2, ISBLANK(P629), ISBLANK(Q629), ISBLANK(R629), ISBLANK(S629), ISBLANK(T629)), "CUSM, CHU SJ, CHUS, CHUQ", "")</f>
      </c>
      <c r="AM629" s="37">
        <f>IF(AND(AJ629="no match", AK629="", AL629="", K629&lt;26), "CUSM, CHU SJ, HGJ, CHUQ, CHUS", "")</f>
      </c>
      <c r="AN629" s="37">
        <f>IF(AND(AJ629="no match", AK629="", AL629="", K629&gt;26), "CUSM, CHU SJ, HGJ, CHUQ, CHUS, HMR", "")</f>
      </c>
    </row>
    <row x14ac:dyDescent="0.25" r="630" customHeight="1" ht="17.25">
      <c r="A630" s="41" t="s">
        <v>1323</v>
      </c>
      <c r="B630" s="28">
        <v>2</v>
      </c>
      <c r="C630" s="35">
        <v>825</v>
      </c>
      <c r="D630" s="29" t="s">
        <v>77</v>
      </c>
      <c r="E630" s="30" t="s">
        <v>50</v>
      </c>
      <c r="F630" s="31">
        <v>44895</v>
      </c>
      <c r="G630" s="32">
        <v>4.958333333333334</v>
      </c>
      <c r="H630" s="31">
        <v>44895</v>
      </c>
      <c r="I630" s="32">
        <v>4.8375</v>
      </c>
      <c r="J630" s="33">
        <f>F630-H630</f>
      </c>
      <c r="K630" s="28">
        <v>38</v>
      </c>
      <c r="L630" s="28">
        <v>1</v>
      </c>
      <c r="M630" s="28">
        <v>1</v>
      </c>
      <c r="N630" s="34"/>
      <c r="O630" s="34"/>
      <c r="P630" s="34"/>
      <c r="Q630" s="34"/>
      <c r="R630" s="34"/>
      <c r="S630" s="34"/>
      <c r="T630" s="34"/>
      <c r="U630" s="34"/>
      <c r="V630" s="34"/>
      <c r="W630" s="29" t="s">
        <v>58</v>
      </c>
      <c r="X630" s="28">
        <v>33</v>
      </c>
      <c r="Y630" s="28">
        <v>1</v>
      </c>
      <c r="Z630" s="28">
        <v>1</v>
      </c>
      <c r="AA630" s="28">
        <v>1</v>
      </c>
      <c r="AB630" s="28">
        <v>1</v>
      </c>
      <c r="AC630" s="28">
        <v>2</v>
      </c>
      <c r="AD630" s="28">
        <v>2</v>
      </c>
      <c r="AE630" s="28">
        <v>4</v>
      </c>
      <c r="AF630" s="28">
        <v>3</v>
      </c>
      <c r="AG630" s="28">
        <v>2</v>
      </c>
      <c r="AH630" s="29" t="s">
        <v>1176</v>
      </c>
      <c r="AI630" s="36">
        <f>IF(OR(AND(K630&lt;32, J630&lt;2), O630=1, P630=1, Q630=1, R630=1, S630=1, T630=1, U630=1, AND(W630&lt;&gt;"", W630&lt;&gt;"Oxygen", W630&lt;&gt;"LowFlow")), "Intensive", "Intermediate")</f>
      </c>
      <c r="AJ630" s="37">
        <f>IF(OR(LEFT(AH630, 1)="X", LEFT(AH630, 1)="Y", LEFT(AH630, 3)="J50M"), "CUSM", "No Match")</f>
      </c>
      <c r="AK630" s="37">
        <f>IF(AND(OR(O630=3, P630=1, Q630=1, T630=1), AJ630="no Match"), "CUSM, CHU SJ, CHUQ", "")</f>
      </c>
      <c r="AL630" s="37">
        <f>IF(AND(O630=2, ISBLANK(P630), ISBLANK(Q630), ISBLANK(R630), ISBLANK(S630), ISBLANK(T630)), "CUSM, CHU SJ, CHUS, CHUQ", "")</f>
      </c>
      <c r="AM630" s="37">
        <f>IF(AND(AJ630="no match", AK630="", AL630="", K630&lt;26), "CUSM, CHU SJ, HGJ, CHUQ, CHUS", "")</f>
      </c>
      <c r="AN630" s="37">
        <f>IF(AND(AJ630="no match", AK630="", AL630="", K630&gt;26), "CUSM, CHU SJ, HGJ, CHUQ, CHUS, HMR", "")</f>
      </c>
    </row>
    <row x14ac:dyDescent="0.25" r="631" customHeight="1" ht="17.25">
      <c r="A631" s="41" t="s">
        <v>1324</v>
      </c>
      <c r="B631" s="28">
        <v>2</v>
      </c>
      <c r="C631" s="35">
        <v>779</v>
      </c>
      <c r="D631" s="29" t="s">
        <v>136</v>
      </c>
      <c r="E631" s="30" t="s">
        <v>54</v>
      </c>
      <c r="F631" s="31">
        <v>44896</v>
      </c>
      <c r="G631" s="32">
        <v>4.878472222222222</v>
      </c>
      <c r="H631" s="31">
        <v>44893</v>
      </c>
      <c r="I631" s="32">
        <v>4.856944444444444</v>
      </c>
      <c r="J631" s="33">
        <f>F631-H631</f>
      </c>
      <c r="K631" s="28">
        <v>36</v>
      </c>
      <c r="L631" s="28">
        <v>0</v>
      </c>
      <c r="M631" s="28">
        <v>2</v>
      </c>
      <c r="N631" s="35">
        <v>1</v>
      </c>
      <c r="O631" s="34"/>
      <c r="P631" s="35">
        <v>1</v>
      </c>
      <c r="Q631" s="34"/>
      <c r="R631" s="34"/>
      <c r="S631" s="34"/>
      <c r="T631" s="34"/>
      <c r="U631" s="34"/>
      <c r="V631" s="34"/>
      <c r="W631" s="29"/>
      <c r="X631" s="28">
        <v>30</v>
      </c>
      <c r="Y631" s="28">
        <v>1</v>
      </c>
      <c r="Z631" s="28">
        <v>1</v>
      </c>
      <c r="AA631" s="28">
        <v>1</v>
      </c>
      <c r="AB631" s="28">
        <v>1</v>
      </c>
      <c r="AC631" s="28">
        <v>1</v>
      </c>
      <c r="AD631" s="28">
        <v>1</v>
      </c>
      <c r="AE631" s="28">
        <v>4</v>
      </c>
      <c r="AF631" s="28">
        <v>2</v>
      </c>
      <c r="AG631" s="28">
        <v>2</v>
      </c>
      <c r="AH631" s="29" t="s">
        <v>1325</v>
      </c>
      <c r="AI631" s="36">
        <f>IF(OR(AND(K631&lt;32, J631&lt;2), O631=1, P631=1, Q631=1, R631=1, S631=1, T631=1, U631=1, AND(W631&lt;&gt;"", W631&lt;&gt;"Oxygen", W631&lt;&gt;"LowFlow")), "Intensive", "Intermediate")</f>
      </c>
      <c r="AJ631" s="37">
        <f>IF(OR(LEFT(AH631, 1)="X", LEFT(AH631, 1)="Y", LEFT(AH631, 3)="J51M"), "CUSM", "No Match")</f>
      </c>
      <c r="AK631" s="37">
        <f>IF(AND(OR(O631=3, P631=1, Q631=1, T631=1), AJ631="no Match"), "CUSM, CHU SJ, CHUQ", "")</f>
      </c>
      <c r="AL631" s="37">
        <f>IF(AND(O631=2, ISBLANK(P631), ISBLANK(Q631), ISBLANK(R631), ISBLANK(S631), ISBLANK(T631)), "CUSM, CHU SJ, CHUS, CHUQ", "")</f>
      </c>
      <c r="AM631" s="37">
        <f>IF(AND(AJ631="no match", AK631="", AL631="", K631&lt;26), "CUSM, CHU SJ, HGJ, CHUQ, CHUS", "")</f>
      </c>
      <c r="AN631" s="37">
        <f>IF(AND(AJ631="no match", AK631="", AL631="", K631&gt;26), "CUSM, CHU SJ, HGJ, CHUQ, CHUS, HMR", "")</f>
      </c>
    </row>
    <row x14ac:dyDescent="0.25" r="632" customHeight="1" ht="17.25">
      <c r="A632" s="41" t="s">
        <v>1326</v>
      </c>
      <c r="B632" s="28">
        <v>2</v>
      </c>
      <c r="C632" s="35">
        <v>820</v>
      </c>
      <c r="D632" s="29" t="s">
        <v>69</v>
      </c>
      <c r="E632" s="30" t="s">
        <v>54</v>
      </c>
      <c r="F632" s="31">
        <v>44896</v>
      </c>
      <c r="G632" s="32">
        <v>4.6875</v>
      </c>
      <c r="H632" s="31">
        <v>44896</v>
      </c>
      <c r="I632" s="32">
        <v>4.465972222222222</v>
      </c>
      <c r="J632" s="33">
        <f>F632-H632</f>
      </c>
      <c r="K632" s="28">
        <v>24</v>
      </c>
      <c r="L632" s="28">
        <v>6</v>
      </c>
      <c r="M632" s="28">
        <v>2</v>
      </c>
      <c r="N632" s="28">
        <v>1</v>
      </c>
      <c r="O632" s="34"/>
      <c r="P632" s="35">
        <v>1</v>
      </c>
      <c r="Q632" s="34"/>
      <c r="R632" s="34"/>
      <c r="S632" s="34"/>
      <c r="T632" s="34"/>
      <c r="U632" s="34"/>
      <c r="V632" s="35">
        <v>1</v>
      </c>
      <c r="W632" s="29" t="s">
        <v>74</v>
      </c>
      <c r="X632" s="28">
        <v>33</v>
      </c>
      <c r="Y632" s="28">
        <v>1</v>
      </c>
      <c r="Z632" s="28">
        <v>2</v>
      </c>
      <c r="AA632" s="28">
        <v>3</v>
      </c>
      <c r="AB632" s="28">
        <v>1</v>
      </c>
      <c r="AC632" s="28">
        <v>2</v>
      </c>
      <c r="AD632" s="28">
        <v>2</v>
      </c>
      <c r="AE632" s="28">
        <v>4</v>
      </c>
      <c r="AF632" s="28">
        <v>2</v>
      </c>
      <c r="AG632" s="28">
        <v>2</v>
      </c>
      <c r="AH632" s="29" t="s">
        <v>1327</v>
      </c>
      <c r="AI632" s="36">
        <f>IF(OR(AND(K632&lt;32, J632&lt;2), O632=1, P632=1, Q632=1, R632=1, S632=1, T632=1, U632=1, AND(W632&lt;&gt;"", W632&lt;&gt;"Oxygen", W632&lt;&gt;"LowFlow")), "Intensive", "Intermediate")</f>
      </c>
      <c r="AJ632" s="37">
        <f>IF(OR(LEFT(AH632, 1)="X", LEFT(AH632, 1)="Y", LEFT(AH632, 3)="J52M"), "CUSM", "No Match")</f>
      </c>
      <c r="AK632" s="37">
        <f>IF(AND(OR(O632=3, P632=1, Q632=1, T632=1), AJ632="no Match"), "CUSM, CHU SJ, CHUQ", "")</f>
      </c>
      <c r="AL632" s="37">
        <f>IF(AND(O632=2, ISBLANK(P632), ISBLANK(Q632), ISBLANK(R632), ISBLANK(S632), ISBLANK(T632)), "CUSM, CHU SJ, CHUS, CHUQ", "")</f>
      </c>
      <c r="AM632" s="37">
        <f>IF(AND(AJ632="no match", AK632="", AL632="", K632&lt;26), "CUSM, CHU SJ, HGJ, CHUQ, CHUS", "")</f>
      </c>
      <c r="AN632" s="37">
        <f>IF(AND(AJ632="no match", AK632="", AL632="", K632&gt;26), "CUSM, CHU SJ, HGJ, CHUQ, CHUS, HMR", "")</f>
      </c>
    </row>
    <row x14ac:dyDescent="0.25" r="633" customHeight="1" ht="17.25">
      <c r="A633" s="41" t="s">
        <v>1328</v>
      </c>
      <c r="B633" s="28">
        <v>2</v>
      </c>
      <c r="C633" s="35">
        <v>831</v>
      </c>
      <c r="D633" s="29" t="s">
        <v>313</v>
      </c>
      <c r="E633" s="30" t="s">
        <v>78</v>
      </c>
      <c r="F633" s="31">
        <v>44896</v>
      </c>
      <c r="G633" s="32">
        <v>4.670138888888889</v>
      </c>
      <c r="H633" s="31">
        <v>44891</v>
      </c>
      <c r="I633" s="32">
        <v>4.763888888888889</v>
      </c>
      <c r="J633" s="33">
        <f>F633-H633</f>
      </c>
      <c r="K633" s="28">
        <v>37</v>
      </c>
      <c r="L633" s="28">
        <v>0</v>
      </c>
      <c r="M633" s="28">
        <v>2</v>
      </c>
      <c r="N633" s="34"/>
      <c r="O633" s="34"/>
      <c r="P633" s="34"/>
      <c r="Q633" s="34"/>
      <c r="R633" s="34"/>
      <c r="S633" s="34"/>
      <c r="T633" s="34"/>
      <c r="U633" s="34"/>
      <c r="V633" s="34"/>
      <c r="W633" s="29"/>
      <c r="X633" s="28">
        <v>27</v>
      </c>
      <c r="Y633" s="28">
        <v>1</v>
      </c>
      <c r="Z633" s="28">
        <v>1</v>
      </c>
      <c r="AA633" s="28">
        <v>2</v>
      </c>
      <c r="AB633" s="28">
        <v>4</v>
      </c>
      <c r="AC633" s="28">
        <v>2</v>
      </c>
      <c r="AD633" s="28">
        <v>1</v>
      </c>
      <c r="AE633" s="28">
        <v>4</v>
      </c>
      <c r="AF633" s="28">
        <v>2</v>
      </c>
      <c r="AG633" s="28">
        <v>2</v>
      </c>
      <c r="AH633" s="29" t="s">
        <v>1329</v>
      </c>
      <c r="AI633" s="36">
        <f>IF(OR(AND(K633&lt;32, J633&lt;2), O633=1, P633=1, Q633=1, R633=1, S633=1, T633=1, U633=1, AND(W633&lt;&gt;"", W633&lt;&gt;"Oxygen", W633&lt;&gt;"LowFlow")), "Intensive", "Intermediate")</f>
      </c>
      <c r="AJ633" s="37">
        <f>IF(OR(LEFT(AH633, 1)="X", LEFT(AH633, 1)="Y", LEFT(AH633, 3)="J53M"), "CUSM", "No Match")</f>
      </c>
      <c r="AK633" s="37">
        <f>IF(AND(OR(O633=3, P633=1, Q633=1, T633=1), AJ633="no Match"), "CUSM, CHU SJ, CHUQ", "")</f>
      </c>
      <c r="AL633" s="37">
        <f>IF(AND(O633=2, ISBLANK(P633), ISBLANK(Q633), ISBLANK(R633), ISBLANK(S633), ISBLANK(T633)), "CUSM, CHU SJ, CHUS, CHUQ", "")</f>
      </c>
      <c r="AM633" s="37">
        <f>IF(AND(AJ633="no match", AK633="", AL633="", K633&lt;26), "CUSM, CHU SJ, HGJ, CHUQ, CHUS", "")</f>
      </c>
      <c r="AN633" s="37">
        <f>IF(AND(AJ633="no match", AK633="", AL633="", K633&gt;26), "CUSM, CHU SJ, HGJ, CHUQ, CHUS, HMR", "")</f>
      </c>
    </row>
    <row x14ac:dyDescent="0.25" r="634" customHeight="1" ht="17.25">
      <c r="A634" s="41" t="s">
        <v>1330</v>
      </c>
      <c r="B634" s="28">
        <v>2</v>
      </c>
      <c r="C634" s="28">
        <v>817</v>
      </c>
      <c r="D634" s="29" t="s">
        <v>163</v>
      </c>
      <c r="E634" s="30" t="s">
        <v>54</v>
      </c>
      <c r="F634" s="31">
        <v>44897</v>
      </c>
      <c r="G634" s="32">
        <v>4.9375</v>
      </c>
      <c r="H634" s="31">
        <v>44897</v>
      </c>
      <c r="I634" s="32">
        <v>4.6715277777777775</v>
      </c>
      <c r="J634" s="33">
        <f>F634-H634</f>
      </c>
      <c r="K634" s="28">
        <v>38</v>
      </c>
      <c r="L634" s="28">
        <v>2</v>
      </c>
      <c r="M634" s="28">
        <v>2</v>
      </c>
      <c r="N634" s="35">
        <v>1</v>
      </c>
      <c r="O634" s="38"/>
      <c r="P634" s="35">
        <v>1</v>
      </c>
      <c r="Q634" s="34"/>
      <c r="R634" s="34"/>
      <c r="S634" s="34"/>
      <c r="T634" s="34"/>
      <c r="U634" s="34"/>
      <c r="V634" s="34"/>
      <c r="W634" s="29"/>
      <c r="X634" s="28">
        <v>25</v>
      </c>
      <c r="Y634" s="28">
        <v>1</v>
      </c>
      <c r="Z634" s="28">
        <v>1</v>
      </c>
      <c r="AA634" s="28">
        <v>2</v>
      </c>
      <c r="AB634" s="28">
        <v>1</v>
      </c>
      <c r="AC634" s="28">
        <v>1</v>
      </c>
      <c r="AD634" s="28">
        <v>2</v>
      </c>
      <c r="AE634" s="28">
        <v>4</v>
      </c>
      <c r="AF634" s="28">
        <v>2</v>
      </c>
      <c r="AG634" s="28">
        <v>2</v>
      </c>
      <c r="AH634" s="29" t="s">
        <v>705</v>
      </c>
      <c r="AI634" s="36">
        <f>IF(OR(AND(K634&lt;32, J634&lt;2), O634=1, P634=1, Q634=1, R634=1, S634=1, T634=1, U634=1, AND(W634&lt;&gt;"", W634&lt;&gt;"Oxygen", W634&lt;&gt;"LowFlow")), "Intensive", "Intermediate")</f>
      </c>
      <c r="AJ634" s="37">
        <f>IF(OR(LEFT(AH634, 1)="X", LEFT(AH634, 1)="Y", LEFT(AH634, 3)="J54M"), "CUSM", "No Match")</f>
      </c>
      <c r="AK634" s="37">
        <f>IF(AND(OR(O634=3, P634=1, Q634=1, T634=1), AJ634="no Match"), "CUSM, CHU SJ, CHUQ", "")</f>
      </c>
      <c r="AL634" s="37">
        <f>IF(AND(O634=2, ISBLANK(P634), ISBLANK(Q634), ISBLANK(R634), ISBLANK(S634), ISBLANK(T634)), "CUSM, CHU SJ, CHUS, CHUQ", "")</f>
      </c>
      <c r="AM634" s="37">
        <f>IF(AND(AJ634="no match", AK634="", AL634="", K634&lt;26), "CUSM, CHU SJ, HGJ, CHUQ, CHUS", "")</f>
      </c>
      <c r="AN634" s="37">
        <f>IF(AND(AJ634="no match", AK634="", AL634="", K634&gt;26), "CUSM, CHU SJ, HGJ, CHUQ, CHUS, HMR", "")</f>
      </c>
    </row>
    <row x14ac:dyDescent="0.25" r="635" customHeight="1" ht="17.25">
      <c r="A635" s="41" t="s">
        <v>1331</v>
      </c>
      <c r="B635" s="28">
        <v>2</v>
      </c>
      <c r="C635" s="35">
        <v>720</v>
      </c>
      <c r="D635" s="29" t="s">
        <v>626</v>
      </c>
      <c r="E635" s="30" t="s">
        <v>50</v>
      </c>
      <c r="F635" s="31">
        <v>44898</v>
      </c>
      <c r="G635" s="32">
        <v>4.319444444444445</v>
      </c>
      <c r="H635" s="31">
        <v>44894</v>
      </c>
      <c r="I635" s="32">
        <v>4.270833333333334</v>
      </c>
      <c r="J635" s="33">
        <f>F635-H635</f>
      </c>
      <c r="K635" s="28">
        <v>35</v>
      </c>
      <c r="L635" s="28">
        <v>5</v>
      </c>
      <c r="M635" s="28">
        <v>1</v>
      </c>
      <c r="N635" s="34"/>
      <c r="O635" s="34"/>
      <c r="P635" s="34"/>
      <c r="Q635" s="34"/>
      <c r="R635" s="34"/>
      <c r="S635" s="34"/>
      <c r="T635" s="34"/>
      <c r="U635" s="34"/>
      <c r="V635" s="34"/>
      <c r="W635" s="29"/>
      <c r="X635" s="28">
        <v>19</v>
      </c>
      <c r="Y635" s="28">
        <v>1</v>
      </c>
      <c r="Z635" s="28">
        <v>1</v>
      </c>
      <c r="AA635" s="28">
        <v>2</v>
      </c>
      <c r="AB635" s="28">
        <v>4</v>
      </c>
      <c r="AC635" s="28">
        <v>2</v>
      </c>
      <c r="AD635" s="28">
        <v>2</v>
      </c>
      <c r="AE635" s="28">
        <v>3</v>
      </c>
      <c r="AF635" s="35">
        <v>3</v>
      </c>
      <c r="AG635" s="28">
        <v>2</v>
      </c>
      <c r="AH635" s="29" t="s">
        <v>1332</v>
      </c>
      <c r="AI635" s="36">
        <f>IF(OR(AND(K635&lt;32, J635&lt;2), O635=1, P635=1, Q635=1, R635=1, S635=1, T635=1, U635=1, AND(W635&lt;&gt;"", W635&lt;&gt;"Oxygen", W635&lt;&gt;"LowFlow")), "Intensive", "Intermediate")</f>
      </c>
      <c r="AJ635" s="37">
        <f>IF(OR(LEFT(AH635, 1)="X", LEFT(AH635, 1)="Y", LEFT(AH635, 3)="J55M"), "CUSM", "No Match")</f>
      </c>
      <c r="AK635" s="37">
        <f>IF(AND(OR(O635=3, P635=1, Q635=1, T635=1), AJ635="no Match"), "CUSM, CHU SJ, CHUQ", "")</f>
      </c>
      <c r="AL635" s="37">
        <f>IF(AND(O635=2, ISBLANK(P635), ISBLANK(Q635), ISBLANK(R635), ISBLANK(S635), ISBLANK(T635)), "CUSM, CHU SJ, CHUS, CHUQ", "")</f>
      </c>
      <c r="AM635" s="37">
        <f>IF(AND(AJ635="no match", AK635="", AL635="", K635&lt;26), "CUSM, CHU SJ, HGJ, CHUQ, CHUS", "")</f>
      </c>
      <c r="AN635" s="37">
        <f>IF(AND(AJ635="no match", AK635="", AL635="", K635&gt;26), "CUSM, CHU SJ, HGJ, CHUQ, CHUS, HMR", "")</f>
      </c>
    </row>
    <row x14ac:dyDescent="0.25" r="636" customHeight="1" ht="17.25">
      <c r="A636" s="41" t="s">
        <v>1333</v>
      </c>
      <c r="B636" s="28">
        <v>2</v>
      </c>
      <c r="C636" s="35">
        <v>815</v>
      </c>
      <c r="D636" s="29" t="s">
        <v>100</v>
      </c>
      <c r="E636" s="30" t="s">
        <v>54</v>
      </c>
      <c r="F636" s="31">
        <v>44899</v>
      </c>
      <c r="G636" s="40">
        <v>4.791666666666666</v>
      </c>
      <c r="H636" s="31">
        <v>44898</v>
      </c>
      <c r="I636" s="32">
        <v>4.170138888888889</v>
      </c>
      <c r="J636" s="33">
        <f>F636-H636</f>
      </c>
      <c r="K636" s="28">
        <v>41</v>
      </c>
      <c r="L636" s="28">
        <v>1</v>
      </c>
      <c r="M636" s="28">
        <v>2</v>
      </c>
      <c r="N636" s="34"/>
      <c r="O636" s="34"/>
      <c r="P636" s="34"/>
      <c r="Q636" s="34"/>
      <c r="R636" s="34"/>
      <c r="S636" s="34"/>
      <c r="T636" s="34"/>
      <c r="U636" s="34"/>
      <c r="V636" s="34"/>
      <c r="W636" s="29"/>
      <c r="X636" s="28">
        <v>22</v>
      </c>
      <c r="Y636" s="28">
        <v>1</v>
      </c>
      <c r="Z636" s="28">
        <v>2</v>
      </c>
      <c r="AA636" s="28">
        <v>1</v>
      </c>
      <c r="AB636" s="28">
        <v>1</v>
      </c>
      <c r="AC636" s="28">
        <v>2</v>
      </c>
      <c r="AD636" s="28">
        <v>2</v>
      </c>
      <c r="AE636" s="28">
        <v>4</v>
      </c>
      <c r="AF636" s="28">
        <v>2</v>
      </c>
      <c r="AG636" s="28">
        <v>2</v>
      </c>
      <c r="AH636" s="29" t="s">
        <v>1334</v>
      </c>
      <c r="AI636" s="36">
        <f>IF(OR(AND(K636&lt;32, J636&lt;2), O636=1, P636=1, Q636=1, R636=1, S636=1, T636=1, U636=1, AND(W636&lt;&gt;"", W636&lt;&gt;"Oxygen", W636&lt;&gt;"LowFlow")), "Intensive", "Intermediate")</f>
      </c>
      <c r="AJ636" s="37">
        <f>IF(OR(LEFT(AH636, 1)="X", LEFT(AH636, 1)="Y", LEFT(AH636, 3)="J56M"), "CUSM", "No Match")</f>
      </c>
      <c r="AK636" s="37">
        <f>IF(AND(OR(O636=3, P636=1, Q636=1, T636=1), AJ636="no Match"), "CUSM, CHU SJ, CHUQ", "")</f>
      </c>
      <c r="AL636" s="37">
        <f>IF(AND(O636=2, ISBLANK(P636), ISBLANK(Q636), ISBLANK(R636), ISBLANK(S636), ISBLANK(T636)), "CUSM, CHU SJ, CHUS, CHUQ", "")</f>
      </c>
      <c r="AM636" s="37">
        <f>IF(AND(AJ636="no match", AK636="", AL636="", K636&lt;26), "CUSM, CHU SJ, HGJ, CHUQ, CHUS", "")</f>
      </c>
      <c r="AN636" s="37">
        <f>IF(AND(AJ636="no match", AK636="", AL636="", K636&gt;26), "CUSM, CHU SJ, HGJ, CHUQ, CHUS, HMR", "")</f>
      </c>
    </row>
    <row x14ac:dyDescent="0.25" r="637" customHeight="1" ht="17.25">
      <c r="A637" s="41" t="s">
        <v>1335</v>
      </c>
      <c r="B637" s="28">
        <v>2</v>
      </c>
      <c r="C637" s="35">
        <v>817</v>
      </c>
      <c r="D637" s="29" t="s">
        <v>163</v>
      </c>
      <c r="E637" s="30" t="s">
        <v>54</v>
      </c>
      <c r="F637" s="31">
        <v>44899</v>
      </c>
      <c r="G637" s="32">
        <v>4.677083333333334</v>
      </c>
      <c r="H637" s="31">
        <v>44899</v>
      </c>
      <c r="I637" s="32">
        <v>4.565277777777778</v>
      </c>
      <c r="J637" s="33">
        <f>F637-H637</f>
      </c>
      <c r="K637" s="28">
        <v>29</v>
      </c>
      <c r="L637" s="28">
        <v>3</v>
      </c>
      <c r="M637" s="28">
        <v>2</v>
      </c>
      <c r="N637" s="28">
        <v>1</v>
      </c>
      <c r="O637" s="34"/>
      <c r="P637" s="38"/>
      <c r="Q637" s="35">
        <v>1</v>
      </c>
      <c r="R637" s="34"/>
      <c r="S637" s="34"/>
      <c r="T637" s="34"/>
      <c r="U637" s="34"/>
      <c r="V637" s="34"/>
      <c r="W637" s="29" t="s">
        <v>164</v>
      </c>
      <c r="X637" s="28">
        <v>28</v>
      </c>
      <c r="Y637" s="28">
        <v>1</v>
      </c>
      <c r="Z637" s="28">
        <v>2</v>
      </c>
      <c r="AA637" s="28">
        <v>2</v>
      </c>
      <c r="AB637" s="28">
        <v>1</v>
      </c>
      <c r="AC637" s="28">
        <v>2</v>
      </c>
      <c r="AD637" s="28">
        <v>2</v>
      </c>
      <c r="AE637" s="28">
        <v>4</v>
      </c>
      <c r="AF637" s="28">
        <v>3</v>
      </c>
      <c r="AG637" s="28">
        <v>2</v>
      </c>
      <c r="AH637" s="29" t="s">
        <v>1336</v>
      </c>
      <c r="AI637" s="36">
        <f>IF(OR(AND(K637&lt;32, J637&lt;2), O637=1, P637=1, Q637=1, R637=1, S637=1, T637=1, U637=1, AND(W637&lt;&gt;"", W637&lt;&gt;"Oxygen", W637&lt;&gt;"LowFlow")), "Intensive", "Intermediate")</f>
      </c>
      <c r="AJ637" s="37">
        <f>IF(OR(LEFT(AH637, 1)="X", LEFT(AH637, 1)="Y", LEFT(AH637, 3)="J57M"), "CUSM", "No Match")</f>
      </c>
      <c r="AK637" s="37">
        <f>IF(AND(OR(O637=3, P637=1, Q637=1, T637=1), AJ637="no Match"), "CUSM, CHU SJ, CHUQ", "")</f>
      </c>
      <c r="AL637" s="37">
        <f>IF(AND(O637=2, ISBLANK(P637), ISBLANK(Q637), ISBLANK(R637), ISBLANK(S637), ISBLANK(T637)), "CUSM, CHU SJ, CHUS, CHUQ", "")</f>
      </c>
      <c r="AM637" s="37">
        <f>IF(AND(AJ637="no match", AK637="", AL637="", K637&lt;26), "CUSM, CHU SJ, HGJ, CHUQ, CHUS", "")</f>
      </c>
      <c r="AN637" s="37">
        <f>IF(AND(AJ637="no match", AK637="", AL637="", K637&gt;26), "CUSM, CHU SJ, HGJ, CHUQ, CHUS, HMR", "")</f>
      </c>
    </row>
    <row x14ac:dyDescent="0.25" r="638" customHeight="1" ht="17.25">
      <c r="A638" s="41" t="s">
        <v>1337</v>
      </c>
      <c r="B638" s="28">
        <v>2</v>
      </c>
      <c r="C638" s="35">
        <v>756</v>
      </c>
      <c r="D638" s="29" t="s">
        <v>66</v>
      </c>
      <c r="E638" s="30" t="s">
        <v>50</v>
      </c>
      <c r="F638" s="31">
        <v>44899</v>
      </c>
      <c r="G638" s="32">
        <v>4.142361111111111</v>
      </c>
      <c r="H638" s="31">
        <v>44899</v>
      </c>
      <c r="I638" s="32">
        <v>4.0777777777777775</v>
      </c>
      <c r="J638" s="33">
        <f>F638-H638</f>
      </c>
      <c r="K638" s="28">
        <v>30</v>
      </c>
      <c r="L638" s="28">
        <v>2</v>
      </c>
      <c r="M638" s="28">
        <v>2</v>
      </c>
      <c r="N638" s="38"/>
      <c r="O638" s="34"/>
      <c r="P638" s="38"/>
      <c r="Q638" s="34"/>
      <c r="R638" s="34"/>
      <c r="S638" s="34"/>
      <c r="T638" s="34"/>
      <c r="U638" s="34"/>
      <c r="V638" s="34"/>
      <c r="W638" s="29" t="s">
        <v>58</v>
      </c>
      <c r="X638" s="28">
        <v>29</v>
      </c>
      <c r="Y638" s="28">
        <v>1</v>
      </c>
      <c r="Z638" s="28">
        <v>2</v>
      </c>
      <c r="AA638" s="28">
        <v>1</v>
      </c>
      <c r="AB638" s="28">
        <v>1</v>
      </c>
      <c r="AC638" s="28">
        <v>2</v>
      </c>
      <c r="AD638" s="28">
        <v>2</v>
      </c>
      <c r="AE638" s="28">
        <v>3</v>
      </c>
      <c r="AF638" s="28">
        <v>2</v>
      </c>
      <c r="AG638" s="28">
        <v>2</v>
      </c>
      <c r="AH638" s="29"/>
      <c r="AI638" s="36">
        <f>IF(OR(AND(K638&lt;32, J638&lt;2), O638=1, P638=1, Q638=1, R638=1, S638=1, T638=1, U638=1, AND(W638&lt;&gt;"", W638&lt;&gt;"Oxygen", W638&lt;&gt;"LowFlow")), "Intensive", "Intermediate")</f>
      </c>
      <c r="AJ638" s="37">
        <f>IF(OR(LEFT(AH638, 1)="X", LEFT(AH638, 1)="Y", LEFT(AH638, 3)="J58M"), "CUSM", "No Match")</f>
      </c>
      <c r="AK638" s="37">
        <f>IF(AND(OR(O638=3, P638=1, Q638=1, T638=1), AJ638="no Match"), "CUSM, CHU SJ, CHUQ", "")</f>
      </c>
      <c r="AL638" s="37">
        <f>IF(AND(O638=2, ISBLANK(P638), ISBLANK(Q638), ISBLANK(R638), ISBLANK(S638), ISBLANK(T638)), "CUSM, CHU SJ, CHUS, CHUQ", "")</f>
      </c>
      <c r="AM638" s="37">
        <f>IF(AND(AJ638="no match", AK638="", AL638="", K638&lt;26), "CUSM, CHU SJ, HGJ, CHUQ, CHUS", "")</f>
      </c>
      <c r="AN638" s="37">
        <f>IF(AND(AJ638="no match", AK638="", AL638="", K638&gt;26), "CUSM, CHU SJ, HGJ, CHUQ, CHUS, HMR", "")</f>
      </c>
    </row>
    <row x14ac:dyDescent="0.25" r="639" customHeight="1" ht="17.25">
      <c r="A639" s="41" t="s">
        <v>1338</v>
      </c>
      <c r="B639" s="28">
        <v>2</v>
      </c>
      <c r="C639" s="35">
        <v>737</v>
      </c>
      <c r="D639" s="29" t="s">
        <v>202</v>
      </c>
      <c r="E639" s="30" t="s">
        <v>54</v>
      </c>
      <c r="F639" s="31">
        <v>44900</v>
      </c>
      <c r="G639" s="32">
        <v>4.5</v>
      </c>
      <c r="H639" s="31">
        <v>44893</v>
      </c>
      <c r="I639" s="32">
        <v>4.673611111111111</v>
      </c>
      <c r="J639" s="33">
        <f>F639-H639</f>
      </c>
      <c r="K639" s="28">
        <v>38</v>
      </c>
      <c r="L639" s="28">
        <v>0</v>
      </c>
      <c r="M639" s="28">
        <v>1</v>
      </c>
      <c r="N639" s="28">
        <v>1</v>
      </c>
      <c r="O639" s="38"/>
      <c r="P639" s="28">
        <v>1</v>
      </c>
      <c r="Q639" s="34"/>
      <c r="R639" s="34"/>
      <c r="S639" s="34"/>
      <c r="T639" s="34"/>
      <c r="U639" s="34"/>
      <c r="V639" s="34"/>
      <c r="W639" s="29"/>
      <c r="X639" s="28">
        <v>32</v>
      </c>
      <c r="Y639" s="28">
        <v>1</v>
      </c>
      <c r="Z639" s="28">
        <v>1</v>
      </c>
      <c r="AA639" s="28">
        <v>1</v>
      </c>
      <c r="AB639" s="28">
        <v>1</v>
      </c>
      <c r="AC639" s="28">
        <v>2</v>
      </c>
      <c r="AD639" s="28">
        <v>1</v>
      </c>
      <c r="AE639" s="28">
        <v>4</v>
      </c>
      <c r="AF639" s="28">
        <v>2</v>
      </c>
      <c r="AG639" s="28">
        <v>2</v>
      </c>
      <c r="AH639" s="29" t="s">
        <v>1339</v>
      </c>
      <c r="AI639" s="36">
        <f>IF(OR(AND(K639&lt;32, J639&lt;2), O639=1, P639=1, Q639=1, R639=1, S639=1, T639=1, U639=1, AND(W639&lt;&gt;"", W639&lt;&gt;"Oxygen", W639&lt;&gt;"LowFlow")), "Intensive", "Intermediate")</f>
      </c>
      <c r="AJ639" s="37">
        <f>IF(OR(LEFT(AH639, 1)="X", LEFT(AH639, 1)="Y", LEFT(AH639, 3)="J59M"), "CUSM", "No Match")</f>
      </c>
      <c r="AK639" s="37">
        <f>IF(AND(OR(O639=3, P639=1, Q639=1, T639=1), AJ639="no Match"), "CUSM, CHU SJ, CHUQ", "")</f>
      </c>
      <c r="AL639" s="37">
        <f>IF(AND(O639=2, ISBLANK(P639), ISBLANK(Q639), ISBLANK(R639), ISBLANK(S639), ISBLANK(T639)), "CUSM, CHU SJ, CHUS, CHUQ", "")</f>
      </c>
      <c r="AM639" s="37">
        <f>IF(AND(AJ639="no match", AK639="", AL639="", K639&lt;26), "CUSM, CHU SJ, HGJ, CHUQ, CHUS", "")</f>
      </c>
      <c r="AN639" s="37">
        <f>IF(AND(AJ639="no match", AK639="", AL639="", K639&gt;26), "CUSM, CHU SJ, HGJ, CHUQ, CHUS, HMR", "")</f>
      </c>
    </row>
    <row x14ac:dyDescent="0.25" r="640" customHeight="1" ht="17.25">
      <c r="A640" s="41" t="s">
        <v>1340</v>
      </c>
      <c r="B640" s="28">
        <v>2</v>
      </c>
      <c r="C640" s="35">
        <v>2</v>
      </c>
      <c r="D640" s="29" t="s">
        <v>269</v>
      </c>
      <c r="E640" s="30" t="s">
        <v>50</v>
      </c>
      <c r="F640" s="31">
        <v>44900</v>
      </c>
      <c r="G640" s="32">
        <v>4.309027777777778</v>
      </c>
      <c r="H640" s="31">
        <v>44900</v>
      </c>
      <c r="I640" s="32">
        <v>4.1305555555555555</v>
      </c>
      <c r="J640" s="33">
        <f>F640-H640</f>
      </c>
      <c r="K640" s="28">
        <v>35</v>
      </c>
      <c r="L640" s="28">
        <v>6</v>
      </c>
      <c r="M640" s="28">
        <v>1</v>
      </c>
      <c r="N640" s="34"/>
      <c r="O640" s="34"/>
      <c r="P640" s="34"/>
      <c r="Q640" s="34"/>
      <c r="R640" s="34"/>
      <c r="S640" s="34"/>
      <c r="T640" s="35">
        <v>1</v>
      </c>
      <c r="U640" s="34"/>
      <c r="V640" s="34"/>
      <c r="W640" s="29" t="s">
        <v>74</v>
      </c>
      <c r="X640" s="28">
        <v>32</v>
      </c>
      <c r="Y640" s="28">
        <v>1</v>
      </c>
      <c r="Z640" s="28">
        <v>1</v>
      </c>
      <c r="AA640" s="28">
        <v>2</v>
      </c>
      <c r="AB640" s="28">
        <v>4</v>
      </c>
      <c r="AC640" s="28">
        <v>2</v>
      </c>
      <c r="AD640" s="28">
        <v>2</v>
      </c>
      <c r="AE640" s="28">
        <v>3</v>
      </c>
      <c r="AF640" s="28">
        <v>3</v>
      </c>
      <c r="AG640" s="28">
        <v>2</v>
      </c>
      <c r="AH640" s="29" t="s">
        <v>1341</v>
      </c>
      <c r="AI640" s="36">
        <f>IF(OR(AND(K640&lt;32, J640&lt;2), O640=1, P640=1, Q640=1, R640=1, S640=1, T640=1, U640=1, AND(W640&lt;&gt;"", W640&lt;&gt;"Oxygen", W640&lt;&gt;"LowFlow")), "Intensive", "Intermediate")</f>
      </c>
      <c r="AJ640" s="37">
        <f>IF(OR(LEFT(AH640, 1)="X", LEFT(AH640, 1)="Y", LEFT(AH640, 3)="J60M"), "CUSM", "No Match")</f>
      </c>
      <c r="AK640" s="37">
        <f>IF(AND(OR(O640=3, P640=1, Q640=1, T640=1), AJ640="no Match"), "CUSM, CHU SJ, CHUQ", "")</f>
      </c>
      <c r="AL640" s="37">
        <f>IF(AND(O640=2, ISBLANK(P640), ISBLANK(Q640), ISBLANK(R640), ISBLANK(S640), ISBLANK(T640)), "CUSM, CHU SJ, CHUS, CHUQ", "")</f>
      </c>
      <c r="AM640" s="37">
        <f>IF(AND(AJ640="no match", AK640="", AL640="", K640&lt;26), "CUSM, CHU SJ, HGJ, CHUQ, CHUS", "")</f>
      </c>
      <c r="AN640" s="37">
        <f>IF(AND(AJ640="no match", AK640="", AL640="", K640&gt;26), "CUSM, CHU SJ, HGJ, CHUQ, CHUS, HMR", "")</f>
      </c>
    </row>
    <row x14ac:dyDescent="0.25" r="641" customHeight="1" ht="17.25">
      <c r="A641" s="41" t="s">
        <v>1342</v>
      </c>
      <c r="B641" s="28">
        <v>2</v>
      </c>
      <c r="C641" s="28">
        <v>757</v>
      </c>
      <c r="D641" s="29" t="s">
        <v>124</v>
      </c>
      <c r="E641" s="30" t="s">
        <v>54</v>
      </c>
      <c r="F641" s="31">
        <v>44903</v>
      </c>
      <c r="G641" s="32">
        <v>4.666666666666666</v>
      </c>
      <c r="H641" s="31">
        <v>44901</v>
      </c>
      <c r="I641" s="32">
        <v>4.38125</v>
      </c>
      <c r="J641" s="33">
        <f>F641-H641</f>
      </c>
      <c r="K641" s="28">
        <v>39</v>
      </c>
      <c r="L641" s="28">
        <v>1</v>
      </c>
      <c r="M641" s="28">
        <v>1</v>
      </c>
      <c r="N641" s="35">
        <v>1</v>
      </c>
      <c r="O641" s="34"/>
      <c r="P641" s="35">
        <v>1</v>
      </c>
      <c r="Q641" s="34"/>
      <c r="R641" s="34"/>
      <c r="S641" s="34"/>
      <c r="T641" s="34"/>
      <c r="U641" s="34"/>
      <c r="V641" s="34"/>
      <c r="W641" s="29"/>
      <c r="X641" s="28">
        <v>27</v>
      </c>
      <c r="Y641" s="28">
        <v>1</v>
      </c>
      <c r="Z641" s="28">
        <v>1</v>
      </c>
      <c r="AA641" s="28">
        <v>1</v>
      </c>
      <c r="AB641" s="28">
        <v>1</v>
      </c>
      <c r="AC641" s="28">
        <v>2</v>
      </c>
      <c r="AD641" s="28">
        <v>1</v>
      </c>
      <c r="AE641" s="28">
        <v>4</v>
      </c>
      <c r="AF641" s="28">
        <v>2</v>
      </c>
      <c r="AG641" s="28">
        <v>2</v>
      </c>
      <c r="AH641" s="29" t="s">
        <v>1343</v>
      </c>
      <c r="AI641" s="36">
        <f>IF(OR(AND(K641&lt;32, J641&lt;2), O641=1, P641=1, Q641=1, R641=1, S641=1, T641=1, U641=1, AND(W641&lt;&gt;"", W641&lt;&gt;"Oxygen", W641&lt;&gt;"LowFlow")), "Intensive", "Intermediate")</f>
      </c>
      <c r="AJ641" s="37">
        <f>IF(OR(LEFT(AH641, 1)="X", LEFT(AH641, 1)="Y", LEFT(AH641, 3)="J61M"), "CUSM", "No Match")</f>
      </c>
      <c r="AK641" s="37">
        <f>IF(AND(OR(O641=3, P641=1, Q641=1, T641=1), AJ641="no Match"), "CUSM, CHU SJ, CHUQ", "")</f>
      </c>
      <c r="AL641" s="37">
        <f>IF(AND(O641=2, ISBLANK(P641), ISBLANK(Q641), ISBLANK(R641), ISBLANK(S641), ISBLANK(T641)), "CUSM, CHU SJ, CHUS, CHUQ", "")</f>
      </c>
      <c r="AM641" s="37">
        <f>IF(AND(AJ641="no match", AK641="", AL641="", K641&lt;26), "CUSM, CHU SJ, HGJ, CHUQ, CHUS", "")</f>
      </c>
      <c r="AN641" s="37">
        <f>IF(AND(AJ641="no match", AK641="", AL641="", K641&gt;26), "CUSM, CHU SJ, HGJ, CHUQ, CHUS, HMR", "")</f>
      </c>
    </row>
    <row x14ac:dyDescent="0.25" r="642" customHeight="1" ht="17.25">
      <c r="A642" s="41" t="s">
        <v>1344</v>
      </c>
      <c r="B642" s="28">
        <v>2</v>
      </c>
      <c r="C642" s="35">
        <v>2</v>
      </c>
      <c r="D642" s="29" t="s">
        <v>269</v>
      </c>
      <c r="E642" s="30" t="s">
        <v>78</v>
      </c>
      <c r="F642" s="31">
        <v>44903</v>
      </c>
      <c r="G642" s="32">
        <v>4.708333333333334</v>
      </c>
      <c r="H642" s="31">
        <v>44903</v>
      </c>
      <c r="I642" s="32">
        <v>4.4430555555555555</v>
      </c>
      <c r="J642" s="33">
        <f>F642-H642</f>
      </c>
      <c r="K642" s="28">
        <v>39</v>
      </c>
      <c r="L642" s="28">
        <v>0</v>
      </c>
      <c r="M642" s="28">
        <v>1</v>
      </c>
      <c r="N642" s="34"/>
      <c r="O642" s="34"/>
      <c r="P642" s="34"/>
      <c r="Q642" s="34"/>
      <c r="R642" s="34"/>
      <c r="S642" s="34"/>
      <c r="T642" s="34"/>
      <c r="U642" s="34"/>
      <c r="V642" s="34"/>
      <c r="W642" s="29"/>
      <c r="X642" s="28">
        <v>36</v>
      </c>
      <c r="Y642" s="28">
        <v>1</v>
      </c>
      <c r="Z642" s="28">
        <v>1</v>
      </c>
      <c r="AA642" s="28">
        <v>2</v>
      </c>
      <c r="AB642" s="28">
        <v>1</v>
      </c>
      <c r="AC642" s="28">
        <v>2</v>
      </c>
      <c r="AD642" s="28">
        <v>1</v>
      </c>
      <c r="AE642" s="28">
        <v>2</v>
      </c>
      <c r="AF642" s="28">
        <v>2</v>
      </c>
      <c r="AG642" s="28">
        <v>2</v>
      </c>
      <c r="AH642" s="29" t="s">
        <v>1345</v>
      </c>
      <c r="AI642" s="36">
        <f>IF(OR(AND(K642&lt;32, J642&lt;2), O642=1, P642=1, Q642=1, R642=1, S642=1, T642=1, U642=1, AND(W642&lt;&gt;"", W642&lt;&gt;"Oxygen", W642&lt;&gt;"LowFlow")), "Intensive", "Intermediate")</f>
      </c>
      <c r="AJ642" s="37">
        <f>IF(OR(LEFT(AH642, 1)="X", LEFT(AH642, 1)="Y", LEFT(AH642, 3)="J62M"), "CUSM", "No Match")</f>
      </c>
      <c r="AK642" s="37">
        <f>IF(AND(OR(O642=3, P642=1, Q642=1, T642=1), AJ642="no Match"), "CUSM, CHU SJ, CHUQ", "")</f>
      </c>
      <c r="AL642" s="37">
        <f>IF(AND(O642=2, ISBLANK(P642), ISBLANK(Q642), ISBLANK(R642), ISBLANK(S642), ISBLANK(T642)), "CUSM, CHU SJ, CHUS, CHUQ", "")</f>
      </c>
      <c r="AM642" s="37">
        <f>IF(AND(AJ642="no match", AK642="", AL642="", K642&lt;26), "CUSM, CHU SJ, HGJ, CHUQ, CHUS", "")</f>
      </c>
      <c r="AN642" s="37">
        <f>IF(AND(AJ642="no match", AK642="", AL642="", K642&gt;26), "CUSM, CHU SJ, HGJ, CHUQ, CHUS, HMR", "")</f>
      </c>
    </row>
    <row x14ac:dyDescent="0.25" r="643" customHeight="1" ht="17.25">
      <c r="A643" s="41" t="s">
        <v>1346</v>
      </c>
      <c r="B643" s="28">
        <v>2</v>
      </c>
      <c r="C643" s="35">
        <v>851</v>
      </c>
      <c r="D643" s="29" t="s">
        <v>1085</v>
      </c>
      <c r="E643" s="30" t="s">
        <v>149</v>
      </c>
      <c r="F643" s="31">
        <v>44904</v>
      </c>
      <c r="G643" s="32">
        <v>4.733333333333333</v>
      </c>
      <c r="H643" s="31">
        <v>44904</v>
      </c>
      <c r="I643" s="32">
        <v>4.551388888888889</v>
      </c>
      <c r="J643" s="33">
        <f>F643-H643</f>
      </c>
      <c r="K643" s="28">
        <v>30</v>
      </c>
      <c r="L643" s="28">
        <v>0</v>
      </c>
      <c r="M643" s="28">
        <v>1</v>
      </c>
      <c r="N643" s="34"/>
      <c r="O643" s="34"/>
      <c r="P643" s="34"/>
      <c r="Q643" s="34"/>
      <c r="R643" s="34"/>
      <c r="S643" s="34"/>
      <c r="T643" s="34"/>
      <c r="U643" s="34"/>
      <c r="V643" s="34"/>
      <c r="W643" s="29" t="s">
        <v>164</v>
      </c>
      <c r="X643" s="28">
        <v>32</v>
      </c>
      <c r="Y643" s="28">
        <v>2</v>
      </c>
      <c r="Z643" s="28">
        <v>1</v>
      </c>
      <c r="AA643" s="28">
        <v>3</v>
      </c>
      <c r="AB643" s="28">
        <v>4</v>
      </c>
      <c r="AC643" s="28">
        <v>2</v>
      </c>
      <c r="AD643" s="28">
        <v>2</v>
      </c>
      <c r="AE643" s="28">
        <v>4</v>
      </c>
      <c r="AF643" s="28">
        <v>3</v>
      </c>
      <c r="AG643" s="28">
        <v>3</v>
      </c>
      <c r="AH643" s="29" t="s">
        <v>1347</v>
      </c>
      <c r="AI643" s="36">
        <f>IF(OR(AND(K643&lt;32, J643&lt;2), O643=1, P643=1, Q643=1, R643=1, S643=1, T643=1, U643=1, AND(W643&lt;&gt;"", W643&lt;&gt;"Oxygen", W643&lt;&gt;"LowFlow")), "Intensive", "Intermediate")</f>
      </c>
      <c r="AJ643" s="37">
        <f>IF(OR(LEFT(AH643, 1)="X", LEFT(AH643, 1)="Y", LEFT(AH643, 3)="J63M"), "CUSM", "No Match")</f>
      </c>
      <c r="AK643" s="37">
        <f>IF(AND(OR(O643=3, P643=1, Q643=1, T643=1), AJ643="no Match"), "CUSM, CHU SJ, CHUQ", "")</f>
      </c>
      <c r="AL643" s="37">
        <f>IF(AND(O643=2, ISBLANK(P643), ISBLANK(Q643), ISBLANK(R643), ISBLANK(S643), ISBLANK(T643)), "CUSM, CHU SJ, CHUS, CHUQ", "")</f>
      </c>
      <c r="AM643" s="37">
        <f>IF(AND(AJ643="no match", AK643="", AL643="", K643&lt;26), "CUSM, CHU SJ, HGJ, CHUQ, CHUS", "")</f>
      </c>
      <c r="AN643" s="37">
        <f>IF(AND(AJ643="no match", AK643="", AL643="", K643&gt;26), "CUSM, CHU SJ, HGJ, CHUQ, CHUS, HMR", "")</f>
      </c>
    </row>
    <row x14ac:dyDescent="0.25" r="644" customHeight="1" ht="17.25">
      <c r="A644" s="41" t="s">
        <v>1348</v>
      </c>
      <c r="B644" s="28">
        <v>2</v>
      </c>
      <c r="C644" s="35">
        <v>851</v>
      </c>
      <c r="D644" s="29" t="s">
        <v>1085</v>
      </c>
      <c r="E644" s="30" t="s">
        <v>149</v>
      </c>
      <c r="F644" s="31">
        <v>44904</v>
      </c>
      <c r="G644" s="32">
        <v>4.670138888888889</v>
      </c>
      <c r="H644" s="31">
        <v>44904</v>
      </c>
      <c r="I644" s="32">
        <v>4.561111111111111</v>
      </c>
      <c r="J644" s="33">
        <f>F644-H644</f>
      </c>
      <c r="K644" s="28">
        <v>30</v>
      </c>
      <c r="L644" s="28">
        <v>0</v>
      </c>
      <c r="M644" s="28">
        <v>1</v>
      </c>
      <c r="N644" s="34"/>
      <c r="O644" s="34"/>
      <c r="P644" s="34"/>
      <c r="Q644" s="34"/>
      <c r="R644" s="34"/>
      <c r="S644" s="34"/>
      <c r="T644" s="34"/>
      <c r="U644" s="34"/>
      <c r="V644" s="34"/>
      <c r="W644" s="29" t="s">
        <v>74</v>
      </c>
      <c r="X644" s="28">
        <v>32</v>
      </c>
      <c r="Y644" s="28">
        <v>2</v>
      </c>
      <c r="Z644" s="28">
        <v>1</v>
      </c>
      <c r="AA644" s="28">
        <v>3</v>
      </c>
      <c r="AB644" s="28">
        <v>4</v>
      </c>
      <c r="AC644" s="28">
        <v>2</v>
      </c>
      <c r="AD644" s="28">
        <v>2</v>
      </c>
      <c r="AE644" s="28">
        <v>4</v>
      </c>
      <c r="AF644" s="28">
        <v>3</v>
      </c>
      <c r="AG644" s="28">
        <v>3</v>
      </c>
      <c r="AH644" s="29" t="s">
        <v>1347</v>
      </c>
      <c r="AI644" s="36">
        <f>IF(OR(AND(K644&lt;32, J644&lt;2), O644=1, P644=1, Q644=1, R644=1, S644=1, T644=1, U644=1, AND(W644&lt;&gt;"", W644&lt;&gt;"Oxygen", W644&lt;&gt;"LowFlow")), "Intensive", "Intermediate")</f>
      </c>
      <c r="AJ644" s="37">
        <f>IF(OR(LEFT(AH644, 1)="X", LEFT(AH644, 1)="Y", LEFT(AH644, 3)="J0M"), "CUSM", "No Match")</f>
      </c>
      <c r="AK644" s="37">
        <f>IF(AND(OR(O644=3, P644=1, Q644=1, T644=1), AJ644="no Match"), "CUSM, CHU SJ, CHUQ", "")</f>
      </c>
      <c r="AL644" s="37">
        <f>IF(AND(O644=2, ISBLANK(P644), ISBLANK(Q644), ISBLANK(R644), ISBLANK(S644), ISBLANK(T644)), "CUSM, CHU SJ, CHUS, CHUQ", "")</f>
      </c>
      <c r="AM644" s="37">
        <f>IF(AND(AJ644="no match", AK644="", AL644="", K644&lt;26), "CUSM, CHU SJ, HGJ, CHUQ, CHUS", "")</f>
      </c>
      <c r="AN644" s="37">
        <f>IF(AND(AJ644="no match", AK644="", AL644="", K644&gt;26), "CUSM, CHU SJ, HGJ, CHUQ, CHUS, HMR", "")</f>
      </c>
    </row>
    <row x14ac:dyDescent="0.25" r="645" customHeight="1" ht="17.25">
      <c r="A645" s="41" t="s">
        <v>1349</v>
      </c>
      <c r="B645" s="28">
        <v>2</v>
      </c>
      <c r="C645" s="35">
        <v>835</v>
      </c>
      <c r="D645" s="29" t="s">
        <v>170</v>
      </c>
      <c r="E645" s="30" t="s">
        <v>54</v>
      </c>
      <c r="F645" s="31">
        <v>44904</v>
      </c>
      <c r="G645" s="32">
        <v>4.083333333333334</v>
      </c>
      <c r="H645" s="31">
        <v>44903</v>
      </c>
      <c r="I645" s="32">
        <v>4.918055555555556</v>
      </c>
      <c r="J645" s="33">
        <f>F645-H645</f>
      </c>
      <c r="K645" s="28">
        <v>39</v>
      </c>
      <c r="L645" s="28">
        <v>2</v>
      </c>
      <c r="M645" s="28">
        <v>1</v>
      </c>
      <c r="N645" s="28">
        <v>1</v>
      </c>
      <c r="O645" s="34"/>
      <c r="P645" s="28">
        <v>1</v>
      </c>
      <c r="Q645" s="34"/>
      <c r="R645" s="34"/>
      <c r="S645" s="34"/>
      <c r="T645" s="35">
        <v>1</v>
      </c>
      <c r="U645" s="34"/>
      <c r="V645" s="34"/>
      <c r="W645" s="29" t="s">
        <v>74</v>
      </c>
      <c r="X645" s="28">
        <v>33</v>
      </c>
      <c r="Y645" s="28">
        <v>1</v>
      </c>
      <c r="Z645" s="28">
        <v>2</v>
      </c>
      <c r="AA645" s="28">
        <v>3</v>
      </c>
      <c r="AB645" s="28">
        <v>1</v>
      </c>
      <c r="AC645" s="28">
        <v>2</v>
      </c>
      <c r="AD645" s="28">
        <v>1</v>
      </c>
      <c r="AE645" s="28">
        <v>4</v>
      </c>
      <c r="AF645" s="28">
        <v>3</v>
      </c>
      <c r="AG645" s="28">
        <v>2</v>
      </c>
      <c r="AH645" s="29" t="s">
        <v>1350</v>
      </c>
      <c r="AI645" s="36">
        <f>IF(OR(AND(K645&lt;32, J645&lt;2), O645=1, P645=1, Q645=1, R645=1, S645=1, T645=1, U645=1, AND(W645&lt;&gt;"", W645&lt;&gt;"Oxygen", W645&lt;&gt;"LowFlow")), "Intensive", "Intermediate")</f>
      </c>
      <c r="AJ645" s="37">
        <f>IF(OR(LEFT(AH645, 1)="X", LEFT(AH645, 1)="Y", LEFT(AH645, 3)="J1M"), "CUSM", "No Match")</f>
      </c>
      <c r="AK645" s="37">
        <f>IF(AND(OR(O645=3, P645=1, Q645=1, T645=1), AJ645="no Match"), "CUSM, CHU SJ, CHUQ", "")</f>
      </c>
      <c r="AL645" s="37">
        <f>IF(AND(O645=2, ISBLANK(P645), ISBLANK(Q645), ISBLANK(R645), ISBLANK(S645), ISBLANK(T645)), "CUSM, CHU SJ, CHUS, CHUQ", "")</f>
      </c>
      <c r="AM645" s="37">
        <f>IF(AND(AJ645="no match", AK645="", AL645="", K645&lt;26), "CUSM, CHU SJ, HGJ, CHUQ, CHUS", "")</f>
      </c>
      <c r="AN645" s="37">
        <f>IF(AND(AJ645="no match", AK645="", AL645="", K645&gt;26), "CUSM, CHU SJ, HGJ, CHUQ, CHUS, HMR", "")</f>
      </c>
    </row>
    <row x14ac:dyDescent="0.25" r="646" customHeight="1" ht="17.25">
      <c r="A646" s="41" t="s">
        <v>1351</v>
      </c>
      <c r="B646" s="28">
        <v>2</v>
      </c>
      <c r="C646" s="35">
        <v>820</v>
      </c>
      <c r="D646" s="29" t="s">
        <v>69</v>
      </c>
      <c r="E646" s="30" t="s">
        <v>50</v>
      </c>
      <c r="F646" s="31">
        <v>44904</v>
      </c>
      <c r="G646" s="32">
        <v>4.199305555555556</v>
      </c>
      <c r="H646" s="31">
        <v>44904</v>
      </c>
      <c r="I646" s="32">
        <v>4.011111111111111</v>
      </c>
      <c r="J646" s="33">
        <f>F646-H646</f>
      </c>
      <c r="K646" s="28">
        <v>29</v>
      </c>
      <c r="L646" s="28">
        <v>0</v>
      </c>
      <c r="M646" s="28">
        <v>2</v>
      </c>
      <c r="N646" s="35">
        <v>1</v>
      </c>
      <c r="O646" s="34"/>
      <c r="P646" s="35">
        <v>1</v>
      </c>
      <c r="Q646" s="35">
        <v>1</v>
      </c>
      <c r="R646" s="34"/>
      <c r="S646" s="34"/>
      <c r="T646" s="34"/>
      <c r="U646" s="34"/>
      <c r="V646" s="34"/>
      <c r="W646" s="29" t="s">
        <v>58</v>
      </c>
      <c r="X646" s="28">
        <v>23</v>
      </c>
      <c r="Y646" s="28">
        <v>1</v>
      </c>
      <c r="Z646" s="28">
        <v>1</v>
      </c>
      <c r="AA646" s="28">
        <v>2</v>
      </c>
      <c r="AB646" s="28">
        <v>4</v>
      </c>
      <c r="AC646" s="28">
        <v>3</v>
      </c>
      <c r="AD646" s="28">
        <v>3</v>
      </c>
      <c r="AE646" s="28">
        <v>3</v>
      </c>
      <c r="AF646" s="28">
        <v>3</v>
      </c>
      <c r="AG646" s="28">
        <v>1</v>
      </c>
      <c r="AH646" s="29" t="s">
        <v>1352</v>
      </c>
      <c r="AI646" s="36">
        <f>IF(OR(AND(K646&lt;32, J646&lt;2), O646=1, P646=1, Q646=1, R646=1, S646=1, T646=1, U646=1, AND(W646&lt;&gt;"", W646&lt;&gt;"Oxygen", W646&lt;&gt;"LowFlow")), "Intensive", "Intermediate")</f>
      </c>
      <c r="AJ646" s="37">
        <f>IF(OR(LEFT(AH646, 1)="X", LEFT(AH646, 1)="Y", LEFT(AH646, 3)="J2M"), "CUSM", "No Match")</f>
      </c>
      <c r="AK646" s="37">
        <f>IF(AND(OR(O646=3, P646=1, Q646=1, T646=1), AJ646="no Match"), "CUSM, CHU SJ, CHUQ", "")</f>
      </c>
      <c r="AL646" s="37">
        <f>IF(AND(O646=2, ISBLANK(P646), ISBLANK(Q646), ISBLANK(R646), ISBLANK(S646), ISBLANK(T646)), "CUSM, CHU SJ, CHUS, CHUQ", "")</f>
      </c>
      <c r="AM646" s="37">
        <f>IF(AND(AJ646="no match", AK646="", AL646="", K646&lt;26), "CUSM, CHU SJ, HGJ, CHUQ, CHUS", "")</f>
      </c>
      <c r="AN646" s="37">
        <f>IF(AND(AJ646="no match", AK646="", AL646="", K646&gt;26), "CUSM, CHU SJ, HGJ, CHUQ, CHUS, HMR", "")</f>
      </c>
    </row>
    <row x14ac:dyDescent="0.25" r="647" customHeight="1" ht="17.25">
      <c r="A647" s="41" t="s">
        <v>1353</v>
      </c>
      <c r="B647" s="28">
        <v>2</v>
      </c>
      <c r="C647" s="28">
        <v>820</v>
      </c>
      <c r="D647" s="29" t="s">
        <v>69</v>
      </c>
      <c r="E647" s="30" t="s">
        <v>50</v>
      </c>
      <c r="F647" s="31">
        <v>44904</v>
      </c>
      <c r="G647" s="32">
        <v>4.998611111111111</v>
      </c>
      <c r="H647" s="31">
        <v>44904</v>
      </c>
      <c r="I647" s="32">
        <v>4.820833333333333</v>
      </c>
      <c r="J647" s="33">
        <f>F647-H647</f>
      </c>
      <c r="K647" s="28">
        <v>40</v>
      </c>
      <c r="L647" s="28">
        <v>0</v>
      </c>
      <c r="M647" s="28">
        <v>1</v>
      </c>
      <c r="N647" s="38"/>
      <c r="O647" s="34"/>
      <c r="P647" s="38"/>
      <c r="Q647" s="34"/>
      <c r="R647" s="34"/>
      <c r="S647" s="34"/>
      <c r="T647" s="34"/>
      <c r="U647" s="38"/>
      <c r="V647" s="38"/>
      <c r="W647" s="29" t="s">
        <v>74</v>
      </c>
      <c r="X647" s="28">
        <v>38</v>
      </c>
      <c r="Y647" s="28">
        <v>1</v>
      </c>
      <c r="Z647" s="28">
        <v>1</v>
      </c>
      <c r="AA647" s="28">
        <v>2</v>
      </c>
      <c r="AB647" s="28">
        <v>1</v>
      </c>
      <c r="AC647" s="28">
        <v>2</v>
      </c>
      <c r="AD647" s="28">
        <v>2</v>
      </c>
      <c r="AE647" s="28">
        <v>4</v>
      </c>
      <c r="AF647" s="35">
        <v>2</v>
      </c>
      <c r="AG647" s="28">
        <v>2</v>
      </c>
      <c r="AH647" s="29" t="s">
        <v>1354</v>
      </c>
      <c r="AI647" s="36">
        <f>IF(OR(AND(K647&lt;32, J647&lt;2), O647=1, P647=1, Q647=1, R647=1, S647=1, T647=1, U647=1, AND(W647&lt;&gt;"", W647&lt;&gt;"Oxygen", W647&lt;&gt;"LowFlow")), "Intensive", "Intermediate")</f>
      </c>
      <c r="AJ647" s="37">
        <f>IF(OR(LEFT(AH647, 1)="X", LEFT(AH647, 1)="Y", LEFT(AH647, 3)="J3M"), "CUSM", "No Match")</f>
      </c>
      <c r="AK647" s="37">
        <f>IF(AND(OR(O647=3, P647=1, Q647=1, T647=1), AJ647="no Match"), "CUSM, CHU SJ, CHUQ", "")</f>
      </c>
      <c r="AL647" s="37">
        <f>IF(AND(O647=2, ISBLANK(P647), ISBLANK(Q647), ISBLANK(R647), ISBLANK(S647), ISBLANK(T647)), "CUSM, CHU SJ, CHUS, CHUQ", "")</f>
      </c>
      <c r="AM647" s="37">
        <f>IF(AND(AJ647="no match", AK647="", AL647="", K647&lt;26), "CUSM, CHU SJ, HGJ, CHUQ, CHUS", "")</f>
      </c>
      <c r="AN647" s="37">
        <f>IF(AND(AJ647="no match", AK647="", AL647="", K647&gt;26), "CUSM, CHU SJ, HGJ, CHUQ, CHUS, HMR", "")</f>
      </c>
    </row>
    <row x14ac:dyDescent="0.25" r="648" customHeight="1" ht="17.25">
      <c r="A648" s="41" t="s">
        <v>1355</v>
      </c>
      <c r="B648" s="28">
        <v>2</v>
      </c>
      <c r="C648" s="35">
        <v>825</v>
      </c>
      <c r="D648" s="29" t="s">
        <v>77</v>
      </c>
      <c r="E648" s="30" t="s">
        <v>50</v>
      </c>
      <c r="F648" s="31">
        <v>44904</v>
      </c>
      <c r="G648" s="32">
        <v>4.770833333333334</v>
      </c>
      <c r="H648" s="31">
        <v>44904</v>
      </c>
      <c r="I648" s="32">
        <v>4.356944444444444</v>
      </c>
      <c r="J648" s="33">
        <f>F648-H648</f>
      </c>
      <c r="K648" s="28">
        <v>38</v>
      </c>
      <c r="L648" s="28">
        <v>5</v>
      </c>
      <c r="M648" s="28">
        <v>1</v>
      </c>
      <c r="N648" s="28">
        <v>1</v>
      </c>
      <c r="O648" s="35">
        <v>2</v>
      </c>
      <c r="P648" s="38"/>
      <c r="Q648" s="38"/>
      <c r="R648" s="34"/>
      <c r="S648" s="34"/>
      <c r="T648" s="34"/>
      <c r="U648" s="34"/>
      <c r="V648" s="38"/>
      <c r="W648" s="29"/>
      <c r="X648" s="28">
        <v>35</v>
      </c>
      <c r="Y648" s="28">
        <v>1</v>
      </c>
      <c r="Z648" s="28">
        <v>2</v>
      </c>
      <c r="AA648" s="28">
        <v>1</v>
      </c>
      <c r="AB648" s="28">
        <v>1</v>
      </c>
      <c r="AC648" s="28">
        <v>2</v>
      </c>
      <c r="AD648" s="28">
        <v>2</v>
      </c>
      <c r="AE648" s="28">
        <v>4</v>
      </c>
      <c r="AF648" s="28">
        <v>2</v>
      </c>
      <c r="AG648" s="28">
        <v>2</v>
      </c>
      <c r="AH648" s="29" t="s">
        <v>1356</v>
      </c>
      <c r="AI648" s="36">
        <f>IF(OR(AND(K648&lt;32, J648&lt;2), O648=1, P648=1, Q648=1, R648=1, S648=1, T648=1, U648=1, AND(W648&lt;&gt;"", W648&lt;&gt;"Oxygen", W648&lt;&gt;"LowFlow")), "Intensive", "Intermediate")</f>
      </c>
      <c r="AJ648" s="37">
        <f>IF(OR(LEFT(AH648, 1)="X", LEFT(AH648, 1)="Y", LEFT(AH648, 3)="J4M"), "CUSM", "No Match")</f>
      </c>
      <c r="AK648" s="37">
        <f>IF(AND(OR(O648=3, P648=1, Q648=1, T648=1), AJ648="no Match"), "CUSM, CHU SJ, CHUQ", "")</f>
      </c>
      <c r="AL648" s="37">
        <f>IF(AND(O648=2, ISBLANK(P648), ISBLANK(Q648), ISBLANK(R648), ISBLANK(S648), ISBLANK(T648)), "CUSM, CHU SJ, CHUS, CHUQ", "")</f>
      </c>
      <c r="AM648" s="37">
        <f>IF(AND(AJ648="no match", AK648="", AL648="", K648&lt;26), "CUSM, CHU SJ, HGJ, CHUQ, CHUS", "")</f>
      </c>
      <c r="AN648" s="37">
        <f>IF(AND(AJ648="no match", AK648="", AL648="", K648&gt;26), "CUSM, CHU SJ, HGJ, CHUQ, CHUS, HMR", "")</f>
      </c>
    </row>
    <row x14ac:dyDescent="0.25" r="649" customHeight="1" ht="17.25">
      <c r="A649" s="41" t="s">
        <v>1357</v>
      </c>
      <c r="B649" s="28">
        <v>2</v>
      </c>
      <c r="C649" s="35">
        <v>795</v>
      </c>
      <c r="D649" s="29" t="s">
        <v>73</v>
      </c>
      <c r="E649" s="30" t="s">
        <v>220</v>
      </c>
      <c r="F649" s="31">
        <v>44904</v>
      </c>
      <c r="G649" s="40">
        <v>4.704166666666667</v>
      </c>
      <c r="H649" s="31">
        <v>44902</v>
      </c>
      <c r="I649" s="32">
        <v>4.572916666666666</v>
      </c>
      <c r="J649" s="33">
        <f>F649-H649</f>
      </c>
      <c r="K649" s="28">
        <v>32</v>
      </c>
      <c r="L649" s="28">
        <v>0</v>
      </c>
      <c r="M649" s="28">
        <v>2</v>
      </c>
      <c r="N649" s="34"/>
      <c r="O649" s="34"/>
      <c r="P649" s="34"/>
      <c r="Q649" s="34"/>
      <c r="R649" s="34"/>
      <c r="S649" s="34"/>
      <c r="T649" s="34"/>
      <c r="U649" s="34"/>
      <c r="V649" s="34"/>
      <c r="W649" s="29" t="s">
        <v>74</v>
      </c>
      <c r="X649" s="28">
        <v>35</v>
      </c>
      <c r="Y649" s="28">
        <v>1</v>
      </c>
      <c r="Z649" s="28">
        <v>2</v>
      </c>
      <c r="AA649" s="28">
        <v>2</v>
      </c>
      <c r="AB649" s="28">
        <v>1</v>
      </c>
      <c r="AC649" s="28">
        <v>2</v>
      </c>
      <c r="AD649" s="28">
        <v>1</v>
      </c>
      <c r="AE649" s="28">
        <v>4</v>
      </c>
      <c r="AF649" s="28">
        <v>2</v>
      </c>
      <c r="AG649" s="28">
        <v>2</v>
      </c>
      <c r="AH649" s="29" t="s">
        <v>1358</v>
      </c>
      <c r="AI649" s="36">
        <f>IF(OR(AND(K649&lt;32, J649&lt;2), O649=1, P649=1, Q649=1, R649=1, S649=1, T649=1, U649=1, AND(W649&lt;&gt;"", W649&lt;&gt;"Oxygen", W649&lt;&gt;"LowFlow")), "Intensive", "Intermediate")</f>
      </c>
      <c r="AJ649" s="37">
        <f>IF(OR(LEFT(AH649, 1)="X", LEFT(AH649, 1)="Y", LEFT(AH649, 3)="J5M"), "CUSM", "No Match")</f>
      </c>
      <c r="AK649" s="37">
        <f>IF(AND(OR(O649=3, P649=1, Q649=1, T649=1), AJ649="no Match"), "CUSM, CHU SJ, CHUQ", "")</f>
      </c>
      <c r="AL649" s="37">
        <f>IF(AND(O649=2, ISBLANK(P649), ISBLANK(Q649), ISBLANK(R649), ISBLANK(S649), ISBLANK(T649)), "CUSM, CHU SJ, CHUS, CHUQ", "")</f>
      </c>
      <c r="AM649" s="37">
        <f>IF(AND(AJ649="no match", AK649="", AL649="", K649&lt;26), "CUSM, CHU SJ, HGJ, CHUQ, CHUS", "")</f>
      </c>
      <c r="AN649" s="37">
        <f>IF(AND(AJ649="no match", AK649="", AL649="", K649&gt;26), "CUSM, CHU SJ, HGJ, CHUQ, CHUS, HMR", "")</f>
      </c>
    </row>
    <row x14ac:dyDescent="0.25" r="650" customHeight="1" ht="17.25">
      <c r="A650" s="41" t="s">
        <v>1359</v>
      </c>
      <c r="B650" s="28">
        <v>2</v>
      </c>
      <c r="C650" s="35">
        <v>831</v>
      </c>
      <c r="D650" s="29" t="s">
        <v>313</v>
      </c>
      <c r="E650" s="30" t="s">
        <v>54</v>
      </c>
      <c r="F650" s="31">
        <v>44905</v>
      </c>
      <c r="G650" s="40">
        <v>4.684027777777778</v>
      </c>
      <c r="H650" s="31">
        <v>44904</v>
      </c>
      <c r="I650" s="32">
        <v>4.6506944444444445</v>
      </c>
      <c r="J650" s="33">
        <f>F650-H650</f>
      </c>
      <c r="K650" s="28">
        <v>40</v>
      </c>
      <c r="L650" s="28">
        <v>3</v>
      </c>
      <c r="M650" s="28">
        <v>1</v>
      </c>
      <c r="N650" s="34"/>
      <c r="O650" s="34"/>
      <c r="P650" s="34"/>
      <c r="Q650" s="34"/>
      <c r="R650" s="34"/>
      <c r="S650" s="34"/>
      <c r="T650" s="34"/>
      <c r="U650" s="34"/>
      <c r="V650" s="34"/>
      <c r="W650" s="29"/>
      <c r="X650" s="28">
        <v>29</v>
      </c>
      <c r="Y650" s="28">
        <v>1</v>
      </c>
      <c r="Z650" s="28">
        <v>1</v>
      </c>
      <c r="AA650" s="28">
        <v>2</v>
      </c>
      <c r="AB650" s="28">
        <v>1</v>
      </c>
      <c r="AC650" s="28">
        <v>2</v>
      </c>
      <c r="AD650" s="28">
        <v>2</v>
      </c>
      <c r="AE650" s="28">
        <v>4</v>
      </c>
      <c r="AF650" s="28">
        <v>2</v>
      </c>
      <c r="AG650" s="28">
        <v>2</v>
      </c>
      <c r="AH650" s="29" t="s">
        <v>1360</v>
      </c>
      <c r="AI650" s="36">
        <f>IF(OR(AND(K650&lt;32, J650&lt;2), O650=1, P650=1, Q650=1, R650=1, S650=1, T650=1, U650=1, AND(W650&lt;&gt;"", W650&lt;&gt;"Oxygen", W650&lt;&gt;"LowFlow")), "Intensive", "Intermediate")</f>
      </c>
      <c r="AJ650" s="37">
        <f>IF(OR(LEFT(AH650, 1)="X", LEFT(AH650, 1)="Y", LEFT(AH650, 3)="J6M"), "CUSM", "No Match")</f>
      </c>
      <c r="AK650" s="37">
        <f>IF(AND(OR(O650=3, P650=1, Q650=1, T650=1), AJ650="no Match"), "CUSM, CHU SJ, CHUQ", "")</f>
      </c>
      <c r="AL650" s="37">
        <f>IF(AND(O650=2, ISBLANK(P650), ISBLANK(Q650), ISBLANK(R650), ISBLANK(S650), ISBLANK(T650)), "CUSM, CHU SJ, CHUS, CHUQ", "")</f>
      </c>
      <c r="AM650" s="37">
        <f>IF(AND(AJ650="no match", AK650="", AL650="", K650&lt;26), "CUSM, CHU SJ, HGJ, CHUQ, CHUS", "")</f>
      </c>
      <c r="AN650" s="37">
        <f>IF(AND(AJ650="no match", AK650="", AL650="", K650&gt;26), "CUSM, CHU SJ, HGJ, CHUQ, CHUS, HMR", "")</f>
      </c>
    </row>
    <row x14ac:dyDescent="0.25" r="651" customHeight="1" ht="17.25">
      <c r="A651" s="41" t="s">
        <v>1361</v>
      </c>
      <c r="B651" s="28">
        <v>2</v>
      </c>
      <c r="C651" s="35">
        <v>730</v>
      </c>
      <c r="D651" s="29" t="s">
        <v>81</v>
      </c>
      <c r="E651" s="30" t="s">
        <v>50</v>
      </c>
      <c r="F651" s="31">
        <v>44905</v>
      </c>
      <c r="G651" s="32">
        <v>4.607638888888889</v>
      </c>
      <c r="H651" s="31">
        <v>44902</v>
      </c>
      <c r="I651" s="32">
        <v>4.909722222222222</v>
      </c>
      <c r="J651" s="33">
        <f>F651-H651</f>
      </c>
      <c r="K651" s="28">
        <v>39</v>
      </c>
      <c r="L651" s="28">
        <v>0</v>
      </c>
      <c r="M651" s="28">
        <v>2</v>
      </c>
      <c r="N651" s="38"/>
      <c r="O651" s="38"/>
      <c r="P651" s="38"/>
      <c r="Q651" s="34"/>
      <c r="R651" s="34"/>
      <c r="S651" s="34"/>
      <c r="T651" s="34"/>
      <c r="U651" s="34"/>
      <c r="V651" s="34"/>
      <c r="W651" s="29"/>
      <c r="X651" s="28">
        <v>37</v>
      </c>
      <c r="Y651" s="28">
        <v>1</v>
      </c>
      <c r="Z651" s="28">
        <v>1</v>
      </c>
      <c r="AA651" s="28">
        <v>2</v>
      </c>
      <c r="AB651" s="28">
        <v>1</v>
      </c>
      <c r="AC651" s="28">
        <v>2</v>
      </c>
      <c r="AD651" s="28">
        <v>2</v>
      </c>
      <c r="AE651" s="28">
        <v>4</v>
      </c>
      <c r="AF651" s="28">
        <v>2</v>
      </c>
      <c r="AG651" s="28">
        <v>2</v>
      </c>
      <c r="AH651" s="29" t="s">
        <v>1362</v>
      </c>
      <c r="AI651" s="36">
        <f>IF(OR(AND(K651&lt;32, J651&lt;2), O651=1, P651=1, Q651=1, R651=1, S651=1, T651=1, U651=1, AND(W651&lt;&gt;"", W651&lt;&gt;"Oxygen", W651&lt;&gt;"LowFlow")), "Intensive", "Intermediate")</f>
      </c>
      <c r="AJ651" s="37">
        <f>IF(OR(LEFT(AH651, 1)="X", LEFT(AH651, 1)="Y", LEFT(AH651, 3)="J7M"), "CUSM", "No Match")</f>
      </c>
      <c r="AK651" s="37">
        <f>IF(AND(OR(O651=3, P651=1, Q651=1, T651=1), AJ651="no Match"), "CUSM, CHU SJ, CHUQ", "")</f>
      </c>
      <c r="AL651" s="37">
        <f>IF(AND(O651=2, ISBLANK(P651), ISBLANK(Q651), ISBLANK(R651), ISBLANK(S651), ISBLANK(T651)), "CUSM, CHU SJ, CHUS, CHUQ", "")</f>
      </c>
      <c r="AM651" s="37">
        <f>IF(AND(AJ651="no match", AK651="", AL651="", K651&lt;26), "CUSM, CHU SJ, HGJ, CHUQ, CHUS", "")</f>
      </c>
      <c r="AN651" s="37">
        <f>IF(AND(AJ651="no match", AK651="", AL651="", K651&gt;26), "CUSM, CHU SJ, HGJ, CHUQ, CHUS, HMR", "")</f>
      </c>
    </row>
    <row x14ac:dyDescent="0.25" r="652" customHeight="1" ht="17.25">
      <c r="A652" s="41" t="s">
        <v>1363</v>
      </c>
      <c r="B652" s="28">
        <v>2</v>
      </c>
      <c r="C652" s="35">
        <v>730</v>
      </c>
      <c r="D652" s="29" t="s">
        <v>81</v>
      </c>
      <c r="E652" s="30" t="s">
        <v>50</v>
      </c>
      <c r="F652" s="31">
        <v>44905</v>
      </c>
      <c r="G652" s="32">
        <v>4.364583333333334</v>
      </c>
      <c r="H652" s="31">
        <v>44905</v>
      </c>
      <c r="I652" s="32">
        <v>4.136111111111111</v>
      </c>
      <c r="J652" s="33">
        <f>F652-H652</f>
      </c>
      <c r="K652" s="28">
        <v>38</v>
      </c>
      <c r="L652" s="28">
        <v>6</v>
      </c>
      <c r="M652" s="28">
        <v>2</v>
      </c>
      <c r="N652" s="34"/>
      <c r="O652" s="34"/>
      <c r="P652" s="34"/>
      <c r="Q652" s="34"/>
      <c r="R652" s="34"/>
      <c r="S652" s="34"/>
      <c r="T652" s="34"/>
      <c r="U652" s="34"/>
      <c r="V652" s="34"/>
      <c r="W652" s="29" t="s">
        <v>74</v>
      </c>
      <c r="X652" s="28">
        <v>35</v>
      </c>
      <c r="Y652" s="28">
        <v>1</v>
      </c>
      <c r="Z652" s="28">
        <v>2</v>
      </c>
      <c r="AA652" s="28">
        <v>1</v>
      </c>
      <c r="AB652" s="28">
        <v>1</v>
      </c>
      <c r="AC652" s="28">
        <v>2</v>
      </c>
      <c r="AD652" s="28">
        <v>1</v>
      </c>
      <c r="AE652" s="28">
        <v>4</v>
      </c>
      <c r="AF652" s="28">
        <v>3</v>
      </c>
      <c r="AG652" s="28">
        <v>2</v>
      </c>
      <c r="AH652" s="29" t="s">
        <v>1364</v>
      </c>
      <c r="AI652" s="36">
        <f>IF(OR(AND(K652&lt;32, J652&lt;2), O652=1, P652=1, Q652=1, R652=1, S652=1, T652=1, U652=1, AND(W652&lt;&gt;"", W652&lt;&gt;"Oxygen", W652&lt;&gt;"LowFlow")), "Intensive", "Intermediate")</f>
      </c>
      <c r="AJ652" s="37">
        <f>IF(OR(LEFT(AH652, 1)="X", LEFT(AH652, 1)="Y", LEFT(AH652, 3)="J8M"), "CUSM", "No Match")</f>
      </c>
      <c r="AK652" s="37">
        <f>IF(AND(OR(O652=3, P652=1, Q652=1, T652=1), AJ652="no Match"), "CUSM, CHU SJ, CHUQ", "")</f>
      </c>
      <c r="AL652" s="37">
        <f>IF(AND(O652=2, ISBLANK(P652), ISBLANK(Q652), ISBLANK(R652), ISBLANK(S652), ISBLANK(T652)), "CUSM, CHU SJ, CHUS, CHUQ", "")</f>
      </c>
      <c r="AM652" s="37">
        <f>IF(AND(AJ652="no match", AK652="", AL652="", K652&lt;26), "CUSM, CHU SJ, HGJ, CHUQ, CHUS", "")</f>
      </c>
      <c r="AN652" s="37">
        <f>IF(AND(AJ652="no match", AK652="", AL652="", K652&gt;26), "CUSM, CHU SJ, HGJ, CHUQ, CHUS, HMR", "")</f>
      </c>
    </row>
    <row x14ac:dyDescent="0.25" r="653" customHeight="1" ht="17.25">
      <c r="A653" s="41" t="s">
        <v>1365</v>
      </c>
      <c r="B653" s="28">
        <v>2</v>
      </c>
      <c r="C653" s="35">
        <v>820</v>
      </c>
      <c r="D653" s="29" t="s">
        <v>69</v>
      </c>
      <c r="E653" s="30" t="s">
        <v>50</v>
      </c>
      <c r="F653" s="31">
        <v>44907</v>
      </c>
      <c r="G653" s="32">
        <v>4.898611111111111</v>
      </c>
      <c r="H653" s="31">
        <v>44906</v>
      </c>
      <c r="I653" s="32">
        <v>4.051388888888889</v>
      </c>
      <c r="J653" s="33">
        <f>F653-H653</f>
      </c>
      <c r="K653" s="28">
        <v>38</v>
      </c>
      <c r="L653" s="28">
        <v>1</v>
      </c>
      <c r="M653" s="28">
        <v>1</v>
      </c>
      <c r="N653" s="34"/>
      <c r="O653" s="34"/>
      <c r="P653" s="34"/>
      <c r="Q653" s="34"/>
      <c r="R653" s="34"/>
      <c r="S653" s="34"/>
      <c r="T653" s="34"/>
      <c r="U653" s="34"/>
      <c r="V653" s="34"/>
      <c r="W653" s="29"/>
      <c r="X653" s="28">
        <v>38</v>
      </c>
      <c r="Y653" s="28">
        <v>1</v>
      </c>
      <c r="Z653" s="28">
        <v>1</v>
      </c>
      <c r="AA653" s="28">
        <v>2</v>
      </c>
      <c r="AB653" s="28">
        <v>1</v>
      </c>
      <c r="AC653" s="28">
        <v>2</v>
      </c>
      <c r="AD653" s="28">
        <v>1</v>
      </c>
      <c r="AE653" s="28">
        <v>4</v>
      </c>
      <c r="AF653" s="28">
        <v>2</v>
      </c>
      <c r="AG653" s="28">
        <v>2</v>
      </c>
      <c r="AH653" s="29" t="s">
        <v>1366</v>
      </c>
      <c r="AI653" s="36">
        <f>IF(OR(AND(K653&lt;32, J653&lt;2), O653=1, P653=1, Q653=1, R653=1, S653=1, T653=1, U653=1, AND(W653&lt;&gt;"", W653&lt;&gt;"Oxygen", W653&lt;&gt;"LowFlow")), "Intensive", "Intermediate")</f>
      </c>
      <c r="AJ653" s="37">
        <f>IF(OR(LEFT(AH653, 1)="X", LEFT(AH653, 1)="Y", LEFT(AH653, 3)="J9M"), "CUSM", "No Match")</f>
      </c>
      <c r="AK653" s="37">
        <f>IF(AND(OR(O653=3, P653=1, Q653=1, T653=1), AJ653="no Match"), "CUSM, CHU SJ, CHUQ", "")</f>
      </c>
      <c r="AL653" s="37">
        <f>IF(AND(O653=2, ISBLANK(P653), ISBLANK(Q653), ISBLANK(R653), ISBLANK(S653), ISBLANK(T653)), "CUSM, CHU SJ, CHUS, CHUQ", "")</f>
      </c>
      <c r="AM653" s="37">
        <f>IF(AND(AJ653="no match", AK653="", AL653="", K653&lt;26), "CUSM, CHU SJ, HGJ, CHUQ, CHUS", "")</f>
      </c>
      <c r="AN653" s="37">
        <f>IF(AND(AJ653="no match", AK653="", AL653="", K653&gt;26), "CUSM, CHU SJ, HGJ, CHUQ, CHUS, HMR", "")</f>
      </c>
    </row>
    <row x14ac:dyDescent="0.25" r="654" customHeight="1" ht="17.25">
      <c r="A654" s="41" t="s">
        <v>1367</v>
      </c>
      <c r="B654" s="28">
        <v>2</v>
      </c>
      <c r="C654" s="28">
        <v>820</v>
      </c>
      <c r="D654" s="29" t="s">
        <v>69</v>
      </c>
      <c r="E654" s="30" t="s">
        <v>220</v>
      </c>
      <c r="F654" s="31">
        <v>44907</v>
      </c>
      <c r="G654" s="32">
        <v>4.6097222222222225</v>
      </c>
      <c r="H654" s="31">
        <v>44906</v>
      </c>
      <c r="I654" s="32">
        <v>4.26875</v>
      </c>
      <c r="J654" s="33">
        <f>F654-H654</f>
      </c>
      <c r="K654" s="28">
        <v>33</v>
      </c>
      <c r="L654" s="28">
        <v>0</v>
      </c>
      <c r="M654" s="28">
        <v>1</v>
      </c>
      <c r="N654" s="34"/>
      <c r="O654" s="34"/>
      <c r="P654" s="34"/>
      <c r="Q654" s="34"/>
      <c r="R654" s="34"/>
      <c r="S654" s="34"/>
      <c r="T654" s="34"/>
      <c r="U654" s="34"/>
      <c r="V654" s="34"/>
      <c r="W654" s="29" t="s">
        <v>74</v>
      </c>
      <c r="X654" s="28">
        <v>30</v>
      </c>
      <c r="Y654" s="28">
        <v>1</v>
      </c>
      <c r="Z654" s="28">
        <v>1</v>
      </c>
      <c r="AA654" s="28">
        <v>1</v>
      </c>
      <c r="AB654" s="28">
        <v>1</v>
      </c>
      <c r="AC654" s="28">
        <v>2</v>
      </c>
      <c r="AD654" s="28">
        <v>1</v>
      </c>
      <c r="AE654" s="28">
        <v>4</v>
      </c>
      <c r="AF654" s="28">
        <v>2</v>
      </c>
      <c r="AG654" s="28">
        <v>2</v>
      </c>
      <c r="AH654" s="29" t="s">
        <v>1368</v>
      </c>
      <c r="AI654" s="36">
        <f>IF(OR(AND(K654&lt;32, J654&lt;2), O654=1, P654=1, Q654=1, R654=1, S654=1, T654=1, U654=1, AND(W654&lt;&gt;"", W654&lt;&gt;"Oxygen", W654&lt;&gt;"LowFlow")), "Intensive", "Intermediate")</f>
      </c>
      <c r="AJ654" s="37">
        <f>IF(OR(LEFT(AH654, 1)="X", LEFT(AH654, 1)="Y", LEFT(AH654, 3)="J10M"), "CUSM", "No Match")</f>
      </c>
      <c r="AK654" s="37">
        <f>IF(AND(OR(O654=3, P654=1, Q654=1, T654=1), AJ654="no Match"), "CUSM, CHU SJ, CHUQ", "")</f>
      </c>
      <c r="AL654" s="37">
        <f>IF(AND(O654=2, ISBLANK(P654), ISBLANK(Q654), ISBLANK(R654), ISBLANK(S654), ISBLANK(T654)), "CUSM, CHU SJ, CHUS, CHUQ", "")</f>
      </c>
      <c r="AM654" s="37">
        <f>IF(AND(AJ654="no match", AK654="", AL654="", K654&lt;26), "CUSM, CHU SJ, HGJ, CHUQ, CHUS", "")</f>
      </c>
      <c r="AN654" s="37">
        <f>IF(AND(AJ654="no match", AK654="", AL654="", K654&gt;26), "CUSM, CHU SJ, HGJ, CHUQ, CHUS, HMR", "")</f>
      </c>
    </row>
    <row x14ac:dyDescent="0.25" r="655" customHeight="1" ht="17.25">
      <c r="A655" s="41" t="s">
        <v>1369</v>
      </c>
      <c r="B655" s="28">
        <v>2</v>
      </c>
      <c r="C655" s="28">
        <v>820</v>
      </c>
      <c r="D655" s="29" t="s">
        <v>69</v>
      </c>
      <c r="E655" s="30" t="s">
        <v>50</v>
      </c>
      <c r="F655" s="31">
        <v>44908</v>
      </c>
      <c r="G655" s="32">
        <v>4.805555555555555</v>
      </c>
      <c r="H655" s="31">
        <v>44907</v>
      </c>
      <c r="I655" s="32">
        <v>4.375</v>
      </c>
      <c r="J655" s="33">
        <f>F655-H655</f>
      </c>
      <c r="K655" s="28">
        <v>38</v>
      </c>
      <c r="L655" s="28">
        <v>0</v>
      </c>
      <c r="M655" s="28">
        <v>1</v>
      </c>
      <c r="N655" s="34"/>
      <c r="O655" s="34"/>
      <c r="P655" s="34"/>
      <c r="Q655" s="34"/>
      <c r="R655" s="34"/>
      <c r="S655" s="34"/>
      <c r="T655" s="34"/>
      <c r="U655" s="34"/>
      <c r="V655" s="34"/>
      <c r="W655" s="29"/>
      <c r="X655" s="28">
        <v>31</v>
      </c>
      <c r="Y655" s="28">
        <v>1</v>
      </c>
      <c r="Z655" s="28">
        <v>1</v>
      </c>
      <c r="AA655" s="28">
        <v>2</v>
      </c>
      <c r="AB655" s="28">
        <v>1</v>
      </c>
      <c r="AC655" s="28">
        <v>2</v>
      </c>
      <c r="AD655" s="28">
        <v>2</v>
      </c>
      <c r="AE655" s="28">
        <v>4</v>
      </c>
      <c r="AF655" s="28">
        <v>2</v>
      </c>
      <c r="AG655" s="28">
        <v>2</v>
      </c>
      <c r="AH655" s="29" t="s">
        <v>1370</v>
      </c>
      <c r="AI655" s="36">
        <f>IF(OR(AND(K655&lt;32, J655&lt;2), O655=1, P655=1, Q655=1, R655=1, S655=1, T655=1, U655=1, AND(W655&lt;&gt;"", W655&lt;&gt;"Oxygen", W655&lt;&gt;"LowFlow")), "Intensive", "Intermediate")</f>
      </c>
      <c r="AJ655" s="37">
        <f>IF(OR(LEFT(AH655, 1)="X", LEFT(AH655, 1)="Y", LEFT(AH655, 3)="J11M"), "CUSM", "No Match")</f>
      </c>
      <c r="AK655" s="37">
        <f>IF(AND(OR(O655=3, P655=1, Q655=1, T655=1), AJ655="no Match"), "CUSM, CHU SJ, CHUQ", "")</f>
      </c>
      <c r="AL655" s="37">
        <f>IF(AND(O655=2, ISBLANK(P655), ISBLANK(Q655), ISBLANK(R655), ISBLANK(S655), ISBLANK(T655)), "CUSM, CHU SJ, CHUS, CHUQ", "")</f>
      </c>
      <c r="AM655" s="37">
        <f>IF(AND(AJ655="no match", AK655="", AL655="", K655&lt;26), "CUSM, CHU SJ, HGJ, CHUQ, CHUS", "")</f>
      </c>
      <c r="AN655" s="37">
        <f>IF(AND(AJ655="no match", AK655="", AL655="", K655&gt;26), "CUSM, CHU SJ, HGJ, CHUQ, CHUS, HMR", "")</f>
      </c>
    </row>
    <row x14ac:dyDescent="0.25" r="656" customHeight="1" ht="17.25">
      <c r="A656" s="41" t="s">
        <v>1371</v>
      </c>
      <c r="B656" s="28">
        <v>2</v>
      </c>
      <c r="C656" s="28">
        <v>820</v>
      </c>
      <c r="D656" s="29" t="s">
        <v>69</v>
      </c>
      <c r="E656" s="30" t="s">
        <v>50</v>
      </c>
      <c r="F656" s="31">
        <v>44908</v>
      </c>
      <c r="G656" s="32">
        <v>4.625</v>
      </c>
      <c r="H656" s="31">
        <v>44908</v>
      </c>
      <c r="I656" s="32">
        <v>4.356944444444444</v>
      </c>
      <c r="J656" s="33">
        <f>F656-H656</f>
      </c>
      <c r="K656" s="28">
        <v>39</v>
      </c>
      <c r="L656" s="28">
        <v>1</v>
      </c>
      <c r="M656" s="28">
        <v>2</v>
      </c>
      <c r="N656" s="34"/>
      <c r="O656" s="34"/>
      <c r="P656" s="34"/>
      <c r="Q656" s="34"/>
      <c r="R656" s="34"/>
      <c r="S656" s="34"/>
      <c r="T656" s="38"/>
      <c r="U656" s="34"/>
      <c r="V656" s="34"/>
      <c r="W656" s="29"/>
      <c r="X656" s="28">
        <v>31</v>
      </c>
      <c r="Y656" s="28">
        <v>1</v>
      </c>
      <c r="Z656" s="28">
        <v>2</v>
      </c>
      <c r="AA656" s="28">
        <v>1</v>
      </c>
      <c r="AB656" s="28">
        <v>1</v>
      </c>
      <c r="AC656" s="28">
        <v>2</v>
      </c>
      <c r="AD656" s="28">
        <v>2</v>
      </c>
      <c r="AE656" s="28">
        <v>4</v>
      </c>
      <c r="AF656" s="28">
        <v>2</v>
      </c>
      <c r="AG656" s="28">
        <v>2</v>
      </c>
      <c r="AH656" s="29" t="s">
        <v>1372</v>
      </c>
      <c r="AI656" s="36">
        <f>IF(OR(AND(K656&lt;32, J656&lt;2), O656=1, P656=1, Q656=1, R656=1, S656=1, T656=1, U656=1, AND(W656&lt;&gt;"", W656&lt;&gt;"Oxygen", W656&lt;&gt;"LowFlow")), "Intensive", "Intermediate")</f>
      </c>
      <c r="AJ656" s="37">
        <f>IF(OR(LEFT(AH656, 1)="X", LEFT(AH656, 1)="Y", LEFT(AH656, 3)="J12M"), "CUSM", "No Match")</f>
      </c>
      <c r="AK656" s="37">
        <f>IF(AND(OR(O656=3, P656=1, Q656=1, T656=1), AJ656="no Match"), "CUSM, CHU SJ, CHUQ", "")</f>
      </c>
      <c r="AL656" s="37">
        <f>IF(AND(O656=2, ISBLANK(P656), ISBLANK(Q656), ISBLANK(R656), ISBLANK(S656), ISBLANK(T656)), "CUSM, CHU SJ, CHUS, CHUQ", "")</f>
      </c>
      <c r="AM656" s="37">
        <f>IF(AND(AJ656="no match", AK656="", AL656="", K656&lt;26), "CUSM, CHU SJ, HGJ, CHUQ, CHUS", "")</f>
      </c>
      <c r="AN656" s="37">
        <f>IF(AND(AJ656="no match", AK656="", AL656="", K656&gt;26), "CUSM, CHU SJ, HGJ, CHUQ, CHUS, HMR", "")</f>
      </c>
    </row>
    <row x14ac:dyDescent="0.25" r="657" customHeight="1" ht="17.25">
      <c r="A657" s="41" t="s">
        <v>1373</v>
      </c>
      <c r="B657" s="28">
        <v>2</v>
      </c>
      <c r="C657" s="35">
        <v>815</v>
      </c>
      <c r="D657" s="29" t="s">
        <v>100</v>
      </c>
      <c r="E657" s="30" t="s">
        <v>54</v>
      </c>
      <c r="F657" s="31">
        <v>44909</v>
      </c>
      <c r="G657" s="32">
        <v>4.614583333333334</v>
      </c>
      <c r="H657" s="31">
        <v>44908</v>
      </c>
      <c r="I657" s="32">
        <v>4.206944444444444</v>
      </c>
      <c r="J657" s="33">
        <f>F657-H657</f>
      </c>
      <c r="K657" s="28">
        <v>38</v>
      </c>
      <c r="L657" s="28">
        <v>5</v>
      </c>
      <c r="M657" s="28">
        <v>1</v>
      </c>
      <c r="N657" s="34"/>
      <c r="O657" s="34"/>
      <c r="P657" s="34"/>
      <c r="Q657" s="34"/>
      <c r="R657" s="34"/>
      <c r="S657" s="34"/>
      <c r="T657" s="34"/>
      <c r="U657" s="34"/>
      <c r="V657" s="34"/>
      <c r="W657" s="29"/>
      <c r="X657" s="28">
        <v>33</v>
      </c>
      <c r="Y657" s="28">
        <v>1</v>
      </c>
      <c r="Z657" s="28">
        <v>1</v>
      </c>
      <c r="AA657" s="28">
        <v>1</v>
      </c>
      <c r="AB657" s="28">
        <v>1</v>
      </c>
      <c r="AC657" s="28">
        <v>2</v>
      </c>
      <c r="AD657" s="28">
        <v>2</v>
      </c>
      <c r="AE657" s="28">
        <v>4</v>
      </c>
      <c r="AF657" s="28">
        <v>2</v>
      </c>
      <c r="AG657" s="28">
        <v>2</v>
      </c>
      <c r="AH657" s="29" t="s">
        <v>1374</v>
      </c>
      <c r="AI657" s="36">
        <f>IF(OR(AND(K657&lt;32, J657&lt;2), O657=1, P657=1, Q657=1, R657=1, S657=1, T657=1, U657=1, AND(W657&lt;&gt;"", W657&lt;&gt;"Oxygen", W657&lt;&gt;"LowFlow")), "Intensive", "Intermediate")</f>
      </c>
      <c r="AJ657" s="37">
        <f>IF(OR(LEFT(AH657, 1)="X", LEFT(AH657, 1)="Y", LEFT(AH657, 3)="J13M"), "CUSM", "No Match")</f>
      </c>
      <c r="AK657" s="37">
        <f>IF(AND(OR(O657=3, P657=1, Q657=1, T657=1), AJ657="no Match"), "CUSM, CHU SJ, CHUQ", "")</f>
      </c>
      <c r="AL657" s="37">
        <f>IF(AND(O657=2, ISBLANK(P657), ISBLANK(Q657), ISBLANK(R657), ISBLANK(S657), ISBLANK(T657)), "CUSM, CHU SJ, CHUS, CHUQ", "")</f>
      </c>
      <c r="AM657" s="37">
        <f>IF(AND(AJ657="no match", AK657="", AL657="", K657&lt;26), "CUSM, CHU SJ, HGJ, CHUQ, CHUS", "")</f>
      </c>
      <c r="AN657" s="37">
        <f>IF(AND(AJ657="no match", AK657="", AL657="", K657&gt;26), "CUSM, CHU SJ, HGJ, CHUQ, CHUS, HMR", "")</f>
      </c>
    </row>
    <row x14ac:dyDescent="0.25" r="658" customHeight="1" ht="17.25">
      <c r="A658" s="41" t="s">
        <v>1375</v>
      </c>
      <c r="B658" s="28">
        <v>2</v>
      </c>
      <c r="C658" s="35">
        <v>779</v>
      </c>
      <c r="D658" s="29" t="s">
        <v>136</v>
      </c>
      <c r="E658" s="30" t="s">
        <v>54</v>
      </c>
      <c r="F658" s="31">
        <v>44909</v>
      </c>
      <c r="G658" s="32">
        <v>4.597222222222222</v>
      </c>
      <c r="H658" s="31">
        <v>44905</v>
      </c>
      <c r="I658" s="32">
        <v>4.204861111111111</v>
      </c>
      <c r="J658" s="33">
        <f>F658-H658</f>
      </c>
      <c r="K658" s="28">
        <v>40</v>
      </c>
      <c r="L658" s="28">
        <v>0</v>
      </c>
      <c r="M658" s="28">
        <v>1</v>
      </c>
      <c r="N658" s="34"/>
      <c r="O658" s="34"/>
      <c r="P658" s="34"/>
      <c r="Q658" s="34"/>
      <c r="R658" s="34"/>
      <c r="S658" s="34"/>
      <c r="T658" s="34"/>
      <c r="U658" s="34"/>
      <c r="V658" s="34"/>
      <c r="W658" s="29"/>
      <c r="X658" s="28">
        <v>35</v>
      </c>
      <c r="Y658" s="28">
        <v>1</v>
      </c>
      <c r="Z658" s="28">
        <v>1</v>
      </c>
      <c r="AA658" s="28">
        <v>2</v>
      </c>
      <c r="AB658" s="28">
        <v>1</v>
      </c>
      <c r="AC658" s="28">
        <v>2</v>
      </c>
      <c r="AD658" s="28">
        <v>2</v>
      </c>
      <c r="AE658" s="28">
        <v>4</v>
      </c>
      <c r="AF658" s="28">
        <v>2</v>
      </c>
      <c r="AG658" s="28">
        <v>2</v>
      </c>
      <c r="AH658" s="29" t="s">
        <v>1376</v>
      </c>
      <c r="AI658" s="36">
        <f>IF(OR(AND(K658&lt;32, J658&lt;2), O658=1, P658=1, Q658=1, R658=1, S658=1, T658=1, U658=1, AND(W658&lt;&gt;"", W658&lt;&gt;"Oxygen", W658&lt;&gt;"LowFlow")), "Intensive", "Intermediate")</f>
      </c>
      <c r="AJ658" s="37">
        <f>IF(OR(LEFT(AH658, 1)="X", LEFT(AH658, 1)="Y", LEFT(AH658, 3)="J14M"), "CUSM", "No Match")</f>
      </c>
      <c r="AK658" s="37">
        <f>IF(AND(OR(O658=3, P658=1, Q658=1, T658=1), AJ658="no Match"), "CUSM, CHU SJ, CHUQ", "")</f>
      </c>
      <c r="AL658" s="37">
        <f>IF(AND(O658=2, ISBLANK(P658), ISBLANK(Q658), ISBLANK(R658), ISBLANK(S658), ISBLANK(T658)), "CUSM, CHU SJ, CHUS, CHUQ", "")</f>
      </c>
      <c r="AM658" s="37">
        <f>IF(AND(AJ658="no match", AK658="", AL658="", K658&lt;26), "CUSM, CHU SJ, HGJ, CHUQ, CHUS", "")</f>
      </c>
      <c r="AN658" s="37">
        <f>IF(AND(AJ658="no match", AK658="", AL658="", K658&gt;26), "CUSM, CHU SJ, HGJ, CHUQ, CHUS, HMR", "")</f>
      </c>
    </row>
    <row x14ac:dyDescent="0.25" r="659" customHeight="1" ht="17.25">
      <c r="A659" s="41" t="s">
        <v>1377</v>
      </c>
      <c r="B659" s="28">
        <v>2</v>
      </c>
      <c r="C659" s="28">
        <v>839</v>
      </c>
      <c r="D659" s="29" t="s">
        <v>53</v>
      </c>
      <c r="E659" s="30" t="s">
        <v>50</v>
      </c>
      <c r="F659" s="31">
        <v>44909</v>
      </c>
      <c r="G659" s="32">
        <v>4.995833333333334</v>
      </c>
      <c r="H659" s="31">
        <v>44909</v>
      </c>
      <c r="I659" s="32">
        <v>4.509722222222223</v>
      </c>
      <c r="J659" s="33">
        <f>F659-H659</f>
      </c>
      <c r="K659" s="28">
        <v>35</v>
      </c>
      <c r="L659" s="28">
        <v>3</v>
      </c>
      <c r="M659" s="28">
        <v>2</v>
      </c>
      <c r="N659" s="34"/>
      <c r="O659" s="34"/>
      <c r="P659" s="34"/>
      <c r="Q659" s="34"/>
      <c r="R659" s="34"/>
      <c r="S659" s="34"/>
      <c r="T659" s="38"/>
      <c r="U659" s="34"/>
      <c r="V659" s="34"/>
      <c r="W659" s="29" t="s">
        <v>74</v>
      </c>
      <c r="X659" s="28">
        <v>40</v>
      </c>
      <c r="Y659" s="28">
        <v>2</v>
      </c>
      <c r="Z659" s="28">
        <v>2</v>
      </c>
      <c r="AA659" s="28">
        <v>2</v>
      </c>
      <c r="AB659" s="28">
        <v>1</v>
      </c>
      <c r="AC659" s="28">
        <v>2</v>
      </c>
      <c r="AD659" s="28">
        <v>1</v>
      </c>
      <c r="AE659" s="28">
        <v>4</v>
      </c>
      <c r="AF659" s="28">
        <v>2</v>
      </c>
      <c r="AG659" s="28">
        <v>2</v>
      </c>
      <c r="AH659" s="29" t="s">
        <v>1378</v>
      </c>
      <c r="AI659" s="36">
        <f>IF(OR(AND(K659&lt;32, J659&lt;2), O659=1, P659=1, Q659=1, R659=1, S659=1, T659=1, U659=1, AND(W659&lt;&gt;"", W659&lt;&gt;"Oxygen", W659&lt;&gt;"LowFlow")), "Intensive", "Intermediate")</f>
      </c>
      <c r="AJ659" s="37">
        <f>IF(OR(LEFT(AH659, 1)="X", LEFT(AH659, 1)="Y", LEFT(AH659, 3)="J15M"), "CUSM", "No Match")</f>
      </c>
      <c r="AK659" s="37">
        <f>IF(AND(OR(O659=3, P659=1, Q659=1, T659=1), AJ659="no Match"), "CUSM, CHU SJ, CHUQ", "")</f>
      </c>
      <c r="AL659" s="37">
        <f>IF(AND(O659=2, ISBLANK(P659), ISBLANK(Q659), ISBLANK(R659), ISBLANK(S659), ISBLANK(T659)), "CUSM, CHU SJ, CHUS, CHUQ", "")</f>
      </c>
      <c r="AM659" s="37">
        <f>IF(AND(AJ659="no match", AK659="", AL659="", K659&lt;26), "CUSM, CHU SJ, HGJ, CHUQ, CHUS", "")</f>
      </c>
      <c r="AN659" s="37">
        <f>IF(AND(AJ659="no match", AK659="", AL659="", K659&gt;26), "CUSM, CHU SJ, HGJ, CHUQ, CHUS, HMR", "")</f>
      </c>
    </row>
    <row x14ac:dyDescent="0.25" r="660" customHeight="1" ht="17.25">
      <c r="A660" s="41" t="s">
        <v>1379</v>
      </c>
      <c r="B660" s="28">
        <v>2</v>
      </c>
      <c r="C660" s="28">
        <v>731</v>
      </c>
      <c r="D660" s="29" t="s">
        <v>103</v>
      </c>
      <c r="E660" s="30" t="s">
        <v>54</v>
      </c>
      <c r="F660" s="31">
        <v>44913</v>
      </c>
      <c r="G660" s="32">
        <v>4.135416666666666</v>
      </c>
      <c r="H660" s="31">
        <v>44912</v>
      </c>
      <c r="I660" s="32">
        <v>4.847222222222222</v>
      </c>
      <c r="J660" s="33">
        <f>F660-H660</f>
      </c>
      <c r="K660" s="28">
        <v>38</v>
      </c>
      <c r="L660" s="28">
        <v>2</v>
      </c>
      <c r="M660" s="28">
        <v>3</v>
      </c>
      <c r="N660" s="35">
        <v>1</v>
      </c>
      <c r="O660" s="35">
        <v>2</v>
      </c>
      <c r="P660" s="35">
        <v>1</v>
      </c>
      <c r="Q660" s="34"/>
      <c r="R660" s="34"/>
      <c r="S660" s="34"/>
      <c r="T660" s="38"/>
      <c r="U660" s="34"/>
      <c r="V660" s="34"/>
      <c r="W660" s="29"/>
      <c r="X660" s="28">
        <v>33</v>
      </c>
      <c r="Y660" s="28">
        <v>1</v>
      </c>
      <c r="Z660" s="28">
        <v>2</v>
      </c>
      <c r="AA660" s="28">
        <v>1</v>
      </c>
      <c r="AB660" s="28">
        <v>1</v>
      </c>
      <c r="AC660" s="28">
        <v>2</v>
      </c>
      <c r="AD660" s="28">
        <v>1</v>
      </c>
      <c r="AE660" s="28">
        <v>4</v>
      </c>
      <c r="AF660" s="28">
        <v>3</v>
      </c>
      <c r="AG660" s="28">
        <v>2</v>
      </c>
      <c r="AH660" s="29" t="s">
        <v>1380</v>
      </c>
      <c r="AI660" s="36">
        <f>IF(OR(AND(K660&lt;32, J660&lt;2), O660=1, P660=1, Q660=1, R660=1, S660=1, T660=1, U660=1, AND(W660&lt;&gt;"", W660&lt;&gt;"Oxygen", W660&lt;&gt;"LowFlow")), "Intensive", "Intermediate")</f>
      </c>
      <c r="AJ660" s="37">
        <f>IF(OR(LEFT(AH660, 1)="X", LEFT(AH660, 1)="Y", LEFT(AH660, 3)="J16M"), "CUSM", "No Match")</f>
      </c>
      <c r="AK660" s="37">
        <f>IF(AND(OR(O660=3, P660=1, Q660=1, T660=1), AJ660="no Match"), "CUSM, CHU SJ, CHUQ", "")</f>
      </c>
      <c r="AL660" s="37">
        <f>IF(AND(O660=2, ISBLANK(P660), ISBLANK(Q660), ISBLANK(R660), ISBLANK(S660), ISBLANK(T660)), "CUSM, CHU SJ, CHUS, CHUQ", "")</f>
      </c>
      <c r="AM660" s="37">
        <f>IF(AND(AJ660="no match", AK660="", AL660="", K660&lt;26), "CUSM, CHU SJ, HGJ, CHUQ, CHUS", "")</f>
      </c>
      <c r="AN660" s="37">
        <f>IF(AND(AJ660="no match", AK660="", AL660="", K660&gt;26), "CUSM, CHU SJ, HGJ, CHUQ, CHUS, HMR", "")</f>
      </c>
    </row>
    <row x14ac:dyDescent="0.25" r="661" customHeight="1" ht="17.25">
      <c r="A661" s="41" t="s">
        <v>1381</v>
      </c>
      <c r="B661" s="28">
        <v>2</v>
      </c>
      <c r="C661" s="28">
        <v>1019</v>
      </c>
      <c r="D661" s="29" t="s">
        <v>354</v>
      </c>
      <c r="E661" s="30" t="s">
        <v>50</v>
      </c>
      <c r="F661" s="31">
        <v>44913</v>
      </c>
      <c r="G661" s="32">
        <v>4.996527777777778</v>
      </c>
      <c r="H661" s="31">
        <v>44908</v>
      </c>
      <c r="I661" s="32">
        <v>4.502777777777778</v>
      </c>
      <c r="J661" s="33">
        <f>F661-H661</f>
      </c>
      <c r="K661" s="28">
        <v>34</v>
      </c>
      <c r="L661" s="28">
        <v>3</v>
      </c>
      <c r="M661" s="28">
        <v>2</v>
      </c>
      <c r="N661" s="35">
        <v>1</v>
      </c>
      <c r="O661" s="35">
        <v>2</v>
      </c>
      <c r="P661" s="35">
        <v>1</v>
      </c>
      <c r="Q661" s="35">
        <v>1</v>
      </c>
      <c r="R661" s="34"/>
      <c r="S661" s="34"/>
      <c r="T661" s="38"/>
      <c r="U661" s="34"/>
      <c r="V661" s="34"/>
      <c r="W661" s="29" t="s">
        <v>58</v>
      </c>
      <c r="X661" s="28">
        <v>32</v>
      </c>
      <c r="Y661" s="28">
        <v>1</v>
      </c>
      <c r="Z661" s="28">
        <v>2</v>
      </c>
      <c r="AA661" s="28">
        <v>2</v>
      </c>
      <c r="AB661" s="28">
        <v>1</v>
      </c>
      <c r="AC661" s="28">
        <v>2</v>
      </c>
      <c r="AD661" s="28">
        <v>2</v>
      </c>
      <c r="AE661" s="28">
        <v>4</v>
      </c>
      <c r="AF661" s="28">
        <v>2</v>
      </c>
      <c r="AG661" s="28">
        <v>2</v>
      </c>
      <c r="AH661" s="29" t="s">
        <v>1382</v>
      </c>
      <c r="AI661" s="36">
        <f>IF(OR(AND(K661&lt;32, J661&lt;2), O661=1, P661=1, Q661=1, R661=1, S661=1, T661=1, U661=1, AND(W661&lt;&gt;"", W661&lt;&gt;"Oxygen", W661&lt;&gt;"LowFlow")), "Intensive", "Intermediate")</f>
      </c>
      <c r="AJ661" s="37">
        <f>IF(OR(LEFT(AH661, 1)="X", LEFT(AH661, 1)="Y", LEFT(AH661, 3)="J17M"), "CUSM", "No Match")</f>
      </c>
      <c r="AK661" s="37">
        <f>IF(AND(OR(O661=3, P661=1, Q661=1, T661=1), AJ661="no Match"), "CUSM, CHU SJ, CHUQ", "")</f>
      </c>
      <c r="AL661" s="37">
        <f>IF(AND(O661=2, ISBLANK(P661), ISBLANK(Q661), ISBLANK(R661), ISBLANK(S661), ISBLANK(T661)), "CUSM, CHU SJ, CHUS, CHUQ", "")</f>
      </c>
      <c r="AM661" s="37">
        <f>IF(AND(AJ661="no match", AK661="", AL661="", K661&lt;26), "CUSM, CHU SJ, HGJ, CHUQ, CHUS", "")</f>
      </c>
      <c r="AN661" s="37">
        <f>IF(AND(AJ661="no match", AK661="", AL661="", K661&gt;26), "CUSM, CHU SJ, HGJ, CHUQ, CHUS, HMR", "")</f>
      </c>
    </row>
    <row x14ac:dyDescent="0.25" r="662" customHeight="1" ht="17.25">
      <c r="A662" s="41" t="s">
        <v>1383</v>
      </c>
      <c r="B662" s="28">
        <v>2</v>
      </c>
      <c r="C662" s="35">
        <v>796</v>
      </c>
      <c r="D662" s="29" t="s">
        <v>63</v>
      </c>
      <c r="E662" s="30" t="s">
        <v>54</v>
      </c>
      <c r="F662" s="31">
        <v>44914</v>
      </c>
      <c r="G662" s="32">
        <v>4</v>
      </c>
      <c r="H662" s="31">
        <v>44913</v>
      </c>
      <c r="I662" s="32">
        <v>4.760416666666666</v>
      </c>
      <c r="J662" s="33">
        <f>F662-H662</f>
      </c>
      <c r="K662" s="28">
        <v>39</v>
      </c>
      <c r="L662" s="28">
        <v>6</v>
      </c>
      <c r="M662" s="28">
        <v>1</v>
      </c>
      <c r="N662" s="34"/>
      <c r="O662" s="34"/>
      <c r="P662" s="34"/>
      <c r="Q662" s="34"/>
      <c r="R662" s="34"/>
      <c r="S662" s="34"/>
      <c r="T662" s="34"/>
      <c r="U662" s="34"/>
      <c r="V662" s="34"/>
      <c r="W662" s="29"/>
      <c r="X662" s="28">
        <v>33</v>
      </c>
      <c r="Y662" s="28">
        <v>1</v>
      </c>
      <c r="Z662" s="28">
        <v>2</v>
      </c>
      <c r="AA662" s="28">
        <v>1</v>
      </c>
      <c r="AB662" s="28">
        <v>1</v>
      </c>
      <c r="AC662" s="28">
        <v>2</v>
      </c>
      <c r="AD662" s="28">
        <v>1</v>
      </c>
      <c r="AE662" s="28">
        <v>4</v>
      </c>
      <c r="AF662" s="28">
        <v>2</v>
      </c>
      <c r="AG662" s="28">
        <v>2</v>
      </c>
      <c r="AH662" s="29" t="s">
        <v>1384</v>
      </c>
      <c r="AI662" s="36">
        <f>IF(OR(AND(K662&lt;32, J662&lt;2), O662=1, P662=1, Q662=1, R662=1, S662=1, T662=1, U662=1, AND(W662&lt;&gt;"", W662&lt;&gt;"Oxygen", W662&lt;&gt;"LowFlow")), "Intensive", "Intermediate")</f>
      </c>
      <c r="AJ662" s="37">
        <f>IF(OR(LEFT(AH662, 1)="X", LEFT(AH662, 1)="Y", LEFT(AH662, 3)="J18M"), "CUSM", "No Match")</f>
      </c>
      <c r="AK662" s="37">
        <f>IF(AND(OR(O662=3, P662=1, Q662=1, T662=1), AJ662="no Match"), "CUSM, CHU SJ, CHUQ", "")</f>
      </c>
      <c r="AL662" s="37">
        <f>IF(AND(O662=2, ISBLANK(P662), ISBLANK(Q662), ISBLANK(R662), ISBLANK(S662), ISBLANK(T662)), "CUSM, CHU SJ, CHUS, CHUQ", "")</f>
      </c>
      <c r="AM662" s="37">
        <f>IF(AND(AJ662="no match", AK662="", AL662="", K662&lt;26), "CUSM, CHU SJ, HGJ, CHUQ, CHUS", "")</f>
      </c>
      <c r="AN662" s="37">
        <f>IF(AND(AJ662="no match", AK662="", AL662="", K662&gt;26), "CUSM, CHU SJ, HGJ, CHUQ, CHUS, HMR", "")</f>
      </c>
    </row>
    <row x14ac:dyDescent="0.25" r="663" customHeight="1" ht="17.25">
      <c r="A663" s="41" t="s">
        <v>1385</v>
      </c>
      <c r="B663" s="28">
        <v>2</v>
      </c>
      <c r="C663" s="28">
        <v>734</v>
      </c>
      <c r="D663" s="29" t="s">
        <v>264</v>
      </c>
      <c r="E663" s="30" t="s">
        <v>50</v>
      </c>
      <c r="F663" s="31">
        <v>44914</v>
      </c>
      <c r="G663" s="32">
        <v>4.857638888888889</v>
      </c>
      <c r="H663" s="31">
        <v>44914</v>
      </c>
      <c r="I663" s="32">
        <v>4.704861111111111</v>
      </c>
      <c r="J663" s="33">
        <f>F663-H663</f>
      </c>
      <c r="K663" s="28">
        <v>30</v>
      </c>
      <c r="L663" s="28">
        <v>2</v>
      </c>
      <c r="M663" s="28">
        <v>2</v>
      </c>
      <c r="N663" s="38"/>
      <c r="O663" s="38"/>
      <c r="P663" s="34"/>
      <c r="Q663" s="34"/>
      <c r="R663" s="34"/>
      <c r="S663" s="34"/>
      <c r="T663" s="34"/>
      <c r="U663" s="34"/>
      <c r="V663" s="34"/>
      <c r="W663" s="29" t="s">
        <v>58</v>
      </c>
      <c r="X663" s="28">
        <v>39</v>
      </c>
      <c r="Y663" s="28">
        <v>1</v>
      </c>
      <c r="Z663" s="28">
        <v>2</v>
      </c>
      <c r="AA663" s="28">
        <v>3</v>
      </c>
      <c r="AB663" s="28">
        <v>1</v>
      </c>
      <c r="AC663" s="28">
        <v>2</v>
      </c>
      <c r="AD663" s="28">
        <v>1</v>
      </c>
      <c r="AE663" s="28">
        <v>4</v>
      </c>
      <c r="AF663" s="28">
        <v>3</v>
      </c>
      <c r="AG663" s="28">
        <v>2</v>
      </c>
      <c r="AH663" s="29" t="s">
        <v>1386</v>
      </c>
      <c r="AI663" s="36">
        <f>IF(OR(AND(K663&lt;32, J663&lt;2), O663=1, P663=1, Q663=1, R663=1, S663=1, T663=1, U663=1, AND(W663&lt;&gt;"", W663&lt;&gt;"Oxygen", W663&lt;&gt;"LowFlow")), "Intensive", "Intermediate")</f>
      </c>
      <c r="AJ663" s="37">
        <f>IF(OR(LEFT(AH663, 1)="X", LEFT(AH663, 1)="Y", LEFT(AH663, 3)="J19M"), "CUSM", "No Match")</f>
      </c>
      <c r="AK663" s="37">
        <f>IF(AND(OR(O663=3, P663=1, Q663=1, T663=1), AJ663="no Match"), "CUSM, CHU SJ, CHUQ", "")</f>
      </c>
      <c r="AL663" s="37">
        <f>IF(AND(O663=2, ISBLANK(P663), ISBLANK(Q663), ISBLANK(R663), ISBLANK(S663), ISBLANK(T663)), "CUSM, CHU SJ, CHUS, CHUQ", "")</f>
      </c>
      <c r="AM663" s="37">
        <f>IF(AND(AJ663="no match", AK663="", AL663="", K663&lt;26), "CUSM, CHU SJ, HGJ, CHUQ, CHUS", "")</f>
      </c>
      <c r="AN663" s="37">
        <f>IF(AND(AJ663="no match", AK663="", AL663="", K663&gt;26), "CUSM, CHU SJ, HGJ, CHUQ, CHUS, HMR", "")</f>
      </c>
    </row>
    <row x14ac:dyDescent="0.25" r="664" customHeight="1" ht="17.25">
      <c r="A664" s="41" t="s">
        <v>1387</v>
      </c>
      <c r="B664" s="28">
        <v>2</v>
      </c>
      <c r="C664" s="28">
        <v>731</v>
      </c>
      <c r="D664" s="29" t="s">
        <v>103</v>
      </c>
      <c r="E664" s="30" t="s">
        <v>54</v>
      </c>
      <c r="F664" s="31">
        <v>44915</v>
      </c>
      <c r="G664" s="32">
        <v>4.645833333333334</v>
      </c>
      <c r="H664" s="31">
        <v>44885</v>
      </c>
      <c r="I664" s="32">
        <v>4.940277777777778</v>
      </c>
      <c r="J664" s="33">
        <f>F664-H664</f>
      </c>
      <c r="K664" s="28">
        <v>36</v>
      </c>
      <c r="L664" s="28">
        <v>1</v>
      </c>
      <c r="M664" s="28">
        <v>1</v>
      </c>
      <c r="N664" s="35">
        <v>1</v>
      </c>
      <c r="O664" s="34"/>
      <c r="P664" s="35">
        <v>1</v>
      </c>
      <c r="Q664" s="34"/>
      <c r="R664" s="34"/>
      <c r="S664" s="34"/>
      <c r="T664" s="34"/>
      <c r="U664" s="34"/>
      <c r="V664" s="34"/>
      <c r="W664" s="29"/>
      <c r="X664" s="28">
        <v>26</v>
      </c>
      <c r="Y664" s="28">
        <v>1</v>
      </c>
      <c r="Z664" s="28">
        <v>1</v>
      </c>
      <c r="AA664" s="28">
        <v>1</v>
      </c>
      <c r="AB664" s="28">
        <v>1</v>
      </c>
      <c r="AC664" s="28">
        <v>2</v>
      </c>
      <c r="AD664" s="28">
        <v>2</v>
      </c>
      <c r="AE664" s="28">
        <v>4</v>
      </c>
      <c r="AF664" s="28">
        <v>3</v>
      </c>
      <c r="AG664" s="28">
        <v>2</v>
      </c>
      <c r="AH664" s="29" t="s">
        <v>1388</v>
      </c>
      <c r="AI664" s="36">
        <f>IF(OR(AND(K664&lt;32, J664&lt;2), O664=1, P664=1, Q664=1, R664=1, S664=1, T664=1, U664=1, AND(W664&lt;&gt;"", W664&lt;&gt;"Oxygen", W664&lt;&gt;"LowFlow")), "Intensive", "Intermediate")</f>
      </c>
      <c r="AJ664" s="37">
        <f>IF(OR(LEFT(AH664, 1)="X", LEFT(AH664, 1)="Y", LEFT(AH664, 3)="J20M"), "CUSM", "No Match")</f>
      </c>
      <c r="AK664" s="37">
        <f>IF(AND(OR(O664=3, P664=1, Q664=1, T664=1), AJ664="no Match"), "CUSM, CHU SJ, CHUQ", "")</f>
      </c>
      <c r="AL664" s="37">
        <f>IF(AND(O664=2, ISBLANK(P664), ISBLANK(Q664), ISBLANK(R664), ISBLANK(S664), ISBLANK(T664)), "CUSM, CHU SJ, CHUS, CHUQ", "")</f>
      </c>
      <c r="AM664" s="37">
        <f>IF(AND(AJ664="no match", AK664="", AL664="", K664&lt;26), "CUSM, CHU SJ, HGJ, CHUQ, CHUS", "")</f>
      </c>
      <c r="AN664" s="37">
        <f>IF(AND(AJ664="no match", AK664="", AL664="", K664&gt;26), "CUSM, CHU SJ, HGJ, CHUQ, CHUS, HMR", "")</f>
      </c>
    </row>
    <row x14ac:dyDescent="0.25" r="665" customHeight="1" ht="17.25">
      <c r="A665" s="41" t="s">
        <v>1389</v>
      </c>
      <c r="B665" s="28">
        <v>2</v>
      </c>
      <c r="C665" s="35">
        <v>795</v>
      </c>
      <c r="D665" s="29" t="s">
        <v>73</v>
      </c>
      <c r="E665" s="30" t="s">
        <v>50</v>
      </c>
      <c r="F665" s="31">
        <v>44915</v>
      </c>
      <c r="G665" s="32">
        <v>4.392361111111111</v>
      </c>
      <c r="H665" s="31">
        <v>44914</v>
      </c>
      <c r="I665" s="32">
        <v>4.529861111111111</v>
      </c>
      <c r="J665" s="33">
        <f>F665-H665</f>
      </c>
      <c r="K665" s="28">
        <v>39</v>
      </c>
      <c r="L665" s="28">
        <v>3</v>
      </c>
      <c r="M665" s="28">
        <v>1</v>
      </c>
      <c r="N665" s="28">
        <v>1</v>
      </c>
      <c r="O665" s="35">
        <v>2</v>
      </c>
      <c r="P665" s="28">
        <v>1</v>
      </c>
      <c r="Q665" s="34"/>
      <c r="R665" s="34"/>
      <c r="S665" s="34"/>
      <c r="T665" s="34"/>
      <c r="U665" s="34"/>
      <c r="V665" s="34"/>
      <c r="W665" s="29" t="s">
        <v>74</v>
      </c>
      <c r="X665" s="28">
        <v>26</v>
      </c>
      <c r="Y665" s="28">
        <v>1</v>
      </c>
      <c r="Z665" s="28">
        <v>1</v>
      </c>
      <c r="AA665" s="28">
        <v>3</v>
      </c>
      <c r="AB665" s="28">
        <v>4</v>
      </c>
      <c r="AC665" s="28">
        <v>2</v>
      </c>
      <c r="AD665" s="28">
        <v>2</v>
      </c>
      <c r="AE665" s="28">
        <v>4</v>
      </c>
      <c r="AF665" s="28">
        <v>3</v>
      </c>
      <c r="AG665" s="28">
        <v>2</v>
      </c>
      <c r="AH665" s="29" t="s">
        <v>1390</v>
      </c>
      <c r="AI665" s="36">
        <f>IF(OR(AND(K665&lt;32, J665&lt;2), O665=1, P665=1, Q665=1, R665=1, S665=1, T665=1, U665=1, AND(W665&lt;&gt;"", W665&lt;&gt;"Oxygen", W665&lt;&gt;"LowFlow")), "Intensive", "Intermediate")</f>
      </c>
      <c r="AJ665" s="37">
        <f>IF(OR(LEFT(AH665, 1)="X", LEFT(AH665, 1)="Y", LEFT(AH665, 3)="J21M"), "CUSM", "No Match")</f>
      </c>
      <c r="AK665" s="37">
        <f>IF(AND(OR(O665=3, P665=1, Q665=1, T665=1), AJ665="no Match"), "CUSM, CHU SJ, CHUQ", "")</f>
      </c>
      <c r="AL665" s="37">
        <f>IF(AND(O665=2, ISBLANK(P665), ISBLANK(Q665), ISBLANK(R665), ISBLANK(S665), ISBLANK(T665)), "CUSM, CHU SJ, CHUS, CHUQ", "")</f>
      </c>
      <c r="AM665" s="37">
        <f>IF(AND(AJ665="no match", AK665="", AL665="", K665&lt;26), "CUSM, CHU SJ, HGJ, CHUQ, CHUS", "")</f>
      </c>
      <c r="AN665" s="37">
        <f>IF(AND(AJ665="no match", AK665="", AL665="", K665&gt;26), "CUSM, CHU SJ, HGJ, CHUQ, CHUS, HMR", "")</f>
      </c>
    </row>
    <row x14ac:dyDescent="0.25" r="666" customHeight="1" ht="17.25">
      <c r="A666" s="41" t="s">
        <v>1391</v>
      </c>
      <c r="B666" s="28">
        <v>2</v>
      </c>
      <c r="C666" s="28">
        <v>832</v>
      </c>
      <c r="D666" s="29" t="s">
        <v>308</v>
      </c>
      <c r="E666" s="30" t="s">
        <v>54</v>
      </c>
      <c r="F666" s="31">
        <v>44916</v>
      </c>
      <c r="G666" s="32">
        <v>4.753472222222222</v>
      </c>
      <c r="H666" s="31">
        <v>44916</v>
      </c>
      <c r="I666" s="32">
        <v>4.480555555555556</v>
      </c>
      <c r="J666" s="33">
        <f>F666-H666</f>
      </c>
      <c r="K666" s="28">
        <v>39</v>
      </c>
      <c r="L666" s="28">
        <v>1</v>
      </c>
      <c r="M666" s="28">
        <v>2</v>
      </c>
      <c r="N666" s="35">
        <v>1</v>
      </c>
      <c r="O666" s="34"/>
      <c r="P666" s="35">
        <v>1</v>
      </c>
      <c r="Q666" s="34"/>
      <c r="R666" s="34"/>
      <c r="S666" s="34"/>
      <c r="T666" s="34"/>
      <c r="U666" s="34"/>
      <c r="V666" s="34"/>
      <c r="W666" s="29"/>
      <c r="X666" s="28">
        <v>37</v>
      </c>
      <c r="Y666" s="28">
        <v>1</v>
      </c>
      <c r="Z666" s="28">
        <v>1</v>
      </c>
      <c r="AA666" s="28">
        <v>3</v>
      </c>
      <c r="AB666" s="28">
        <v>1</v>
      </c>
      <c r="AC666" s="28">
        <v>2</v>
      </c>
      <c r="AD666" s="28">
        <v>1</v>
      </c>
      <c r="AE666" s="28">
        <v>4</v>
      </c>
      <c r="AF666" s="28">
        <v>3</v>
      </c>
      <c r="AG666" s="28">
        <v>2</v>
      </c>
      <c r="AH666" s="29" t="s">
        <v>1392</v>
      </c>
      <c r="AI666" s="36">
        <f>IF(OR(AND(K666&lt;32, J666&lt;2), O666=1, P666=1, Q666=1, R666=1, S666=1, T666=1, U666=1, AND(W666&lt;&gt;"", W666&lt;&gt;"Oxygen", W666&lt;&gt;"LowFlow")), "Intensive", "Intermediate")</f>
      </c>
      <c r="AJ666" s="37">
        <f>IF(OR(LEFT(AH666, 1)="X", LEFT(AH666, 1)="Y", LEFT(AH666, 3)="J22M"), "CUSM", "No Match")</f>
      </c>
      <c r="AK666" s="37">
        <f>IF(AND(OR(O666=3, P666=1, Q666=1, T666=1), AJ666="no Match"), "CUSM, CHU SJ, CHUQ", "")</f>
      </c>
      <c r="AL666" s="37">
        <f>IF(AND(O666=2, ISBLANK(P666), ISBLANK(Q666), ISBLANK(R666), ISBLANK(S666), ISBLANK(T666)), "CUSM, CHU SJ, CHUS, CHUQ", "")</f>
      </c>
      <c r="AM666" s="37">
        <f>IF(AND(AJ666="no match", AK666="", AL666="", K666&lt;26), "CUSM, CHU SJ, HGJ, CHUQ, CHUS", "")</f>
      </c>
      <c r="AN666" s="37">
        <f>IF(AND(AJ666="no match", AK666="", AL666="", K666&gt;26), "CUSM, CHU SJ, HGJ, CHUQ, CHUS, HMR", "")</f>
      </c>
    </row>
    <row x14ac:dyDescent="0.25" r="667" customHeight="1" ht="17.25">
      <c r="A667" s="41" t="s">
        <v>1393</v>
      </c>
      <c r="B667" s="28">
        <v>2</v>
      </c>
      <c r="C667" s="35">
        <v>756</v>
      </c>
      <c r="D667" s="29" t="s">
        <v>66</v>
      </c>
      <c r="E667" s="30" t="s">
        <v>50</v>
      </c>
      <c r="F667" s="31">
        <v>44916</v>
      </c>
      <c r="G667" s="32">
        <v>4.878472222222222</v>
      </c>
      <c r="H667" s="31">
        <v>44916</v>
      </c>
      <c r="I667" s="32">
        <v>4.731944444444444</v>
      </c>
      <c r="J667" s="33">
        <f>F667-H667</f>
      </c>
      <c r="K667" s="28">
        <v>32</v>
      </c>
      <c r="L667" s="28">
        <v>3</v>
      </c>
      <c r="M667" s="28">
        <v>2</v>
      </c>
      <c r="N667" s="34"/>
      <c r="O667" s="34"/>
      <c r="P667" s="34"/>
      <c r="Q667" s="34"/>
      <c r="R667" s="34"/>
      <c r="S667" s="34"/>
      <c r="T667" s="34"/>
      <c r="U667" s="34"/>
      <c r="V667" s="34"/>
      <c r="W667" s="29"/>
      <c r="X667" s="28">
        <v>38</v>
      </c>
      <c r="Y667" s="28">
        <v>1</v>
      </c>
      <c r="Z667" s="28">
        <v>2</v>
      </c>
      <c r="AA667" s="28">
        <v>3</v>
      </c>
      <c r="AB667" s="28">
        <v>1</v>
      </c>
      <c r="AC667" s="28">
        <v>1</v>
      </c>
      <c r="AD667" s="28">
        <v>2</v>
      </c>
      <c r="AE667" s="28">
        <v>4</v>
      </c>
      <c r="AF667" s="28">
        <v>2</v>
      </c>
      <c r="AG667" s="28">
        <v>2</v>
      </c>
      <c r="AH667" s="29" t="s">
        <v>1394</v>
      </c>
      <c r="AI667" s="36">
        <f>IF(OR(AND(K667&lt;32, J667&lt;2), O667=1, P667=1, Q667=1, R667=1, S667=1, T667=1, U667=1, AND(W667&lt;&gt;"", W667&lt;&gt;"Oxygen", W667&lt;&gt;"LowFlow")), "Intensive", "Intermediate")</f>
      </c>
      <c r="AJ667" s="37">
        <f>IF(OR(LEFT(AH667, 1)="X", LEFT(AH667, 1)="Y", LEFT(AH667, 3)="J23M"), "CUSM", "No Match")</f>
      </c>
      <c r="AK667" s="37">
        <f>IF(AND(OR(O667=3, P667=1, Q667=1, T667=1), AJ667="no Match"), "CUSM, CHU SJ, CHUQ", "")</f>
      </c>
      <c r="AL667" s="37">
        <f>IF(AND(O667=2, ISBLANK(P667), ISBLANK(Q667), ISBLANK(R667), ISBLANK(S667), ISBLANK(T667)), "CUSM, CHU SJ, CHUS, CHUQ", "")</f>
      </c>
      <c r="AM667" s="37">
        <f>IF(AND(AJ667="no match", AK667="", AL667="", K667&lt;26), "CUSM, CHU SJ, HGJ, CHUQ, CHUS", "")</f>
      </c>
      <c r="AN667" s="37">
        <f>IF(AND(AJ667="no match", AK667="", AL667="", K667&gt;26), "CUSM, CHU SJ, HGJ, CHUQ, CHUS, HMR", "")</f>
      </c>
    </row>
    <row x14ac:dyDescent="0.25" r="668" customHeight="1" ht="17.25">
      <c r="A668" s="41" t="s">
        <v>1395</v>
      </c>
      <c r="B668" s="28">
        <v>2</v>
      </c>
      <c r="C668" s="35">
        <v>833</v>
      </c>
      <c r="D668" s="29" t="s">
        <v>376</v>
      </c>
      <c r="E668" s="30" t="s">
        <v>118</v>
      </c>
      <c r="F668" s="31">
        <v>44917</v>
      </c>
      <c r="G668" s="32">
        <v>4.052083333333334</v>
      </c>
      <c r="H668" s="31">
        <v>44916</v>
      </c>
      <c r="I668" s="32">
        <v>4.855555555555556</v>
      </c>
      <c r="J668" s="33">
        <f>F668-H668</f>
      </c>
      <c r="K668" s="28">
        <v>31</v>
      </c>
      <c r="L668" s="28">
        <v>6</v>
      </c>
      <c r="M668" s="28">
        <v>1</v>
      </c>
      <c r="N668" s="38"/>
      <c r="O668" s="34"/>
      <c r="P668" s="34"/>
      <c r="Q668" s="34"/>
      <c r="R668" s="34"/>
      <c r="S668" s="34"/>
      <c r="T668" s="34"/>
      <c r="U668" s="34"/>
      <c r="V668" s="34"/>
      <c r="W668" s="29" t="s">
        <v>164</v>
      </c>
      <c r="X668" s="28">
        <v>33</v>
      </c>
      <c r="Y668" s="28">
        <v>1</v>
      </c>
      <c r="Z668" s="28">
        <v>1</v>
      </c>
      <c r="AA668" s="28">
        <v>1</v>
      </c>
      <c r="AB668" s="28">
        <v>1</v>
      </c>
      <c r="AC668" s="28">
        <v>2</v>
      </c>
      <c r="AD668" s="28">
        <v>2</v>
      </c>
      <c r="AE668" s="28">
        <v>4</v>
      </c>
      <c r="AF668" s="28">
        <v>2</v>
      </c>
      <c r="AG668" s="28">
        <v>2</v>
      </c>
      <c r="AH668" s="29" t="s">
        <v>1396</v>
      </c>
      <c r="AI668" s="36">
        <f>IF(OR(AND(K668&lt;32, J668&lt;2), O668=1, P668=1, Q668=1, R668=1, S668=1, T668=1, U668=1, AND(W668&lt;&gt;"", W668&lt;&gt;"Oxygen", W668&lt;&gt;"LowFlow")), "Intensive", "Intermediate")</f>
      </c>
      <c r="AJ668" s="37">
        <f>IF(OR(LEFT(AH668, 1)="X", LEFT(AH668, 1)="Y", LEFT(AH668, 3)="J24M"), "CUSM", "No Match")</f>
      </c>
      <c r="AK668" s="37">
        <f>IF(AND(OR(O668=3, P668=1, Q668=1, T668=1), AJ668="no Match"), "CUSM, CHU SJ, CHUQ", "")</f>
      </c>
      <c r="AL668" s="37">
        <f>IF(AND(O668=2, ISBLANK(P668), ISBLANK(Q668), ISBLANK(R668), ISBLANK(S668), ISBLANK(T668)), "CUSM, CHU SJ, CHUS, CHUQ", "")</f>
      </c>
      <c r="AM668" s="37">
        <f>IF(AND(AJ668="no match", AK668="", AL668="", K668&lt;26), "CUSM, CHU SJ, HGJ, CHUQ, CHUS", "")</f>
      </c>
      <c r="AN668" s="37">
        <f>IF(AND(AJ668="no match", AK668="", AL668="", K668&gt;26), "CUSM, CHU SJ, HGJ, CHUQ, CHUS, HMR", "")</f>
      </c>
    </row>
    <row x14ac:dyDescent="0.25" r="669" customHeight="1" ht="17.25">
      <c r="A669" s="41" t="s">
        <v>1397</v>
      </c>
      <c r="B669" s="28">
        <v>2</v>
      </c>
      <c r="C669" s="28">
        <v>832</v>
      </c>
      <c r="D669" s="29" t="s">
        <v>308</v>
      </c>
      <c r="E669" s="30" t="s">
        <v>54</v>
      </c>
      <c r="F669" s="31">
        <v>44917</v>
      </c>
      <c r="G669" s="32">
        <v>4.520833333333334</v>
      </c>
      <c r="H669" s="31">
        <v>44917</v>
      </c>
      <c r="I669" s="32">
        <v>4.264583333333333</v>
      </c>
      <c r="J669" s="33">
        <f>F669-H669</f>
      </c>
      <c r="K669" s="28">
        <v>39</v>
      </c>
      <c r="L669" s="28">
        <v>1</v>
      </c>
      <c r="M669" s="28">
        <v>2</v>
      </c>
      <c r="N669" s="34"/>
      <c r="O669" s="35">
        <v>2</v>
      </c>
      <c r="P669" s="35">
        <v>1</v>
      </c>
      <c r="Q669" s="34"/>
      <c r="R669" s="34"/>
      <c r="S669" s="34"/>
      <c r="T669" s="35">
        <v>1</v>
      </c>
      <c r="U669" s="35">
        <v>1</v>
      </c>
      <c r="V669" s="35">
        <v>1</v>
      </c>
      <c r="W669" s="29" t="s">
        <v>74</v>
      </c>
      <c r="X669" s="28">
        <v>32</v>
      </c>
      <c r="Y669" s="28">
        <v>1</v>
      </c>
      <c r="Z669" s="28">
        <v>1</v>
      </c>
      <c r="AA669" s="28">
        <v>3</v>
      </c>
      <c r="AB669" s="28">
        <v>1</v>
      </c>
      <c r="AC669" s="28">
        <v>2</v>
      </c>
      <c r="AD669" s="28">
        <v>2</v>
      </c>
      <c r="AE669" s="28">
        <v>4</v>
      </c>
      <c r="AF669" s="28">
        <v>3</v>
      </c>
      <c r="AG669" s="28">
        <v>2</v>
      </c>
      <c r="AH669" s="29" t="s">
        <v>1398</v>
      </c>
      <c r="AI669" s="36">
        <f>IF(OR(AND(K669&lt;32, J669&lt;2), O669=1, P669=1, Q669=1, R669=1, S669=1, T669=1, U669=1, AND(W669&lt;&gt;"", W669&lt;&gt;"Oxygen", W669&lt;&gt;"LowFlow")), "Intensive", "Intermediate")</f>
      </c>
      <c r="AJ669" s="37">
        <f>IF(OR(LEFT(AH669, 1)="X", LEFT(AH669, 1)="Y", LEFT(AH669, 3)="J25M"), "CUSM", "No Match")</f>
      </c>
      <c r="AK669" s="37">
        <f>IF(AND(OR(O669=3, P669=1, Q669=1, T669=1), AJ669="no Match"), "CUSM, CHU SJ, CHUQ", "")</f>
      </c>
      <c r="AL669" s="37">
        <f>IF(AND(O669=2, ISBLANK(P669), ISBLANK(Q669), ISBLANK(R669), ISBLANK(S669), ISBLANK(T669)), "CUSM, CHU SJ, CHUS, CHUQ", "")</f>
      </c>
      <c r="AM669" s="37">
        <f>IF(AND(AJ669="no match", AK669="", AL669="", K669&lt;26), "CUSM, CHU SJ, HGJ, CHUQ, CHUS", "")</f>
      </c>
      <c r="AN669" s="37">
        <f>IF(AND(AJ669="no match", AK669="", AL669="", K669&gt;26), "CUSM, CHU SJ, HGJ, CHUQ, CHUS, HMR", "")</f>
      </c>
    </row>
    <row x14ac:dyDescent="0.25" r="670" customHeight="1" ht="17.25">
      <c r="A670" s="41" t="s">
        <v>1399</v>
      </c>
      <c r="B670" s="28">
        <v>2</v>
      </c>
      <c r="C670" s="35">
        <v>309</v>
      </c>
      <c r="D670" s="29" t="s">
        <v>1400</v>
      </c>
      <c r="E670" s="30" t="s">
        <v>149</v>
      </c>
      <c r="F670" s="31">
        <v>44918</v>
      </c>
      <c r="G670" s="32">
        <v>4.450694444444444</v>
      </c>
      <c r="H670" s="31">
        <v>44918</v>
      </c>
      <c r="I670" s="32">
        <v>4.324305555555556</v>
      </c>
      <c r="J670" s="33">
        <f>F670-H670</f>
      </c>
      <c r="K670" s="28">
        <v>26</v>
      </c>
      <c r="L670" s="28">
        <v>0</v>
      </c>
      <c r="M670" s="28">
        <v>1</v>
      </c>
      <c r="N670" s="38"/>
      <c r="O670" s="34"/>
      <c r="P670" s="38"/>
      <c r="Q670" s="34"/>
      <c r="R670" s="34"/>
      <c r="S670" s="34"/>
      <c r="T670" s="34"/>
      <c r="U670" s="34"/>
      <c r="V670" s="34"/>
      <c r="W670" s="29" t="s">
        <v>74</v>
      </c>
      <c r="X670" s="28">
        <v>26</v>
      </c>
      <c r="Y670" s="28">
        <v>2</v>
      </c>
      <c r="Z670" s="28">
        <v>1</v>
      </c>
      <c r="AA670" s="28">
        <v>3</v>
      </c>
      <c r="AB670" s="28">
        <v>4</v>
      </c>
      <c r="AC670" s="28">
        <v>3</v>
      </c>
      <c r="AD670" s="28">
        <v>3</v>
      </c>
      <c r="AE670" s="28">
        <v>4</v>
      </c>
      <c r="AF670" s="28">
        <v>3</v>
      </c>
      <c r="AG670" s="28">
        <v>2</v>
      </c>
      <c r="AH670" s="29" t="s">
        <v>558</v>
      </c>
      <c r="AI670" s="36">
        <f>IF(OR(AND(K670&lt;32, J670&lt;2), O670=1, P670=1, Q670=1, R670=1, S670=1, T670=1, U670=1, AND(W670&lt;&gt;"", W670&lt;&gt;"Oxygen", W670&lt;&gt;"LowFlow")), "Intensive", "Intermediate")</f>
      </c>
      <c r="AJ670" s="37">
        <f>IF(OR(LEFT(AH670, 1)="X", LEFT(AH670, 1)="Y", LEFT(AH670, 3)="J26M"), "CUSM", "No Match")</f>
      </c>
      <c r="AK670" s="37">
        <f>IF(AND(OR(O670=3, P670=1, Q670=1, T670=1), AJ670="no Match"), "CUSM, CHU SJ, CHUQ", "")</f>
      </c>
      <c r="AL670" s="37">
        <f>IF(AND(O670=2, ISBLANK(P670), ISBLANK(Q670), ISBLANK(R670), ISBLANK(S670), ISBLANK(T670)), "CUSM, CHU SJ, CHUS, CHUQ", "")</f>
      </c>
      <c r="AM670" s="37">
        <f>IF(AND(AJ670="no match", AK670="", AL670="", K670&lt;26), "CUSM, CHU SJ, HGJ, CHUQ, CHUS", "")</f>
      </c>
      <c r="AN670" s="37">
        <f>IF(AND(AJ670="no match", AK670="", AL670="", K670&gt;26), "CUSM, CHU SJ, HGJ, CHUQ, CHUS, HMR", "")</f>
      </c>
    </row>
    <row x14ac:dyDescent="0.25" r="671" customHeight="1" ht="17.25">
      <c r="A671" s="41" t="s">
        <v>1401</v>
      </c>
      <c r="B671" s="28">
        <v>2</v>
      </c>
      <c r="C671" s="35">
        <v>309</v>
      </c>
      <c r="D671" s="29" t="s">
        <v>1400</v>
      </c>
      <c r="E671" s="30" t="s">
        <v>149</v>
      </c>
      <c r="F671" s="31">
        <v>44918</v>
      </c>
      <c r="G671" s="32">
        <v>4.696527777777778</v>
      </c>
      <c r="H671" s="31">
        <v>44918</v>
      </c>
      <c r="I671" s="32">
        <v>4.290277777777778</v>
      </c>
      <c r="J671" s="33">
        <f>F671-H671</f>
      </c>
      <c r="K671" s="28">
        <v>26</v>
      </c>
      <c r="L671" s="28">
        <v>0</v>
      </c>
      <c r="M671" s="28">
        <v>2</v>
      </c>
      <c r="N671" s="34"/>
      <c r="O671" s="34"/>
      <c r="P671" s="34"/>
      <c r="Q671" s="34"/>
      <c r="R671" s="34"/>
      <c r="S671" s="34"/>
      <c r="T671" s="34"/>
      <c r="U671" s="34"/>
      <c r="V671" s="34"/>
      <c r="W671" s="29" t="s">
        <v>74</v>
      </c>
      <c r="X671" s="28">
        <v>26</v>
      </c>
      <c r="Y671" s="28">
        <v>2</v>
      </c>
      <c r="Z671" s="28">
        <v>1</v>
      </c>
      <c r="AA671" s="28">
        <v>3</v>
      </c>
      <c r="AB671" s="28">
        <v>4</v>
      </c>
      <c r="AC671" s="28">
        <v>3</v>
      </c>
      <c r="AD671" s="28">
        <v>3</v>
      </c>
      <c r="AE671" s="28">
        <v>4</v>
      </c>
      <c r="AF671" s="28">
        <v>3</v>
      </c>
      <c r="AG671" s="28">
        <v>2</v>
      </c>
      <c r="AH671" s="29" t="s">
        <v>558</v>
      </c>
      <c r="AI671" s="36">
        <f>IF(OR(AND(K671&lt;32, J671&lt;2), O671=1, P671=1, Q671=1, R671=1, S671=1, T671=1, U671=1, AND(W671&lt;&gt;"", W671&lt;&gt;"Oxygen", W671&lt;&gt;"LowFlow")), "Intensive", "Intermediate")</f>
      </c>
      <c r="AJ671" s="37">
        <f>IF(OR(LEFT(AH671, 1)="X", LEFT(AH671, 1)="Y", LEFT(AH671, 3)="J27M"), "CUSM", "No Match")</f>
      </c>
      <c r="AK671" s="37">
        <f>IF(AND(OR(O671=3, P671=1, Q671=1, T671=1), AJ671="no Match"), "CUSM, CHU SJ, CHUQ", "")</f>
      </c>
      <c r="AL671" s="37">
        <f>IF(AND(O671=2, ISBLANK(P671), ISBLANK(Q671), ISBLANK(R671), ISBLANK(S671), ISBLANK(T671)), "CUSM, CHU SJ, CHUS, CHUQ", "")</f>
      </c>
      <c r="AM671" s="37">
        <f>IF(AND(AJ671="no match", AK671="", AL671="", K671&lt;26), "CUSM, CHU SJ, HGJ, CHUQ, CHUS", "")</f>
      </c>
      <c r="AN671" s="37">
        <f>IF(AND(AJ671="no match", AK671="", AL671="", K671&gt;26), "CUSM, CHU SJ, HGJ, CHUQ, CHUS, HMR", "")</f>
      </c>
    </row>
    <row x14ac:dyDescent="0.25" r="672" customHeight="1" ht="17.25">
      <c r="A672" s="41" t="s">
        <v>1402</v>
      </c>
      <c r="B672" s="28">
        <v>2</v>
      </c>
      <c r="C672" s="28">
        <v>731</v>
      </c>
      <c r="D672" s="29" t="s">
        <v>103</v>
      </c>
      <c r="E672" s="30" t="s">
        <v>54</v>
      </c>
      <c r="F672" s="31">
        <v>44918</v>
      </c>
      <c r="G672" s="32">
        <v>4.430555555555555</v>
      </c>
      <c r="H672" s="31">
        <v>44910</v>
      </c>
      <c r="I672" s="39"/>
      <c r="J672" s="33">
        <f>F672-H672</f>
      </c>
      <c r="K672" s="28">
        <v>38</v>
      </c>
      <c r="L672" s="28">
        <v>6</v>
      </c>
      <c r="M672" s="28">
        <v>2</v>
      </c>
      <c r="N672" s="35">
        <v>1</v>
      </c>
      <c r="O672" s="34"/>
      <c r="P672" s="35">
        <v>1</v>
      </c>
      <c r="Q672" s="34"/>
      <c r="R672" s="34"/>
      <c r="S672" s="34"/>
      <c r="T672" s="38"/>
      <c r="U672" s="34"/>
      <c r="V672" s="34"/>
      <c r="W672" s="29"/>
      <c r="X672" s="28">
        <v>25</v>
      </c>
      <c r="Y672" s="28">
        <v>1</v>
      </c>
      <c r="Z672" s="28">
        <v>2</v>
      </c>
      <c r="AA672" s="28">
        <v>3</v>
      </c>
      <c r="AB672" s="28">
        <v>4</v>
      </c>
      <c r="AC672" s="28">
        <v>2</v>
      </c>
      <c r="AD672" s="28">
        <v>2</v>
      </c>
      <c r="AE672" s="28">
        <v>2</v>
      </c>
      <c r="AF672" s="28">
        <v>2</v>
      </c>
      <c r="AG672" s="28">
        <v>2</v>
      </c>
      <c r="AH672" s="29" t="s">
        <v>1403</v>
      </c>
      <c r="AI672" s="36">
        <f>IF(OR(AND(K672&lt;32, J672&lt;2), O672=1, P672=1, Q672=1, R672=1, S672=1, T672=1, U672=1, AND(W672&lt;&gt;"", W672&lt;&gt;"Oxygen", W672&lt;&gt;"LowFlow")), "Intensive", "Intermediate")</f>
      </c>
      <c r="AJ672" s="37">
        <f>IF(OR(LEFT(AH672, 1)="X", LEFT(AH672, 1)="Y", LEFT(AH672, 3)="J28M"), "CUSM", "No Match")</f>
      </c>
      <c r="AK672" s="37">
        <f>IF(AND(OR(O672=3, P672=1, Q672=1, T672=1), AJ672="no Match"), "CUSM, CHU SJ, CHUQ", "")</f>
      </c>
      <c r="AL672" s="37">
        <f>IF(AND(O672=2, ISBLANK(P672), ISBLANK(Q672), ISBLANK(R672), ISBLANK(S672), ISBLANK(T672)), "CUSM, CHU SJ, CHUS, CHUQ", "")</f>
      </c>
      <c r="AM672" s="37">
        <f>IF(AND(AJ672="no match", AK672="", AL672="", K672&lt;26), "CUSM, CHU SJ, HGJ, CHUQ, CHUS", "")</f>
      </c>
      <c r="AN672" s="37">
        <f>IF(AND(AJ672="no match", AK672="", AL672="", K672&gt;26), "CUSM, CHU SJ, HGJ, CHUQ, CHUS, HMR", "")</f>
      </c>
    </row>
    <row x14ac:dyDescent="0.25" r="673" customHeight="1" ht="17.25">
      <c r="A673" s="41" t="s">
        <v>1404</v>
      </c>
      <c r="B673" s="28">
        <v>2</v>
      </c>
      <c r="C673" s="35">
        <v>839</v>
      </c>
      <c r="D673" s="29" t="s">
        <v>53</v>
      </c>
      <c r="E673" s="30" t="s">
        <v>54</v>
      </c>
      <c r="F673" s="31">
        <v>44918</v>
      </c>
      <c r="G673" s="32">
        <v>4.018055555555556</v>
      </c>
      <c r="H673" s="31">
        <v>44917</v>
      </c>
      <c r="I673" s="32">
        <v>4.072222222222223</v>
      </c>
      <c r="J673" s="33">
        <f>F673-H673</f>
      </c>
      <c r="K673" s="28">
        <v>41</v>
      </c>
      <c r="L673" s="28">
        <v>2</v>
      </c>
      <c r="M673" s="28">
        <v>1</v>
      </c>
      <c r="N673" s="34"/>
      <c r="O673" s="34"/>
      <c r="P673" s="34"/>
      <c r="Q673" s="34"/>
      <c r="R673" s="34"/>
      <c r="S673" s="34"/>
      <c r="T673" s="34"/>
      <c r="U673" s="34"/>
      <c r="V673" s="34"/>
      <c r="W673" s="29"/>
      <c r="X673" s="28">
        <v>30</v>
      </c>
      <c r="Y673" s="28">
        <v>1</v>
      </c>
      <c r="Z673" s="28">
        <v>2</v>
      </c>
      <c r="AA673" s="28">
        <v>2</v>
      </c>
      <c r="AB673" s="28">
        <v>1</v>
      </c>
      <c r="AC673" s="28">
        <v>2</v>
      </c>
      <c r="AD673" s="28">
        <v>2</v>
      </c>
      <c r="AE673" s="28">
        <v>4</v>
      </c>
      <c r="AF673" s="28">
        <v>1</v>
      </c>
      <c r="AG673" s="28">
        <v>2</v>
      </c>
      <c r="AH673" s="29" t="s">
        <v>1405</v>
      </c>
      <c r="AI673" s="36">
        <f>IF(OR(AND(K673&lt;32, J673&lt;2), O673=1, P673=1, Q673=1, R673=1, S673=1, T673=1, U673=1, AND(W673&lt;&gt;"", W673&lt;&gt;"Oxygen", W673&lt;&gt;"LowFlow")), "Intensive", "Intermediate")</f>
      </c>
      <c r="AJ673" s="37">
        <f>IF(OR(LEFT(AH673, 1)="X", LEFT(AH673, 1)="Y", LEFT(AH673, 3)="J29M"), "CUSM", "No Match")</f>
      </c>
      <c r="AK673" s="37">
        <f>IF(AND(OR(O673=3, P673=1, Q673=1, T673=1), AJ673="no Match"), "CUSM, CHU SJ, CHUQ", "")</f>
      </c>
      <c r="AL673" s="37">
        <f>IF(AND(O673=2, ISBLANK(P673), ISBLANK(Q673), ISBLANK(R673), ISBLANK(S673), ISBLANK(T673)), "CUSM, CHU SJ, CHUS, CHUQ", "")</f>
      </c>
      <c r="AM673" s="37">
        <f>IF(AND(AJ673="no match", AK673="", AL673="", K673&lt;26), "CUSM, CHU SJ, HGJ, CHUQ, CHUS", "")</f>
      </c>
      <c r="AN673" s="37">
        <f>IF(AND(AJ673="no match", AK673="", AL673="", K673&gt;26), "CUSM, CHU SJ, HGJ, CHUQ, CHUS, HMR", "")</f>
      </c>
    </row>
    <row x14ac:dyDescent="0.25" r="674" customHeight="1" ht="17.25">
      <c r="A674" s="41" t="s">
        <v>1406</v>
      </c>
      <c r="B674" s="28">
        <v>2</v>
      </c>
      <c r="C674" s="35">
        <v>796</v>
      </c>
      <c r="D674" s="29" t="s">
        <v>63</v>
      </c>
      <c r="E674" s="30" t="s">
        <v>54</v>
      </c>
      <c r="F674" s="31">
        <v>44918</v>
      </c>
      <c r="G674" s="32">
        <v>4.916666666666666</v>
      </c>
      <c r="H674" s="31">
        <v>44918</v>
      </c>
      <c r="I674" s="32">
        <v>4.639583333333333</v>
      </c>
      <c r="J674" s="33">
        <f>F674-H674</f>
      </c>
      <c r="K674" s="28">
        <v>38</v>
      </c>
      <c r="L674" s="28">
        <v>6</v>
      </c>
      <c r="M674" s="28">
        <v>1</v>
      </c>
      <c r="N674" s="34"/>
      <c r="O674" s="38"/>
      <c r="P674" s="38"/>
      <c r="Q674" s="34"/>
      <c r="R674" s="34"/>
      <c r="S674" s="34"/>
      <c r="T674" s="34"/>
      <c r="U674" s="35">
        <v>1</v>
      </c>
      <c r="V674" s="35">
        <v>1</v>
      </c>
      <c r="W674" s="29" t="s">
        <v>74</v>
      </c>
      <c r="X674" s="28">
        <v>22</v>
      </c>
      <c r="Y674" s="28">
        <v>1</v>
      </c>
      <c r="Z674" s="28">
        <v>1</v>
      </c>
      <c r="AA674" s="28">
        <v>1</v>
      </c>
      <c r="AB674" s="28">
        <v>1</v>
      </c>
      <c r="AC674" s="28">
        <v>2</v>
      </c>
      <c r="AD674" s="28">
        <v>2</v>
      </c>
      <c r="AE674" s="28">
        <v>4</v>
      </c>
      <c r="AF674" s="28">
        <v>2</v>
      </c>
      <c r="AG674" s="28">
        <v>2</v>
      </c>
      <c r="AH674" s="29" t="s">
        <v>1101</v>
      </c>
      <c r="AI674" s="36">
        <f>IF(OR(AND(K674&lt;32, J674&lt;2), O674=1, P674=1, Q674=1, R674=1, S674=1, T674=1, U674=1, AND(W674&lt;&gt;"", W674&lt;&gt;"Oxygen", W674&lt;&gt;"LowFlow")), "Intensive", "Intermediate")</f>
      </c>
      <c r="AJ674" s="37">
        <f>IF(OR(LEFT(AH674, 1)="X", LEFT(AH674, 1)="Y", LEFT(AH674, 3)="J30M"), "CUSM", "No Match")</f>
      </c>
      <c r="AK674" s="37">
        <f>IF(AND(OR(O674=3, P674=1, Q674=1, T674=1), AJ674="no Match"), "CUSM, CHU SJ, CHUQ", "")</f>
      </c>
      <c r="AL674" s="37">
        <f>IF(AND(O674=2, ISBLANK(P674), ISBLANK(Q674), ISBLANK(R674), ISBLANK(S674), ISBLANK(T674)), "CUSM, CHU SJ, CHUS, CHUQ", "")</f>
      </c>
      <c r="AM674" s="37">
        <f>IF(AND(AJ674="no match", AK674="", AL674="", K674&lt;26), "CUSM, CHU SJ, HGJ, CHUQ, CHUS", "")</f>
      </c>
      <c r="AN674" s="37">
        <f>IF(AND(AJ674="no match", AK674="", AL674="", K674&gt;26), "CUSM, CHU SJ, HGJ, CHUQ, CHUS, HMR", "")</f>
      </c>
    </row>
    <row x14ac:dyDescent="0.25" r="675" customHeight="1" ht="17.25">
      <c r="A675" s="41" t="s">
        <v>1407</v>
      </c>
      <c r="B675" s="28">
        <v>2</v>
      </c>
      <c r="C675" s="35">
        <v>833</v>
      </c>
      <c r="D675" s="29" t="s">
        <v>376</v>
      </c>
      <c r="E675" s="30" t="s">
        <v>118</v>
      </c>
      <c r="F675" s="31">
        <v>44919</v>
      </c>
      <c r="G675" s="32">
        <v>4.0152777777777775</v>
      </c>
      <c r="H675" s="31">
        <v>44918</v>
      </c>
      <c r="I675" s="32">
        <v>4.553472222222222</v>
      </c>
      <c r="J675" s="33">
        <f>F675-H675</f>
      </c>
      <c r="K675" s="28">
        <v>38</v>
      </c>
      <c r="L675" s="28">
        <v>1</v>
      </c>
      <c r="M675" s="28">
        <v>1</v>
      </c>
      <c r="N675" s="34"/>
      <c r="O675" s="34"/>
      <c r="P675" s="34"/>
      <c r="Q675" s="34"/>
      <c r="R675" s="34"/>
      <c r="S675" s="34"/>
      <c r="T675" s="35">
        <v>1</v>
      </c>
      <c r="U675" s="34"/>
      <c r="V675" s="34"/>
      <c r="W675" s="29"/>
      <c r="X675" s="28">
        <v>35</v>
      </c>
      <c r="Y675" s="28">
        <v>1</v>
      </c>
      <c r="Z675" s="28">
        <v>2</v>
      </c>
      <c r="AA675" s="28">
        <v>1</v>
      </c>
      <c r="AB675" s="28">
        <v>1</v>
      </c>
      <c r="AC675" s="28">
        <v>2</v>
      </c>
      <c r="AD675" s="28">
        <v>2</v>
      </c>
      <c r="AE675" s="28">
        <v>4</v>
      </c>
      <c r="AF675" s="28">
        <v>2</v>
      </c>
      <c r="AG675" s="28">
        <v>2</v>
      </c>
      <c r="AH675" s="29" t="s">
        <v>1408</v>
      </c>
      <c r="AI675" s="36">
        <f>IF(OR(AND(K675&lt;32, J675&lt;2), O675=1, P675=1, Q675=1, R675=1, S675=1, T675=1, U675=1, AND(W675&lt;&gt;"", W675&lt;&gt;"Oxygen", W675&lt;&gt;"LowFlow")), "Intensive", "Intermediate")</f>
      </c>
      <c r="AJ675" s="37">
        <f>IF(OR(LEFT(AH675, 1)="X", LEFT(AH675, 1)="Y", LEFT(AH675, 3)="J31M"), "CUSM", "No Match")</f>
      </c>
      <c r="AK675" s="37">
        <f>IF(AND(OR(O675=3, P675=1, Q675=1, T675=1), AJ675="no Match"), "CUSM, CHU SJ, CHUQ", "")</f>
      </c>
      <c r="AL675" s="37">
        <f>IF(AND(O675=2, ISBLANK(P675), ISBLANK(Q675), ISBLANK(R675), ISBLANK(S675), ISBLANK(T675)), "CUSM, CHU SJ, CHUS, CHUQ", "")</f>
      </c>
      <c r="AM675" s="37">
        <f>IF(AND(AJ675="no match", AK675="", AL675="", K675&lt;26), "CUSM, CHU SJ, HGJ, CHUQ, CHUS", "")</f>
      </c>
      <c r="AN675" s="37">
        <f>IF(AND(AJ675="no match", AK675="", AL675="", K675&gt;26), "CUSM, CHU SJ, HGJ, CHUQ, CHUS, HMR", "")</f>
      </c>
    </row>
    <row x14ac:dyDescent="0.25" r="676" customHeight="1" ht="17.25">
      <c r="A676" s="41" t="s">
        <v>1409</v>
      </c>
      <c r="B676" s="28">
        <v>2</v>
      </c>
      <c r="C676" s="35">
        <v>831</v>
      </c>
      <c r="D676" s="29" t="s">
        <v>313</v>
      </c>
      <c r="E676" s="30" t="s">
        <v>54</v>
      </c>
      <c r="F676" s="31">
        <v>44919</v>
      </c>
      <c r="G676" s="32">
        <v>4.454166666666667</v>
      </c>
      <c r="H676" s="31">
        <v>44919</v>
      </c>
      <c r="I676" s="32">
        <v>4.13125</v>
      </c>
      <c r="J676" s="33">
        <f>F676-H676</f>
      </c>
      <c r="K676" s="28">
        <v>37</v>
      </c>
      <c r="L676" s="28">
        <v>0</v>
      </c>
      <c r="M676" s="28">
        <v>1</v>
      </c>
      <c r="N676" s="34"/>
      <c r="O676" s="34"/>
      <c r="P676" s="34"/>
      <c r="Q676" s="34"/>
      <c r="R676" s="34"/>
      <c r="S676" s="34"/>
      <c r="T676" s="34"/>
      <c r="U676" s="34"/>
      <c r="V676" s="34"/>
      <c r="W676" s="29"/>
      <c r="X676" s="28">
        <v>31</v>
      </c>
      <c r="Y676" s="28">
        <v>1</v>
      </c>
      <c r="Z676" s="28">
        <v>1</v>
      </c>
      <c r="AA676" s="28">
        <v>3</v>
      </c>
      <c r="AB676" s="28">
        <v>1</v>
      </c>
      <c r="AC676" s="28">
        <v>2</v>
      </c>
      <c r="AD676" s="28">
        <v>2</v>
      </c>
      <c r="AE676" s="28">
        <v>4</v>
      </c>
      <c r="AF676" s="28">
        <v>2</v>
      </c>
      <c r="AG676" s="28">
        <v>2</v>
      </c>
      <c r="AH676" s="29" t="s">
        <v>1410</v>
      </c>
      <c r="AI676" s="36">
        <f>IF(OR(AND(K676&lt;32, J676&lt;2), O676=1, P676=1, Q676=1, R676=1, S676=1, T676=1, U676=1, AND(W676&lt;&gt;"", W676&lt;&gt;"Oxygen", W676&lt;&gt;"LowFlow")), "Intensive", "Intermediate")</f>
      </c>
      <c r="AJ676" s="37">
        <f>IF(OR(LEFT(AH676, 1)="X", LEFT(AH676, 1)="Y", LEFT(AH676, 3)="J32M"), "CUSM", "No Match")</f>
      </c>
      <c r="AK676" s="37">
        <f>IF(AND(OR(O676=3, P676=1, Q676=1, T676=1), AJ676="no Match"), "CUSM, CHU SJ, CHUQ", "")</f>
      </c>
      <c r="AL676" s="37">
        <f>IF(AND(O676=2, ISBLANK(P676), ISBLANK(Q676), ISBLANK(R676), ISBLANK(S676), ISBLANK(T676)), "CUSM, CHU SJ, CHUS, CHUQ", "")</f>
      </c>
      <c r="AM676" s="37">
        <f>IF(AND(AJ676="no match", AK676="", AL676="", K676&lt;26), "CUSM, CHU SJ, HGJ, CHUQ, CHUS", "")</f>
      </c>
      <c r="AN676" s="37">
        <f>IF(AND(AJ676="no match", AK676="", AL676="", K676&gt;26), "CUSM, CHU SJ, HGJ, CHUQ, CHUS, HMR", "")</f>
      </c>
    </row>
    <row x14ac:dyDescent="0.25" r="677" customHeight="1" ht="17.25">
      <c r="A677" s="41" t="s">
        <v>1411</v>
      </c>
      <c r="B677" s="28">
        <v>2</v>
      </c>
      <c r="C677" s="28">
        <v>780</v>
      </c>
      <c r="D677" s="29" t="s">
        <v>190</v>
      </c>
      <c r="E677" s="30" t="s">
        <v>50</v>
      </c>
      <c r="F677" s="31">
        <v>44919</v>
      </c>
      <c r="G677" s="32">
        <v>4.754166666666666</v>
      </c>
      <c r="H677" s="31">
        <v>44917</v>
      </c>
      <c r="I677" s="32">
        <v>4.804166666666667</v>
      </c>
      <c r="J677" s="33">
        <f>F677-H677</f>
      </c>
      <c r="K677" s="28">
        <v>37</v>
      </c>
      <c r="L677" s="28">
        <v>2</v>
      </c>
      <c r="M677" s="28">
        <v>1</v>
      </c>
      <c r="N677" s="34"/>
      <c r="O677" s="34"/>
      <c r="P677" s="34"/>
      <c r="Q677" s="34"/>
      <c r="R677" s="34"/>
      <c r="S677" s="34"/>
      <c r="T677" s="34"/>
      <c r="U677" s="34"/>
      <c r="V677" s="34"/>
      <c r="W677" s="29"/>
      <c r="X677" s="28">
        <v>29</v>
      </c>
      <c r="Y677" s="28">
        <v>1</v>
      </c>
      <c r="Z677" s="28">
        <v>2</v>
      </c>
      <c r="AA677" s="28">
        <v>2</v>
      </c>
      <c r="AB677" s="28">
        <v>1</v>
      </c>
      <c r="AC677" s="28">
        <v>2</v>
      </c>
      <c r="AD677" s="28">
        <v>1</v>
      </c>
      <c r="AE677" s="28">
        <v>4</v>
      </c>
      <c r="AF677" s="28">
        <v>2</v>
      </c>
      <c r="AG677" s="28">
        <v>2</v>
      </c>
      <c r="AH677" s="29" t="s">
        <v>1412</v>
      </c>
      <c r="AI677" s="36">
        <f>IF(OR(AND(K677&lt;32, J677&lt;2), O677=1, P677=1, Q677=1, R677=1, S677=1, T677=1, U677=1, AND(W677&lt;&gt;"", W677&lt;&gt;"Oxygen", W677&lt;&gt;"LowFlow")), "Intensive", "Intermediate")</f>
      </c>
      <c r="AJ677" s="37">
        <f>IF(OR(LEFT(AH677, 1)="X", LEFT(AH677, 1)="Y", LEFT(AH677, 3)="J33M"), "CUSM", "No Match")</f>
      </c>
      <c r="AK677" s="37">
        <f>IF(AND(OR(O677=3, P677=1, Q677=1, T677=1), AJ677="no Match"), "CUSM, CHU SJ, CHUQ", "")</f>
      </c>
      <c r="AL677" s="37">
        <f>IF(AND(O677=2, ISBLANK(P677), ISBLANK(Q677), ISBLANK(R677), ISBLANK(S677), ISBLANK(T677)), "CUSM, CHU SJ, CHUS, CHUQ", "")</f>
      </c>
      <c r="AM677" s="37">
        <f>IF(AND(AJ677="no match", AK677="", AL677="", K677&lt;26), "CUSM, CHU SJ, HGJ, CHUQ, CHUS", "")</f>
      </c>
      <c r="AN677" s="37">
        <f>IF(AND(AJ677="no match", AK677="", AL677="", K677&gt;26), "CUSM, CHU SJ, HGJ, CHUQ, CHUS, HMR", "")</f>
      </c>
    </row>
    <row x14ac:dyDescent="0.25" r="678" customHeight="1" ht="17.25">
      <c r="A678" s="41" t="s">
        <v>1413</v>
      </c>
      <c r="B678" s="28">
        <v>2</v>
      </c>
      <c r="C678" s="28">
        <v>779</v>
      </c>
      <c r="D678" s="29" t="s">
        <v>136</v>
      </c>
      <c r="E678" s="30" t="s">
        <v>54</v>
      </c>
      <c r="F678" s="31">
        <v>44921</v>
      </c>
      <c r="G678" s="32">
        <v>4.652777777777778</v>
      </c>
      <c r="H678" s="31">
        <v>44920</v>
      </c>
      <c r="I678" s="32">
        <v>4.0784722222222225</v>
      </c>
      <c r="J678" s="33">
        <f>F678-H678</f>
      </c>
      <c r="K678" s="28">
        <v>39</v>
      </c>
      <c r="L678" s="28">
        <v>4</v>
      </c>
      <c r="M678" s="28">
        <v>2</v>
      </c>
      <c r="N678" s="35">
        <v>1</v>
      </c>
      <c r="O678" s="34"/>
      <c r="P678" s="35">
        <v>1</v>
      </c>
      <c r="Q678" s="34"/>
      <c r="R678" s="34"/>
      <c r="S678" s="34"/>
      <c r="T678" s="34"/>
      <c r="U678" s="34"/>
      <c r="V678" s="34"/>
      <c r="W678" s="29"/>
      <c r="X678" s="28">
        <v>28</v>
      </c>
      <c r="Y678" s="28">
        <v>1</v>
      </c>
      <c r="Z678" s="28">
        <v>1</v>
      </c>
      <c r="AA678" s="28">
        <v>1</v>
      </c>
      <c r="AB678" s="28">
        <v>1</v>
      </c>
      <c r="AC678" s="28">
        <v>2</v>
      </c>
      <c r="AD678" s="28">
        <v>2</v>
      </c>
      <c r="AE678" s="28">
        <v>4</v>
      </c>
      <c r="AF678" s="28">
        <v>2</v>
      </c>
      <c r="AG678" s="28">
        <v>2</v>
      </c>
      <c r="AH678" s="29" t="s">
        <v>1414</v>
      </c>
      <c r="AI678" s="36">
        <f>IF(OR(AND(K678&lt;32, J678&lt;2), O678=1, P678=1, Q678=1, R678=1, S678=1, T678=1, U678=1, AND(W678&lt;&gt;"", W678&lt;&gt;"Oxygen", W678&lt;&gt;"LowFlow")), "Intensive", "Intermediate")</f>
      </c>
      <c r="AJ678" s="37">
        <f>IF(OR(LEFT(AH678, 1)="X", LEFT(AH678, 1)="Y", LEFT(AH678, 3)="J34M"), "CUSM", "No Match")</f>
      </c>
      <c r="AK678" s="37">
        <f>IF(AND(OR(O678=3, P678=1, Q678=1, T678=1), AJ678="no Match"), "CUSM, CHU SJ, CHUQ", "")</f>
      </c>
      <c r="AL678" s="37">
        <f>IF(AND(O678=2, ISBLANK(P678), ISBLANK(Q678), ISBLANK(R678), ISBLANK(S678), ISBLANK(T678)), "CUSM, CHU SJ, CHUS, CHUQ", "")</f>
      </c>
      <c r="AM678" s="37">
        <f>IF(AND(AJ678="no match", AK678="", AL678="", K678&lt;26), "CUSM, CHU SJ, HGJ, CHUQ, CHUS", "")</f>
      </c>
      <c r="AN678" s="37">
        <f>IF(AND(AJ678="no match", AK678="", AL678="", K678&gt;26), "CUSM, CHU SJ, HGJ, CHUQ, CHUS, HMR", "")</f>
      </c>
    </row>
    <row x14ac:dyDescent="0.25" r="679" customHeight="1" ht="17.25">
      <c r="A679" s="41" t="s">
        <v>1415</v>
      </c>
      <c r="B679" s="28">
        <v>2</v>
      </c>
      <c r="C679" s="28">
        <v>824</v>
      </c>
      <c r="D679" s="29" t="s">
        <v>57</v>
      </c>
      <c r="E679" s="30" t="s">
        <v>220</v>
      </c>
      <c r="F679" s="31">
        <v>44922</v>
      </c>
      <c r="G679" s="32">
        <v>4.791666666666666</v>
      </c>
      <c r="H679" s="31">
        <v>44922</v>
      </c>
      <c r="I679" s="32">
        <v>4.64375</v>
      </c>
      <c r="J679" s="33">
        <f>F679-H679</f>
      </c>
      <c r="K679" s="28">
        <v>30</v>
      </c>
      <c r="L679" s="28">
        <v>4</v>
      </c>
      <c r="M679" s="28">
        <v>2</v>
      </c>
      <c r="N679" s="34"/>
      <c r="O679" s="34"/>
      <c r="P679" s="34"/>
      <c r="Q679" s="34"/>
      <c r="R679" s="34"/>
      <c r="S679" s="34"/>
      <c r="T679" s="34"/>
      <c r="U679" s="34"/>
      <c r="V679" s="34"/>
      <c r="W679" s="29" t="s">
        <v>74</v>
      </c>
      <c r="X679" s="28">
        <v>33</v>
      </c>
      <c r="Y679" s="28">
        <v>1</v>
      </c>
      <c r="Z679" s="28">
        <v>2</v>
      </c>
      <c r="AA679" s="28">
        <v>1</v>
      </c>
      <c r="AB679" s="28">
        <v>1</v>
      </c>
      <c r="AC679" s="28">
        <v>2</v>
      </c>
      <c r="AD679" s="28">
        <v>2</v>
      </c>
      <c r="AE679" s="28">
        <v>4</v>
      </c>
      <c r="AF679" s="28">
        <v>2</v>
      </c>
      <c r="AG679" s="28">
        <v>2</v>
      </c>
      <c r="AH679" s="29" t="s">
        <v>1416</v>
      </c>
      <c r="AI679" s="36">
        <f>IF(OR(AND(K679&lt;32, J679&lt;2), O679=1, P679=1, Q679=1, R679=1, S679=1, T679=1, U679=1, AND(W679&lt;&gt;"", W679&lt;&gt;"Oxygen", W679&lt;&gt;"LowFlow")), "Intensive", "Intermediate")</f>
      </c>
      <c r="AJ679" s="37">
        <f>IF(OR(LEFT(AH679, 1)="X", LEFT(AH679, 1)="Y", LEFT(AH679, 3)="J35M"), "CUSM", "No Match")</f>
      </c>
      <c r="AK679" s="37">
        <f>IF(AND(OR(O679=3, P679=1, Q679=1, T679=1), AJ679="no Match"), "CUSM, CHU SJ, CHUQ", "")</f>
      </c>
      <c r="AL679" s="37">
        <f>IF(AND(O679=2, ISBLANK(P679), ISBLANK(Q679), ISBLANK(R679), ISBLANK(S679), ISBLANK(T679)), "CUSM, CHU SJ, CHUS, CHUQ", "")</f>
      </c>
      <c r="AM679" s="37">
        <f>IF(AND(AJ679="no match", AK679="", AL679="", K679&lt;26), "CUSM, CHU SJ, HGJ, CHUQ, CHUS", "")</f>
      </c>
      <c r="AN679" s="37">
        <f>IF(AND(AJ679="no match", AK679="", AL679="", K679&gt;26), "CUSM, CHU SJ, HGJ, CHUQ, CHUS, HMR", "")</f>
      </c>
    </row>
    <row x14ac:dyDescent="0.25" r="680" customHeight="1" ht="17.25">
      <c r="A680" s="41" t="s">
        <v>1417</v>
      </c>
      <c r="B680" s="28">
        <v>2</v>
      </c>
      <c r="C680" s="35">
        <v>835</v>
      </c>
      <c r="D680" s="29" t="s">
        <v>170</v>
      </c>
      <c r="E680" s="30" t="s">
        <v>50</v>
      </c>
      <c r="F680" s="31">
        <v>44923</v>
      </c>
      <c r="G680" s="32">
        <v>4.208333333333334</v>
      </c>
      <c r="H680" s="31">
        <v>44923</v>
      </c>
      <c r="I680" s="32">
        <v>4.0159722222222225</v>
      </c>
      <c r="J680" s="33">
        <f>F680-H680</f>
      </c>
      <c r="K680" s="28">
        <v>34</v>
      </c>
      <c r="L680" s="28">
        <v>3</v>
      </c>
      <c r="M680" s="28">
        <v>1</v>
      </c>
      <c r="N680" s="38"/>
      <c r="O680" s="34"/>
      <c r="P680" s="38"/>
      <c r="Q680" s="34"/>
      <c r="R680" s="34"/>
      <c r="S680" s="34"/>
      <c r="T680" s="34"/>
      <c r="U680" s="34"/>
      <c r="V680" s="34"/>
      <c r="W680" s="29" t="s">
        <v>74</v>
      </c>
      <c r="X680" s="28">
        <v>41</v>
      </c>
      <c r="Y680" s="28">
        <v>1</v>
      </c>
      <c r="Z680" s="28">
        <v>2</v>
      </c>
      <c r="AA680" s="28">
        <v>2</v>
      </c>
      <c r="AB680" s="28">
        <v>1</v>
      </c>
      <c r="AC680" s="28">
        <v>2</v>
      </c>
      <c r="AD680" s="28">
        <v>1</v>
      </c>
      <c r="AE680" s="28">
        <v>4</v>
      </c>
      <c r="AF680" s="28">
        <v>3</v>
      </c>
      <c r="AG680" s="28">
        <v>2</v>
      </c>
      <c r="AH680" s="29" t="s">
        <v>1418</v>
      </c>
      <c r="AI680" s="36">
        <f>IF(OR(AND(K680&lt;32, J680&lt;2), O680=1, P680=1, Q680=1, R680=1, S680=1, T680=1, U680=1, AND(W680&lt;&gt;"", W680&lt;&gt;"Oxygen", W680&lt;&gt;"LowFlow")), "Intensive", "Intermediate")</f>
      </c>
      <c r="AJ680" s="37">
        <f>IF(OR(LEFT(AH680, 1)="X", LEFT(AH680, 1)="Y", LEFT(AH680, 3)="J36M"), "CUSM", "No Match")</f>
      </c>
      <c r="AK680" s="37">
        <f>IF(AND(OR(O680=3, P680=1, Q680=1, T680=1), AJ680="no Match"), "CUSM, CHU SJ, CHUQ", "")</f>
      </c>
      <c r="AL680" s="37">
        <f>IF(AND(O680=2, ISBLANK(P680), ISBLANK(Q680), ISBLANK(R680), ISBLANK(S680), ISBLANK(T680)), "CUSM, CHU SJ, CHUS, CHUQ", "")</f>
      </c>
      <c r="AM680" s="37">
        <f>IF(AND(AJ680="no match", AK680="", AL680="", K680&lt;26), "CUSM, CHU SJ, HGJ, CHUQ, CHUS", "")</f>
      </c>
      <c r="AN680" s="37">
        <f>IF(AND(AJ680="no match", AK680="", AL680="", K680&gt;26), "CUSM, CHU SJ, HGJ, CHUQ, CHUS, HMR", "")</f>
      </c>
    </row>
    <row x14ac:dyDescent="0.25" r="681" customHeight="1" ht="17.25">
      <c r="A681" s="41" t="s">
        <v>1419</v>
      </c>
      <c r="B681" s="28">
        <v>2</v>
      </c>
      <c r="C681" s="28">
        <v>779</v>
      </c>
      <c r="D681" s="29" t="s">
        <v>136</v>
      </c>
      <c r="E681" s="30" t="s">
        <v>50</v>
      </c>
      <c r="F681" s="31">
        <v>44924</v>
      </c>
      <c r="G681" s="32">
        <v>4.899305555555555</v>
      </c>
      <c r="H681" s="31">
        <v>44916</v>
      </c>
      <c r="I681" s="32">
        <v>4.679166666666667</v>
      </c>
      <c r="J681" s="33">
        <f>F681-H681</f>
      </c>
      <c r="K681" s="28">
        <v>38</v>
      </c>
      <c r="L681" s="28">
        <v>1</v>
      </c>
      <c r="M681" s="28">
        <v>2</v>
      </c>
      <c r="N681" s="35">
        <v>1</v>
      </c>
      <c r="O681" s="34"/>
      <c r="P681" s="34"/>
      <c r="Q681" s="34"/>
      <c r="R681" s="34"/>
      <c r="S681" s="34"/>
      <c r="T681" s="34"/>
      <c r="U681" s="34"/>
      <c r="V681" s="34"/>
      <c r="W681" s="29"/>
      <c r="X681" s="28">
        <v>32</v>
      </c>
      <c r="Y681" s="28">
        <v>1</v>
      </c>
      <c r="Z681" s="28">
        <v>1</v>
      </c>
      <c r="AA681" s="28">
        <v>1</v>
      </c>
      <c r="AB681" s="28">
        <v>1</v>
      </c>
      <c r="AC681" s="28">
        <v>2</v>
      </c>
      <c r="AD681" s="28">
        <v>2</v>
      </c>
      <c r="AE681" s="28">
        <v>4</v>
      </c>
      <c r="AF681" s="28">
        <v>2</v>
      </c>
      <c r="AG681" s="28">
        <v>2</v>
      </c>
      <c r="AH681" s="29" t="s">
        <v>1420</v>
      </c>
      <c r="AI681" s="36">
        <f>IF(OR(AND(K681&lt;32, J681&lt;2), O681=1, P681=1, Q681=1, R681=1, S681=1, T681=1, U681=1, AND(W681&lt;&gt;"", W681&lt;&gt;"Oxygen", W681&lt;&gt;"LowFlow")), "Intensive", "Intermediate")</f>
      </c>
      <c r="AJ681" s="37">
        <f>IF(OR(LEFT(AH681, 1)="X", LEFT(AH681, 1)="Y", LEFT(AH681, 3)="J37M"), "CUSM", "No Match")</f>
      </c>
      <c r="AK681" s="37">
        <f>IF(AND(OR(O681=3, P681=1, Q681=1, T681=1), AJ681="no Match"), "CUSM, CHU SJ, CHUQ", "")</f>
      </c>
      <c r="AL681" s="37">
        <f>IF(AND(O681=2, ISBLANK(P681), ISBLANK(Q681), ISBLANK(R681), ISBLANK(S681), ISBLANK(T681)), "CUSM, CHU SJ, CHUS, CHUQ", "")</f>
      </c>
      <c r="AM681" s="37">
        <f>IF(AND(AJ681="no match", AK681="", AL681="", K681&lt;26), "CUSM, CHU SJ, HGJ, CHUQ, CHUS", "")</f>
      </c>
      <c r="AN681" s="37">
        <f>IF(AND(AJ681="no match", AK681="", AL681="", K681&gt;26), "CUSM, CHU SJ, HGJ, CHUQ, CHUS, HMR", "")</f>
      </c>
    </row>
    <row x14ac:dyDescent="0.25" r="682" customHeight="1" ht="17.25">
      <c r="A682" s="41" t="s">
        <v>1421</v>
      </c>
      <c r="B682" s="28">
        <v>2</v>
      </c>
      <c r="C682" s="35">
        <v>839</v>
      </c>
      <c r="D682" s="29" t="s">
        <v>53</v>
      </c>
      <c r="E682" s="30" t="s">
        <v>50</v>
      </c>
      <c r="F682" s="31">
        <v>44924</v>
      </c>
      <c r="G682" s="32">
        <v>4.541666666666666</v>
      </c>
      <c r="H682" s="31">
        <v>44923</v>
      </c>
      <c r="I682" s="32">
        <v>4.055555555555555</v>
      </c>
      <c r="J682" s="33">
        <f>F682-H682</f>
      </c>
      <c r="K682" s="28">
        <v>36</v>
      </c>
      <c r="L682" s="28">
        <v>5</v>
      </c>
      <c r="M682" s="28">
        <v>1</v>
      </c>
      <c r="N682" s="34"/>
      <c r="O682" s="38"/>
      <c r="P682" s="34"/>
      <c r="Q682" s="34"/>
      <c r="R682" s="38"/>
      <c r="S682" s="34"/>
      <c r="T682" s="34"/>
      <c r="U682" s="34"/>
      <c r="V682" s="38"/>
      <c r="W682" s="29" t="s">
        <v>58</v>
      </c>
      <c r="X682" s="28">
        <v>34</v>
      </c>
      <c r="Y682" s="28">
        <v>1</v>
      </c>
      <c r="Z682" s="28">
        <v>1</v>
      </c>
      <c r="AA682" s="28">
        <v>1</v>
      </c>
      <c r="AB682" s="28">
        <v>1</v>
      </c>
      <c r="AC682" s="28">
        <v>2</v>
      </c>
      <c r="AD682" s="28">
        <v>2</v>
      </c>
      <c r="AE682" s="28">
        <v>4</v>
      </c>
      <c r="AF682" s="28">
        <v>2</v>
      </c>
      <c r="AG682" s="28">
        <v>2</v>
      </c>
      <c r="AH682" s="29" t="s">
        <v>1422</v>
      </c>
      <c r="AI682" s="36">
        <f>IF(OR(AND(K682&lt;32, J682&lt;2), O682=1, P682=1, Q682=1, R682=1, S682=1, T682=1, U682=1, AND(W682&lt;&gt;"", W682&lt;&gt;"Oxygen", W682&lt;&gt;"LowFlow")), "Intensive", "Intermediate")</f>
      </c>
      <c r="AJ682" s="37">
        <f>IF(OR(LEFT(AH682, 1)="X", LEFT(AH682, 1)="Y", LEFT(AH682, 3)="J38M"), "CUSM", "No Match")</f>
      </c>
      <c r="AK682" s="37">
        <f>IF(AND(OR(O682=3, P682=1, Q682=1, T682=1), AJ682="no Match"), "CUSM, CHU SJ, CHUQ", "")</f>
      </c>
      <c r="AL682" s="37">
        <f>IF(AND(O682=2, ISBLANK(P682), ISBLANK(Q682), ISBLANK(R682), ISBLANK(S682), ISBLANK(T682)), "CUSM, CHU SJ, CHUS, CHUQ", "")</f>
      </c>
      <c r="AM682" s="37">
        <f>IF(AND(AJ682="no match", AK682="", AL682="", K682&lt;26), "CUSM, CHU SJ, HGJ, CHUQ, CHUS", "")</f>
      </c>
      <c r="AN682" s="37">
        <f>IF(AND(AJ682="no match", AK682="", AL682="", K682&gt;26), "CUSM, CHU SJ, HGJ, CHUQ, CHUS, HMR", "")</f>
      </c>
    </row>
    <row x14ac:dyDescent="0.25" r="683" customHeight="1" ht="17.25">
      <c r="A683" s="41" t="s">
        <v>1423</v>
      </c>
      <c r="B683" s="28">
        <v>2</v>
      </c>
      <c r="C683" s="35">
        <v>779</v>
      </c>
      <c r="D683" s="29" t="s">
        <v>136</v>
      </c>
      <c r="E683" s="30" t="s">
        <v>54</v>
      </c>
      <c r="F683" s="31">
        <v>44925</v>
      </c>
      <c r="G683" s="32">
        <v>4.205555555555556</v>
      </c>
      <c r="H683" s="31">
        <v>44925</v>
      </c>
      <c r="I683" s="32">
        <v>4.0375</v>
      </c>
      <c r="J683" s="33">
        <f>F683-H683</f>
      </c>
      <c r="K683" s="28">
        <v>38</v>
      </c>
      <c r="L683" s="28">
        <v>4</v>
      </c>
      <c r="M683" s="28">
        <v>2</v>
      </c>
      <c r="N683" s="38"/>
      <c r="O683" s="34"/>
      <c r="P683" s="34"/>
      <c r="Q683" s="34"/>
      <c r="R683" s="34"/>
      <c r="S683" s="34"/>
      <c r="T683" s="35">
        <v>1</v>
      </c>
      <c r="U683" s="34"/>
      <c r="V683" s="34"/>
      <c r="W683" s="29" t="s">
        <v>58</v>
      </c>
      <c r="X683" s="28">
        <v>28</v>
      </c>
      <c r="Y683" s="28">
        <v>1</v>
      </c>
      <c r="Z683" s="28">
        <v>2</v>
      </c>
      <c r="AA683" s="28">
        <v>3</v>
      </c>
      <c r="AB683" s="28">
        <v>1</v>
      </c>
      <c r="AC683" s="28">
        <v>2</v>
      </c>
      <c r="AD683" s="28">
        <v>2</v>
      </c>
      <c r="AE683" s="28">
        <v>4</v>
      </c>
      <c r="AF683" s="28">
        <v>2</v>
      </c>
      <c r="AG683" s="28">
        <v>1</v>
      </c>
      <c r="AH683" s="29" t="s">
        <v>1424</v>
      </c>
      <c r="AI683" s="36">
        <f>IF(OR(AND(K683&lt;32, J683&lt;2), O683=1, P683=1, Q683=1, R683=1, S683=1, T683=1, U683=1, AND(W683&lt;&gt;"", W683&lt;&gt;"Oxygen", W683&lt;&gt;"LowFlow")), "Intensive", "Intermediate")</f>
      </c>
      <c r="AJ683" s="37">
        <f>IF(OR(LEFT(AH683, 1)="X", LEFT(AH683, 1)="Y", LEFT(AH683, 3)="J39M"), "CUSM", "No Match")</f>
      </c>
      <c r="AK683" s="37">
        <f>IF(AND(OR(O683=3, P683=1, Q683=1, T683=1), AJ683="no Match"), "CUSM, CHU SJ, CHUQ", "")</f>
      </c>
      <c r="AL683" s="37">
        <f>IF(AND(O683=2, ISBLANK(P683), ISBLANK(Q683), ISBLANK(R683), ISBLANK(S683), ISBLANK(T683)), "CUSM, CHU SJ, CHUS, CHUQ", "")</f>
      </c>
      <c r="AM683" s="37">
        <f>IF(AND(AJ683="no match", AK683="", AL683="", K683&lt;26), "CUSM, CHU SJ, HGJ, CHUQ, CHUS", "")</f>
      </c>
      <c r="AN683" s="37">
        <f>IF(AND(AJ683="no match", AK683="", AL683="", K683&gt;26), "CUSM, CHU SJ, HGJ, CHUQ, CHUS, HMR", "")</f>
      </c>
    </row>
    <row x14ac:dyDescent="0.25" r="684" customHeight="1" ht="17.25">
      <c r="A684" s="41" t="s">
        <v>1425</v>
      </c>
      <c r="B684" s="28">
        <v>2</v>
      </c>
      <c r="C684" s="35">
        <v>734</v>
      </c>
      <c r="D684" s="29" t="s">
        <v>264</v>
      </c>
      <c r="E684" s="30" t="s">
        <v>54</v>
      </c>
      <c r="F684" s="31">
        <v>44925</v>
      </c>
      <c r="G684" s="32">
        <v>4.486111111111111</v>
      </c>
      <c r="H684" s="31">
        <v>44923</v>
      </c>
      <c r="I684" s="32">
        <v>4.447222222222223</v>
      </c>
      <c r="J684" s="33">
        <f>F684-H684</f>
      </c>
      <c r="K684" s="28">
        <v>39</v>
      </c>
      <c r="L684" s="28">
        <v>5</v>
      </c>
      <c r="M684" s="28">
        <v>2</v>
      </c>
      <c r="N684" s="35">
        <v>1</v>
      </c>
      <c r="O684" s="35">
        <v>2</v>
      </c>
      <c r="P684" s="35">
        <v>1</v>
      </c>
      <c r="Q684" s="35">
        <v>1</v>
      </c>
      <c r="R684" s="34"/>
      <c r="S684" s="34"/>
      <c r="T684" s="34"/>
      <c r="U684" s="34"/>
      <c r="V684" s="34"/>
      <c r="W684" s="29"/>
      <c r="X684" s="28">
        <v>38</v>
      </c>
      <c r="Y684" s="28">
        <v>1</v>
      </c>
      <c r="Z684" s="28">
        <v>2</v>
      </c>
      <c r="AA684" s="28">
        <v>2</v>
      </c>
      <c r="AB684" s="28">
        <v>1</v>
      </c>
      <c r="AC684" s="28">
        <v>2</v>
      </c>
      <c r="AD684" s="28">
        <v>1</v>
      </c>
      <c r="AE684" s="28">
        <v>4</v>
      </c>
      <c r="AF684" s="28">
        <v>2</v>
      </c>
      <c r="AG684" s="28">
        <v>2</v>
      </c>
      <c r="AH684" s="29" t="s">
        <v>1426</v>
      </c>
      <c r="AI684" s="36">
        <f>IF(OR(AND(K684&lt;32, J684&lt;2), O684=1, P684=1, Q684=1, R684=1, S684=1, T684=1, U684=1, AND(W684&lt;&gt;"", W684&lt;&gt;"Oxygen", W684&lt;&gt;"LowFlow")), "Intensive", "Intermediate")</f>
      </c>
      <c r="AJ684" s="37">
        <f>IF(OR(LEFT(AH684, 1)="X", LEFT(AH684, 1)="Y", LEFT(AH684, 3)="J40M"), "CUSM", "No Match")</f>
      </c>
      <c r="AK684" s="37">
        <f>IF(AND(OR(O684=3, P684=1, Q684=1, T684=1), AJ684="no Match"), "CUSM, CHU SJ, CHUQ", "")</f>
      </c>
      <c r="AL684" s="37">
        <f>IF(AND(O684=2, ISBLANK(P684), ISBLANK(Q684), ISBLANK(R684), ISBLANK(S684), ISBLANK(T684)), "CUSM, CHU SJ, CHUS, CHUQ", "")</f>
      </c>
      <c r="AM684" s="37">
        <f>IF(AND(AJ684="no match", AK684="", AL684="", K684&lt;26), "CUSM, CHU SJ, HGJ, CHUQ, CHUS", "")</f>
      </c>
      <c r="AN684" s="37">
        <f>IF(AND(AJ684="no match", AK684="", AL684="", K684&gt;26), "CUSM, CHU SJ, HGJ, CHUQ, CHUS, HMR", "")</f>
      </c>
    </row>
    <row x14ac:dyDescent="0.25" r="685" customHeight="1" ht="17.25">
      <c r="A685" s="41" t="s">
        <v>1427</v>
      </c>
      <c r="B685" s="28">
        <v>2</v>
      </c>
      <c r="C685" s="35">
        <v>730</v>
      </c>
      <c r="D685" s="29" t="s">
        <v>81</v>
      </c>
      <c r="E685" s="30" t="s">
        <v>50</v>
      </c>
      <c r="F685" s="31">
        <v>44925</v>
      </c>
      <c r="G685" s="32">
        <v>4.767361111111111</v>
      </c>
      <c r="H685" s="31">
        <v>44925</v>
      </c>
      <c r="I685" s="32">
        <v>4.6402777777777775</v>
      </c>
      <c r="J685" s="33">
        <f>F685-H685</f>
      </c>
      <c r="K685" s="28">
        <v>34</v>
      </c>
      <c r="L685" s="28">
        <v>2</v>
      </c>
      <c r="M685" s="28">
        <v>2</v>
      </c>
      <c r="N685" s="34"/>
      <c r="O685" s="34"/>
      <c r="P685" s="34"/>
      <c r="Q685" s="34"/>
      <c r="R685" s="34"/>
      <c r="S685" s="34"/>
      <c r="T685" s="34"/>
      <c r="U685" s="34"/>
      <c r="V685" s="34"/>
      <c r="W685" s="29" t="s">
        <v>58</v>
      </c>
      <c r="X685" s="28">
        <v>35</v>
      </c>
      <c r="Y685" s="28">
        <v>1</v>
      </c>
      <c r="Z685" s="28">
        <v>1</v>
      </c>
      <c r="AA685" s="28">
        <v>1</v>
      </c>
      <c r="AB685" s="28">
        <v>1</v>
      </c>
      <c r="AC685" s="28">
        <v>1</v>
      </c>
      <c r="AD685" s="28">
        <v>2</v>
      </c>
      <c r="AE685" s="28">
        <v>4</v>
      </c>
      <c r="AF685" s="28">
        <v>2</v>
      </c>
      <c r="AG685" s="28">
        <v>2</v>
      </c>
      <c r="AH685" s="29" t="s">
        <v>1428</v>
      </c>
      <c r="AI685" s="36">
        <f>IF(OR(AND(K685&lt;32, J685&lt;2), O685=1, P685=1, Q685=1, R685=1, S685=1, T685=1, U685=1, AND(W685&lt;&gt;"", W685&lt;&gt;"Oxygen", W685&lt;&gt;"LowFlow")), "Intensive", "Intermediate")</f>
      </c>
      <c r="AJ685" s="37">
        <f>IF(OR(LEFT(AH685, 1)="X", LEFT(AH685, 1)="Y", LEFT(AH685, 3)="J41M"), "CUSM", "No Match")</f>
      </c>
      <c r="AK685" s="37">
        <f>IF(AND(OR(O685=3, P685=1, Q685=1, T685=1), AJ685="no Match"), "CUSM, CHU SJ, CHUQ", "")</f>
      </c>
      <c r="AL685" s="37">
        <f>IF(AND(O685=2, ISBLANK(P685), ISBLANK(Q685), ISBLANK(R685), ISBLANK(S685), ISBLANK(T685)), "CUSM, CHU SJ, CHUS, CHUQ", "")</f>
      </c>
      <c r="AM685" s="37">
        <f>IF(AND(AJ685="no match", AK685="", AL685="", K685&lt;26), "CUSM, CHU SJ, HGJ, CHUQ, CHUS", "")</f>
      </c>
      <c r="AN685" s="37">
        <f>IF(AND(AJ685="no match", AK685="", AL685="", K685&gt;26), "CUSM, CHU SJ, HGJ, CHUQ, CHUS, HMR", "")</f>
      </c>
    </row>
    <row x14ac:dyDescent="0.25" r="686" customHeight="1" ht="17.25">
      <c r="A686" s="41" t="s">
        <v>1429</v>
      </c>
      <c r="B686" s="28">
        <v>2</v>
      </c>
      <c r="C686" s="35">
        <v>748</v>
      </c>
      <c r="D686" s="29" t="s">
        <v>145</v>
      </c>
      <c r="E686" s="30" t="s">
        <v>118</v>
      </c>
      <c r="F686" s="31">
        <v>44926</v>
      </c>
      <c r="G686" s="32">
        <v>4.702083333333333</v>
      </c>
      <c r="H686" s="31">
        <v>44926</v>
      </c>
      <c r="I686" s="32">
        <v>4.413194444444445</v>
      </c>
      <c r="J686" s="33">
        <f>F686-H686</f>
      </c>
      <c r="K686" s="28">
        <v>31</v>
      </c>
      <c r="L686" s="28">
        <v>6</v>
      </c>
      <c r="M686" s="28">
        <v>2</v>
      </c>
      <c r="N686" s="38"/>
      <c r="O686" s="38"/>
      <c r="P686" s="38"/>
      <c r="Q686" s="34"/>
      <c r="R686" s="34"/>
      <c r="S686" s="34"/>
      <c r="T686" s="35">
        <v>1</v>
      </c>
      <c r="U686" s="35">
        <v>1</v>
      </c>
      <c r="V686" s="35">
        <v>1</v>
      </c>
      <c r="W686" s="29" t="s">
        <v>74</v>
      </c>
      <c r="X686" s="28">
        <v>30</v>
      </c>
      <c r="Y686" s="28">
        <v>1</v>
      </c>
      <c r="Z686" s="28">
        <v>2</v>
      </c>
      <c r="AA686" s="28">
        <v>2</v>
      </c>
      <c r="AB686" s="28">
        <v>1</v>
      </c>
      <c r="AC686" s="28">
        <v>2</v>
      </c>
      <c r="AD686" s="28">
        <v>2</v>
      </c>
      <c r="AE686" s="28">
        <v>4</v>
      </c>
      <c r="AF686" s="28">
        <v>2</v>
      </c>
      <c r="AG686" s="28">
        <v>2</v>
      </c>
      <c r="AH686" s="29" t="s">
        <v>1430</v>
      </c>
      <c r="AI686" s="36">
        <f>IF(OR(AND(K686&lt;32, J686&lt;2), O686=1, P686=1, Q686=1, R686=1, S686=1, T686=1, U686=1, AND(W686&lt;&gt;"", W686&lt;&gt;"Oxygen", W686&lt;&gt;"LowFlow")), "Intensive", "Intermediate")</f>
      </c>
      <c r="AJ686" s="37">
        <f>IF(OR(LEFT(AH686, 1)="X", LEFT(AH686, 1)="Y", LEFT(AH686, 3)="J42M"), "CUSM", "No Match")</f>
      </c>
      <c r="AK686" s="37">
        <f>IF(AND(OR(O686=3, P686=1, Q686=1, T686=1), AJ686="no Match"), "CUSM, CHU SJ, CHUQ", "")</f>
      </c>
      <c r="AL686" s="37">
        <f>IF(AND(O686=2, ISBLANK(P686), ISBLANK(Q686), ISBLANK(R686), ISBLANK(S686), ISBLANK(T686)), "CUSM, CHU SJ, CHUS, CHUQ", "")</f>
      </c>
      <c r="AM686" s="37">
        <f>IF(AND(AJ686="no match", AK686="", AL686="", K686&lt;26), "CUSM, CHU SJ, HGJ, CHUQ, CHUS", "")</f>
      </c>
      <c r="AN686" s="37">
        <f>IF(AND(AJ686="no match", AK686="", AL686="", K686&gt;26), "CUSM, CHU SJ, HGJ, CHUQ, CHUS, HMR", "")</f>
      </c>
    </row>
    <row x14ac:dyDescent="0.25" r="687" customHeight="1" ht="17.25">
      <c r="A687" s="41" t="s">
        <v>1431</v>
      </c>
      <c r="B687" s="28">
        <v>2</v>
      </c>
      <c r="C687" s="35">
        <v>3</v>
      </c>
      <c r="D687" s="29" t="s">
        <v>537</v>
      </c>
      <c r="E687" s="30" t="s">
        <v>78</v>
      </c>
      <c r="F687" s="31">
        <v>44926</v>
      </c>
      <c r="G687" s="32">
        <v>4.315972222222222</v>
      </c>
      <c r="H687" s="31">
        <v>44926</v>
      </c>
      <c r="I687" s="32">
        <v>4.2972222222222225</v>
      </c>
      <c r="J687" s="33">
        <f>F687-H687</f>
      </c>
      <c r="K687" s="28">
        <v>39</v>
      </c>
      <c r="L687" s="28">
        <v>0</v>
      </c>
      <c r="M687" s="28">
        <v>2</v>
      </c>
      <c r="N687" s="34"/>
      <c r="O687" s="34"/>
      <c r="P687" s="34"/>
      <c r="Q687" s="34"/>
      <c r="R687" s="34"/>
      <c r="S687" s="34"/>
      <c r="T687" s="34"/>
      <c r="U687" s="34"/>
      <c r="V687" s="34"/>
      <c r="W687" s="29" t="s">
        <v>58</v>
      </c>
      <c r="X687" s="28">
        <v>34</v>
      </c>
      <c r="Y687" s="28">
        <v>1</v>
      </c>
      <c r="Z687" s="28">
        <v>1</v>
      </c>
      <c r="AA687" s="28">
        <v>2</v>
      </c>
      <c r="AB687" s="28">
        <v>1</v>
      </c>
      <c r="AC687" s="28">
        <v>2</v>
      </c>
      <c r="AD687" s="28">
        <v>2</v>
      </c>
      <c r="AE687" s="28">
        <v>4</v>
      </c>
      <c r="AF687" s="28">
        <v>2</v>
      </c>
      <c r="AG687" s="28">
        <v>2</v>
      </c>
      <c r="AH687" s="29" t="s">
        <v>1432</v>
      </c>
      <c r="AI687" s="36">
        <f>IF(OR(AND(K687&lt;32, J687&lt;2), O687=1, P687=1, Q687=1, R687=1, S687=1, T687=1, U687=1, AND(W687&lt;&gt;"", W687&lt;&gt;"Oxygen", W687&lt;&gt;"LowFlow")), "Intensive", "Intermediate")</f>
      </c>
      <c r="AJ687" s="37">
        <f>IF(OR(LEFT(AH687, 1)="X", LEFT(AH687, 1)="Y", LEFT(AH687, 3)="J43M"), "CUSM", "No Match")</f>
      </c>
      <c r="AK687" s="37">
        <f>IF(AND(OR(O687=3, P687=1, Q687=1, T687=1), AJ687="no Match"), "CUSM, CHU SJ, CHUQ", "")</f>
      </c>
      <c r="AL687" s="37">
        <f>IF(AND(O687=2, ISBLANK(P687), ISBLANK(Q687), ISBLANK(R687), ISBLANK(S687), ISBLANK(T687)), "CUSM, CHU SJ, CHUS, CHUQ", "")</f>
      </c>
      <c r="AM687" s="42"/>
      <c r="AN687" s="37">
        <f>IF(AND(AJ687="no match", AK687="", AL687="", K687&gt;26), "CUSM, CHU SJ, HGJ, CHUQ, CHUS, HMR", "")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5</vt:i4>
      </vt:variant>
    </vt:vector>
  </HeadingPairs>
  <TitlesOfParts>
    <vt:vector baseType="lpstr" size="5">
      <vt:lpstr>condition</vt:lpstr>
      <vt:lpstr>dictionary</vt:lpstr>
      <vt:lpstr>2023-01-01 to 2023-12-31</vt:lpstr>
      <vt:lpstr>2021-01-11 to 2021-12-31</vt:lpstr>
      <vt:lpstr>2022-10-01 to 2022-12-31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2024-12-20T20:43:09.157Z</dcterms:created>
  <dcterms:modified xsi:type="dcterms:W3CDTF">2024-12-20T20:43:09.157Z</dcterms:modified>
</cp:coreProperties>
</file>